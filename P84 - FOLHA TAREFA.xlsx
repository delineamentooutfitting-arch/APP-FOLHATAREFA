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edro.monaco\Desktop\"/>
    </mc:Choice>
  </mc:AlternateContent>
  <xr:revisionPtr revIDLastSave="0" documentId="13_ncr:1_{5F93C2E7-39AE-4DD3-B2D6-2279CA5309EB}" xr6:coauthVersionLast="47" xr6:coauthVersionMax="47" xr10:uidLastSave="{00000000-0000-0000-0000-000000000000}"/>
  <bookViews>
    <workbookView xWindow="6225" yWindow="4125" windowWidth="21600" windowHeight="11295" tabRatio="800" firstSheet="3" activeTab="3" xr2:uid="{00000000-000D-0000-FFFF-FFFF00000000}"/>
  </bookViews>
  <sheets>
    <sheet name="Dinâmica" sheetId="50" state="hidden" r:id="rId1"/>
    <sheet name="MONT. RESUMO" sheetId="52" state="hidden" r:id="rId2"/>
    <sheet name=" SOLDA RESUMO" sheetId="53" state="hidden" r:id="rId3"/>
    <sheet name="FOLHA TAREFA PROCESSAMENTO" sheetId="62" r:id="rId4"/>
    <sheet name="MONTAGEM DEL. (2)" sheetId="51" state="hidden" r:id="rId5"/>
    <sheet name=" SOLDA DEL." sheetId="49" state="hidden" r:id="rId6"/>
    <sheet name="PROC. RESUMIDO" sheetId="44" state="hidden" r:id="rId7"/>
    <sheet name="MONT. RESUMIDO" sheetId="45" state="hidden" r:id="rId8"/>
    <sheet name=" SOLDA-END RESUMIDO" sheetId="41" state="hidden" r:id="rId9"/>
    <sheet name="EXTRA-ESCOPO" sheetId="42" state="hidden" r:id="rId10"/>
  </sheets>
  <definedNames>
    <definedName name="_xlnm._FilterDatabase" localSheetId="5" hidden="1">' SOLDA DEL.'!$A$12:$AN$29</definedName>
    <definedName name="_xlnm._FilterDatabase" localSheetId="2" hidden="1">' SOLDA RESUMO'!$A$12:$AN$63</definedName>
    <definedName name="_xlnm._FilterDatabase" localSheetId="8" hidden="1">' SOLDA-END RESUMIDO'!$A$12:$AN$175</definedName>
    <definedName name="_xlnm._FilterDatabase" localSheetId="7" hidden="1">'MONT. RESUMIDO'!$A$12:$AN$45</definedName>
    <definedName name="_xlnm._FilterDatabase" localSheetId="1" hidden="1">'MONT. RESUMO'!$A$12:$AN$335</definedName>
    <definedName name="_xlnm._FilterDatabase" localSheetId="4" hidden="1">'MONTAGEM DEL. (2)'!$A$12:$AN$701</definedName>
    <definedName name="_xlnm._FilterDatabase" localSheetId="6" hidden="1">'PROC. RESUMIDO'!$A$12:$AL$29</definedName>
    <definedName name="_xlnm.Print_Area" localSheetId="5">' SOLDA DEL.'!$B$1:$AC$65</definedName>
    <definedName name="_xlnm.Print_Area" localSheetId="2">' SOLDA RESUMO'!$B$1:$AC$95</definedName>
    <definedName name="_xlnm.Print_Area" localSheetId="8">' SOLDA-END RESUMIDO'!$B$1:$AC$211</definedName>
    <definedName name="_xlnm.Print_Area" localSheetId="9">'EXTRA-ESCOPO'!$A$1:$Z$30</definedName>
    <definedName name="_xlnm.Print_Area" localSheetId="7">'MONT. RESUMIDO'!$B$1:$AC$80</definedName>
    <definedName name="_xlnm.Print_Area" localSheetId="1">'MONT. RESUMO'!$B$1:$AC$371</definedName>
    <definedName name="_xlnm.Print_Area" localSheetId="4">'MONTAGEM DEL. (2)'!$B$1:$AC$736</definedName>
    <definedName name="_xlnm.Print_Area" localSheetId="6">'PROC. RESUMIDO'!$B$1:$AC$47</definedName>
    <definedName name="_xlnm.Print_Titles" localSheetId="5">' SOLDA DEL.'!$2:$12</definedName>
    <definedName name="_xlnm.Print_Titles" localSheetId="2">' SOLDA RESUMO'!$2:$12</definedName>
    <definedName name="_xlnm.Print_Titles" localSheetId="8">' SOLDA-END RESUMIDO'!$2:$12</definedName>
    <definedName name="_xlnm.Print_Titles" localSheetId="9">'EXTRA-ESCOPO'!$2:$18</definedName>
    <definedName name="_xlnm.Print_Titles" localSheetId="7">'MONT. RESUMIDO'!$2:$12</definedName>
    <definedName name="_xlnm.Print_Titles" localSheetId="1">'MONT. RESUMO'!$2:$12</definedName>
    <definedName name="_xlnm.Print_Titles" localSheetId="4">'MONTAGEM DEL. (2)'!$2:$12</definedName>
    <definedName name="_xlnm.Print_Titles" localSheetId="6">'PROC. RESUMIDO'!$2:$12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1" i="53" l="1"/>
  <c r="Z91" i="53" s="1"/>
  <c r="AA91" i="53" s="1"/>
  <c r="X91" i="53"/>
  <c r="AB91" i="53" s="1"/>
  <c r="Y90" i="53"/>
  <c r="Z90" i="53" s="1"/>
  <c r="AA90" i="53" s="1"/>
  <c r="X90" i="53"/>
  <c r="AB90" i="53" s="1"/>
  <c r="Y89" i="53"/>
  <c r="Z89" i="53" s="1"/>
  <c r="AA89" i="53" s="1"/>
  <c r="X89" i="53"/>
  <c r="AB89" i="53" s="1"/>
  <c r="Q88" i="53"/>
  <c r="Q87" i="53"/>
  <c r="Q85" i="53"/>
  <c r="Q84" i="53"/>
  <c r="Q69" i="53"/>
  <c r="M69" i="53"/>
  <c r="Q67" i="53"/>
  <c r="Q66" i="53"/>
  <c r="M66" i="53"/>
  <c r="R63" i="53"/>
  <c r="AH62" i="53"/>
  <c r="AF62" i="53"/>
  <c r="AD62" i="53"/>
  <c r="AH27" i="53"/>
  <c r="AF27" i="53"/>
  <c r="AD27" i="53"/>
  <c r="AH26" i="53"/>
  <c r="AF26" i="53"/>
  <c r="AD26" i="53"/>
  <c r="AH25" i="53"/>
  <c r="AF25" i="53"/>
  <c r="AD25" i="53"/>
  <c r="AH24" i="53"/>
  <c r="AF24" i="53"/>
  <c r="AD24" i="53"/>
  <c r="AH23" i="53"/>
  <c r="AF23" i="53"/>
  <c r="AD23" i="53"/>
  <c r="AH22" i="53"/>
  <c r="AF22" i="53"/>
  <c r="AD22" i="53"/>
  <c r="AH21" i="53"/>
  <c r="AF21" i="53"/>
  <c r="AD21" i="53"/>
  <c r="AH20" i="53"/>
  <c r="AF20" i="53"/>
  <c r="AD20" i="53"/>
  <c r="AH19" i="53"/>
  <c r="AF19" i="53"/>
  <c r="AD19" i="53"/>
  <c r="AH18" i="53"/>
  <c r="AF18" i="53"/>
  <c r="AD18" i="53"/>
  <c r="AH17" i="53"/>
  <c r="AF17" i="53"/>
  <c r="AD17" i="53"/>
  <c r="AH16" i="53"/>
  <c r="AF16" i="53"/>
  <c r="AD16" i="53"/>
  <c r="AH15" i="53"/>
  <c r="AF15" i="53"/>
  <c r="AD15" i="53"/>
  <c r="AH14" i="53"/>
  <c r="AF14" i="53"/>
  <c r="AD14" i="53"/>
  <c r="AH13" i="53"/>
  <c r="AF13" i="53"/>
  <c r="AD13" i="53"/>
  <c r="C8" i="53"/>
  <c r="F6" i="53"/>
  <c r="F8" i="53" s="1"/>
  <c r="E6" i="53"/>
  <c r="AA3" i="53"/>
  <c r="AA2" i="53"/>
  <c r="Y98" i="53" l="1"/>
  <c r="Z98" i="53" s="1"/>
  <c r="AA98" i="53" s="1"/>
  <c r="Y76" i="53"/>
  <c r="Z76" i="53" s="1"/>
  <c r="AA76" i="53" s="1"/>
  <c r="X86" i="53"/>
  <c r="AB86" i="53" s="1"/>
  <c r="X70" i="53"/>
  <c r="AB70" i="53" s="1"/>
  <c r="Y73" i="53"/>
  <c r="Z73" i="53" s="1"/>
  <c r="AA73" i="53" s="1"/>
  <c r="X78" i="53"/>
  <c r="AB78" i="53" s="1"/>
  <c r="Y86" i="53"/>
  <c r="Z86" i="53" s="1"/>
  <c r="AA86" i="53" s="1"/>
  <c r="Y92" i="53"/>
  <c r="Z92" i="53" s="1"/>
  <c r="AA92" i="53" s="1"/>
  <c r="X97" i="53"/>
  <c r="AB97" i="53" s="1"/>
  <c r="X92" i="53"/>
  <c r="AB92" i="53" s="1"/>
  <c r="X69" i="53"/>
  <c r="AB69" i="53" s="1"/>
  <c r="Y70" i="53"/>
  <c r="Z70" i="53" s="1"/>
  <c r="AA70" i="53" s="1"/>
  <c r="X75" i="53"/>
  <c r="AB75" i="53" s="1"/>
  <c r="Y78" i="53"/>
  <c r="Z78" i="53" s="1"/>
  <c r="AA78" i="53" s="1"/>
  <c r="X94" i="53"/>
  <c r="AB94" i="53" s="1"/>
  <c r="Y97" i="53"/>
  <c r="Z97" i="53" s="1"/>
  <c r="AA97" i="53" s="1"/>
  <c r="Y66" i="53"/>
  <c r="X68" i="53"/>
  <c r="AB68" i="53" s="1"/>
  <c r="Y69" i="53"/>
  <c r="Z69" i="53" s="1"/>
  <c r="AA69" i="53" s="1"/>
  <c r="X72" i="53"/>
  <c r="AB72" i="53" s="1"/>
  <c r="Y75" i="53"/>
  <c r="Z75" i="53" s="1"/>
  <c r="AA75" i="53" s="1"/>
  <c r="X80" i="53"/>
  <c r="AB80" i="53" s="1"/>
  <c r="X85" i="53"/>
  <c r="AB85" i="53" s="1"/>
  <c r="Y94" i="53"/>
  <c r="Z94" i="53" s="1"/>
  <c r="AA94" i="53" s="1"/>
  <c r="Y95" i="53"/>
  <c r="Z95" i="53" s="1"/>
  <c r="AA95" i="53" s="1"/>
  <c r="Y68" i="53"/>
  <c r="Z68" i="53" s="1"/>
  <c r="AA68" i="53" s="1"/>
  <c r="Y72" i="53"/>
  <c r="Z72" i="53" s="1"/>
  <c r="AA72" i="53" s="1"/>
  <c r="X77" i="53"/>
  <c r="AB77" i="53" s="1"/>
  <c r="Y80" i="53"/>
  <c r="Z80" i="53" s="1"/>
  <c r="AA80" i="53" s="1"/>
  <c r="Y85" i="53"/>
  <c r="Z85" i="53" s="1"/>
  <c r="AA85" i="53" s="1"/>
  <c r="X88" i="53"/>
  <c r="AB88" i="53" s="1"/>
  <c r="X96" i="53"/>
  <c r="AB96" i="53" s="1"/>
  <c r="X73" i="53"/>
  <c r="AB73" i="53" s="1"/>
  <c r="X74" i="53"/>
  <c r="AB74" i="53" s="1"/>
  <c r="Y77" i="53"/>
  <c r="Z77" i="53" s="1"/>
  <c r="AA77" i="53" s="1"/>
  <c r="X84" i="53"/>
  <c r="Y88" i="53"/>
  <c r="Z88" i="53" s="1"/>
  <c r="AA88" i="53" s="1"/>
  <c r="X93" i="53"/>
  <c r="AB93" i="53" s="1"/>
  <c r="Y96" i="53"/>
  <c r="Z96" i="53" s="1"/>
  <c r="AA96" i="53" s="1"/>
  <c r="X67" i="53"/>
  <c r="AB67" i="53" s="1"/>
  <c r="X71" i="53"/>
  <c r="AB71" i="53" s="1"/>
  <c r="Y74" i="53"/>
  <c r="Z74" i="53" s="1"/>
  <c r="AA74" i="53" s="1"/>
  <c r="X79" i="53"/>
  <c r="AB79" i="53" s="1"/>
  <c r="Y84" i="53"/>
  <c r="X87" i="53"/>
  <c r="AB87" i="53" s="1"/>
  <c r="Y93" i="53"/>
  <c r="Z93" i="53" s="1"/>
  <c r="AA93" i="53" s="1"/>
  <c r="X98" i="53"/>
  <c r="AB98" i="53" s="1"/>
  <c r="X66" i="53"/>
  <c r="Y67" i="53"/>
  <c r="Z67" i="53" s="1"/>
  <c r="AA67" i="53" s="1"/>
  <c r="Y71" i="53"/>
  <c r="Z71" i="53" s="1"/>
  <c r="AA71" i="53" s="1"/>
  <c r="X76" i="53"/>
  <c r="AB76" i="53" s="1"/>
  <c r="Y79" i="53"/>
  <c r="Z79" i="53" s="1"/>
  <c r="AA79" i="53" s="1"/>
  <c r="Y87" i="53"/>
  <c r="Z87" i="53" s="1"/>
  <c r="AA87" i="53" s="1"/>
  <c r="X95" i="53"/>
  <c r="AB95" i="53" s="1"/>
  <c r="AB66" i="53" l="1"/>
  <c r="X81" i="53"/>
  <c r="Y81" i="53"/>
  <c r="Z66" i="53"/>
  <c r="Z84" i="53"/>
  <c r="Y99" i="53"/>
  <c r="X99" i="53"/>
  <c r="AB99" i="53" s="1"/>
  <c r="AB84" i="53"/>
  <c r="Z99" i="53" l="1"/>
  <c r="AA84" i="53"/>
  <c r="AA99" i="53" s="1"/>
  <c r="Z81" i="53"/>
  <c r="AA66" i="53"/>
  <c r="AA81" i="53" s="1"/>
  <c r="Y363" i="52" l="1"/>
  <c r="Z363" i="52" s="1"/>
  <c r="AA363" i="52" s="1"/>
  <c r="X363" i="52"/>
  <c r="AB363" i="52" s="1"/>
  <c r="Y362" i="52"/>
  <c r="Z362" i="52" s="1"/>
  <c r="AA362" i="52" s="1"/>
  <c r="X362" i="52"/>
  <c r="AB362" i="52" s="1"/>
  <c r="Y361" i="52"/>
  <c r="Z361" i="52" s="1"/>
  <c r="AA361" i="52" s="1"/>
  <c r="X361" i="52"/>
  <c r="AB361" i="52" s="1"/>
  <c r="Q360" i="52"/>
  <c r="Q359" i="52"/>
  <c r="Q357" i="52"/>
  <c r="Q356" i="52"/>
  <c r="Q341" i="52"/>
  <c r="Q339" i="52"/>
  <c r="Q338" i="52"/>
  <c r="R335" i="52"/>
  <c r="F6" i="52"/>
  <c r="F8" i="52" s="1"/>
  <c r="AH334" i="52"/>
  <c r="AF334" i="52"/>
  <c r="AD334" i="52"/>
  <c r="AH333" i="52"/>
  <c r="AF333" i="52"/>
  <c r="AD333" i="52"/>
  <c r="AH332" i="52"/>
  <c r="AF332" i="52"/>
  <c r="AD332" i="52"/>
  <c r="AH331" i="52"/>
  <c r="AF331" i="52"/>
  <c r="AD331" i="52"/>
  <c r="AH330" i="52"/>
  <c r="AF330" i="52"/>
  <c r="AD330" i="52"/>
  <c r="AH329" i="52"/>
  <c r="AF329" i="52"/>
  <c r="AD329" i="52"/>
  <c r="AH328" i="52"/>
  <c r="AF328" i="52"/>
  <c r="AD328" i="52"/>
  <c r="AH327" i="52"/>
  <c r="AF327" i="52"/>
  <c r="AD327" i="52"/>
  <c r="AH326" i="52"/>
  <c r="AF326" i="52"/>
  <c r="AD326" i="52"/>
  <c r="AH325" i="52"/>
  <c r="AF325" i="52"/>
  <c r="AD325" i="52"/>
  <c r="AH324" i="52"/>
  <c r="AF324" i="52"/>
  <c r="AD324" i="52"/>
  <c r="AH323" i="52"/>
  <c r="AF323" i="52"/>
  <c r="AD323" i="52"/>
  <c r="AH322" i="52"/>
  <c r="AF322" i="52"/>
  <c r="AD322" i="52"/>
  <c r="AH321" i="52"/>
  <c r="AF321" i="52"/>
  <c r="AD321" i="52"/>
  <c r="AH320" i="52"/>
  <c r="AF320" i="52"/>
  <c r="AD320" i="52"/>
  <c r="AH319" i="52"/>
  <c r="AF319" i="52"/>
  <c r="AD319" i="52"/>
  <c r="AH318" i="52"/>
  <c r="AF318" i="52"/>
  <c r="AD318" i="52"/>
  <c r="AH317" i="52"/>
  <c r="AF317" i="52"/>
  <c r="AD317" i="52"/>
  <c r="AH316" i="52"/>
  <c r="AF316" i="52"/>
  <c r="AD316" i="52"/>
  <c r="AH315" i="52"/>
  <c r="AF315" i="52"/>
  <c r="AD315" i="52"/>
  <c r="AH314" i="52"/>
  <c r="AF314" i="52"/>
  <c r="AD314" i="52"/>
  <c r="AH313" i="52"/>
  <c r="AF313" i="52"/>
  <c r="AD313" i="52"/>
  <c r="AH312" i="52"/>
  <c r="AF312" i="52"/>
  <c r="AD312" i="52"/>
  <c r="AH311" i="52"/>
  <c r="AF311" i="52"/>
  <c r="AD311" i="52"/>
  <c r="AH310" i="52"/>
  <c r="AF310" i="52"/>
  <c r="AD310" i="52"/>
  <c r="AH309" i="52"/>
  <c r="AF309" i="52"/>
  <c r="AD309" i="52"/>
  <c r="AH308" i="52"/>
  <c r="AF308" i="52"/>
  <c r="AD308" i="52"/>
  <c r="AH307" i="52"/>
  <c r="AF307" i="52"/>
  <c r="AD307" i="52"/>
  <c r="AH306" i="52"/>
  <c r="AF306" i="52"/>
  <c r="AD306" i="52"/>
  <c r="AH305" i="52"/>
  <c r="AF305" i="52"/>
  <c r="AD305" i="52"/>
  <c r="AH304" i="52"/>
  <c r="AF304" i="52"/>
  <c r="AD304" i="52"/>
  <c r="AH303" i="52"/>
  <c r="AF303" i="52"/>
  <c r="AD303" i="52"/>
  <c r="AH302" i="52"/>
  <c r="AF302" i="52"/>
  <c r="AD302" i="52"/>
  <c r="AH301" i="52"/>
  <c r="AF301" i="52"/>
  <c r="AD301" i="52"/>
  <c r="AH300" i="52"/>
  <c r="AF300" i="52"/>
  <c r="AD300" i="52"/>
  <c r="AH299" i="52"/>
  <c r="AF299" i="52"/>
  <c r="AD299" i="52"/>
  <c r="AH298" i="52"/>
  <c r="AF298" i="52"/>
  <c r="AD298" i="52"/>
  <c r="AH297" i="52"/>
  <c r="AF297" i="52"/>
  <c r="AD297" i="52"/>
  <c r="AH296" i="52"/>
  <c r="AF296" i="52"/>
  <c r="AD296" i="52"/>
  <c r="AH295" i="52"/>
  <c r="AF295" i="52"/>
  <c r="AD295" i="52"/>
  <c r="AH294" i="52"/>
  <c r="AF294" i="52"/>
  <c r="AD294" i="52"/>
  <c r="AH293" i="52"/>
  <c r="AF293" i="52"/>
  <c r="AD293" i="52"/>
  <c r="AH292" i="52"/>
  <c r="AF292" i="52"/>
  <c r="AD292" i="52"/>
  <c r="AH291" i="52"/>
  <c r="AF291" i="52"/>
  <c r="AD291" i="52"/>
  <c r="AH290" i="52"/>
  <c r="AF290" i="52"/>
  <c r="AD290" i="52"/>
  <c r="AH289" i="52"/>
  <c r="AF289" i="52"/>
  <c r="AD289" i="52"/>
  <c r="AH288" i="52"/>
  <c r="AF288" i="52"/>
  <c r="AD288" i="52"/>
  <c r="AH287" i="52"/>
  <c r="AF287" i="52"/>
  <c r="AD287" i="52"/>
  <c r="AH286" i="52"/>
  <c r="AF286" i="52"/>
  <c r="AD286" i="52"/>
  <c r="AH285" i="52"/>
  <c r="AF285" i="52"/>
  <c r="AD285" i="52"/>
  <c r="AH284" i="52"/>
  <c r="AF284" i="52"/>
  <c r="AD284" i="52"/>
  <c r="AH283" i="52"/>
  <c r="AF283" i="52"/>
  <c r="AD283" i="52"/>
  <c r="AH282" i="52"/>
  <c r="AF282" i="52"/>
  <c r="AD282" i="52"/>
  <c r="AH281" i="52"/>
  <c r="AF281" i="52"/>
  <c r="AD281" i="52"/>
  <c r="AH280" i="52"/>
  <c r="AF280" i="52"/>
  <c r="AD280" i="52"/>
  <c r="AH279" i="52"/>
  <c r="AF279" i="52"/>
  <c r="AD279" i="52"/>
  <c r="AH278" i="52"/>
  <c r="AF278" i="52"/>
  <c r="AD278" i="52"/>
  <c r="AH277" i="52"/>
  <c r="AF277" i="52"/>
  <c r="AD277" i="52"/>
  <c r="AH276" i="52"/>
  <c r="AF276" i="52"/>
  <c r="AD276" i="52"/>
  <c r="AH275" i="52"/>
  <c r="AF275" i="52"/>
  <c r="AD275" i="52"/>
  <c r="AH274" i="52"/>
  <c r="AF274" i="52"/>
  <c r="AD274" i="52"/>
  <c r="AH273" i="52"/>
  <c r="AF273" i="52"/>
  <c r="AD273" i="52"/>
  <c r="AH272" i="52"/>
  <c r="AF272" i="52"/>
  <c r="AD272" i="52"/>
  <c r="AH271" i="52"/>
  <c r="AF271" i="52"/>
  <c r="AD271" i="52"/>
  <c r="AH270" i="52"/>
  <c r="AF270" i="52"/>
  <c r="AD270" i="52"/>
  <c r="AH269" i="52"/>
  <c r="AF269" i="52"/>
  <c r="AD269" i="52"/>
  <c r="AH268" i="52"/>
  <c r="AF268" i="52"/>
  <c r="AD268" i="52"/>
  <c r="AH267" i="52"/>
  <c r="AF267" i="52"/>
  <c r="AD267" i="52"/>
  <c r="AH266" i="52"/>
  <c r="AF266" i="52"/>
  <c r="AD266" i="52"/>
  <c r="AH265" i="52"/>
  <c r="AF265" i="52"/>
  <c r="AD265" i="52"/>
  <c r="AH264" i="52"/>
  <c r="AF264" i="52"/>
  <c r="AD264" i="52"/>
  <c r="AH263" i="52"/>
  <c r="AF263" i="52"/>
  <c r="AD263" i="52"/>
  <c r="AH262" i="52"/>
  <c r="AF262" i="52"/>
  <c r="AD262" i="52"/>
  <c r="AH261" i="52"/>
  <c r="AF261" i="52"/>
  <c r="AD261" i="52"/>
  <c r="AH260" i="52"/>
  <c r="AF260" i="52"/>
  <c r="AD260" i="52"/>
  <c r="AH259" i="52"/>
  <c r="AF259" i="52"/>
  <c r="AD259" i="52"/>
  <c r="AH258" i="52"/>
  <c r="AF258" i="52"/>
  <c r="AD258" i="52"/>
  <c r="AH257" i="52"/>
  <c r="AF257" i="52"/>
  <c r="AD257" i="52"/>
  <c r="AH256" i="52"/>
  <c r="AF256" i="52"/>
  <c r="AD256" i="52"/>
  <c r="AH255" i="52"/>
  <c r="AF255" i="52"/>
  <c r="AD255" i="52"/>
  <c r="AH254" i="52"/>
  <c r="AF254" i="52"/>
  <c r="AD254" i="52"/>
  <c r="AH253" i="52"/>
  <c r="AF253" i="52"/>
  <c r="AD253" i="52"/>
  <c r="AH252" i="52"/>
  <c r="AF252" i="52"/>
  <c r="AD252" i="52"/>
  <c r="AH251" i="52"/>
  <c r="AF251" i="52"/>
  <c r="AD251" i="52"/>
  <c r="AH250" i="52"/>
  <c r="AF250" i="52"/>
  <c r="AD250" i="52"/>
  <c r="AH249" i="52"/>
  <c r="AF249" i="52"/>
  <c r="AD249" i="52"/>
  <c r="AH248" i="52"/>
  <c r="AF248" i="52"/>
  <c r="AD248" i="52"/>
  <c r="AH247" i="52"/>
  <c r="AF247" i="52"/>
  <c r="AD247" i="52"/>
  <c r="AH246" i="52"/>
  <c r="AF246" i="52"/>
  <c r="AD246" i="52"/>
  <c r="AH245" i="52"/>
  <c r="AF245" i="52"/>
  <c r="AD245" i="52"/>
  <c r="AH244" i="52"/>
  <c r="AF244" i="52"/>
  <c r="AD244" i="52"/>
  <c r="AH243" i="52"/>
  <c r="AF243" i="52"/>
  <c r="AD243" i="52"/>
  <c r="AH242" i="52"/>
  <c r="AF242" i="52"/>
  <c r="AD242" i="52"/>
  <c r="AH241" i="52"/>
  <c r="AF241" i="52"/>
  <c r="AD241" i="52"/>
  <c r="AH240" i="52"/>
  <c r="AF240" i="52"/>
  <c r="AD240" i="52"/>
  <c r="AH239" i="52"/>
  <c r="AF239" i="52"/>
  <c r="AD239" i="52"/>
  <c r="AH238" i="52"/>
  <c r="AF238" i="52"/>
  <c r="AD238" i="52"/>
  <c r="AH237" i="52"/>
  <c r="AF237" i="52"/>
  <c r="AD237" i="52"/>
  <c r="AH236" i="52"/>
  <c r="AF236" i="52"/>
  <c r="AD236" i="52"/>
  <c r="AH235" i="52"/>
  <c r="AF235" i="52"/>
  <c r="AD235" i="52"/>
  <c r="AH234" i="52"/>
  <c r="AF234" i="52"/>
  <c r="AD234" i="52"/>
  <c r="AH233" i="52"/>
  <c r="AF233" i="52"/>
  <c r="AD233" i="52"/>
  <c r="AH232" i="52"/>
  <c r="AF232" i="52"/>
  <c r="AD232" i="52"/>
  <c r="AH231" i="52"/>
  <c r="AF231" i="52"/>
  <c r="AD231" i="52"/>
  <c r="AH230" i="52"/>
  <c r="AF230" i="52"/>
  <c r="AD230" i="52"/>
  <c r="AH229" i="52"/>
  <c r="AF229" i="52"/>
  <c r="AD229" i="52"/>
  <c r="AH228" i="52"/>
  <c r="AF228" i="52"/>
  <c r="AD228" i="52"/>
  <c r="AH227" i="52"/>
  <c r="AF227" i="52"/>
  <c r="AD227" i="52"/>
  <c r="AH226" i="52"/>
  <c r="AF226" i="52"/>
  <c r="AD226" i="52"/>
  <c r="AH225" i="52"/>
  <c r="AF225" i="52"/>
  <c r="AD225" i="52"/>
  <c r="AH224" i="52"/>
  <c r="AF224" i="52"/>
  <c r="AD224" i="52"/>
  <c r="AH223" i="52"/>
  <c r="AF223" i="52"/>
  <c r="AD223" i="52"/>
  <c r="AH222" i="52"/>
  <c r="AF222" i="52"/>
  <c r="AD222" i="52"/>
  <c r="AH221" i="52"/>
  <c r="AF221" i="52"/>
  <c r="AD221" i="52"/>
  <c r="AH220" i="52"/>
  <c r="AF220" i="52"/>
  <c r="AD220" i="52"/>
  <c r="AH219" i="52"/>
  <c r="AF219" i="52"/>
  <c r="AD219" i="52"/>
  <c r="AH218" i="52"/>
  <c r="AF218" i="52"/>
  <c r="AD218" i="52"/>
  <c r="AH217" i="52"/>
  <c r="AF217" i="52"/>
  <c r="AD217" i="52"/>
  <c r="AH216" i="52"/>
  <c r="AF216" i="52"/>
  <c r="AD216" i="52"/>
  <c r="AH215" i="52"/>
  <c r="AF215" i="52"/>
  <c r="AD215" i="52"/>
  <c r="AH214" i="52"/>
  <c r="AF214" i="52"/>
  <c r="AD214" i="52"/>
  <c r="AH213" i="52"/>
  <c r="AF213" i="52"/>
  <c r="AD213" i="52"/>
  <c r="AH212" i="52"/>
  <c r="AF212" i="52"/>
  <c r="AD212" i="52"/>
  <c r="AH211" i="52"/>
  <c r="AF211" i="52"/>
  <c r="AD211" i="52"/>
  <c r="AH210" i="52"/>
  <c r="AF210" i="52"/>
  <c r="AD210" i="52"/>
  <c r="AH209" i="52"/>
  <c r="AF209" i="52"/>
  <c r="AD209" i="52"/>
  <c r="AH208" i="52"/>
  <c r="AF208" i="52"/>
  <c r="AD208" i="52"/>
  <c r="AH207" i="52"/>
  <c r="AF207" i="52"/>
  <c r="AD207" i="52"/>
  <c r="AH206" i="52"/>
  <c r="AF206" i="52"/>
  <c r="AD206" i="52"/>
  <c r="AH205" i="52"/>
  <c r="AF205" i="52"/>
  <c r="AD205" i="52"/>
  <c r="AH204" i="52"/>
  <c r="AF204" i="52"/>
  <c r="AD204" i="52"/>
  <c r="AH203" i="52"/>
  <c r="AF203" i="52"/>
  <c r="AD203" i="52"/>
  <c r="AH202" i="52"/>
  <c r="AF202" i="52"/>
  <c r="AD202" i="52"/>
  <c r="AH201" i="52"/>
  <c r="AF201" i="52"/>
  <c r="AD201" i="52"/>
  <c r="AH200" i="52"/>
  <c r="AF200" i="52"/>
  <c r="AD200" i="52"/>
  <c r="AH199" i="52"/>
  <c r="AF199" i="52"/>
  <c r="AD199" i="52"/>
  <c r="AH198" i="52"/>
  <c r="AF198" i="52"/>
  <c r="AD198" i="52"/>
  <c r="AH197" i="52"/>
  <c r="AF197" i="52"/>
  <c r="AD197" i="52"/>
  <c r="AH196" i="52"/>
  <c r="AF196" i="52"/>
  <c r="AD196" i="52"/>
  <c r="AH195" i="52"/>
  <c r="AF195" i="52"/>
  <c r="AD195" i="52"/>
  <c r="AH194" i="52"/>
  <c r="AF194" i="52"/>
  <c r="AD194" i="52"/>
  <c r="AH193" i="52"/>
  <c r="AF193" i="52"/>
  <c r="AD193" i="52"/>
  <c r="AH192" i="52"/>
  <c r="AF192" i="52"/>
  <c r="AD192" i="52"/>
  <c r="AH191" i="52"/>
  <c r="AF191" i="52"/>
  <c r="AD191" i="52"/>
  <c r="AH190" i="52"/>
  <c r="AF190" i="52"/>
  <c r="AD190" i="52"/>
  <c r="AH189" i="52"/>
  <c r="AF189" i="52"/>
  <c r="AD189" i="52"/>
  <c r="AH188" i="52"/>
  <c r="AF188" i="52"/>
  <c r="AD188" i="52"/>
  <c r="AH187" i="52"/>
  <c r="AF187" i="52"/>
  <c r="AD187" i="52"/>
  <c r="AH186" i="52"/>
  <c r="AF186" i="52"/>
  <c r="AD186" i="52"/>
  <c r="AH185" i="52"/>
  <c r="AF185" i="52"/>
  <c r="AD185" i="52"/>
  <c r="AH184" i="52"/>
  <c r="AF184" i="52"/>
  <c r="AD184" i="52"/>
  <c r="AH183" i="52"/>
  <c r="AF183" i="52"/>
  <c r="AD183" i="52"/>
  <c r="AH182" i="52"/>
  <c r="AF182" i="52"/>
  <c r="AD182" i="52"/>
  <c r="AH181" i="52"/>
  <c r="AF181" i="52"/>
  <c r="AD181" i="52"/>
  <c r="AH180" i="52"/>
  <c r="AF180" i="52"/>
  <c r="AD180" i="52"/>
  <c r="AH179" i="52"/>
  <c r="AF179" i="52"/>
  <c r="AD179" i="52"/>
  <c r="AH178" i="52"/>
  <c r="AF178" i="52"/>
  <c r="AD178" i="52"/>
  <c r="AH177" i="52"/>
  <c r="AF177" i="52"/>
  <c r="AD177" i="52"/>
  <c r="AH176" i="52"/>
  <c r="AF176" i="52"/>
  <c r="AD176" i="52"/>
  <c r="AH175" i="52"/>
  <c r="AF175" i="52"/>
  <c r="AD175" i="52"/>
  <c r="AH174" i="52"/>
  <c r="AF174" i="52"/>
  <c r="AD174" i="52"/>
  <c r="AH173" i="52"/>
  <c r="AF173" i="52"/>
  <c r="AD173" i="52"/>
  <c r="AH172" i="52"/>
  <c r="AF172" i="52"/>
  <c r="AD172" i="52"/>
  <c r="AH171" i="52"/>
  <c r="AF171" i="52"/>
  <c r="AD171" i="52"/>
  <c r="AH170" i="52"/>
  <c r="AF170" i="52"/>
  <c r="AD170" i="52"/>
  <c r="AH169" i="52"/>
  <c r="AF169" i="52"/>
  <c r="AD169" i="52"/>
  <c r="AH168" i="52"/>
  <c r="AF168" i="52"/>
  <c r="AD168" i="52"/>
  <c r="AH167" i="52"/>
  <c r="AF167" i="52"/>
  <c r="AD167" i="52"/>
  <c r="AH166" i="52"/>
  <c r="AF166" i="52"/>
  <c r="AD166" i="52"/>
  <c r="AH165" i="52"/>
  <c r="AF165" i="52"/>
  <c r="AD165" i="52"/>
  <c r="AH164" i="52"/>
  <c r="AF164" i="52"/>
  <c r="AD164" i="52"/>
  <c r="AH163" i="52"/>
  <c r="AF163" i="52"/>
  <c r="AD163" i="52"/>
  <c r="AH162" i="52"/>
  <c r="AF162" i="52"/>
  <c r="AD162" i="52"/>
  <c r="AH161" i="52"/>
  <c r="AF161" i="52"/>
  <c r="AD161" i="52"/>
  <c r="AH160" i="52"/>
  <c r="AF160" i="52"/>
  <c r="AD160" i="52"/>
  <c r="AH159" i="52"/>
  <c r="AF159" i="52"/>
  <c r="AD159" i="52"/>
  <c r="AH158" i="52"/>
  <c r="AF158" i="52"/>
  <c r="AD158" i="52"/>
  <c r="AH157" i="52"/>
  <c r="AF157" i="52"/>
  <c r="AD157" i="52"/>
  <c r="AH156" i="52"/>
  <c r="AF156" i="52"/>
  <c r="AD156" i="52"/>
  <c r="AH155" i="52"/>
  <c r="AF155" i="52"/>
  <c r="AD155" i="52"/>
  <c r="AH154" i="52"/>
  <c r="AF154" i="52"/>
  <c r="AD154" i="52"/>
  <c r="AH153" i="52"/>
  <c r="AF153" i="52"/>
  <c r="AD153" i="52"/>
  <c r="AH152" i="52"/>
  <c r="AF152" i="52"/>
  <c r="AD152" i="52"/>
  <c r="AH151" i="52"/>
  <c r="AF151" i="52"/>
  <c r="AD151" i="52"/>
  <c r="AH150" i="52"/>
  <c r="AF150" i="52"/>
  <c r="AD150" i="52"/>
  <c r="AH149" i="52"/>
  <c r="AF149" i="52"/>
  <c r="AD149" i="52"/>
  <c r="AH148" i="52"/>
  <c r="AF148" i="52"/>
  <c r="AD148" i="52"/>
  <c r="AH147" i="52"/>
  <c r="AF147" i="52"/>
  <c r="AD147" i="52"/>
  <c r="AH146" i="52"/>
  <c r="AF146" i="52"/>
  <c r="AD146" i="52"/>
  <c r="AH145" i="52"/>
  <c r="AF145" i="52"/>
  <c r="AD145" i="52"/>
  <c r="AH144" i="52"/>
  <c r="AF144" i="52"/>
  <c r="AD144" i="52"/>
  <c r="AH143" i="52"/>
  <c r="AF143" i="52"/>
  <c r="AD143" i="52"/>
  <c r="AH142" i="52"/>
  <c r="AF142" i="52"/>
  <c r="AD142" i="52"/>
  <c r="AH141" i="52"/>
  <c r="AF141" i="52"/>
  <c r="AD141" i="52"/>
  <c r="AH140" i="52"/>
  <c r="AF140" i="52"/>
  <c r="AD140" i="52"/>
  <c r="AH139" i="52"/>
  <c r="AF139" i="52"/>
  <c r="AD139" i="52"/>
  <c r="AH138" i="52"/>
  <c r="AF138" i="52"/>
  <c r="AD138" i="52"/>
  <c r="AH137" i="52"/>
  <c r="AF137" i="52"/>
  <c r="AD137" i="52"/>
  <c r="AH136" i="52"/>
  <c r="AF136" i="52"/>
  <c r="AD136" i="52"/>
  <c r="AH135" i="52"/>
  <c r="AF135" i="52"/>
  <c r="AD135" i="52"/>
  <c r="AH134" i="52"/>
  <c r="AF134" i="52"/>
  <c r="AD134" i="52"/>
  <c r="AH133" i="52"/>
  <c r="AF133" i="52"/>
  <c r="AD133" i="52"/>
  <c r="AH132" i="52"/>
  <c r="AF132" i="52"/>
  <c r="AD132" i="52"/>
  <c r="AH131" i="52"/>
  <c r="AF131" i="52"/>
  <c r="AD131" i="52"/>
  <c r="AH130" i="52"/>
  <c r="AF130" i="52"/>
  <c r="AD130" i="52"/>
  <c r="AH129" i="52"/>
  <c r="AF129" i="52"/>
  <c r="AD129" i="52"/>
  <c r="AH128" i="52"/>
  <c r="AF128" i="52"/>
  <c r="AD128" i="52"/>
  <c r="AH127" i="52"/>
  <c r="AF127" i="52"/>
  <c r="AD127" i="52"/>
  <c r="AH126" i="52"/>
  <c r="AF126" i="52"/>
  <c r="AD126" i="52"/>
  <c r="AH125" i="52"/>
  <c r="AF125" i="52"/>
  <c r="AD125" i="52"/>
  <c r="AH124" i="52"/>
  <c r="AF124" i="52"/>
  <c r="AD124" i="52"/>
  <c r="AH123" i="52"/>
  <c r="AF123" i="52"/>
  <c r="AD123" i="52"/>
  <c r="AH122" i="52"/>
  <c r="AF122" i="52"/>
  <c r="AD122" i="52"/>
  <c r="AH121" i="52"/>
  <c r="AF121" i="52"/>
  <c r="AD121" i="52"/>
  <c r="AH120" i="52"/>
  <c r="AF120" i="52"/>
  <c r="AD120" i="52"/>
  <c r="AH119" i="52"/>
  <c r="AF119" i="52"/>
  <c r="AD119" i="52"/>
  <c r="AH118" i="52"/>
  <c r="AF118" i="52"/>
  <c r="AD118" i="52"/>
  <c r="AH117" i="52"/>
  <c r="AF117" i="52"/>
  <c r="AD117" i="52"/>
  <c r="AH116" i="52"/>
  <c r="AF116" i="52"/>
  <c r="AD116" i="52"/>
  <c r="AH115" i="52"/>
  <c r="AF115" i="52"/>
  <c r="AD115" i="52"/>
  <c r="AH114" i="52"/>
  <c r="AF114" i="52"/>
  <c r="AD114" i="52"/>
  <c r="AH113" i="52"/>
  <c r="AF113" i="52"/>
  <c r="AD113" i="52"/>
  <c r="AH112" i="52"/>
  <c r="AF112" i="52"/>
  <c r="AD112" i="52"/>
  <c r="AH111" i="52"/>
  <c r="AF111" i="52"/>
  <c r="AD111" i="52"/>
  <c r="AH110" i="52"/>
  <c r="AF110" i="52"/>
  <c r="AD110" i="52"/>
  <c r="AH109" i="52"/>
  <c r="AF109" i="52"/>
  <c r="AD109" i="52"/>
  <c r="AH108" i="52"/>
  <c r="AF108" i="52"/>
  <c r="AD108" i="52"/>
  <c r="AH107" i="52"/>
  <c r="AF107" i="52"/>
  <c r="AD107" i="52"/>
  <c r="AH106" i="52"/>
  <c r="AF106" i="52"/>
  <c r="AD106" i="52"/>
  <c r="AH105" i="52"/>
  <c r="AF105" i="52"/>
  <c r="AD105" i="52"/>
  <c r="AH104" i="52"/>
  <c r="AF104" i="52"/>
  <c r="AD104" i="52"/>
  <c r="AH103" i="52"/>
  <c r="AF103" i="52"/>
  <c r="AD103" i="52"/>
  <c r="AH102" i="52"/>
  <c r="AF102" i="52"/>
  <c r="AD102" i="52"/>
  <c r="AH101" i="52"/>
  <c r="AF101" i="52"/>
  <c r="AD101" i="52"/>
  <c r="AH100" i="52"/>
  <c r="AF100" i="52"/>
  <c r="AD100" i="52"/>
  <c r="AH99" i="52"/>
  <c r="AF99" i="52"/>
  <c r="AD99" i="52"/>
  <c r="AH98" i="52"/>
  <c r="AF98" i="52"/>
  <c r="AD98" i="52"/>
  <c r="AH97" i="52"/>
  <c r="AF97" i="52"/>
  <c r="AD97" i="52"/>
  <c r="AH96" i="52"/>
  <c r="AF96" i="52"/>
  <c r="AD96" i="52"/>
  <c r="AH95" i="52"/>
  <c r="AF95" i="52"/>
  <c r="AD95" i="52"/>
  <c r="AH94" i="52"/>
  <c r="AF94" i="52"/>
  <c r="AD94" i="52"/>
  <c r="AH93" i="52"/>
  <c r="AF93" i="52"/>
  <c r="AD93" i="52"/>
  <c r="AH92" i="52"/>
  <c r="AF92" i="52"/>
  <c r="AD92" i="52"/>
  <c r="AH91" i="52"/>
  <c r="AF91" i="52"/>
  <c r="AD91" i="52"/>
  <c r="AH90" i="52"/>
  <c r="AF90" i="52"/>
  <c r="AD90" i="52"/>
  <c r="AH89" i="52"/>
  <c r="AF89" i="52"/>
  <c r="AD89" i="52"/>
  <c r="AH88" i="52"/>
  <c r="AF88" i="52"/>
  <c r="AD88" i="52"/>
  <c r="AH87" i="52"/>
  <c r="AF87" i="52"/>
  <c r="AD87" i="52"/>
  <c r="AH86" i="52"/>
  <c r="AF86" i="52"/>
  <c r="AD86" i="52"/>
  <c r="AH85" i="52"/>
  <c r="AF85" i="52"/>
  <c r="AD85" i="52"/>
  <c r="AH84" i="52"/>
  <c r="AF84" i="52"/>
  <c r="AD84" i="52"/>
  <c r="AH83" i="52"/>
  <c r="AF83" i="52"/>
  <c r="AD83" i="52"/>
  <c r="AH82" i="52"/>
  <c r="AF82" i="52"/>
  <c r="AD82" i="52"/>
  <c r="AH81" i="52"/>
  <c r="AF81" i="52"/>
  <c r="AD81" i="52"/>
  <c r="AH80" i="52"/>
  <c r="AF80" i="52"/>
  <c r="AD80" i="52"/>
  <c r="AH79" i="52"/>
  <c r="AF79" i="52"/>
  <c r="AD79" i="52"/>
  <c r="AH78" i="52"/>
  <c r="AF78" i="52"/>
  <c r="AD78" i="52"/>
  <c r="AH77" i="52"/>
  <c r="AF77" i="52"/>
  <c r="AD77" i="52"/>
  <c r="AH76" i="52"/>
  <c r="AF76" i="52"/>
  <c r="AD76" i="52"/>
  <c r="AH75" i="52"/>
  <c r="AF75" i="52"/>
  <c r="AD75" i="52"/>
  <c r="AH74" i="52"/>
  <c r="AF74" i="52"/>
  <c r="AD74" i="52"/>
  <c r="AH73" i="52"/>
  <c r="AF73" i="52"/>
  <c r="AD73" i="52"/>
  <c r="AH72" i="52"/>
  <c r="AF72" i="52"/>
  <c r="AD72" i="52"/>
  <c r="AH71" i="52"/>
  <c r="AF71" i="52"/>
  <c r="AD71" i="52"/>
  <c r="AH70" i="52"/>
  <c r="AF70" i="52"/>
  <c r="AD70" i="52"/>
  <c r="AH69" i="52"/>
  <c r="AF69" i="52"/>
  <c r="AD69" i="52"/>
  <c r="AH68" i="52"/>
  <c r="AF68" i="52"/>
  <c r="AD68" i="52"/>
  <c r="AH67" i="52"/>
  <c r="AF67" i="52"/>
  <c r="AD67" i="52"/>
  <c r="AH66" i="52"/>
  <c r="AF66" i="52"/>
  <c r="AD66" i="52"/>
  <c r="AH65" i="52"/>
  <c r="AF65" i="52"/>
  <c r="AD65" i="52"/>
  <c r="AH64" i="52"/>
  <c r="AF64" i="52"/>
  <c r="AD64" i="52"/>
  <c r="AH63" i="52"/>
  <c r="AF63" i="52"/>
  <c r="AD63" i="52"/>
  <c r="AH62" i="52"/>
  <c r="AF62" i="52"/>
  <c r="AD62" i="52"/>
  <c r="AH61" i="52"/>
  <c r="AF61" i="52"/>
  <c r="AD61" i="52"/>
  <c r="AH60" i="52"/>
  <c r="AF60" i="52"/>
  <c r="AD60" i="52"/>
  <c r="AH59" i="52"/>
  <c r="AF59" i="52"/>
  <c r="AD59" i="52"/>
  <c r="AH58" i="52"/>
  <c r="AF58" i="52"/>
  <c r="AD58" i="52"/>
  <c r="AH57" i="52"/>
  <c r="AF57" i="52"/>
  <c r="AD57" i="52"/>
  <c r="AH56" i="52"/>
  <c r="AF56" i="52"/>
  <c r="AD56" i="52"/>
  <c r="AH55" i="52"/>
  <c r="AF55" i="52"/>
  <c r="AD55" i="52"/>
  <c r="AH54" i="52"/>
  <c r="AF54" i="52"/>
  <c r="AD54" i="52"/>
  <c r="AH53" i="52"/>
  <c r="AF53" i="52"/>
  <c r="AD53" i="52"/>
  <c r="AH52" i="52"/>
  <c r="AF52" i="52"/>
  <c r="AD52" i="52"/>
  <c r="AH51" i="52"/>
  <c r="AF51" i="52"/>
  <c r="AD51" i="52"/>
  <c r="AH50" i="52"/>
  <c r="AF50" i="52"/>
  <c r="AD50" i="52"/>
  <c r="AH49" i="52"/>
  <c r="AF49" i="52"/>
  <c r="AD49" i="52"/>
  <c r="AH48" i="52"/>
  <c r="AF48" i="52"/>
  <c r="AD48" i="52"/>
  <c r="AH47" i="52"/>
  <c r="AF47" i="52"/>
  <c r="AD47" i="52"/>
  <c r="AH46" i="52"/>
  <c r="AF46" i="52"/>
  <c r="AD46" i="52"/>
  <c r="AH45" i="52"/>
  <c r="AF45" i="52"/>
  <c r="AD45" i="52"/>
  <c r="AH44" i="52"/>
  <c r="AF44" i="52"/>
  <c r="AD44" i="52"/>
  <c r="AH43" i="52"/>
  <c r="AF43" i="52"/>
  <c r="AD43" i="52"/>
  <c r="AH42" i="52"/>
  <c r="AF42" i="52"/>
  <c r="AD42" i="52"/>
  <c r="AH41" i="52"/>
  <c r="AF41" i="52"/>
  <c r="AD41" i="52"/>
  <c r="AH40" i="52"/>
  <c r="AF40" i="52"/>
  <c r="AD40" i="52"/>
  <c r="AH39" i="52"/>
  <c r="AF39" i="52"/>
  <c r="AD39" i="52"/>
  <c r="AH38" i="52"/>
  <c r="AF38" i="52"/>
  <c r="AD38" i="52"/>
  <c r="AH37" i="52"/>
  <c r="AF37" i="52"/>
  <c r="AD37" i="52"/>
  <c r="AH36" i="52"/>
  <c r="AF36" i="52"/>
  <c r="AD36" i="52"/>
  <c r="AH35" i="52"/>
  <c r="AF35" i="52"/>
  <c r="AD35" i="52"/>
  <c r="AH34" i="52"/>
  <c r="AF34" i="52"/>
  <c r="AD34" i="52"/>
  <c r="AH33" i="52"/>
  <c r="AF33" i="52"/>
  <c r="AD33" i="52"/>
  <c r="AH32" i="52"/>
  <c r="AF32" i="52"/>
  <c r="AD32" i="52"/>
  <c r="AH31" i="52"/>
  <c r="AF31" i="52"/>
  <c r="AD31" i="52"/>
  <c r="AH30" i="52"/>
  <c r="AF30" i="52"/>
  <c r="AD30" i="52"/>
  <c r="AH29" i="52"/>
  <c r="AF29" i="52"/>
  <c r="AD29" i="52"/>
  <c r="AH28" i="52"/>
  <c r="AF28" i="52"/>
  <c r="AD28" i="52"/>
  <c r="AH27" i="52"/>
  <c r="AF27" i="52"/>
  <c r="AD27" i="52"/>
  <c r="AH26" i="52"/>
  <c r="AF26" i="52"/>
  <c r="AD26" i="52"/>
  <c r="AH25" i="52"/>
  <c r="AF25" i="52"/>
  <c r="AD25" i="52"/>
  <c r="AH24" i="52"/>
  <c r="AF24" i="52"/>
  <c r="AD24" i="52"/>
  <c r="AH23" i="52"/>
  <c r="AF23" i="52"/>
  <c r="AD23" i="52"/>
  <c r="AH22" i="52"/>
  <c r="AF22" i="52"/>
  <c r="AD22" i="52"/>
  <c r="AH21" i="52"/>
  <c r="AF21" i="52"/>
  <c r="AD21" i="52"/>
  <c r="AH20" i="52"/>
  <c r="AF20" i="52"/>
  <c r="AD20" i="52"/>
  <c r="AH19" i="52"/>
  <c r="AF19" i="52"/>
  <c r="AD19" i="52"/>
  <c r="AH18" i="52"/>
  <c r="AF18" i="52"/>
  <c r="AD18" i="52"/>
  <c r="AH17" i="52"/>
  <c r="AF17" i="52"/>
  <c r="AD17" i="52"/>
  <c r="AH16" i="52"/>
  <c r="AF16" i="52"/>
  <c r="AD16" i="52"/>
  <c r="AH15" i="52"/>
  <c r="AF15" i="52"/>
  <c r="AD15" i="52"/>
  <c r="AH14" i="52"/>
  <c r="AF14" i="52"/>
  <c r="AD14" i="52"/>
  <c r="AH13" i="52"/>
  <c r="AF13" i="52"/>
  <c r="AD13" i="52"/>
  <c r="C8" i="52"/>
  <c r="E6" i="52"/>
  <c r="AA3" i="52"/>
  <c r="AA2" i="52"/>
  <c r="AH699" i="51"/>
  <c r="AF699" i="51"/>
  <c r="AD699" i="51"/>
  <c r="AH698" i="51"/>
  <c r="AF698" i="51"/>
  <c r="AD698" i="51"/>
  <c r="AH697" i="51"/>
  <c r="AF697" i="51"/>
  <c r="AD697" i="51"/>
  <c r="AH696" i="51"/>
  <c r="AF696" i="51"/>
  <c r="AD696" i="51"/>
  <c r="AH695" i="51"/>
  <c r="AF695" i="51"/>
  <c r="AD695" i="51"/>
  <c r="AH694" i="51"/>
  <c r="AF694" i="51"/>
  <c r="AD694" i="51"/>
  <c r="AH693" i="51"/>
  <c r="AF693" i="51"/>
  <c r="AD693" i="51"/>
  <c r="AH692" i="51"/>
  <c r="AF692" i="51"/>
  <c r="AD692" i="51"/>
  <c r="AH691" i="51"/>
  <c r="AF691" i="51"/>
  <c r="AD691" i="51"/>
  <c r="AH690" i="51"/>
  <c r="AF690" i="51"/>
  <c r="AD690" i="51"/>
  <c r="AH689" i="51"/>
  <c r="AF689" i="51"/>
  <c r="AD689" i="51"/>
  <c r="AH688" i="51"/>
  <c r="AF688" i="51"/>
  <c r="AD688" i="51"/>
  <c r="AH687" i="51"/>
  <c r="AF687" i="51"/>
  <c r="AD687" i="51"/>
  <c r="AH686" i="51"/>
  <c r="AF686" i="51"/>
  <c r="AD686" i="51"/>
  <c r="AH685" i="51"/>
  <c r="AF685" i="51"/>
  <c r="AD685" i="51"/>
  <c r="AH684" i="51"/>
  <c r="AF684" i="51"/>
  <c r="AD684" i="51"/>
  <c r="AH683" i="51"/>
  <c r="AF683" i="51"/>
  <c r="AD683" i="51"/>
  <c r="AH682" i="51"/>
  <c r="AF682" i="51"/>
  <c r="AD682" i="51"/>
  <c r="AH681" i="51"/>
  <c r="AF681" i="51"/>
  <c r="AD681" i="51"/>
  <c r="AH680" i="51"/>
  <c r="AF680" i="51"/>
  <c r="AD680" i="51"/>
  <c r="AH679" i="51"/>
  <c r="AF679" i="51"/>
  <c r="AD679" i="51"/>
  <c r="AH678" i="51"/>
  <c r="AF678" i="51"/>
  <c r="AD678" i="51"/>
  <c r="AH677" i="51"/>
  <c r="AF677" i="51"/>
  <c r="AD677" i="51"/>
  <c r="AH676" i="51"/>
  <c r="AF676" i="51"/>
  <c r="AD676" i="51"/>
  <c r="AH675" i="51"/>
  <c r="AF675" i="51"/>
  <c r="AD675" i="51"/>
  <c r="AH674" i="51"/>
  <c r="AF674" i="51"/>
  <c r="AD674" i="51"/>
  <c r="AH673" i="51"/>
  <c r="AF673" i="51"/>
  <c r="AD673" i="51"/>
  <c r="AH672" i="51"/>
  <c r="AF672" i="51"/>
  <c r="AD672" i="51"/>
  <c r="AH671" i="51"/>
  <c r="AF671" i="51"/>
  <c r="AD671" i="51"/>
  <c r="AH670" i="51"/>
  <c r="AF670" i="51"/>
  <c r="AD670" i="51"/>
  <c r="AH669" i="51"/>
  <c r="AF669" i="51"/>
  <c r="AD669" i="51"/>
  <c r="AH668" i="51"/>
  <c r="AF668" i="51"/>
  <c r="AD668" i="51"/>
  <c r="AH667" i="51"/>
  <c r="AF667" i="51"/>
  <c r="AD667" i="51"/>
  <c r="AH666" i="51"/>
  <c r="AF666" i="51"/>
  <c r="AD666" i="51"/>
  <c r="AH665" i="51"/>
  <c r="AF665" i="51"/>
  <c r="AD665" i="51"/>
  <c r="AH664" i="51"/>
  <c r="AF664" i="51"/>
  <c r="AD664" i="51"/>
  <c r="AH663" i="51"/>
  <c r="AF663" i="51"/>
  <c r="AD663" i="51"/>
  <c r="AH662" i="51"/>
  <c r="AF662" i="51"/>
  <c r="AD662" i="51"/>
  <c r="AH661" i="51"/>
  <c r="AF661" i="51"/>
  <c r="AD661" i="51"/>
  <c r="AH660" i="51"/>
  <c r="AF660" i="51"/>
  <c r="AD660" i="51"/>
  <c r="AH659" i="51"/>
  <c r="AF659" i="51"/>
  <c r="AD659" i="51"/>
  <c r="AH658" i="51"/>
  <c r="AF658" i="51"/>
  <c r="AD658" i="51"/>
  <c r="AH657" i="51"/>
  <c r="AF657" i="51"/>
  <c r="AD657" i="51"/>
  <c r="AH656" i="51"/>
  <c r="AF656" i="51"/>
  <c r="AD656" i="51"/>
  <c r="AH655" i="51"/>
  <c r="AF655" i="51"/>
  <c r="AD655" i="51"/>
  <c r="AH654" i="51"/>
  <c r="AF654" i="51"/>
  <c r="AD654" i="51"/>
  <c r="AH653" i="51"/>
  <c r="AF653" i="51"/>
  <c r="AD653" i="51"/>
  <c r="AH652" i="51"/>
  <c r="AF652" i="51"/>
  <c r="AD652" i="51"/>
  <c r="AH651" i="51"/>
  <c r="AF651" i="51"/>
  <c r="AD651" i="51"/>
  <c r="AH650" i="51"/>
  <c r="AF650" i="51"/>
  <c r="AD650" i="51"/>
  <c r="AH649" i="51"/>
  <c r="AF649" i="51"/>
  <c r="AD649" i="51"/>
  <c r="AH648" i="51"/>
  <c r="AF648" i="51"/>
  <c r="AD648" i="51"/>
  <c r="AH647" i="51"/>
  <c r="AF647" i="51"/>
  <c r="AD647" i="51"/>
  <c r="AH646" i="51"/>
  <c r="AF646" i="51"/>
  <c r="AD646" i="51"/>
  <c r="AH645" i="51"/>
  <c r="AF645" i="51"/>
  <c r="AD645" i="51"/>
  <c r="AH644" i="51"/>
  <c r="AF644" i="51"/>
  <c r="AD644" i="51"/>
  <c r="AH643" i="51"/>
  <c r="AF643" i="51"/>
  <c r="AD643" i="51"/>
  <c r="AH642" i="51"/>
  <c r="AF642" i="51"/>
  <c r="AD642" i="51"/>
  <c r="AH641" i="51"/>
  <c r="AF641" i="51"/>
  <c r="AD641" i="51"/>
  <c r="AH640" i="51"/>
  <c r="AF640" i="51"/>
  <c r="AD640" i="51"/>
  <c r="AH639" i="51"/>
  <c r="AF639" i="51"/>
  <c r="AD639" i="51"/>
  <c r="AH638" i="51"/>
  <c r="AF638" i="51"/>
  <c r="AD638" i="51"/>
  <c r="AH637" i="51"/>
  <c r="AF637" i="51"/>
  <c r="AD637" i="51"/>
  <c r="AH636" i="51"/>
  <c r="AF636" i="51"/>
  <c r="AD636" i="51"/>
  <c r="AH635" i="51"/>
  <c r="AF635" i="51"/>
  <c r="AD635" i="51"/>
  <c r="AH634" i="51"/>
  <c r="AF634" i="51"/>
  <c r="AD634" i="51"/>
  <c r="AH633" i="51"/>
  <c r="AF633" i="51"/>
  <c r="AD633" i="51"/>
  <c r="AH632" i="51"/>
  <c r="AF632" i="51"/>
  <c r="AD632" i="51"/>
  <c r="AH631" i="51"/>
  <c r="AF631" i="51"/>
  <c r="AD631" i="51"/>
  <c r="AH630" i="51"/>
  <c r="AF630" i="51"/>
  <c r="AD630" i="51"/>
  <c r="AH629" i="51"/>
  <c r="AF629" i="51"/>
  <c r="AD629" i="51"/>
  <c r="AH628" i="51"/>
  <c r="AF628" i="51"/>
  <c r="AD628" i="51"/>
  <c r="AH627" i="51"/>
  <c r="AF627" i="51"/>
  <c r="AD627" i="51"/>
  <c r="AH626" i="51"/>
  <c r="AF626" i="51"/>
  <c r="AD626" i="51"/>
  <c r="AH625" i="51"/>
  <c r="AF625" i="51"/>
  <c r="AD625" i="51"/>
  <c r="AH624" i="51"/>
  <c r="AF624" i="51"/>
  <c r="AD624" i="51"/>
  <c r="AH623" i="51"/>
  <c r="AF623" i="51"/>
  <c r="AD623" i="51"/>
  <c r="AH622" i="51"/>
  <c r="AF622" i="51"/>
  <c r="AD622" i="51"/>
  <c r="AH621" i="51"/>
  <c r="AF621" i="51"/>
  <c r="AD621" i="51"/>
  <c r="AH620" i="51"/>
  <c r="AF620" i="51"/>
  <c r="AD620" i="51"/>
  <c r="AH619" i="51"/>
  <c r="AF619" i="51"/>
  <c r="AD619" i="51"/>
  <c r="AH618" i="51"/>
  <c r="AF618" i="51"/>
  <c r="AD618" i="51"/>
  <c r="AH617" i="51"/>
  <c r="AF617" i="51"/>
  <c r="AD617" i="51"/>
  <c r="AH616" i="51"/>
  <c r="AF616" i="51"/>
  <c r="AD616" i="51"/>
  <c r="AH615" i="51"/>
  <c r="AF615" i="51"/>
  <c r="AD615" i="51"/>
  <c r="AH614" i="51"/>
  <c r="AF614" i="51"/>
  <c r="AD614" i="51"/>
  <c r="AH613" i="51"/>
  <c r="AF613" i="51"/>
  <c r="AD613" i="51"/>
  <c r="AH612" i="51"/>
  <c r="AF612" i="51"/>
  <c r="AD612" i="51"/>
  <c r="AH611" i="51"/>
  <c r="AF611" i="51"/>
  <c r="AD611" i="51"/>
  <c r="AH610" i="51"/>
  <c r="AF610" i="51"/>
  <c r="AD610" i="51"/>
  <c r="AH609" i="51"/>
  <c r="AF609" i="51"/>
  <c r="AD609" i="51"/>
  <c r="AH608" i="51"/>
  <c r="AF608" i="51"/>
  <c r="AD608" i="51"/>
  <c r="AH607" i="51"/>
  <c r="AF607" i="51"/>
  <c r="AD607" i="51"/>
  <c r="AH606" i="51"/>
  <c r="AF606" i="51"/>
  <c r="AD606" i="51"/>
  <c r="AH605" i="51"/>
  <c r="AF605" i="51"/>
  <c r="AD605" i="51"/>
  <c r="AH604" i="51"/>
  <c r="AF604" i="51"/>
  <c r="AD604" i="51"/>
  <c r="AH603" i="51"/>
  <c r="AF603" i="51"/>
  <c r="AD603" i="51"/>
  <c r="AH602" i="51"/>
  <c r="AF602" i="51"/>
  <c r="AD602" i="51"/>
  <c r="AH601" i="51"/>
  <c r="AF601" i="51"/>
  <c r="AD601" i="51"/>
  <c r="AH600" i="51"/>
  <c r="AF600" i="51"/>
  <c r="AD600" i="51"/>
  <c r="AH599" i="51"/>
  <c r="AF599" i="51"/>
  <c r="AD599" i="51"/>
  <c r="AH598" i="51"/>
  <c r="AF598" i="51"/>
  <c r="AD598" i="51"/>
  <c r="AH597" i="51"/>
  <c r="AF597" i="51"/>
  <c r="AD597" i="51"/>
  <c r="AH596" i="51"/>
  <c r="AF596" i="51"/>
  <c r="AD596" i="51"/>
  <c r="AH595" i="51"/>
  <c r="AF595" i="51"/>
  <c r="AD595" i="51"/>
  <c r="AH594" i="51"/>
  <c r="AF594" i="51"/>
  <c r="AD594" i="51"/>
  <c r="AH593" i="51"/>
  <c r="AF593" i="51"/>
  <c r="AD593" i="51"/>
  <c r="AH592" i="51"/>
  <c r="AF592" i="51"/>
  <c r="AD592" i="51"/>
  <c r="AH591" i="51"/>
  <c r="AF591" i="51"/>
  <c r="AD591" i="51"/>
  <c r="AH590" i="51"/>
  <c r="AF590" i="51"/>
  <c r="AD590" i="51"/>
  <c r="AH589" i="51"/>
  <c r="AF589" i="51"/>
  <c r="AD589" i="51"/>
  <c r="AH588" i="51"/>
  <c r="AF588" i="51"/>
  <c r="AD588" i="51"/>
  <c r="AH587" i="51"/>
  <c r="AF587" i="51"/>
  <c r="AD587" i="51"/>
  <c r="AH586" i="51"/>
  <c r="AF586" i="51"/>
  <c r="AD586" i="51"/>
  <c r="AH585" i="51"/>
  <c r="AF585" i="51"/>
  <c r="AD585" i="51"/>
  <c r="AH584" i="51"/>
  <c r="AF584" i="51"/>
  <c r="AD584" i="51"/>
  <c r="AH583" i="51"/>
  <c r="AF583" i="51"/>
  <c r="AD583" i="51"/>
  <c r="AH582" i="51"/>
  <c r="AF582" i="51"/>
  <c r="AD582" i="51"/>
  <c r="AH581" i="51"/>
  <c r="AF581" i="51"/>
  <c r="AD581" i="51"/>
  <c r="AH580" i="51"/>
  <c r="AF580" i="51"/>
  <c r="AD580" i="51"/>
  <c r="AH579" i="51"/>
  <c r="AF579" i="51"/>
  <c r="AD579" i="51"/>
  <c r="AH578" i="51"/>
  <c r="AF578" i="51"/>
  <c r="AD578" i="51"/>
  <c r="AH577" i="51"/>
  <c r="AF577" i="51"/>
  <c r="AD577" i="51"/>
  <c r="AH576" i="51"/>
  <c r="AF576" i="51"/>
  <c r="AD576" i="51"/>
  <c r="AH575" i="51"/>
  <c r="AF575" i="51"/>
  <c r="AD575" i="51"/>
  <c r="AH574" i="51"/>
  <c r="AF574" i="51"/>
  <c r="AD574" i="51"/>
  <c r="AH573" i="51"/>
  <c r="AF573" i="51"/>
  <c r="AD573" i="51"/>
  <c r="AH572" i="51"/>
  <c r="AF572" i="51"/>
  <c r="AD572" i="51"/>
  <c r="AH571" i="51"/>
  <c r="AF571" i="51"/>
  <c r="AD571" i="51"/>
  <c r="AH570" i="51"/>
  <c r="AF570" i="51"/>
  <c r="AD570" i="51"/>
  <c r="AH569" i="51"/>
  <c r="AF569" i="51"/>
  <c r="AD569" i="51"/>
  <c r="AH568" i="51"/>
  <c r="AF568" i="51"/>
  <c r="AD568" i="51"/>
  <c r="AH567" i="51"/>
  <c r="AF567" i="51"/>
  <c r="AD567" i="51"/>
  <c r="AH566" i="51"/>
  <c r="AF566" i="51"/>
  <c r="AD566" i="51"/>
  <c r="AH565" i="51"/>
  <c r="AF565" i="51"/>
  <c r="AD565" i="51"/>
  <c r="AH564" i="51"/>
  <c r="AF564" i="51"/>
  <c r="AD564" i="51"/>
  <c r="AH563" i="51"/>
  <c r="AF563" i="51"/>
  <c r="AD563" i="51"/>
  <c r="AH562" i="51"/>
  <c r="AF562" i="51"/>
  <c r="AD562" i="51"/>
  <c r="AH561" i="51"/>
  <c r="AF561" i="51"/>
  <c r="AD561" i="51"/>
  <c r="AH560" i="51"/>
  <c r="AF560" i="51"/>
  <c r="AD560" i="51"/>
  <c r="AH559" i="51"/>
  <c r="AF559" i="51"/>
  <c r="AD559" i="51"/>
  <c r="AH558" i="51"/>
  <c r="AF558" i="51"/>
  <c r="AD558" i="51"/>
  <c r="AH557" i="51"/>
  <c r="AF557" i="51"/>
  <c r="AD557" i="51"/>
  <c r="AH556" i="51"/>
  <c r="AF556" i="51"/>
  <c r="AD556" i="51"/>
  <c r="AH555" i="51"/>
  <c r="AF555" i="51"/>
  <c r="AD555" i="51"/>
  <c r="AH554" i="51"/>
  <c r="AF554" i="51"/>
  <c r="AD554" i="51"/>
  <c r="AH553" i="51"/>
  <c r="AF553" i="51"/>
  <c r="AD553" i="51"/>
  <c r="AH552" i="51"/>
  <c r="AF552" i="51"/>
  <c r="AD552" i="51"/>
  <c r="AH551" i="51"/>
  <c r="AF551" i="51"/>
  <c r="AD551" i="51"/>
  <c r="AH550" i="51"/>
  <c r="AF550" i="51"/>
  <c r="AD550" i="51"/>
  <c r="AH549" i="51"/>
  <c r="AF549" i="51"/>
  <c r="AD549" i="51"/>
  <c r="AH548" i="51"/>
  <c r="AF548" i="51"/>
  <c r="AD548" i="51"/>
  <c r="AH547" i="51"/>
  <c r="AF547" i="51"/>
  <c r="AD547" i="51"/>
  <c r="AH546" i="51"/>
  <c r="AF546" i="51"/>
  <c r="AD546" i="51"/>
  <c r="AH545" i="51"/>
  <c r="AF545" i="51"/>
  <c r="AD545" i="51"/>
  <c r="AH544" i="51"/>
  <c r="AF544" i="51"/>
  <c r="AD544" i="51"/>
  <c r="AH543" i="51"/>
  <c r="AF543" i="51"/>
  <c r="AD543" i="51"/>
  <c r="AH542" i="51"/>
  <c r="AF542" i="51"/>
  <c r="AD542" i="51"/>
  <c r="AH541" i="51"/>
  <c r="AF541" i="51"/>
  <c r="AD541" i="51"/>
  <c r="AH540" i="51"/>
  <c r="AF540" i="51"/>
  <c r="AD540" i="51"/>
  <c r="AH539" i="51"/>
  <c r="AF539" i="51"/>
  <c r="AD539" i="51"/>
  <c r="AH538" i="51"/>
  <c r="AF538" i="51"/>
  <c r="AD538" i="51"/>
  <c r="AH537" i="51"/>
  <c r="AF537" i="51"/>
  <c r="AD537" i="51"/>
  <c r="AH536" i="51"/>
  <c r="AF536" i="51"/>
  <c r="AD536" i="51"/>
  <c r="AH535" i="51"/>
  <c r="AF535" i="51"/>
  <c r="AD535" i="51"/>
  <c r="AH534" i="51"/>
  <c r="AF534" i="51"/>
  <c r="AD534" i="51"/>
  <c r="AH533" i="51"/>
  <c r="AF533" i="51"/>
  <c r="AD533" i="51"/>
  <c r="AH532" i="51"/>
  <c r="AF532" i="51"/>
  <c r="AD532" i="51"/>
  <c r="AH531" i="51"/>
  <c r="AF531" i="51"/>
  <c r="AD531" i="51"/>
  <c r="AH530" i="51"/>
  <c r="AF530" i="51"/>
  <c r="AD530" i="51"/>
  <c r="AH529" i="51"/>
  <c r="AF529" i="51"/>
  <c r="AD529" i="51"/>
  <c r="AH528" i="51"/>
  <c r="AF528" i="51"/>
  <c r="AD528" i="51"/>
  <c r="AH527" i="51"/>
  <c r="AF527" i="51"/>
  <c r="AD527" i="51"/>
  <c r="AH526" i="51"/>
  <c r="AF526" i="51"/>
  <c r="AD526" i="51"/>
  <c r="AH525" i="51"/>
  <c r="AF525" i="51"/>
  <c r="AD525" i="51"/>
  <c r="AH524" i="51"/>
  <c r="AF524" i="51"/>
  <c r="AD524" i="51"/>
  <c r="AH523" i="51"/>
  <c r="AF523" i="51"/>
  <c r="AD523" i="51"/>
  <c r="AH522" i="51"/>
  <c r="AF522" i="51"/>
  <c r="AD522" i="51"/>
  <c r="AH521" i="51"/>
  <c r="AF521" i="51"/>
  <c r="AD521" i="51"/>
  <c r="AH520" i="51"/>
  <c r="AF520" i="51"/>
  <c r="AD520" i="51"/>
  <c r="AH519" i="51"/>
  <c r="AF519" i="51"/>
  <c r="AD519" i="51"/>
  <c r="AH518" i="51"/>
  <c r="AF518" i="51"/>
  <c r="AD518" i="51"/>
  <c r="AH517" i="51"/>
  <c r="AF517" i="51"/>
  <c r="AD517" i="51"/>
  <c r="AH516" i="51"/>
  <c r="AF516" i="51"/>
  <c r="AD516" i="51"/>
  <c r="AH515" i="51"/>
  <c r="AF515" i="51"/>
  <c r="AD515" i="51"/>
  <c r="AH514" i="51"/>
  <c r="AF514" i="51"/>
  <c r="AD514" i="51"/>
  <c r="AH513" i="51"/>
  <c r="AF513" i="51"/>
  <c r="AD513" i="51"/>
  <c r="AH512" i="51"/>
  <c r="AF512" i="51"/>
  <c r="AD512" i="51"/>
  <c r="AH366" i="51"/>
  <c r="AF366" i="51"/>
  <c r="AD366" i="51"/>
  <c r="AH365" i="51"/>
  <c r="AF365" i="51"/>
  <c r="AD365" i="51"/>
  <c r="AH364" i="51"/>
  <c r="AF364" i="51"/>
  <c r="AD364" i="51"/>
  <c r="AH363" i="51"/>
  <c r="AF363" i="51"/>
  <c r="AD363" i="51"/>
  <c r="AH362" i="51"/>
  <c r="AF362" i="51"/>
  <c r="AD362" i="51"/>
  <c r="AH361" i="51"/>
  <c r="AF361" i="51"/>
  <c r="AD361" i="51"/>
  <c r="AH360" i="51"/>
  <c r="AF360" i="51"/>
  <c r="AD360" i="51"/>
  <c r="AH359" i="51"/>
  <c r="AF359" i="51"/>
  <c r="AD359" i="51"/>
  <c r="AH358" i="51"/>
  <c r="AF358" i="51"/>
  <c r="AD358" i="51"/>
  <c r="AH357" i="51"/>
  <c r="AF357" i="51"/>
  <c r="AD357" i="51"/>
  <c r="AH356" i="51"/>
  <c r="AF356" i="51"/>
  <c r="AD356" i="51"/>
  <c r="AH355" i="51"/>
  <c r="AF355" i="51"/>
  <c r="AD355" i="51"/>
  <c r="AH354" i="51"/>
  <c r="AF354" i="51"/>
  <c r="AD354" i="51"/>
  <c r="AH353" i="51"/>
  <c r="AF353" i="51"/>
  <c r="AD353" i="51"/>
  <c r="AH352" i="51"/>
  <c r="AF352" i="51"/>
  <c r="AD352" i="51"/>
  <c r="AH351" i="51"/>
  <c r="AF351" i="51"/>
  <c r="AD351" i="51"/>
  <c r="AH350" i="51"/>
  <c r="AF350" i="51"/>
  <c r="AD350" i="51"/>
  <c r="AH349" i="51"/>
  <c r="AF349" i="51"/>
  <c r="AD349" i="51"/>
  <c r="AH348" i="51"/>
  <c r="AF348" i="51"/>
  <c r="AD348" i="51"/>
  <c r="AH347" i="51"/>
  <c r="AF347" i="51"/>
  <c r="AD347" i="51"/>
  <c r="AH346" i="51"/>
  <c r="AF346" i="51"/>
  <c r="AD346" i="51"/>
  <c r="AH345" i="51"/>
  <c r="AF345" i="51"/>
  <c r="AD345" i="51"/>
  <c r="AH344" i="51"/>
  <c r="AF344" i="51"/>
  <c r="AD344" i="51"/>
  <c r="AH343" i="51"/>
  <c r="AF343" i="51"/>
  <c r="AD343" i="51"/>
  <c r="AH342" i="51"/>
  <c r="AF342" i="51"/>
  <c r="AD342" i="51"/>
  <c r="AH341" i="51"/>
  <c r="AF341" i="51"/>
  <c r="AD341" i="51"/>
  <c r="AH340" i="51"/>
  <c r="AF340" i="51"/>
  <c r="AD340" i="51"/>
  <c r="AH339" i="51"/>
  <c r="AF339" i="51"/>
  <c r="AD339" i="51"/>
  <c r="AH338" i="51"/>
  <c r="AF338" i="51"/>
  <c r="AD338" i="51"/>
  <c r="AH337" i="51"/>
  <c r="AF337" i="51"/>
  <c r="AD337" i="51"/>
  <c r="AH336" i="51"/>
  <c r="AF336" i="51"/>
  <c r="AD336" i="51"/>
  <c r="AH335" i="51"/>
  <c r="AF335" i="51"/>
  <c r="AD335" i="51"/>
  <c r="AH334" i="51"/>
  <c r="AF334" i="51"/>
  <c r="AD334" i="51"/>
  <c r="AH333" i="51"/>
  <c r="AF333" i="51"/>
  <c r="AD333" i="51"/>
  <c r="AH332" i="51"/>
  <c r="AF332" i="51"/>
  <c r="AD332" i="51"/>
  <c r="AH331" i="51"/>
  <c r="AF331" i="51"/>
  <c r="AD331" i="51"/>
  <c r="AH330" i="51"/>
  <c r="AF330" i="51"/>
  <c r="AD330" i="51"/>
  <c r="AH329" i="51"/>
  <c r="AF329" i="51"/>
  <c r="AD329" i="51"/>
  <c r="AH328" i="51"/>
  <c r="AF328" i="51"/>
  <c r="AD328" i="51"/>
  <c r="AH327" i="51"/>
  <c r="AF327" i="51"/>
  <c r="AD327" i="51"/>
  <c r="AH326" i="51"/>
  <c r="AF326" i="51"/>
  <c r="AD326" i="51"/>
  <c r="AH325" i="51"/>
  <c r="AF325" i="51"/>
  <c r="AD325" i="51"/>
  <c r="AH324" i="51"/>
  <c r="AF324" i="51"/>
  <c r="AD324" i="51"/>
  <c r="AH323" i="51"/>
  <c r="AF323" i="51"/>
  <c r="AD323" i="51"/>
  <c r="AH322" i="51"/>
  <c r="AF322" i="51"/>
  <c r="AD322" i="51"/>
  <c r="AH321" i="51"/>
  <c r="AF321" i="51"/>
  <c r="AD321" i="51"/>
  <c r="AH320" i="51"/>
  <c r="AF320" i="51"/>
  <c r="AD320" i="51"/>
  <c r="AH319" i="51"/>
  <c r="AF319" i="51"/>
  <c r="AD319" i="51"/>
  <c r="AH318" i="51"/>
  <c r="AF318" i="51"/>
  <c r="AD318" i="51"/>
  <c r="AH317" i="51"/>
  <c r="AF317" i="51"/>
  <c r="AD317" i="51"/>
  <c r="AH316" i="51"/>
  <c r="AF316" i="51"/>
  <c r="AD316" i="51"/>
  <c r="AH315" i="51"/>
  <c r="AF315" i="51"/>
  <c r="AD315" i="51"/>
  <c r="AH314" i="51"/>
  <c r="AF314" i="51"/>
  <c r="AD314" i="51"/>
  <c r="AH313" i="51"/>
  <c r="AF313" i="51"/>
  <c r="AD313" i="51"/>
  <c r="AH312" i="51"/>
  <c r="AF312" i="51"/>
  <c r="AD312" i="51"/>
  <c r="AH311" i="51"/>
  <c r="AF311" i="51"/>
  <c r="AD311" i="51"/>
  <c r="AH310" i="51"/>
  <c r="AF310" i="51"/>
  <c r="AD310" i="51"/>
  <c r="AH309" i="51"/>
  <c r="AF309" i="51"/>
  <c r="AD309" i="51"/>
  <c r="AH308" i="51"/>
  <c r="AF308" i="51"/>
  <c r="AD308" i="51"/>
  <c r="AH307" i="51"/>
  <c r="AF307" i="51"/>
  <c r="AD307" i="51"/>
  <c r="AH306" i="51"/>
  <c r="AF306" i="51"/>
  <c r="AD306" i="51"/>
  <c r="AH305" i="51"/>
  <c r="AF305" i="51"/>
  <c r="AD305" i="51"/>
  <c r="AH304" i="51"/>
  <c r="AF304" i="51"/>
  <c r="AD304" i="51"/>
  <c r="AH303" i="51"/>
  <c r="AF303" i="51"/>
  <c r="AD303" i="51"/>
  <c r="AH302" i="51"/>
  <c r="AF302" i="51"/>
  <c r="AD302" i="51"/>
  <c r="AH301" i="51"/>
  <c r="AF301" i="51"/>
  <c r="AD301" i="51"/>
  <c r="AH300" i="51"/>
  <c r="AF300" i="51"/>
  <c r="AD300" i="51"/>
  <c r="AH299" i="51"/>
  <c r="AF299" i="51"/>
  <c r="AD299" i="51"/>
  <c r="AH298" i="51"/>
  <c r="AF298" i="51"/>
  <c r="AD298" i="51"/>
  <c r="AH297" i="51"/>
  <c r="AF297" i="51"/>
  <c r="AD297" i="51"/>
  <c r="AH296" i="51"/>
  <c r="AF296" i="51"/>
  <c r="AD296" i="51"/>
  <c r="AH295" i="51"/>
  <c r="AF295" i="51"/>
  <c r="AD295" i="51"/>
  <c r="AH294" i="51"/>
  <c r="AF294" i="51"/>
  <c r="AD294" i="51"/>
  <c r="AH293" i="51"/>
  <c r="AF293" i="51"/>
  <c r="AD293" i="51"/>
  <c r="AH292" i="51"/>
  <c r="AF292" i="51"/>
  <c r="AD292" i="51"/>
  <c r="AH291" i="51"/>
  <c r="AF291" i="51"/>
  <c r="AD291" i="51"/>
  <c r="AH290" i="51"/>
  <c r="AF290" i="51"/>
  <c r="AD290" i="51"/>
  <c r="AH289" i="51"/>
  <c r="AF289" i="51"/>
  <c r="AD289" i="51"/>
  <c r="AH288" i="51"/>
  <c r="AF288" i="51"/>
  <c r="AD288" i="51"/>
  <c r="AH287" i="51"/>
  <c r="AF287" i="51"/>
  <c r="AD287" i="51"/>
  <c r="AH286" i="51"/>
  <c r="AF286" i="51"/>
  <c r="AD286" i="51"/>
  <c r="AH285" i="51"/>
  <c r="AF285" i="51"/>
  <c r="AD285" i="51"/>
  <c r="AH284" i="51"/>
  <c r="AF284" i="51"/>
  <c r="AD284" i="51"/>
  <c r="AH283" i="51"/>
  <c r="AF283" i="51"/>
  <c r="AD283" i="51"/>
  <c r="AH282" i="51"/>
  <c r="AF282" i="51"/>
  <c r="AD282" i="51"/>
  <c r="AH281" i="51"/>
  <c r="AF281" i="51"/>
  <c r="AD281" i="51"/>
  <c r="AH280" i="51"/>
  <c r="AF280" i="51"/>
  <c r="AD280" i="51"/>
  <c r="AH279" i="51"/>
  <c r="AF279" i="51"/>
  <c r="AD279" i="51"/>
  <c r="AH278" i="51"/>
  <c r="AF278" i="51"/>
  <c r="AD278" i="51"/>
  <c r="AH277" i="51"/>
  <c r="AF277" i="51"/>
  <c r="AD277" i="51"/>
  <c r="AH276" i="51"/>
  <c r="AF276" i="51"/>
  <c r="AD276" i="51"/>
  <c r="AH275" i="51"/>
  <c r="AF275" i="51"/>
  <c r="AD275" i="51"/>
  <c r="AH274" i="51"/>
  <c r="AF274" i="51"/>
  <c r="AD274" i="51"/>
  <c r="AH273" i="51"/>
  <c r="AF273" i="51"/>
  <c r="AD273" i="51"/>
  <c r="AH272" i="51"/>
  <c r="AF272" i="51"/>
  <c r="AD272" i="51"/>
  <c r="AH271" i="51"/>
  <c r="AF271" i="51"/>
  <c r="AD271" i="51"/>
  <c r="AH270" i="51"/>
  <c r="AF270" i="51"/>
  <c r="AD270" i="51"/>
  <c r="AH269" i="51"/>
  <c r="AF269" i="51"/>
  <c r="AD269" i="51"/>
  <c r="AH268" i="51"/>
  <c r="AF268" i="51"/>
  <c r="AD268" i="51"/>
  <c r="AH267" i="51"/>
  <c r="AF267" i="51"/>
  <c r="AD267" i="51"/>
  <c r="AH266" i="51"/>
  <c r="AF266" i="51"/>
  <c r="AD266" i="51"/>
  <c r="AH265" i="51"/>
  <c r="AF265" i="51"/>
  <c r="AD265" i="51"/>
  <c r="AH264" i="51"/>
  <c r="AF264" i="51"/>
  <c r="AD264" i="51"/>
  <c r="AH263" i="51"/>
  <c r="AF263" i="51"/>
  <c r="AD263" i="51"/>
  <c r="AH262" i="51"/>
  <c r="AF262" i="51"/>
  <c r="AD262" i="51"/>
  <c r="AH261" i="51"/>
  <c r="AF261" i="51"/>
  <c r="AD261" i="51"/>
  <c r="AH260" i="51"/>
  <c r="AF260" i="51"/>
  <c r="AD260" i="51"/>
  <c r="AH259" i="51"/>
  <c r="AF259" i="51"/>
  <c r="AD259" i="51"/>
  <c r="AH258" i="51"/>
  <c r="AF258" i="51"/>
  <c r="AD258" i="51"/>
  <c r="AH257" i="51"/>
  <c r="AF257" i="51"/>
  <c r="AD257" i="51"/>
  <c r="AH256" i="51"/>
  <c r="AF256" i="51"/>
  <c r="AD256" i="51"/>
  <c r="AH255" i="51"/>
  <c r="AF255" i="51"/>
  <c r="AD255" i="51"/>
  <c r="AH254" i="51"/>
  <c r="AF254" i="51"/>
  <c r="AD254" i="51"/>
  <c r="AH253" i="51"/>
  <c r="AF253" i="51"/>
  <c r="AD253" i="51"/>
  <c r="AH252" i="51"/>
  <c r="AF252" i="51"/>
  <c r="AD252" i="51"/>
  <c r="AH251" i="51"/>
  <c r="AF251" i="51"/>
  <c r="AD251" i="51"/>
  <c r="AH250" i="51"/>
  <c r="AF250" i="51"/>
  <c r="AD250" i="51"/>
  <c r="AH249" i="51"/>
  <c r="AF249" i="51"/>
  <c r="AD249" i="51"/>
  <c r="AH248" i="51"/>
  <c r="AF248" i="51"/>
  <c r="AD248" i="51"/>
  <c r="AH247" i="51"/>
  <c r="AF247" i="51"/>
  <c r="AD247" i="51"/>
  <c r="AH246" i="51"/>
  <c r="AF246" i="51"/>
  <c r="AD246" i="51"/>
  <c r="AH245" i="51"/>
  <c r="AF245" i="51"/>
  <c r="AD245" i="51"/>
  <c r="AH244" i="51"/>
  <c r="AF244" i="51"/>
  <c r="AD244" i="51"/>
  <c r="AH243" i="51"/>
  <c r="AF243" i="51"/>
  <c r="AD243" i="51"/>
  <c r="AH242" i="51"/>
  <c r="AF242" i="51"/>
  <c r="AD242" i="51"/>
  <c r="AH241" i="51"/>
  <c r="AF241" i="51"/>
  <c r="AD241" i="51"/>
  <c r="AH240" i="51"/>
  <c r="AF240" i="51"/>
  <c r="AD240" i="51"/>
  <c r="AH239" i="51"/>
  <c r="AF239" i="51"/>
  <c r="AD239" i="51"/>
  <c r="AH238" i="51"/>
  <c r="AF238" i="51"/>
  <c r="AD238" i="51"/>
  <c r="AH237" i="51"/>
  <c r="AF237" i="51"/>
  <c r="AD237" i="51"/>
  <c r="AH236" i="51"/>
  <c r="AF236" i="51"/>
  <c r="AD236" i="51"/>
  <c r="AH235" i="51"/>
  <c r="AF235" i="51"/>
  <c r="AD235" i="51"/>
  <c r="AH234" i="51"/>
  <c r="AF234" i="51"/>
  <c r="AD234" i="51"/>
  <c r="AH233" i="51"/>
  <c r="AF233" i="51"/>
  <c r="AD233" i="51"/>
  <c r="AH232" i="51"/>
  <c r="AF232" i="51"/>
  <c r="AD232" i="51"/>
  <c r="AH231" i="51"/>
  <c r="AF231" i="51"/>
  <c r="AD231" i="51"/>
  <c r="AH230" i="51"/>
  <c r="AF230" i="51"/>
  <c r="AD230" i="51"/>
  <c r="AH229" i="51"/>
  <c r="AF229" i="51"/>
  <c r="AD229" i="51"/>
  <c r="AH228" i="51"/>
  <c r="AF228" i="51"/>
  <c r="AD228" i="51"/>
  <c r="AH227" i="51"/>
  <c r="AF227" i="51"/>
  <c r="AD227" i="51"/>
  <c r="AH226" i="51"/>
  <c r="AF226" i="51"/>
  <c r="AD226" i="51"/>
  <c r="AH225" i="51"/>
  <c r="AF225" i="51"/>
  <c r="AD225" i="51"/>
  <c r="AH224" i="51"/>
  <c r="AF224" i="51"/>
  <c r="AD224" i="51"/>
  <c r="AH223" i="51"/>
  <c r="AF223" i="51"/>
  <c r="AD223" i="51"/>
  <c r="AH222" i="51"/>
  <c r="AF222" i="51"/>
  <c r="AD222" i="51"/>
  <c r="AH221" i="51"/>
  <c r="AF221" i="51"/>
  <c r="AD221" i="51"/>
  <c r="AH220" i="51"/>
  <c r="AF220" i="51"/>
  <c r="AD220" i="51"/>
  <c r="AH219" i="51"/>
  <c r="AF219" i="51"/>
  <c r="AD219" i="51"/>
  <c r="AH218" i="51"/>
  <c r="AF218" i="51"/>
  <c r="AD218" i="51"/>
  <c r="AH217" i="51"/>
  <c r="AF217" i="51"/>
  <c r="AD217" i="51"/>
  <c r="AH216" i="51"/>
  <c r="AF216" i="51"/>
  <c r="AD216" i="51"/>
  <c r="AH215" i="51"/>
  <c r="AF215" i="51"/>
  <c r="AD215" i="51"/>
  <c r="AH214" i="51"/>
  <c r="AF214" i="51"/>
  <c r="AD214" i="51"/>
  <c r="AH213" i="51"/>
  <c r="AF213" i="51"/>
  <c r="AD213" i="51"/>
  <c r="AH212" i="51"/>
  <c r="AF212" i="51"/>
  <c r="AD212" i="51"/>
  <c r="AH211" i="51"/>
  <c r="AF211" i="51"/>
  <c r="AD211" i="51"/>
  <c r="AH210" i="51"/>
  <c r="AF210" i="51"/>
  <c r="AD210" i="51"/>
  <c r="AH209" i="51"/>
  <c r="AF209" i="51"/>
  <c r="AD209" i="51"/>
  <c r="AH208" i="51"/>
  <c r="AF208" i="51"/>
  <c r="AD208" i="51"/>
  <c r="AH207" i="51"/>
  <c r="AF207" i="51"/>
  <c r="AD207" i="51"/>
  <c r="AH206" i="51"/>
  <c r="AF206" i="51"/>
  <c r="AD206" i="51"/>
  <c r="AH205" i="51"/>
  <c r="AF205" i="51"/>
  <c r="AD205" i="51"/>
  <c r="AH204" i="51"/>
  <c r="AF204" i="51"/>
  <c r="AD204" i="51"/>
  <c r="AH203" i="51"/>
  <c r="AF203" i="51"/>
  <c r="AD203" i="51"/>
  <c r="AH202" i="51"/>
  <c r="AF202" i="51"/>
  <c r="AD202" i="51"/>
  <c r="AH201" i="51"/>
  <c r="AF201" i="51"/>
  <c r="AD201" i="51"/>
  <c r="AH200" i="51"/>
  <c r="AF200" i="51"/>
  <c r="AD200" i="51"/>
  <c r="AH199" i="51"/>
  <c r="AF199" i="51"/>
  <c r="AD199" i="51"/>
  <c r="AH198" i="51"/>
  <c r="AF198" i="51"/>
  <c r="AD198" i="51"/>
  <c r="AH197" i="51"/>
  <c r="AF197" i="51"/>
  <c r="AD197" i="51"/>
  <c r="AH196" i="51"/>
  <c r="AF196" i="51"/>
  <c r="AD196" i="51"/>
  <c r="AH195" i="51"/>
  <c r="AF195" i="51"/>
  <c r="AD195" i="51"/>
  <c r="AH194" i="51"/>
  <c r="AF194" i="51"/>
  <c r="AD194" i="51"/>
  <c r="AH193" i="51"/>
  <c r="AF193" i="51"/>
  <c r="AD193" i="51"/>
  <c r="AH192" i="51"/>
  <c r="AF192" i="51"/>
  <c r="AD192" i="51"/>
  <c r="AH191" i="51"/>
  <c r="AF191" i="51"/>
  <c r="AD191" i="51"/>
  <c r="AH190" i="51"/>
  <c r="AF190" i="51"/>
  <c r="AD190" i="51"/>
  <c r="AH189" i="51"/>
  <c r="AF189" i="51"/>
  <c r="AD189" i="51"/>
  <c r="AH188" i="51"/>
  <c r="AF188" i="51"/>
  <c r="AD188" i="51"/>
  <c r="AH187" i="51"/>
  <c r="AF187" i="51"/>
  <c r="AD187" i="51"/>
  <c r="AH186" i="51"/>
  <c r="AF186" i="51"/>
  <c r="AD186" i="51"/>
  <c r="AH185" i="51"/>
  <c r="AF185" i="51"/>
  <c r="AD185" i="51"/>
  <c r="AH184" i="51"/>
  <c r="AF184" i="51"/>
  <c r="AD184" i="51"/>
  <c r="AH183" i="51"/>
  <c r="AF183" i="51"/>
  <c r="AD183" i="51"/>
  <c r="AH182" i="51"/>
  <c r="AF182" i="51"/>
  <c r="AD182" i="51"/>
  <c r="AH181" i="51"/>
  <c r="AF181" i="51"/>
  <c r="AD181" i="51"/>
  <c r="AH180" i="51"/>
  <c r="AF180" i="51"/>
  <c r="AD180" i="51"/>
  <c r="AH179" i="51"/>
  <c r="AF179" i="51"/>
  <c r="AD179" i="51"/>
  <c r="AH178" i="51"/>
  <c r="AF178" i="51"/>
  <c r="AD178" i="51"/>
  <c r="AH177" i="51"/>
  <c r="AF177" i="51"/>
  <c r="AD177" i="51"/>
  <c r="AH176" i="51"/>
  <c r="AF176" i="51"/>
  <c r="AD176" i="51"/>
  <c r="AH175" i="51"/>
  <c r="AF175" i="51"/>
  <c r="AD175" i="51"/>
  <c r="AH174" i="51"/>
  <c r="AF174" i="51"/>
  <c r="AD174" i="51"/>
  <c r="AH173" i="51"/>
  <c r="AF173" i="51"/>
  <c r="AD173" i="51"/>
  <c r="AH172" i="51"/>
  <c r="AF172" i="51"/>
  <c r="AD172" i="51"/>
  <c r="AH171" i="51"/>
  <c r="AF171" i="51"/>
  <c r="AD171" i="51"/>
  <c r="AH170" i="51"/>
  <c r="AF170" i="51"/>
  <c r="AD170" i="51"/>
  <c r="AH169" i="51"/>
  <c r="AF169" i="51"/>
  <c r="AD169" i="51"/>
  <c r="AH168" i="51"/>
  <c r="AF168" i="51"/>
  <c r="AD168" i="51"/>
  <c r="AH167" i="51"/>
  <c r="AF167" i="51"/>
  <c r="AD167" i="51"/>
  <c r="AH166" i="51"/>
  <c r="AF166" i="51"/>
  <c r="AD166" i="51"/>
  <c r="AH165" i="51"/>
  <c r="AF165" i="51"/>
  <c r="AD165" i="51"/>
  <c r="AH164" i="51"/>
  <c r="AF164" i="51"/>
  <c r="AD164" i="51"/>
  <c r="AH163" i="51"/>
  <c r="AF163" i="51"/>
  <c r="AD163" i="51"/>
  <c r="AH162" i="51"/>
  <c r="AF162" i="51"/>
  <c r="AD162" i="51"/>
  <c r="AH161" i="51"/>
  <c r="AF161" i="51"/>
  <c r="AD161" i="51"/>
  <c r="AH160" i="51"/>
  <c r="AF160" i="51"/>
  <c r="AD160" i="51"/>
  <c r="AH159" i="51"/>
  <c r="AF159" i="51"/>
  <c r="AD159" i="51"/>
  <c r="AH158" i="51"/>
  <c r="AF158" i="51"/>
  <c r="AD158" i="51"/>
  <c r="AH157" i="51"/>
  <c r="AF157" i="51"/>
  <c r="AD157" i="51"/>
  <c r="AH156" i="51"/>
  <c r="AF156" i="51"/>
  <c r="AD156" i="51"/>
  <c r="AH155" i="51"/>
  <c r="AF155" i="51"/>
  <c r="AD155" i="51"/>
  <c r="AH154" i="51"/>
  <c r="AF154" i="51"/>
  <c r="AD154" i="51"/>
  <c r="AH153" i="51"/>
  <c r="AF153" i="51"/>
  <c r="AD153" i="51"/>
  <c r="AH152" i="51"/>
  <c r="AF152" i="51"/>
  <c r="AD152" i="51"/>
  <c r="AH151" i="51"/>
  <c r="AF151" i="51"/>
  <c r="AD151" i="51"/>
  <c r="AH150" i="51"/>
  <c r="AF150" i="51"/>
  <c r="AD150" i="51"/>
  <c r="AH149" i="51"/>
  <c r="AF149" i="51"/>
  <c r="AD149" i="51"/>
  <c r="AH148" i="51"/>
  <c r="AF148" i="51"/>
  <c r="AD148" i="51"/>
  <c r="AH147" i="51"/>
  <c r="AF147" i="51"/>
  <c r="AD147" i="51"/>
  <c r="AH146" i="51"/>
  <c r="AF146" i="51"/>
  <c r="AD146" i="51"/>
  <c r="AH145" i="51"/>
  <c r="AF145" i="51"/>
  <c r="AD145" i="51"/>
  <c r="AH144" i="51"/>
  <c r="AF144" i="51"/>
  <c r="AD144" i="51"/>
  <c r="AH143" i="51"/>
  <c r="AF143" i="51"/>
  <c r="AD143" i="51"/>
  <c r="AH142" i="51"/>
  <c r="AF142" i="51"/>
  <c r="AD142" i="51"/>
  <c r="AH141" i="51"/>
  <c r="AF141" i="51"/>
  <c r="AD141" i="51"/>
  <c r="AH140" i="51"/>
  <c r="AF140" i="51"/>
  <c r="AD140" i="51"/>
  <c r="AH139" i="51"/>
  <c r="AF139" i="51"/>
  <c r="AD139" i="51"/>
  <c r="AH138" i="51"/>
  <c r="AF138" i="51"/>
  <c r="AD138" i="51"/>
  <c r="AH137" i="51"/>
  <c r="AF137" i="51"/>
  <c r="AD137" i="51"/>
  <c r="AH136" i="51"/>
  <c r="AF136" i="51"/>
  <c r="AD136" i="51"/>
  <c r="AH135" i="51"/>
  <c r="AF135" i="51"/>
  <c r="AD135" i="51"/>
  <c r="AH134" i="51"/>
  <c r="AF134" i="51"/>
  <c r="AD134" i="51"/>
  <c r="AH133" i="51"/>
  <c r="AF133" i="51"/>
  <c r="AD133" i="51"/>
  <c r="AH132" i="51"/>
  <c r="AF132" i="51"/>
  <c r="AD132" i="51"/>
  <c r="AH131" i="51"/>
  <c r="AF131" i="51"/>
  <c r="AD131" i="51"/>
  <c r="AH130" i="51"/>
  <c r="AF130" i="51"/>
  <c r="AD130" i="51"/>
  <c r="AH129" i="51"/>
  <c r="AF129" i="51"/>
  <c r="AD129" i="51"/>
  <c r="AH128" i="51"/>
  <c r="AF128" i="51"/>
  <c r="AD128" i="51"/>
  <c r="AH127" i="51"/>
  <c r="AF127" i="51"/>
  <c r="AD127" i="51"/>
  <c r="AH126" i="51"/>
  <c r="AF126" i="51"/>
  <c r="AD126" i="51"/>
  <c r="AH125" i="51"/>
  <c r="AF125" i="51"/>
  <c r="AD125" i="51"/>
  <c r="AH124" i="51"/>
  <c r="AF124" i="51"/>
  <c r="AD124" i="51"/>
  <c r="AH123" i="51"/>
  <c r="AF123" i="51"/>
  <c r="AD123" i="51"/>
  <c r="AH122" i="51"/>
  <c r="AF122" i="51"/>
  <c r="AD122" i="51"/>
  <c r="AH121" i="51"/>
  <c r="AF121" i="51"/>
  <c r="AD121" i="51"/>
  <c r="AH120" i="51"/>
  <c r="AF120" i="51"/>
  <c r="AD120" i="51"/>
  <c r="AH119" i="51"/>
  <c r="AF119" i="51"/>
  <c r="AD119" i="51"/>
  <c r="AH118" i="51"/>
  <c r="AF118" i="51"/>
  <c r="AD118" i="51"/>
  <c r="AH117" i="51"/>
  <c r="AF117" i="51"/>
  <c r="AD117" i="51"/>
  <c r="AH116" i="51"/>
  <c r="AF116" i="51"/>
  <c r="AD116" i="51"/>
  <c r="AH115" i="51"/>
  <c r="AF115" i="51"/>
  <c r="AD115" i="51"/>
  <c r="AH114" i="51"/>
  <c r="AF114" i="51"/>
  <c r="AD114" i="51"/>
  <c r="AH113" i="51"/>
  <c r="AF113" i="51"/>
  <c r="AD113" i="51"/>
  <c r="AH112" i="51"/>
  <c r="AF112" i="51"/>
  <c r="AD112" i="51"/>
  <c r="AH111" i="51"/>
  <c r="AF111" i="51"/>
  <c r="AD111" i="51"/>
  <c r="AH110" i="51"/>
  <c r="AF110" i="51"/>
  <c r="AD110" i="51"/>
  <c r="AH109" i="51"/>
  <c r="AF109" i="51"/>
  <c r="AD109" i="51"/>
  <c r="AH108" i="51"/>
  <c r="AF108" i="51"/>
  <c r="AD108" i="51"/>
  <c r="AH107" i="51"/>
  <c r="AF107" i="51"/>
  <c r="AD107" i="51"/>
  <c r="AH106" i="51"/>
  <c r="AF106" i="51"/>
  <c r="AD106" i="51"/>
  <c r="AH105" i="51"/>
  <c r="AF105" i="51"/>
  <c r="AD105" i="51"/>
  <c r="AH104" i="51"/>
  <c r="AF104" i="51"/>
  <c r="AD104" i="51"/>
  <c r="AH103" i="51"/>
  <c r="AF103" i="51"/>
  <c r="AD103" i="51"/>
  <c r="AH102" i="51"/>
  <c r="AF102" i="51"/>
  <c r="AD102" i="51"/>
  <c r="AH101" i="51"/>
  <c r="AF101" i="51"/>
  <c r="AD101" i="51"/>
  <c r="AH100" i="51"/>
  <c r="AF100" i="51"/>
  <c r="AD100" i="51"/>
  <c r="AH99" i="51"/>
  <c r="AF99" i="51"/>
  <c r="AD99" i="51"/>
  <c r="AH98" i="51"/>
  <c r="AF98" i="51"/>
  <c r="AD98" i="51"/>
  <c r="AH97" i="51"/>
  <c r="AF97" i="51"/>
  <c r="AD97" i="51"/>
  <c r="AH96" i="51"/>
  <c r="AF96" i="51"/>
  <c r="AD96" i="51"/>
  <c r="AH95" i="51"/>
  <c r="AF95" i="51"/>
  <c r="AD95" i="51"/>
  <c r="AH94" i="51"/>
  <c r="AF94" i="51"/>
  <c r="AD94" i="51"/>
  <c r="AH93" i="51"/>
  <c r="AF93" i="51"/>
  <c r="AD93" i="51"/>
  <c r="AH92" i="51"/>
  <c r="AF92" i="51"/>
  <c r="AD92" i="51"/>
  <c r="AH91" i="51"/>
  <c r="AF91" i="51"/>
  <c r="AD91" i="51"/>
  <c r="AH90" i="51"/>
  <c r="AF90" i="51"/>
  <c r="AD90" i="51"/>
  <c r="AH89" i="51"/>
  <c r="AF89" i="51"/>
  <c r="AD89" i="51"/>
  <c r="AH88" i="51"/>
  <c r="AF88" i="51"/>
  <c r="AD88" i="51"/>
  <c r="AH87" i="51"/>
  <c r="AF87" i="51"/>
  <c r="AD87" i="51"/>
  <c r="AH86" i="51"/>
  <c r="AF86" i="51"/>
  <c r="AD86" i="51"/>
  <c r="AH85" i="51"/>
  <c r="AF85" i="51"/>
  <c r="AD85" i="51"/>
  <c r="AH84" i="51"/>
  <c r="AF84" i="51"/>
  <c r="AD84" i="51"/>
  <c r="AH83" i="51"/>
  <c r="AF83" i="51"/>
  <c r="AD83" i="51"/>
  <c r="AH82" i="51"/>
  <c r="AF82" i="51"/>
  <c r="AD82" i="51"/>
  <c r="AH81" i="51"/>
  <c r="AF81" i="51"/>
  <c r="AD81" i="51"/>
  <c r="AH80" i="51"/>
  <c r="AF80" i="51"/>
  <c r="AD80" i="51"/>
  <c r="AH79" i="51"/>
  <c r="AF79" i="51"/>
  <c r="AD79" i="51"/>
  <c r="AH78" i="51"/>
  <c r="AF78" i="51"/>
  <c r="AD78" i="51"/>
  <c r="AH77" i="51"/>
  <c r="AF77" i="51"/>
  <c r="AD77" i="51"/>
  <c r="AH76" i="51"/>
  <c r="AF76" i="51"/>
  <c r="AD76" i="51"/>
  <c r="AH75" i="51"/>
  <c r="AF75" i="51"/>
  <c r="AD75" i="51"/>
  <c r="AH74" i="51"/>
  <c r="AF74" i="51"/>
  <c r="AD74" i="51"/>
  <c r="AH73" i="51"/>
  <c r="AF73" i="51"/>
  <c r="AD73" i="51"/>
  <c r="AH72" i="51"/>
  <c r="AF72" i="51"/>
  <c r="AD72" i="51"/>
  <c r="AH71" i="51"/>
  <c r="AF71" i="51"/>
  <c r="AD71" i="51"/>
  <c r="AH70" i="51"/>
  <c r="AF70" i="51"/>
  <c r="AD70" i="51"/>
  <c r="AH69" i="51"/>
  <c r="AF69" i="51"/>
  <c r="AD69" i="51"/>
  <c r="AH68" i="51"/>
  <c r="AF68" i="51"/>
  <c r="AD68" i="51"/>
  <c r="AH67" i="51"/>
  <c r="AF67" i="51"/>
  <c r="AD67" i="51"/>
  <c r="AH66" i="51"/>
  <c r="AF66" i="51"/>
  <c r="AD66" i="51"/>
  <c r="AH65" i="51"/>
  <c r="AF65" i="51"/>
  <c r="AD65" i="51"/>
  <c r="AH64" i="51"/>
  <c r="AF64" i="51"/>
  <c r="AD64" i="51"/>
  <c r="AH63" i="51"/>
  <c r="AF63" i="51"/>
  <c r="AD63" i="51"/>
  <c r="AH62" i="51"/>
  <c r="AF62" i="51"/>
  <c r="AD62" i="51"/>
  <c r="AH61" i="51"/>
  <c r="AF61" i="51"/>
  <c r="AD61" i="51"/>
  <c r="AH60" i="51"/>
  <c r="AF60" i="51"/>
  <c r="AD60" i="51"/>
  <c r="AH59" i="51"/>
  <c r="AF59" i="51"/>
  <c r="AD59" i="51"/>
  <c r="AH58" i="51"/>
  <c r="AF58" i="51"/>
  <c r="AD58" i="51"/>
  <c r="AH57" i="51"/>
  <c r="AF57" i="51"/>
  <c r="AD57" i="51"/>
  <c r="AH56" i="51"/>
  <c r="AF56" i="51"/>
  <c r="AD56" i="51"/>
  <c r="AH55" i="51"/>
  <c r="AF55" i="51"/>
  <c r="AD55" i="51"/>
  <c r="AH54" i="51"/>
  <c r="AF54" i="51"/>
  <c r="AD54" i="51"/>
  <c r="AH53" i="51"/>
  <c r="AF53" i="51"/>
  <c r="AD53" i="51"/>
  <c r="AH52" i="51"/>
  <c r="AF52" i="51"/>
  <c r="AD52" i="51"/>
  <c r="AH51" i="51"/>
  <c r="AF51" i="51"/>
  <c r="AD51" i="51"/>
  <c r="AH50" i="51"/>
  <c r="AF50" i="51"/>
  <c r="AD50" i="51"/>
  <c r="AH49" i="51"/>
  <c r="AF49" i="51"/>
  <c r="AD49" i="51"/>
  <c r="Y729" i="51"/>
  <c r="Z729" i="51" s="1"/>
  <c r="AA729" i="51" s="1"/>
  <c r="X729" i="51"/>
  <c r="AB729" i="51" s="1"/>
  <c r="Y728" i="51"/>
  <c r="Z728" i="51" s="1"/>
  <c r="AA728" i="51" s="1"/>
  <c r="X728" i="51"/>
  <c r="AB728" i="51" s="1"/>
  <c r="Y727" i="51"/>
  <c r="Z727" i="51" s="1"/>
  <c r="AA727" i="51" s="1"/>
  <c r="X727" i="51"/>
  <c r="AB727" i="51" s="1"/>
  <c r="Q726" i="51"/>
  <c r="Q725" i="51"/>
  <c r="Q723" i="51"/>
  <c r="Q722" i="51"/>
  <c r="Q707" i="51"/>
  <c r="Q705" i="51"/>
  <c r="Q704" i="51"/>
  <c r="R701" i="51"/>
  <c r="AH700" i="51"/>
  <c r="AF700" i="51"/>
  <c r="AD700" i="51"/>
  <c r="AH511" i="51"/>
  <c r="AF511" i="51"/>
  <c r="AD511" i="51"/>
  <c r="AH510" i="51"/>
  <c r="AF510" i="51"/>
  <c r="AD510" i="51"/>
  <c r="AH509" i="51"/>
  <c r="AF509" i="51"/>
  <c r="AD509" i="51"/>
  <c r="AH508" i="51"/>
  <c r="AF508" i="51"/>
  <c r="AD508" i="51"/>
  <c r="AH507" i="51"/>
  <c r="AF507" i="51"/>
  <c r="AD507" i="51"/>
  <c r="AH506" i="51"/>
  <c r="AF506" i="51"/>
  <c r="AD506" i="51"/>
  <c r="AH505" i="51"/>
  <c r="AF505" i="51"/>
  <c r="AD505" i="51"/>
  <c r="AH504" i="51"/>
  <c r="AF504" i="51"/>
  <c r="AD504" i="51"/>
  <c r="AH503" i="51"/>
  <c r="AF503" i="51"/>
  <c r="AD503" i="51"/>
  <c r="AH502" i="51"/>
  <c r="AF502" i="51"/>
  <c r="AD502" i="51"/>
  <c r="AH501" i="51"/>
  <c r="AF501" i="51"/>
  <c r="AD501" i="51"/>
  <c r="AH500" i="51"/>
  <c r="AF500" i="51"/>
  <c r="AD500" i="51"/>
  <c r="AH499" i="51"/>
  <c r="AF499" i="51"/>
  <c r="AD499" i="51"/>
  <c r="AH498" i="51"/>
  <c r="AF498" i="51"/>
  <c r="AD498" i="51"/>
  <c r="AH497" i="51"/>
  <c r="AF497" i="51"/>
  <c r="AD497" i="51"/>
  <c r="AH496" i="51"/>
  <c r="AF496" i="51"/>
  <c r="AD496" i="51"/>
  <c r="AH495" i="51"/>
  <c r="AF495" i="51"/>
  <c r="AD495" i="51"/>
  <c r="AH494" i="51"/>
  <c r="AF494" i="51"/>
  <c r="AD494" i="51"/>
  <c r="AH493" i="51"/>
  <c r="AF493" i="51"/>
  <c r="AD493" i="51"/>
  <c r="AH492" i="51"/>
  <c r="AF492" i="51"/>
  <c r="AD492" i="51"/>
  <c r="AH491" i="51"/>
  <c r="AF491" i="51"/>
  <c r="AD491" i="51"/>
  <c r="AH490" i="51"/>
  <c r="AF490" i="51"/>
  <c r="AD490" i="51"/>
  <c r="AH489" i="51"/>
  <c r="AF489" i="51"/>
  <c r="AD489" i="51"/>
  <c r="AH488" i="51"/>
  <c r="AF488" i="51"/>
  <c r="AD488" i="51"/>
  <c r="AH487" i="51"/>
  <c r="AF487" i="51"/>
  <c r="AD487" i="51"/>
  <c r="AH486" i="51"/>
  <c r="AF486" i="51"/>
  <c r="AD486" i="51"/>
  <c r="AH485" i="51"/>
  <c r="AF485" i="51"/>
  <c r="AD485" i="51"/>
  <c r="AH484" i="51"/>
  <c r="AF484" i="51"/>
  <c r="AD484" i="51"/>
  <c r="AH483" i="51"/>
  <c r="AF483" i="51"/>
  <c r="AD483" i="51"/>
  <c r="AH482" i="51"/>
  <c r="AF482" i="51"/>
  <c r="AD482" i="51"/>
  <c r="AH481" i="51"/>
  <c r="AF481" i="51"/>
  <c r="AD481" i="51"/>
  <c r="AH480" i="51"/>
  <c r="AF480" i="51"/>
  <c r="AD480" i="51"/>
  <c r="AH479" i="51"/>
  <c r="AF479" i="51"/>
  <c r="AD479" i="51"/>
  <c r="AH478" i="51"/>
  <c r="AF478" i="51"/>
  <c r="AD478" i="51"/>
  <c r="AH477" i="51"/>
  <c r="AF477" i="51"/>
  <c r="AD477" i="51"/>
  <c r="AH476" i="51"/>
  <c r="AF476" i="51"/>
  <c r="AD476" i="51"/>
  <c r="AH475" i="51"/>
  <c r="AF475" i="51"/>
  <c r="AD475" i="51"/>
  <c r="AH474" i="51"/>
  <c r="AF474" i="51"/>
  <c r="AD474" i="51"/>
  <c r="AH473" i="51"/>
  <c r="AF473" i="51"/>
  <c r="AD473" i="51"/>
  <c r="AH472" i="51"/>
  <c r="AF472" i="51"/>
  <c r="AD472" i="51"/>
  <c r="AH471" i="51"/>
  <c r="AF471" i="51"/>
  <c r="AD471" i="51"/>
  <c r="AH470" i="51"/>
  <c r="AF470" i="51"/>
  <c r="AD470" i="51"/>
  <c r="AH469" i="51"/>
  <c r="AF469" i="51"/>
  <c r="AD469" i="51"/>
  <c r="AH468" i="51"/>
  <c r="AF468" i="51"/>
  <c r="AD468" i="51"/>
  <c r="AH467" i="51"/>
  <c r="AF467" i="51"/>
  <c r="AD467" i="51"/>
  <c r="AH466" i="51"/>
  <c r="AF466" i="51"/>
  <c r="AD466" i="51"/>
  <c r="AH465" i="51"/>
  <c r="AF465" i="51"/>
  <c r="AD465" i="51"/>
  <c r="AH464" i="51"/>
  <c r="AF464" i="51"/>
  <c r="AD464" i="51"/>
  <c r="AH463" i="51"/>
  <c r="AF463" i="51"/>
  <c r="AD463" i="51"/>
  <c r="AH462" i="51"/>
  <c r="AF462" i="51"/>
  <c r="AD462" i="51"/>
  <c r="AH461" i="51"/>
  <c r="AF461" i="51"/>
  <c r="AD461" i="51"/>
  <c r="AH460" i="51"/>
  <c r="AF460" i="51"/>
  <c r="AD460" i="51"/>
  <c r="AH459" i="51"/>
  <c r="AF459" i="51"/>
  <c r="AD459" i="51"/>
  <c r="AH458" i="51"/>
  <c r="AF458" i="51"/>
  <c r="AD458" i="51"/>
  <c r="AH457" i="51"/>
  <c r="AF457" i="51"/>
  <c r="AD457" i="51"/>
  <c r="AH456" i="51"/>
  <c r="AF456" i="51"/>
  <c r="AD456" i="51"/>
  <c r="AH455" i="51"/>
  <c r="AF455" i="51"/>
  <c r="AD455" i="51"/>
  <c r="AH454" i="51"/>
  <c r="AF454" i="51"/>
  <c r="AD454" i="51"/>
  <c r="AH453" i="51"/>
  <c r="AF453" i="51"/>
  <c r="AD453" i="51"/>
  <c r="AH452" i="51"/>
  <c r="AF452" i="51"/>
  <c r="AD452" i="51"/>
  <c r="AH451" i="51"/>
  <c r="AF451" i="51"/>
  <c r="AD451" i="51"/>
  <c r="AH450" i="51"/>
  <c r="AF450" i="51"/>
  <c r="AD450" i="51"/>
  <c r="AH449" i="51"/>
  <c r="AF449" i="51"/>
  <c r="AD449" i="51"/>
  <c r="AH448" i="51"/>
  <c r="AF448" i="51"/>
  <c r="AD448" i="51"/>
  <c r="AH447" i="51"/>
  <c r="AF447" i="51"/>
  <c r="AD447" i="51"/>
  <c r="AH446" i="51"/>
  <c r="AF446" i="51"/>
  <c r="AD446" i="51"/>
  <c r="AH445" i="51"/>
  <c r="AF445" i="51"/>
  <c r="AD445" i="51"/>
  <c r="AH444" i="51"/>
  <c r="AF444" i="51"/>
  <c r="AD444" i="51"/>
  <c r="AH443" i="51"/>
  <c r="AF443" i="51"/>
  <c r="AD443" i="51"/>
  <c r="AH442" i="51"/>
  <c r="AF442" i="51"/>
  <c r="AD442" i="51"/>
  <c r="AH441" i="51"/>
  <c r="AF441" i="51"/>
  <c r="AD441" i="51"/>
  <c r="AH440" i="51"/>
  <c r="AF440" i="51"/>
  <c r="AD440" i="51"/>
  <c r="AH439" i="51"/>
  <c r="AF439" i="51"/>
  <c r="AD439" i="51"/>
  <c r="AH438" i="51"/>
  <c r="AF438" i="51"/>
  <c r="AD438" i="51"/>
  <c r="AH437" i="51"/>
  <c r="AF437" i="51"/>
  <c r="AD437" i="51"/>
  <c r="AH436" i="51"/>
  <c r="AF436" i="51"/>
  <c r="AD436" i="51"/>
  <c r="AH435" i="51"/>
  <c r="AF435" i="51"/>
  <c r="AD435" i="51"/>
  <c r="AH434" i="51"/>
  <c r="AF434" i="51"/>
  <c r="AD434" i="51"/>
  <c r="AH433" i="51"/>
  <c r="AF433" i="51"/>
  <c r="AD433" i="51"/>
  <c r="AH432" i="51"/>
  <c r="AF432" i="51"/>
  <c r="AD432" i="51"/>
  <c r="AH431" i="51"/>
  <c r="AF431" i="51"/>
  <c r="AD431" i="51"/>
  <c r="AH430" i="51"/>
  <c r="AF430" i="51"/>
  <c r="AD430" i="51"/>
  <c r="AH429" i="51"/>
  <c r="AF429" i="51"/>
  <c r="AD429" i="51"/>
  <c r="AH428" i="51"/>
  <c r="AF428" i="51"/>
  <c r="AD428" i="51"/>
  <c r="AH427" i="51"/>
  <c r="AF427" i="51"/>
  <c r="AD427" i="51"/>
  <c r="AH426" i="51"/>
  <c r="AF426" i="51"/>
  <c r="AD426" i="51"/>
  <c r="AH425" i="51"/>
  <c r="AF425" i="51"/>
  <c r="AD425" i="51"/>
  <c r="AH424" i="51"/>
  <c r="AF424" i="51"/>
  <c r="AD424" i="51"/>
  <c r="AH423" i="51"/>
  <c r="AF423" i="51"/>
  <c r="AD423" i="51"/>
  <c r="AH422" i="51"/>
  <c r="AF422" i="51"/>
  <c r="AD422" i="51"/>
  <c r="AH421" i="51"/>
  <c r="AF421" i="51"/>
  <c r="AD421" i="51"/>
  <c r="AH420" i="51"/>
  <c r="AF420" i="51"/>
  <c r="AD420" i="51"/>
  <c r="AH419" i="51"/>
  <c r="AF419" i="51"/>
  <c r="AD419" i="51"/>
  <c r="AH418" i="51"/>
  <c r="AF418" i="51"/>
  <c r="AD418" i="51"/>
  <c r="AH417" i="51"/>
  <c r="AF417" i="51"/>
  <c r="AD417" i="51"/>
  <c r="AH416" i="51"/>
  <c r="AF416" i="51"/>
  <c r="AD416" i="51"/>
  <c r="AH415" i="51"/>
  <c r="AF415" i="51"/>
  <c r="AD415" i="51"/>
  <c r="AH414" i="51"/>
  <c r="AF414" i="51"/>
  <c r="AD414" i="51"/>
  <c r="AH413" i="51"/>
  <c r="AF413" i="51"/>
  <c r="AD413" i="51"/>
  <c r="AH412" i="51"/>
  <c r="AF412" i="51"/>
  <c r="AD412" i="51"/>
  <c r="AH411" i="51"/>
  <c r="AF411" i="51"/>
  <c r="AD411" i="51"/>
  <c r="AH410" i="51"/>
  <c r="AF410" i="51"/>
  <c r="AD410" i="51"/>
  <c r="AH409" i="51"/>
  <c r="AF409" i="51"/>
  <c r="AD409" i="51"/>
  <c r="AH408" i="51"/>
  <c r="AF408" i="51"/>
  <c r="AD408" i="51"/>
  <c r="AH407" i="51"/>
  <c r="AF407" i="51"/>
  <c r="AD407" i="51"/>
  <c r="AH406" i="51"/>
  <c r="AF406" i="51"/>
  <c r="AD406" i="51"/>
  <c r="AH405" i="51"/>
  <c r="AF405" i="51"/>
  <c r="AD405" i="51"/>
  <c r="AH404" i="51"/>
  <c r="AF404" i="51"/>
  <c r="AD404" i="51"/>
  <c r="AH403" i="51"/>
  <c r="AF403" i="51"/>
  <c r="AD403" i="51"/>
  <c r="AH402" i="51"/>
  <c r="AF402" i="51"/>
  <c r="AD402" i="51"/>
  <c r="AH401" i="51"/>
  <c r="AF401" i="51"/>
  <c r="AD401" i="51"/>
  <c r="AH400" i="51"/>
  <c r="AF400" i="51"/>
  <c r="AD400" i="51"/>
  <c r="AH399" i="51"/>
  <c r="AF399" i="51"/>
  <c r="AD399" i="51"/>
  <c r="AH398" i="51"/>
  <c r="AF398" i="51"/>
  <c r="AD398" i="51"/>
  <c r="AH397" i="51"/>
  <c r="AF397" i="51"/>
  <c r="AD397" i="51"/>
  <c r="AH396" i="51"/>
  <c r="AF396" i="51"/>
  <c r="AD396" i="51"/>
  <c r="AH395" i="51"/>
  <c r="AF395" i="51"/>
  <c r="AD395" i="51"/>
  <c r="AH394" i="51"/>
  <c r="AF394" i="51"/>
  <c r="AD394" i="51"/>
  <c r="AH393" i="51"/>
  <c r="AF393" i="51"/>
  <c r="AD393" i="51"/>
  <c r="AH392" i="51"/>
  <c r="AF392" i="51"/>
  <c r="AD392" i="51"/>
  <c r="AH391" i="51"/>
  <c r="AF391" i="51"/>
  <c r="AD391" i="51"/>
  <c r="AH390" i="51"/>
  <c r="AF390" i="51"/>
  <c r="AD390" i="51"/>
  <c r="AH389" i="51"/>
  <c r="AF389" i="51"/>
  <c r="AD389" i="51"/>
  <c r="AH388" i="51"/>
  <c r="AF388" i="51"/>
  <c r="AD388" i="51"/>
  <c r="AH387" i="51"/>
  <c r="AF387" i="51"/>
  <c r="AD387" i="51"/>
  <c r="AH386" i="51"/>
  <c r="AF386" i="51"/>
  <c r="AD386" i="51"/>
  <c r="AH385" i="51"/>
  <c r="AF385" i="51"/>
  <c r="AD385" i="51"/>
  <c r="AH384" i="51"/>
  <c r="AF384" i="51"/>
  <c r="AD384" i="51"/>
  <c r="AH383" i="51"/>
  <c r="AF383" i="51"/>
  <c r="AD383" i="51"/>
  <c r="AH382" i="51"/>
  <c r="AF382" i="51"/>
  <c r="AD382" i="51"/>
  <c r="AH381" i="51"/>
  <c r="AF381" i="51"/>
  <c r="AD381" i="51"/>
  <c r="AH380" i="51"/>
  <c r="AF380" i="51"/>
  <c r="AD380" i="51"/>
  <c r="AH379" i="51"/>
  <c r="AF379" i="51"/>
  <c r="AD379" i="51"/>
  <c r="AH378" i="51"/>
  <c r="AF378" i="51"/>
  <c r="AD378" i="51"/>
  <c r="AH377" i="51"/>
  <c r="AF377" i="51"/>
  <c r="AD377" i="51"/>
  <c r="AH376" i="51"/>
  <c r="AF376" i="51"/>
  <c r="AD376" i="51"/>
  <c r="AH375" i="51"/>
  <c r="AF375" i="51"/>
  <c r="AD375" i="51"/>
  <c r="AH374" i="51"/>
  <c r="AF374" i="51"/>
  <c r="AD374" i="51"/>
  <c r="AH373" i="51"/>
  <c r="AF373" i="51"/>
  <c r="AD373" i="51"/>
  <c r="AH372" i="51"/>
  <c r="AF372" i="51"/>
  <c r="AD372" i="51"/>
  <c r="AH371" i="51"/>
  <c r="AF371" i="51"/>
  <c r="AD371" i="51"/>
  <c r="AH370" i="51"/>
  <c r="AF370" i="51"/>
  <c r="AD370" i="51"/>
  <c r="AH369" i="51"/>
  <c r="AF369" i="51"/>
  <c r="AD369" i="51"/>
  <c r="AH368" i="51"/>
  <c r="AF368" i="51"/>
  <c r="AD368" i="51"/>
  <c r="AH367" i="51"/>
  <c r="AF367" i="51"/>
  <c r="AD367" i="51"/>
  <c r="AH48" i="51"/>
  <c r="AF48" i="51"/>
  <c r="AD48" i="51"/>
  <c r="AH47" i="51"/>
  <c r="AF47" i="51"/>
  <c r="AD47" i="51"/>
  <c r="AH46" i="51"/>
  <c r="AF46" i="51"/>
  <c r="AD46" i="51"/>
  <c r="AH45" i="51"/>
  <c r="AF45" i="51"/>
  <c r="AD45" i="51"/>
  <c r="AH44" i="51"/>
  <c r="AF44" i="51"/>
  <c r="AD44" i="51"/>
  <c r="AH43" i="51"/>
  <c r="AF43" i="51"/>
  <c r="AD43" i="51"/>
  <c r="AH42" i="51"/>
  <c r="AF42" i="51"/>
  <c r="AD42" i="51"/>
  <c r="AH41" i="51"/>
  <c r="AF41" i="51"/>
  <c r="AD41" i="51"/>
  <c r="AH40" i="51"/>
  <c r="AF40" i="51"/>
  <c r="AD40" i="51"/>
  <c r="AH39" i="51"/>
  <c r="AF39" i="51"/>
  <c r="AD39" i="51"/>
  <c r="AH38" i="51"/>
  <c r="AF38" i="51"/>
  <c r="AD38" i="51"/>
  <c r="AH37" i="51"/>
  <c r="AF37" i="51"/>
  <c r="AD37" i="51"/>
  <c r="AH36" i="51"/>
  <c r="AF36" i="51"/>
  <c r="AD36" i="51"/>
  <c r="AH35" i="51"/>
  <c r="AF35" i="51"/>
  <c r="AD35" i="51"/>
  <c r="AH34" i="51"/>
  <c r="AF34" i="51"/>
  <c r="AD34" i="51"/>
  <c r="AH33" i="51"/>
  <c r="AF33" i="51"/>
  <c r="AD33" i="51"/>
  <c r="AH32" i="51"/>
  <c r="AF32" i="51"/>
  <c r="AD32" i="51"/>
  <c r="AH31" i="51"/>
  <c r="AF31" i="51"/>
  <c r="AD31" i="51"/>
  <c r="AH30" i="51"/>
  <c r="AF30" i="51"/>
  <c r="AD30" i="51"/>
  <c r="AH29" i="51"/>
  <c r="AF29" i="51"/>
  <c r="AD29" i="51"/>
  <c r="AH28" i="51"/>
  <c r="AF28" i="51"/>
  <c r="AD28" i="51"/>
  <c r="AH27" i="51"/>
  <c r="AF27" i="51"/>
  <c r="AD27" i="51"/>
  <c r="AH26" i="51"/>
  <c r="AF26" i="51"/>
  <c r="AD26" i="51"/>
  <c r="AH25" i="51"/>
  <c r="AF25" i="51"/>
  <c r="AD25" i="51"/>
  <c r="AH24" i="51"/>
  <c r="AF24" i="51"/>
  <c r="AD24" i="51"/>
  <c r="AH23" i="51"/>
  <c r="AF23" i="51"/>
  <c r="AD23" i="51"/>
  <c r="AH22" i="51"/>
  <c r="AF22" i="51"/>
  <c r="AD22" i="51"/>
  <c r="AH21" i="51"/>
  <c r="AF21" i="51"/>
  <c r="AD21" i="51"/>
  <c r="AH20" i="51"/>
  <c r="AF20" i="51"/>
  <c r="AD20" i="51"/>
  <c r="AH19" i="51"/>
  <c r="AF19" i="51"/>
  <c r="AD19" i="51"/>
  <c r="AH18" i="51"/>
  <c r="AF18" i="51"/>
  <c r="AD18" i="51"/>
  <c r="AH17" i="51"/>
  <c r="AF17" i="51"/>
  <c r="AD17" i="51"/>
  <c r="AH16" i="51"/>
  <c r="AF16" i="51"/>
  <c r="AD16" i="51"/>
  <c r="AH15" i="51"/>
  <c r="AF15" i="51"/>
  <c r="AD15" i="51"/>
  <c r="AH14" i="51"/>
  <c r="AF14" i="51"/>
  <c r="AD14" i="51"/>
  <c r="AH13" i="51"/>
  <c r="AF13" i="51"/>
  <c r="AD13" i="51"/>
  <c r="C8" i="51"/>
  <c r="F6" i="51"/>
  <c r="F8" i="51" s="1"/>
  <c r="E6" i="51"/>
  <c r="AA3" i="51"/>
  <c r="AA2" i="51"/>
  <c r="X370" i="52" l="1"/>
  <c r="AB370" i="52" s="1"/>
  <c r="Y340" i="52"/>
  <c r="Z340" i="52" s="1"/>
  <c r="AA340" i="52" s="1"/>
  <c r="X346" i="52"/>
  <c r="AB346" i="52" s="1"/>
  <c r="X339" i="52"/>
  <c r="AB339" i="52" s="1"/>
  <c r="X348" i="52"/>
  <c r="AB348" i="52" s="1"/>
  <c r="Y351" i="52"/>
  <c r="Z351" i="52" s="1"/>
  <c r="AA351" i="52" s="1"/>
  <c r="Y359" i="52"/>
  <c r="Z359" i="52" s="1"/>
  <c r="AA359" i="52" s="1"/>
  <c r="Y370" i="52"/>
  <c r="Z370" i="52" s="1"/>
  <c r="AA370" i="52" s="1"/>
  <c r="X338" i="52"/>
  <c r="X345" i="52"/>
  <c r="AB345" i="52" s="1"/>
  <c r="X358" i="52"/>
  <c r="AB358" i="52" s="1"/>
  <c r="X364" i="52"/>
  <c r="AB364" i="52" s="1"/>
  <c r="Y338" i="52"/>
  <c r="X342" i="52"/>
  <c r="AB342" i="52" s="1"/>
  <c r="Y345" i="52"/>
  <c r="Z345" i="52" s="1"/>
  <c r="AA345" i="52" s="1"/>
  <c r="X350" i="52"/>
  <c r="AB350" i="52" s="1"/>
  <c r="Y358" i="52"/>
  <c r="Z358" i="52" s="1"/>
  <c r="AA358" i="52" s="1"/>
  <c r="Y364" i="52"/>
  <c r="Z364" i="52" s="1"/>
  <c r="AA364" i="52" s="1"/>
  <c r="X369" i="52"/>
  <c r="AB369" i="52" s="1"/>
  <c r="Y339" i="52"/>
  <c r="Z339" i="52" s="1"/>
  <c r="AA339" i="52" s="1"/>
  <c r="Y348" i="52"/>
  <c r="Z348" i="52" s="1"/>
  <c r="AA348" i="52" s="1"/>
  <c r="Y367" i="52"/>
  <c r="Z367" i="52" s="1"/>
  <c r="AA367" i="52" s="1"/>
  <c r="X341" i="52"/>
  <c r="AB341" i="52" s="1"/>
  <c r="Y342" i="52"/>
  <c r="Z342" i="52" s="1"/>
  <c r="AA342" i="52" s="1"/>
  <c r="X347" i="52"/>
  <c r="AB347" i="52" s="1"/>
  <c r="Y350" i="52"/>
  <c r="Z350" i="52" s="1"/>
  <c r="AA350" i="52" s="1"/>
  <c r="X366" i="52"/>
  <c r="AB366" i="52" s="1"/>
  <c r="Y369" i="52"/>
  <c r="Z369" i="52" s="1"/>
  <c r="AA369" i="52" s="1"/>
  <c r="Y343" i="52"/>
  <c r="Z343" i="52" s="1"/>
  <c r="AA343" i="52" s="1"/>
  <c r="X367" i="52"/>
  <c r="AB367" i="52" s="1"/>
  <c r="Y341" i="52"/>
  <c r="Z341" i="52" s="1"/>
  <c r="AA341" i="52" s="1"/>
  <c r="X344" i="52"/>
  <c r="AB344" i="52" s="1"/>
  <c r="Y347" i="52"/>
  <c r="Z347" i="52" s="1"/>
  <c r="AA347" i="52" s="1"/>
  <c r="X352" i="52"/>
  <c r="AB352" i="52" s="1"/>
  <c r="X357" i="52"/>
  <c r="AB357" i="52" s="1"/>
  <c r="Y366" i="52"/>
  <c r="Z366" i="52" s="1"/>
  <c r="AA366" i="52" s="1"/>
  <c r="X340" i="52"/>
  <c r="AB340" i="52" s="1"/>
  <c r="Y344" i="52"/>
  <c r="Z344" i="52" s="1"/>
  <c r="AA344" i="52" s="1"/>
  <c r="X349" i="52"/>
  <c r="AB349" i="52" s="1"/>
  <c r="Y352" i="52"/>
  <c r="Z352" i="52" s="1"/>
  <c r="AA352" i="52" s="1"/>
  <c r="Y357" i="52"/>
  <c r="Z357" i="52" s="1"/>
  <c r="AA357" i="52" s="1"/>
  <c r="X360" i="52"/>
  <c r="AB360" i="52" s="1"/>
  <c r="X368" i="52"/>
  <c r="AB368" i="52" s="1"/>
  <c r="Y349" i="52"/>
  <c r="Z349" i="52" s="1"/>
  <c r="AA349" i="52" s="1"/>
  <c r="X356" i="52"/>
  <c r="Y360" i="52"/>
  <c r="Z360" i="52" s="1"/>
  <c r="AA360" i="52" s="1"/>
  <c r="X365" i="52"/>
  <c r="AB365" i="52" s="1"/>
  <c r="Y368" i="52"/>
  <c r="Z368" i="52" s="1"/>
  <c r="AA368" i="52" s="1"/>
  <c r="X343" i="52"/>
  <c r="AB343" i="52" s="1"/>
  <c r="Y346" i="52"/>
  <c r="Z346" i="52" s="1"/>
  <c r="AA346" i="52" s="1"/>
  <c r="X351" i="52"/>
  <c r="AB351" i="52" s="1"/>
  <c r="Y356" i="52"/>
  <c r="X359" i="52"/>
  <c r="AB359" i="52" s="1"/>
  <c r="Y365" i="52"/>
  <c r="Z365" i="52" s="1"/>
  <c r="AA365" i="52" s="1"/>
  <c r="X736" i="51"/>
  <c r="AB736" i="51" s="1"/>
  <c r="Y709" i="51"/>
  <c r="Z709" i="51" s="1"/>
  <c r="AA709" i="51" s="1"/>
  <c r="Y717" i="51"/>
  <c r="Z717" i="51" s="1"/>
  <c r="AA717" i="51" s="1"/>
  <c r="Y725" i="51"/>
  <c r="Z725" i="51" s="1"/>
  <c r="AA725" i="51" s="1"/>
  <c r="X733" i="51"/>
  <c r="AB733" i="51" s="1"/>
  <c r="Y736" i="51"/>
  <c r="Z736" i="51" s="1"/>
  <c r="AA736" i="51" s="1"/>
  <c r="X704" i="51"/>
  <c r="Y705" i="51"/>
  <c r="Z705" i="51" s="1"/>
  <c r="AA705" i="51" s="1"/>
  <c r="X711" i="51"/>
  <c r="AB711" i="51" s="1"/>
  <c r="Y714" i="51"/>
  <c r="Z714" i="51" s="1"/>
  <c r="AA714" i="51" s="1"/>
  <c r="X724" i="51"/>
  <c r="AB724" i="51" s="1"/>
  <c r="X730" i="51"/>
  <c r="AB730" i="51" s="1"/>
  <c r="Y733" i="51"/>
  <c r="Z733" i="51" s="1"/>
  <c r="AA733" i="51" s="1"/>
  <c r="X705" i="51"/>
  <c r="AB705" i="51" s="1"/>
  <c r="Y704" i="51"/>
  <c r="X708" i="51"/>
  <c r="AB708" i="51" s="1"/>
  <c r="Y711" i="51"/>
  <c r="Z711" i="51" s="1"/>
  <c r="AA711" i="51" s="1"/>
  <c r="X716" i="51"/>
  <c r="AB716" i="51" s="1"/>
  <c r="Y724" i="51"/>
  <c r="Z724" i="51" s="1"/>
  <c r="AA724" i="51" s="1"/>
  <c r="Y730" i="51"/>
  <c r="Z730" i="51" s="1"/>
  <c r="AA730" i="51" s="1"/>
  <c r="X735" i="51"/>
  <c r="AB735" i="51" s="1"/>
  <c r="X707" i="51"/>
  <c r="AB707" i="51" s="1"/>
  <c r="Y708" i="51"/>
  <c r="Z708" i="51" s="1"/>
  <c r="AA708" i="51" s="1"/>
  <c r="X713" i="51"/>
  <c r="AB713" i="51" s="1"/>
  <c r="Y716" i="51"/>
  <c r="Z716" i="51" s="1"/>
  <c r="AA716" i="51" s="1"/>
  <c r="X732" i="51"/>
  <c r="AB732" i="51" s="1"/>
  <c r="Y735" i="51"/>
  <c r="Z735" i="51" s="1"/>
  <c r="AA735" i="51" s="1"/>
  <c r="X714" i="51"/>
  <c r="AB714" i="51" s="1"/>
  <c r="Y707" i="51"/>
  <c r="Z707" i="51" s="1"/>
  <c r="AA707" i="51" s="1"/>
  <c r="X710" i="51"/>
  <c r="AB710" i="51" s="1"/>
  <c r="Y713" i="51"/>
  <c r="Z713" i="51" s="1"/>
  <c r="AA713" i="51" s="1"/>
  <c r="X718" i="51"/>
  <c r="AB718" i="51" s="1"/>
  <c r="X723" i="51"/>
  <c r="AB723" i="51" s="1"/>
  <c r="Y732" i="51"/>
  <c r="Z732" i="51" s="1"/>
  <c r="AA732" i="51" s="1"/>
  <c r="X706" i="51"/>
  <c r="AB706" i="51" s="1"/>
  <c r="Y710" i="51"/>
  <c r="Z710" i="51" s="1"/>
  <c r="AA710" i="51" s="1"/>
  <c r="X715" i="51"/>
  <c r="AB715" i="51" s="1"/>
  <c r="Y718" i="51"/>
  <c r="Z718" i="51" s="1"/>
  <c r="AA718" i="51" s="1"/>
  <c r="Y723" i="51"/>
  <c r="Z723" i="51" s="1"/>
  <c r="AA723" i="51" s="1"/>
  <c r="X726" i="51"/>
  <c r="AB726" i="51" s="1"/>
  <c r="X734" i="51"/>
  <c r="AB734" i="51" s="1"/>
  <c r="Y706" i="51"/>
  <c r="Z706" i="51" s="1"/>
  <c r="AA706" i="51" s="1"/>
  <c r="X712" i="51"/>
  <c r="AB712" i="51" s="1"/>
  <c r="Y715" i="51"/>
  <c r="Z715" i="51" s="1"/>
  <c r="AA715" i="51" s="1"/>
  <c r="X722" i="51"/>
  <c r="Y726" i="51"/>
  <c r="Z726" i="51" s="1"/>
  <c r="AA726" i="51" s="1"/>
  <c r="X731" i="51"/>
  <c r="AB731" i="51" s="1"/>
  <c r="Y734" i="51"/>
  <c r="Z734" i="51" s="1"/>
  <c r="AA734" i="51" s="1"/>
  <c r="X709" i="51"/>
  <c r="AB709" i="51" s="1"/>
  <c r="Y712" i="51"/>
  <c r="Z712" i="51" s="1"/>
  <c r="AA712" i="51" s="1"/>
  <c r="X717" i="51"/>
  <c r="AB717" i="51" s="1"/>
  <c r="Y722" i="51"/>
  <c r="X725" i="51"/>
  <c r="AB725" i="51" s="1"/>
  <c r="Y731" i="51"/>
  <c r="Z731" i="51" s="1"/>
  <c r="AA731" i="51" s="1"/>
  <c r="AB338" i="52" l="1"/>
  <c r="X353" i="52"/>
  <c r="Y371" i="52"/>
  <c r="Z356" i="52"/>
  <c r="X371" i="52"/>
  <c r="AB356" i="52"/>
  <c r="Z338" i="52"/>
  <c r="Y353" i="52"/>
  <c r="Z704" i="51"/>
  <c r="Y719" i="51"/>
  <c r="AB704" i="51"/>
  <c r="X719" i="51"/>
  <c r="X737" i="51"/>
  <c r="AB722" i="51"/>
  <c r="Y737" i="51"/>
  <c r="Z722" i="51"/>
  <c r="Z371" i="52" l="1"/>
  <c r="AA356" i="52"/>
  <c r="AA371" i="52" s="1"/>
  <c r="AA338" i="52"/>
  <c r="AA353" i="52" s="1"/>
  <c r="Z353" i="52"/>
  <c r="AA704" i="51"/>
  <c r="AA719" i="51" s="1"/>
  <c r="Z719" i="51"/>
  <c r="Z737" i="51"/>
  <c r="AA722" i="51"/>
  <c r="AA737" i="51" s="1"/>
  <c r="Y57" i="49" l="1"/>
  <c r="Z57" i="49" s="1"/>
  <c r="AA57" i="49" s="1"/>
  <c r="X57" i="49"/>
  <c r="AB57" i="49" s="1"/>
  <c r="Y56" i="49"/>
  <c r="Z56" i="49" s="1"/>
  <c r="AA56" i="49" s="1"/>
  <c r="X56" i="49"/>
  <c r="AB56" i="49" s="1"/>
  <c r="Y55" i="49"/>
  <c r="Z55" i="49" s="1"/>
  <c r="AA55" i="49" s="1"/>
  <c r="X55" i="49"/>
  <c r="AB55" i="49" s="1"/>
  <c r="Q54" i="49"/>
  <c r="Q53" i="49"/>
  <c r="Q51" i="49"/>
  <c r="Q50" i="49"/>
  <c r="Q35" i="49"/>
  <c r="M35" i="49"/>
  <c r="Q33" i="49"/>
  <c r="Q32" i="49"/>
  <c r="M32" i="49"/>
  <c r="R29" i="49"/>
  <c r="AH28" i="49"/>
  <c r="AF28" i="49"/>
  <c r="AD28" i="49"/>
  <c r="AH27" i="49"/>
  <c r="AF27" i="49"/>
  <c r="AD27" i="49"/>
  <c r="AH26" i="49"/>
  <c r="AF26" i="49"/>
  <c r="AD26" i="49"/>
  <c r="AH25" i="49"/>
  <c r="AF25" i="49"/>
  <c r="AD25" i="49"/>
  <c r="AH24" i="49"/>
  <c r="AF24" i="49"/>
  <c r="AD24" i="49"/>
  <c r="AH23" i="49"/>
  <c r="AF23" i="49"/>
  <c r="AD23" i="49"/>
  <c r="AH22" i="49"/>
  <c r="AF22" i="49"/>
  <c r="AD22" i="49"/>
  <c r="AH21" i="49"/>
  <c r="AF21" i="49"/>
  <c r="AD21" i="49"/>
  <c r="AH20" i="49"/>
  <c r="AF20" i="49"/>
  <c r="AD20" i="49"/>
  <c r="AH19" i="49"/>
  <c r="AF19" i="49"/>
  <c r="AD19" i="49"/>
  <c r="AH18" i="49"/>
  <c r="AF18" i="49"/>
  <c r="AD18" i="49"/>
  <c r="AH17" i="49"/>
  <c r="AF17" i="49"/>
  <c r="AD17" i="49"/>
  <c r="AH16" i="49"/>
  <c r="AF16" i="49"/>
  <c r="AD16" i="49"/>
  <c r="AH15" i="49"/>
  <c r="AF15" i="49"/>
  <c r="AD15" i="49"/>
  <c r="AH14" i="49"/>
  <c r="AF14" i="49"/>
  <c r="AD14" i="49"/>
  <c r="AH13" i="49"/>
  <c r="AF13" i="49"/>
  <c r="AD13" i="49"/>
  <c r="C8" i="49"/>
  <c r="E6" i="49"/>
  <c r="F6" i="49" s="1"/>
  <c r="F8" i="49" s="1"/>
  <c r="AA3" i="49"/>
  <c r="AA2" i="49"/>
  <c r="X39" i="49" l="1"/>
  <c r="AB39" i="49" s="1"/>
  <c r="Y64" i="49"/>
  <c r="Z64" i="49" s="1"/>
  <c r="AA64" i="49" s="1"/>
  <c r="X58" i="49"/>
  <c r="AB58" i="49" s="1"/>
  <c r="Y61" i="49"/>
  <c r="Z61" i="49" s="1"/>
  <c r="AA61" i="49" s="1"/>
  <c r="X36" i="49"/>
  <c r="AB36" i="49" s="1"/>
  <c r="Y39" i="49"/>
  <c r="Z39" i="49" s="1"/>
  <c r="AA39" i="49" s="1"/>
  <c r="X44" i="49"/>
  <c r="AB44" i="49" s="1"/>
  <c r="Y52" i="49"/>
  <c r="Z52" i="49" s="1"/>
  <c r="AA52" i="49" s="1"/>
  <c r="Y58" i="49"/>
  <c r="Z58" i="49" s="1"/>
  <c r="AA58" i="49" s="1"/>
  <c r="X63" i="49"/>
  <c r="AB63" i="49" s="1"/>
  <c r="Y32" i="49"/>
  <c r="X52" i="49"/>
  <c r="AB52" i="49" s="1"/>
  <c r="X35" i="49"/>
  <c r="AB35" i="49" s="1"/>
  <c r="Y36" i="49"/>
  <c r="Z36" i="49" s="1"/>
  <c r="AA36" i="49" s="1"/>
  <c r="X41" i="49"/>
  <c r="AB41" i="49" s="1"/>
  <c r="Y44" i="49"/>
  <c r="Z44" i="49" s="1"/>
  <c r="AA44" i="49" s="1"/>
  <c r="X60" i="49"/>
  <c r="AB60" i="49" s="1"/>
  <c r="Y63" i="49"/>
  <c r="Z63" i="49" s="1"/>
  <c r="AA63" i="49" s="1"/>
  <c r="X34" i="49"/>
  <c r="AB34" i="49" s="1"/>
  <c r="Y35" i="49"/>
  <c r="Z35" i="49" s="1"/>
  <c r="AA35" i="49" s="1"/>
  <c r="X38" i="49"/>
  <c r="AB38" i="49" s="1"/>
  <c r="Y41" i="49"/>
  <c r="Z41" i="49" s="1"/>
  <c r="AA41" i="49" s="1"/>
  <c r="X46" i="49"/>
  <c r="AB46" i="49" s="1"/>
  <c r="X51" i="49"/>
  <c r="AB51" i="49" s="1"/>
  <c r="Y60" i="49"/>
  <c r="Z60" i="49" s="1"/>
  <c r="AA60" i="49" s="1"/>
  <c r="Y42" i="49"/>
  <c r="Z42" i="49" s="1"/>
  <c r="AA42" i="49" s="1"/>
  <c r="Y34" i="49"/>
  <c r="Z34" i="49" s="1"/>
  <c r="AA34" i="49" s="1"/>
  <c r="Y38" i="49"/>
  <c r="Z38" i="49" s="1"/>
  <c r="AA38" i="49" s="1"/>
  <c r="X43" i="49"/>
  <c r="AB43" i="49" s="1"/>
  <c r="Y46" i="49"/>
  <c r="Z46" i="49" s="1"/>
  <c r="AA46" i="49" s="1"/>
  <c r="Y51" i="49"/>
  <c r="Z51" i="49" s="1"/>
  <c r="AA51" i="49" s="1"/>
  <c r="X54" i="49"/>
  <c r="AB54" i="49" s="1"/>
  <c r="X62" i="49"/>
  <c r="AB62" i="49" s="1"/>
  <c r="X40" i="49"/>
  <c r="AB40" i="49" s="1"/>
  <c r="Y43" i="49"/>
  <c r="Z43" i="49" s="1"/>
  <c r="AA43" i="49" s="1"/>
  <c r="X50" i="49"/>
  <c r="Y54" i="49"/>
  <c r="Z54" i="49" s="1"/>
  <c r="AA54" i="49" s="1"/>
  <c r="X59" i="49"/>
  <c r="AB59" i="49" s="1"/>
  <c r="Y62" i="49"/>
  <c r="Z62" i="49" s="1"/>
  <c r="AA62" i="49" s="1"/>
  <c r="X33" i="49"/>
  <c r="AB33" i="49" s="1"/>
  <c r="X37" i="49"/>
  <c r="AB37" i="49" s="1"/>
  <c r="Y40" i="49"/>
  <c r="Z40" i="49" s="1"/>
  <c r="AA40" i="49" s="1"/>
  <c r="X45" i="49"/>
  <c r="AB45" i="49" s="1"/>
  <c r="Y50" i="49"/>
  <c r="X53" i="49"/>
  <c r="AB53" i="49" s="1"/>
  <c r="Y59" i="49"/>
  <c r="Z59" i="49" s="1"/>
  <c r="AA59" i="49" s="1"/>
  <c r="X64" i="49"/>
  <c r="AB64" i="49" s="1"/>
  <c r="X32" i="49"/>
  <c r="Y33" i="49"/>
  <c r="Z33" i="49" s="1"/>
  <c r="AA33" i="49" s="1"/>
  <c r="Y37" i="49"/>
  <c r="Z37" i="49" s="1"/>
  <c r="AA37" i="49" s="1"/>
  <c r="X42" i="49"/>
  <c r="AB42" i="49" s="1"/>
  <c r="Y45" i="49"/>
  <c r="Z45" i="49" s="1"/>
  <c r="AA45" i="49" s="1"/>
  <c r="Y53" i="49"/>
  <c r="Z53" i="49" s="1"/>
  <c r="AA53" i="49" s="1"/>
  <c r="X61" i="49"/>
  <c r="AB61" i="49" s="1"/>
  <c r="Q342" i="52" l="1"/>
  <c r="Q708" i="51"/>
  <c r="Q70" i="53"/>
  <c r="X47" i="49"/>
  <c r="AB32" i="49"/>
  <c r="Z50" i="49"/>
  <c r="Y65" i="49"/>
  <c r="X65" i="49"/>
  <c r="AB65" i="49" s="1"/>
  <c r="AB50" i="49"/>
  <c r="Y47" i="49"/>
  <c r="Z32" i="49"/>
  <c r="Z47" i="49" l="1"/>
  <c r="AA32" i="49"/>
  <c r="AA47" i="49" s="1"/>
  <c r="Z65" i="49"/>
  <c r="AA50" i="49"/>
  <c r="AA65" i="49" s="1"/>
  <c r="R45" i="45" l="1"/>
  <c r="Y73" i="45"/>
  <c r="Z73" i="45" s="1"/>
  <c r="AA73" i="45" s="1"/>
  <c r="X73" i="45"/>
  <c r="AB73" i="45" s="1"/>
  <c r="Y72" i="45"/>
  <c r="Z72" i="45" s="1"/>
  <c r="AA72" i="45" s="1"/>
  <c r="X72" i="45"/>
  <c r="AB72" i="45" s="1"/>
  <c r="Y71" i="45"/>
  <c r="Z71" i="45" s="1"/>
  <c r="AA71" i="45" s="1"/>
  <c r="X71" i="45"/>
  <c r="AB71" i="45" s="1"/>
  <c r="Q70" i="45"/>
  <c r="Q69" i="45"/>
  <c r="Q67" i="45"/>
  <c r="Q66" i="45"/>
  <c r="Q51" i="45"/>
  <c r="Q49" i="45"/>
  <c r="Q48" i="45"/>
  <c r="P45" i="45"/>
  <c r="AH44" i="45"/>
  <c r="AF44" i="45"/>
  <c r="AD44" i="45"/>
  <c r="AH43" i="45"/>
  <c r="AF43" i="45"/>
  <c r="AD43" i="45"/>
  <c r="AH42" i="45"/>
  <c r="AF42" i="45"/>
  <c r="AD42" i="45"/>
  <c r="AH41" i="45"/>
  <c r="AF41" i="45"/>
  <c r="AD41" i="45"/>
  <c r="AH40" i="45"/>
  <c r="AF40" i="45"/>
  <c r="AD40" i="45"/>
  <c r="AH39" i="45"/>
  <c r="AF39" i="45"/>
  <c r="AD39" i="45"/>
  <c r="AH38" i="45"/>
  <c r="AF38" i="45"/>
  <c r="AD38" i="45"/>
  <c r="AH37" i="45"/>
  <c r="AF37" i="45"/>
  <c r="AD37" i="45"/>
  <c r="AH36" i="45"/>
  <c r="AF36" i="45"/>
  <c r="AD36" i="45"/>
  <c r="AH35" i="45"/>
  <c r="AF35" i="45"/>
  <c r="AD35" i="45"/>
  <c r="AH34" i="45"/>
  <c r="AF34" i="45"/>
  <c r="AD34" i="45"/>
  <c r="AH33" i="45"/>
  <c r="AF33" i="45"/>
  <c r="AD33" i="45"/>
  <c r="AH32" i="45"/>
  <c r="AF32" i="45"/>
  <c r="AD32" i="45"/>
  <c r="AH31" i="45"/>
  <c r="AF31" i="45"/>
  <c r="AD31" i="45"/>
  <c r="AH30" i="45"/>
  <c r="AF30" i="45"/>
  <c r="AD30" i="45"/>
  <c r="AH29" i="45"/>
  <c r="AF29" i="45"/>
  <c r="AD29" i="45"/>
  <c r="AH28" i="45"/>
  <c r="AF28" i="45"/>
  <c r="AD28" i="45"/>
  <c r="AH27" i="45"/>
  <c r="AF27" i="45"/>
  <c r="AD27" i="45"/>
  <c r="AH26" i="45"/>
  <c r="AF26" i="45"/>
  <c r="AD26" i="45"/>
  <c r="AH25" i="45"/>
  <c r="AF25" i="45"/>
  <c r="AD25" i="45"/>
  <c r="AH24" i="45"/>
  <c r="AF24" i="45"/>
  <c r="AD24" i="45"/>
  <c r="AH23" i="45"/>
  <c r="AF23" i="45"/>
  <c r="AD23" i="45"/>
  <c r="AH22" i="45"/>
  <c r="AF22" i="45"/>
  <c r="AD22" i="45"/>
  <c r="AH21" i="45"/>
  <c r="AF21" i="45"/>
  <c r="AD21" i="45"/>
  <c r="AH20" i="45"/>
  <c r="AF20" i="45"/>
  <c r="AD20" i="45"/>
  <c r="AH19" i="45"/>
  <c r="AF19" i="45"/>
  <c r="AD19" i="45"/>
  <c r="AH18" i="45"/>
  <c r="AF18" i="45"/>
  <c r="AD18" i="45"/>
  <c r="AH17" i="45"/>
  <c r="AF17" i="45"/>
  <c r="AD17" i="45"/>
  <c r="AH16" i="45"/>
  <c r="AF16" i="45"/>
  <c r="AD16" i="45"/>
  <c r="X55" i="45" s="1"/>
  <c r="AB55" i="45" s="1"/>
  <c r="AH15" i="45"/>
  <c r="AF15" i="45"/>
  <c r="AD15" i="45"/>
  <c r="AH14" i="45"/>
  <c r="AF14" i="45"/>
  <c r="AD14" i="45"/>
  <c r="AH13" i="45"/>
  <c r="AF13" i="45"/>
  <c r="AD13" i="45"/>
  <c r="C8" i="45"/>
  <c r="E6" i="45"/>
  <c r="F6" i="45" s="1"/>
  <c r="F8" i="45" s="1"/>
  <c r="AA3" i="45"/>
  <c r="AA2" i="45"/>
  <c r="M33" i="44"/>
  <c r="R29" i="44"/>
  <c r="P29" i="44"/>
  <c r="AH28" i="44"/>
  <c r="AF28" i="44"/>
  <c r="AD28" i="44"/>
  <c r="AH27" i="44"/>
  <c r="AF27" i="44"/>
  <c r="AD27" i="44"/>
  <c r="AH26" i="44"/>
  <c r="AF26" i="44"/>
  <c r="AD26" i="44"/>
  <c r="AH25" i="44"/>
  <c r="AF25" i="44"/>
  <c r="AD25" i="44"/>
  <c r="AH24" i="44"/>
  <c r="AF24" i="44"/>
  <c r="AD24" i="44"/>
  <c r="AH23" i="44"/>
  <c r="AF23" i="44"/>
  <c r="AD23" i="44"/>
  <c r="AH22" i="44"/>
  <c r="AF22" i="44"/>
  <c r="AD22" i="44"/>
  <c r="AH21" i="44"/>
  <c r="AF21" i="44"/>
  <c r="AD21" i="44"/>
  <c r="AH20" i="44"/>
  <c r="AF20" i="44"/>
  <c r="AD20" i="44"/>
  <c r="AH19" i="44"/>
  <c r="AF19" i="44"/>
  <c r="AD19" i="44"/>
  <c r="AH18" i="44"/>
  <c r="AF18" i="44"/>
  <c r="AD18" i="44"/>
  <c r="AH17" i="44"/>
  <c r="AF17" i="44"/>
  <c r="AD17" i="44"/>
  <c r="AH16" i="44"/>
  <c r="AF16" i="44"/>
  <c r="AD16" i="44"/>
  <c r="AH15" i="44"/>
  <c r="AF15" i="44"/>
  <c r="AD15" i="44"/>
  <c r="AH14" i="44"/>
  <c r="AF14" i="44"/>
  <c r="AD14" i="44"/>
  <c r="AH13" i="44"/>
  <c r="AF13" i="44"/>
  <c r="AD13" i="44"/>
  <c r="F6" i="44"/>
  <c r="F8" i="44" s="1"/>
  <c r="X80" i="45" l="1"/>
  <c r="AB80" i="45" s="1"/>
  <c r="X48" i="45"/>
  <c r="X74" i="45"/>
  <c r="AB74" i="45" s="1"/>
  <c r="X49" i="45"/>
  <c r="AB49" i="45" s="1"/>
  <c r="Y53" i="45"/>
  <c r="Z53" i="45" s="1"/>
  <c r="AA53" i="45" s="1"/>
  <c r="X58" i="45"/>
  <c r="AB58" i="45" s="1"/>
  <c r="Y61" i="45"/>
  <c r="Z61" i="45" s="1"/>
  <c r="AA61" i="45" s="1"/>
  <c r="Y69" i="45"/>
  <c r="Z69" i="45" s="1"/>
  <c r="AA69" i="45" s="1"/>
  <c r="X77" i="45"/>
  <c r="AB77" i="45" s="1"/>
  <c r="Y80" i="45"/>
  <c r="Z80" i="45" s="1"/>
  <c r="AA80" i="45" s="1"/>
  <c r="Y77" i="45"/>
  <c r="Z77" i="45" s="1"/>
  <c r="AA77" i="45" s="1"/>
  <c r="Y48" i="45"/>
  <c r="X52" i="45"/>
  <c r="AB52" i="45" s="1"/>
  <c r="Y55" i="45"/>
  <c r="Z55" i="45" s="1"/>
  <c r="AA55" i="45" s="1"/>
  <c r="X60" i="45"/>
  <c r="AB60" i="45" s="1"/>
  <c r="Y68" i="45"/>
  <c r="Z68" i="45" s="1"/>
  <c r="AA68" i="45" s="1"/>
  <c r="Y74" i="45"/>
  <c r="Z74" i="45" s="1"/>
  <c r="AA74" i="45" s="1"/>
  <c r="X79" i="45"/>
  <c r="AB79" i="45" s="1"/>
  <c r="Y58" i="45"/>
  <c r="Z58" i="45" s="1"/>
  <c r="AA58" i="45" s="1"/>
  <c r="X51" i="45"/>
  <c r="AB51" i="45" s="1"/>
  <c r="Y52" i="45"/>
  <c r="Z52" i="45" s="1"/>
  <c r="AA52" i="45" s="1"/>
  <c r="X57" i="45"/>
  <c r="AB57" i="45" s="1"/>
  <c r="Y60" i="45"/>
  <c r="Z60" i="45" s="1"/>
  <c r="AA60" i="45" s="1"/>
  <c r="X76" i="45"/>
  <c r="AB76" i="45" s="1"/>
  <c r="Y79" i="45"/>
  <c r="Z79" i="45" s="1"/>
  <c r="AA79" i="45" s="1"/>
  <c r="Y51" i="45"/>
  <c r="Z51" i="45" s="1"/>
  <c r="AA51" i="45" s="1"/>
  <c r="X54" i="45"/>
  <c r="AB54" i="45" s="1"/>
  <c r="Y57" i="45"/>
  <c r="Z57" i="45" s="1"/>
  <c r="AA57" i="45" s="1"/>
  <c r="X62" i="45"/>
  <c r="AB62" i="45" s="1"/>
  <c r="X67" i="45"/>
  <c r="AB67" i="45" s="1"/>
  <c r="Y76" i="45"/>
  <c r="Z76" i="45" s="1"/>
  <c r="AA76" i="45" s="1"/>
  <c r="Y49" i="45"/>
  <c r="Z49" i="45" s="1"/>
  <c r="AA49" i="45" s="1"/>
  <c r="X68" i="45"/>
  <c r="AB68" i="45" s="1"/>
  <c r="X50" i="45"/>
  <c r="AB50" i="45" s="1"/>
  <c r="Y54" i="45"/>
  <c r="Z54" i="45" s="1"/>
  <c r="AA54" i="45" s="1"/>
  <c r="X59" i="45"/>
  <c r="AB59" i="45" s="1"/>
  <c r="Y62" i="45"/>
  <c r="Z62" i="45" s="1"/>
  <c r="AA62" i="45" s="1"/>
  <c r="Y67" i="45"/>
  <c r="Z67" i="45" s="1"/>
  <c r="AA67" i="45" s="1"/>
  <c r="X70" i="45"/>
  <c r="AB70" i="45" s="1"/>
  <c r="X78" i="45"/>
  <c r="AB78" i="45" s="1"/>
  <c r="Y50" i="45"/>
  <c r="Z50" i="45" s="1"/>
  <c r="AA50" i="45" s="1"/>
  <c r="X56" i="45"/>
  <c r="AB56" i="45" s="1"/>
  <c r="Y59" i="45"/>
  <c r="Z59" i="45" s="1"/>
  <c r="AA59" i="45" s="1"/>
  <c r="X66" i="45"/>
  <c r="Y70" i="45"/>
  <c r="Z70" i="45" s="1"/>
  <c r="AA70" i="45" s="1"/>
  <c r="X75" i="45"/>
  <c r="AB75" i="45" s="1"/>
  <c r="Y78" i="45"/>
  <c r="Z78" i="45" s="1"/>
  <c r="AA78" i="45" s="1"/>
  <c r="X53" i="45"/>
  <c r="AB53" i="45" s="1"/>
  <c r="Y56" i="45"/>
  <c r="Z56" i="45" s="1"/>
  <c r="AA56" i="45" s="1"/>
  <c r="X61" i="45"/>
  <c r="AB61" i="45" s="1"/>
  <c r="Y66" i="45"/>
  <c r="X69" i="45"/>
  <c r="AB69" i="45" s="1"/>
  <c r="Y75" i="45"/>
  <c r="Z75" i="45" s="1"/>
  <c r="AA75" i="45" s="1"/>
  <c r="Y44" i="44"/>
  <c r="Z44" i="44" s="1"/>
  <c r="AA44" i="44" s="1"/>
  <c r="Y32" i="44"/>
  <c r="Y35" i="44"/>
  <c r="Z35" i="44" s="1"/>
  <c r="AA35" i="44" s="1"/>
  <c r="X38" i="44"/>
  <c r="AB38" i="44" s="1"/>
  <c r="Y41" i="44"/>
  <c r="Z41" i="44" s="1"/>
  <c r="AA41" i="44" s="1"/>
  <c r="X46" i="44"/>
  <c r="AB46" i="44" s="1"/>
  <c r="Y38" i="44"/>
  <c r="Z38" i="44" s="1"/>
  <c r="AA38" i="44" s="1"/>
  <c r="X43" i="44"/>
  <c r="AB43" i="44" s="1"/>
  <c r="Y46" i="44"/>
  <c r="Z46" i="44" s="1"/>
  <c r="AA46" i="44" s="1"/>
  <c r="X34" i="44"/>
  <c r="AB34" i="44" s="1"/>
  <c r="X40" i="44"/>
  <c r="AB40" i="44" s="1"/>
  <c r="Y43" i="44"/>
  <c r="Z43" i="44" s="1"/>
  <c r="AA43" i="44" s="1"/>
  <c r="Y34" i="44"/>
  <c r="Z34" i="44" s="1"/>
  <c r="AA34" i="44" s="1"/>
  <c r="X37" i="44"/>
  <c r="AB37" i="44" s="1"/>
  <c r="Y40" i="44"/>
  <c r="Z40" i="44" s="1"/>
  <c r="AA40" i="44" s="1"/>
  <c r="X45" i="44"/>
  <c r="AB45" i="44" s="1"/>
  <c r="Y37" i="44"/>
  <c r="Z37" i="44" s="1"/>
  <c r="AA37" i="44" s="1"/>
  <c r="X42" i="44"/>
  <c r="AB42" i="44" s="1"/>
  <c r="Y45" i="44"/>
  <c r="Z45" i="44" s="1"/>
  <c r="AA45" i="44" s="1"/>
  <c r="Y42" i="44"/>
  <c r="Z42" i="44" s="1"/>
  <c r="AA42" i="44" s="1"/>
  <c r="Y33" i="44"/>
  <c r="Z33" i="44" s="1"/>
  <c r="AA33" i="44" s="1"/>
  <c r="X36" i="44"/>
  <c r="AB36" i="44" s="1"/>
  <c r="Y39" i="44"/>
  <c r="Z39" i="44" s="1"/>
  <c r="AA39" i="44" s="1"/>
  <c r="X44" i="44"/>
  <c r="AB44" i="44" s="1"/>
  <c r="X33" i="44"/>
  <c r="AB33" i="44" s="1"/>
  <c r="X39" i="44"/>
  <c r="AB39" i="44" s="1"/>
  <c r="X32" i="44"/>
  <c r="X35" i="44"/>
  <c r="AB35" i="44" s="1"/>
  <c r="Y36" i="44"/>
  <c r="Z36" i="44" s="1"/>
  <c r="AA36" i="44" s="1"/>
  <c r="X41" i="44"/>
  <c r="AB41" i="44" s="1"/>
  <c r="X81" i="45" l="1"/>
  <c r="AB66" i="45"/>
  <c r="Z48" i="45"/>
  <c r="Y63" i="45"/>
  <c r="Y81" i="45"/>
  <c r="Z66" i="45"/>
  <c r="X63" i="45"/>
  <c r="AB48" i="45"/>
  <c r="X47" i="44"/>
  <c r="AB32" i="44"/>
  <c r="Y47" i="44"/>
  <c r="Z32" i="44"/>
  <c r="AA66" i="45" l="1"/>
  <c r="AA81" i="45" s="1"/>
  <c r="Z81" i="45"/>
  <c r="AA48" i="45"/>
  <c r="AA63" i="45" s="1"/>
  <c r="Z63" i="45"/>
  <c r="Z47" i="44"/>
  <c r="AA32" i="44"/>
  <c r="AA47" i="44" s="1"/>
  <c r="AD14" i="41" l="1"/>
  <c r="AF14" i="41"/>
  <c r="AH14" i="41"/>
  <c r="AD15" i="41"/>
  <c r="AF15" i="41"/>
  <c r="AH15" i="41"/>
  <c r="AD16" i="41"/>
  <c r="AF16" i="41"/>
  <c r="AH16" i="41"/>
  <c r="AD17" i="41"/>
  <c r="AF17" i="41"/>
  <c r="AH17" i="41"/>
  <c r="AD18" i="41"/>
  <c r="AF18" i="41"/>
  <c r="AH18" i="41"/>
  <c r="AD19" i="41"/>
  <c r="AF19" i="41"/>
  <c r="AH19" i="41"/>
  <c r="AD20" i="41"/>
  <c r="AF20" i="41"/>
  <c r="AH20" i="41"/>
  <c r="AD21" i="41"/>
  <c r="AF21" i="41"/>
  <c r="AH21" i="41"/>
  <c r="AD22" i="41"/>
  <c r="AF22" i="41"/>
  <c r="AH22" i="41"/>
  <c r="AD23" i="41"/>
  <c r="AF23" i="41"/>
  <c r="AH23" i="41"/>
  <c r="AD24" i="41"/>
  <c r="AF24" i="41"/>
  <c r="AH24" i="41"/>
  <c r="AD25" i="41"/>
  <c r="AF25" i="41"/>
  <c r="AH25" i="41"/>
  <c r="AD26" i="41"/>
  <c r="AF26" i="41"/>
  <c r="AH26" i="41"/>
  <c r="AD27" i="41"/>
  <c r="AF27" i="41"/>
  <c r="AH27" i="41"/>
  <c r="AD28" i="41"/>
  <c r="AF28" i="41"/>
  <c r="AH28" i="41"/>
  <c r="AD29" i="41"/>
  <c r="AF29" i="41"/>
  <c r="AH29" i="41"/>
  <c r="AD30" i="41"/>
  <c r="AF30" i="41"/>
  <c r="AH30" i="41"/>
  <c r="AD31" i="41"/>
  <c r="AF31" i="41"/>
  <c r="AH31" i="41"/>
  <c r="AD32" i="41"/>
  <c r="AF32" i="41"/>
  <c r="AH32" i="41"/>
  <c r="AD33" i="41"/>
  <c r="AF33" i="41"/>
  <c r="AH33" i="41"/>
  <c r="AD34" i="41"/>
  <c r="AF34" i="41"/>
  <c r="AH34" i="41"/>
  <c r="AD35" i="41"/>
  <c r="AF35" i="41"/>
  <c r="AH35" i="41"/>
  <c r="AD36" i="41"/>
  <c r="AF36" i="41"/>
  <c r="AH36" i="41"/>
  <c r="AD37" i="41"/>
  <c r="AF37" i="41"/>
  <c r="AH37" i="41"/>
  <c r="AD38" i="41"/>
  <c r="AF38" i="41"/>
  <c r="AH38" i="41"/>
  <c r="AD39" i="41"/>
  <c r="AF39" i="41"/>
  <c r="AH39" i="41"/>
  <c r="AD40" i="41"/>
  <c r="AF40" i="41"/>
  <c r="AH40" i="41"/>
  <c r="AD41" i="41"/>
  <c r="AF41" i="41"/>
  <c r="AH41" i="41"/>
  <c r="AD42" i="41"/>
  <c r="AF42" i="41"/>
  <c r="AH42" i="41"/>
  <c r="AD43" i="41"/>
  <c r="AF43" i="41"/>
  <c r="AH43" i="41"/>
  <c r="AD44" i="41"/>
  <c r="AF44" i="41"/>
  <c r="AH44" i="41"/>
  <c r="AD45" i="41"/>
  <c r="AF45" i="41"/>
  <c r="AH45" i="41"/>
  <c r="AD46" i="41"/>
  <c r="AF46" i="41"/>
  <c r="AH46" i="41"/>
  <c r="AD47" i="41"/>
  <c r="AF47" i="41"/>
  <c r="AH47" i="41"/>
  <c r="AD48" i="41"/>
  <c r="AF48" i="41"/>
  <c r="AH48" i="41"/>
  <c r="AD49" i="41"/>
  <c r="AF49" i="41"/>
  <c r="AH49" i="41"/>
  <c r="AD50" i="41"/>
  <c r="AF50" i="41"/>
  <c r="AH50" i="41"/>
  <c r="AD51" i="41"/>
  <c r="AF51" i="41"/>
  <c r="AH51" i="41"/>
  <c r="AD52" i="41"/>
  <c r="AF52" i="41"/>
  <c r="AH52" i="41"/>
  <c r="AD53" i="41"/>
  <c r="AF53" i="41"/>
  <c r="AH53" i="41"/>
  <c r="AD54" i="41"/>
  <c r="AF54" i="41"/>
  <c r="AH54" i="41"/>
  <c r="AD55" i="41"/>
  <c r="AF55" i="41"/>
  <c r="AH55" i="41"/>
  <c r="AD56" i="41"/>
  <c r="AF56" i="41"/>
  <c r="AH56" i="41"/>
  <c r="AD57" i="41"/>
  <c r="AF57" i="41"/>
  <c r="AH57" i="41"/>
  <c r="AD58" i="41"/>
  <c r="AF58" i="41"/>
  <c r="AH58" i="41"/>
  <c r="AD59" i="41"/>
  <c r="AF59" i="41"/>
  <c r="AH59" i="41"/>
  <c r="AD60" i="41"/>
  <c r="AF60" i="41"/>
  <c r="AH60" i="41"/>
  <c r="AD61" i="41"/>
  <c r="AF61" i="41"/>
  <c r="AH61" i="41"/>
  <c r="AD62" i="41"/>
  <c r="AF62" i="41"/>
  <c r="AH62" i="41"/>
  <c r="AD63" i="41"/>
  <c r="AF63" i="41"/>
  <c r="AH63" i="41"/>
  <c r="AD64" i="41"/>
  <c r="AF64" i="41"/>
  <c r="AH64" i="41"/>
  <c r="AD65" i="41"/>
  <c r="AF65" i="41"/>
  <c r="AH65" i="41"/>
  <c r="AD66" i="41"/>
  <c r="AF66" i="41"/>
  <c r="AH66" i="41"/>
  <c r="AD67" i="41"/>
  <c r="AF67" i="41"/>
  <c r="AH67" i="41"/>
  <c r="AD68" i="41"/>
  <c r="AF68" i="41"/>
  <c r="AH68" i="41"/>
  <c r="AD69" i="41"/>
  <c r="AF69" i="41"/>
  <c r="AH69" i="41"/>
  <c r="AD70" i="41"/>
  <c r="AF70" i="41"/>
  <c r="AH70" i="41"/>
  <c r="AD71" i="41"/>
  <c r="AF71" i="41"/>
  <c r="AH71" i="41"/>
  <c r="AD72" i="41"/>
  <c r="AF72" i="41"/>
  <c r="AH72" i="41"/>
  <c r="AD73" i="41"/>
  <c r="AF73" i="41"/>
  <c r="AH73" i="41"/>
  <c r="AD74" i="41"/>
  <c r="AF74" i="41"/>
  <c r="AH74" i="41"/>
  <c r="AD75" i="41"/>
  <c r="AF75" i="41"/>
  <c r="AH75" i="41"/>
  <c r="AD76" i="41"/>
  <c r="AF76" i="41"/>
  <c r="AH76" i="41"/>
  <c r="AD77" i="41"/>
  <c r="AF77" i="41"/>
  <c r="AH77" i="41"/>
  <c r="AD78" i="41"/>
  <c r="AF78" i="41"/>
  <c r="AH78" i="41"/>
  <c r="AD79" i="41"/>
  <c r="AF79" i="41"/>
  <c r="AH79" i="41"/>
  <c r="AD80" i="41"/>
  <c r="AF80" i="41"/>
  <c r="AH80" i="41"/>
  <c r="AD81" i="41"/>
  <c r="AF81" i="41"/>
  <c r="AH81" i="41"/>
  <c r="AD82" i="41"/>
  <c r="AF82" i="41"/>
  <c r="AH82" i="41"/>
  <c r="AD83" i="41"/>
  <c r="AF83" i="41"/>
  <c r="AH83" i="41"/>
  <c r="AD84" i="41"/>
  <c r="AF84" i="41"/>
  <c r="AH84" i="41"/>
  <c r="AD85" i="41"/>
  <c r="AF85" i="41"/>
  <c r="AH85" i="41"/>
  <c r="AD86" i="41"/>
  <c r="AF86" i="41"/>
  <c r="AH86" i="41"/>
  <c r="AD87" i="41"/>
  <c r="AF87" i="41"/>
  <c r="AH87" i="41"/>
  <c r="AD88" i="41"/>
  <c r="AF88" i="41"/>
  <c r="AH88" i="41"/>
  <c r="AD89" i="41"/>
  <c r="AF89" i="41"/>
  <c r="AH89" i="41"/>
  <c r="AD90" i="41"/>
  <c r="AF90" i="41"/>
  <c r="AH90" i="41"/>
  <c r="AD91" i="41"/>
  <c r="AF91" i="41"/>
  <c r="AH91" i="41"/>
  <c r="AD92" i="41"/>
  <c r="AF92" i="41"/>
  <c r="AH92" i="41"/>
  <c r="AD93" i="41"/>
  <c r="AF93" i="41"/>
  <c r="AH93" i="41"/>
  <c r="AD94" i="41"/>
  <c r="AF94" i="41"/>
  <c r="AH94" i="41"/>
  <c r="AD95" i="41"/>
  <c r="AF95" i="41"/>
  <c r="AH95" i="41"/>
  <c r="AD96" i="41"/>
  <c r="AF96" i="41"/>
  <c r="AH96" i="41"/>
  <c r="AD97" i="41"/>
  <c r="AF97" i="41"/>
  <c r="AH97" i="41"/>
  <c r="AD98" i="41"/>
  <c r="AF98" i="41"/>
  <c r="AH98" i="41"/>
  <c r="AD99" i="41"/>
  <c r="AF99" i="41"/>
  <c r="AH99" i="41"/>
  <c r="AD100" i="41"/>
  <c r="AF100" i="41"/>
  <c r="AH100" i="41"/>
  <c r="AD101" i="41"/>
  <c r="AF101" i="41"/>
  <c r="AH101" i="41"/>
  <c r="AD102" i="41"/>
  <c r="AF102" i="41"/>
  <c r="AH102" i="41"/>
  <c r="AD103" i="41"/>
  <c r="AF103" i="41"/>
  <c r="AH103" i="41"/>
  <c r="AD104" i="41"/>
  <c r="AF104" i="41"/>
  <c r="AH104" i="41"/>
  <c r="AD105" i="41"/>
  <c r="AF105" i="41"/>
  <c r="AH105" i="41"/>
  <c r="AD106" i="41"/>
  <c r="AF106" i="41"/>
  <c r="AH106" i="41"/>
  <c r="AD107" i="41"/>
  <c r="AF107" i="41"/>
  <c r="AH107" i="41"/>
  <c r="AD108" i="41"/>
  <c r="AF108" i="41"/>
  <c r="AH108" i="41"/>
  <c r="AD109" i="41"/>
  <c r="AF109" i="41"/>
  <c r="AH109" i="41"/>
  <c r="AD110" i="41"/>
  <c r="AF110" i="41"/>
  <c r="AH110" i="41"/>
  <c r="AD111" i="41"/>
  <c r="AF111" i="41"/>
  <c r="AH111" i="41"/>
  <c r="AD112" i="41"/>
  <c r="AF112" i="41"/>
  <c r="AH112" i="41"/>
  <c r="AD113" i="41"/>
  <c r="AF113" i="41"/>
  <c r="AH113" i="41"/>
  <c r="AD114" i="41"/>
  <c r="AF114" i="41"/>
  <c r="AH114" i="41"/>
  <c r="AD115" i="41"/>
  <c r="AF115" i="41"/>
  <c r="AH115" i="41"/>
  <c r="AD116" i="41"/>
  <c r="AF116" i="41"/>
  <c r="AH116" i="41"/>
  <c r="AD117" i="41"/>
  <c r="AF117" i="41"/>
  <c r="AH117" i="41"/>
  <c r="AD118" i="41"/>
  <c r="AF118" i="41"/>
  <c r="AH118" i="41"/>
  <c r="AD119" i="41"/>
  <c r="AF119" i="41"/>
  <c r="AH119" i="41"/>
  <c r="AD120" i="41"/>
  <c r="AF120" i="41"/>
  <c r="AH120" i="41"/>
  <c r="AD121" i="41"/>
  <c r="AF121" i="41"/>
  <c r="AH121" i="41"/>
  <c r="AD122" i="41"/>
  <c r="AF122" i="41"/>
  <c r="AH122" i="41"/>
  <c r="AD123" i="41"/>
  <c r="AF123" i="41"/>
  <c r="AH123" i="41"/>
  <c r="AD124" i="41"/>
  <c r="AF124" i="41"/>
  <c r="AH124" i="41"/>
  <c r="AD125" i="41"/>
  <c r="AF125" i="41"/>
  <c r="AH125" i="41"/>
  <c r="AD126" i="41"/>
  <c r="AF126" i="41"/>
  <c r="AH126" i="41"/>
  <c r="AD127" i="41"/>
  <c r="AF127" i="41"/>
  <c r="AH127" i="41"/>
  <c r="AD128" i="41"/>
  <c r="AF128" i="41"/>
  <c r="AH128" i="41"/>
  <c r="AD129" i="41"/>
  <c r="AF129" i="41"/>
  <c r="AH129" i="41"/>
  <c r="AD130" i="41"/>
  <c r="AF130" i="41"/>
  <c r="AH130" i="41"/>
  <c r="AD131" i="41"/>
  <c r="AF131" i="41"/>
  <c r="AH131" i="41"/>
  <c r="AD132" i="41"/>
  <c r="AF132" i="41"/>
  <c r="AH132" i="41"/>
  <c r="AD133" i="41"/>
  <c r="AF133" i="41"/>
  <c r="AH133" i="41"/>
  <c r="AD134" i="41"/>
  <c r="AF134" i="41"/>
  <c r="AH134" i="41"/>
  <c r="AD135" i="41"/>
  <c r="AF135" i="41"/>
  <c r="AH135" i="41"/>
  <c r="AD136" i="41"/>
  <c r="AF136" i="41"/>
  <c r="AH136" i="41"/>
  <c r="AD137" i="41"/>
  <c r="AF137" i="41"/>
  <c r="AH137" i="41"/>
  <c r="AD138" i="41"/>
  <c r="AF138" i="41"/>
  <c r="AH138" i="41"/>
  <c r="AD139" i="41"/>
  <c r="AF139" i="41"/>
  <c r="AH139" i="41"/>
  <c r="AD140" i="41"/>
  <c r="AF140" i="41"/>
  <c r="AH140" i="41"/>
  <c r="AD141" i="41"/>
  <c r="AF141" i="41"/>
  <c r="AH141" i="41"/>
  <c r="AD142" i="41"/>
  <c r="AF142" i="41"/>
  <c r="AH142" i="41"/>
  <c r="AD143" i="41"/>
  <c r="AF143" i="41"/>
  <c r="AH143" i="41"/>
  <c r="AD144" i="41"/>
  <c r="AF144" i="41"/>
  <c r="AH144" i="41"/>
  <c r="AD145" i="41"/>
  <c r="AF145" i="41"/>
  <c r="AH145" i="41"/>
  <c r="AD146" i="41"/>
  <c r="AF146" i="41"/>
  <c r="AH146" i="41"/>
  <c r="AD147" i="41"/>
  <c r="AF147" i="41"/>
  <c r="AH147" i="41"/>
  <c r="AD148" i="41"/>
  <c r="AF148" i="41"/>
  <c r="AH148" i="41"/>
  <c r="AD149" i="41"/>
  <c r="AF149" i="41"/>
  <c r="AH149" i="41"/>
  <c r="AD150" i="41"/>
  <c r="AF150" i="41"/>
  <c r="AH150" i="41"/>
  <c r="AD151" i="41"/>
  <c r="AF151" i="41"/>
  <c r="AH151" i="41"/>
  <c r="AD152" i="41"/>
  <c r="AF152" i="41"/>
  <c r="AH152" i="41"/>
  <c r="AD153" i="41"/>
  <c r="AF153" i="41"/>
  <c r="AH153" i="41"/>
  <c r="AD154" i="41"/>
  <c r="AF154" i="41"/>
  <c r="AH154" i="41"/>
  <c r="AD155" i="41"/>
  <c r="AF155" i="41"/>
  <c r="AH155" i="41"/>
  <c r="AD156" i="41"/>
  <c r="AF156" i="41"/>
  <c r="AH156" i="41"/>
  <c r="AD157" i="41"/>
  <c r="AF157" i="41"/>
  <c r="AH157" i="41"/>
  <c r="AD158" i="41"/>
  <c r="AF158" i="41"/>
  <c r="AH158" i="41"/>
  <c r="AD159" i="41"/>
  <c r="AF159" i="41"/>
  <c r="AH159" i="41"/>
  <c r="AD160" i="41"/>
  <c r="AF160" i="41"/>
  <c r="AH160" i="41"/>
  <c r="AD161" i="41"/>
  <c r="AF161" i="41"/>
  <c r="AH161" i="41"/>
  <c r="AD162" i="41"/>
  <c r="AF162" i="41"/>
  <c r="AH162" i="41"/>
  <c r="AD163" i="41"/>
  <c r="AF163" i="41"/>
  <c r="AH163" i="41"/>
  <c r="AD164" i="41"/>
  <c r="AF164" i="41"/>
  <c r="AH164" i="41"/>
  <c r="AD165" i="41"/>
  <c r="AF165" i="41"/>
  <c r="AH165" i="41"/>
  <c r="AD166" i="41"/>
  <c r="AF166" i="41"/>
  <c r="AH166" i="41"/>
  <c r="AD167" i="41"/>
  <c r="AF167" i="41"/>
  <c r="AH167" i="41"/>
  <c r="AD168" i="41"/>
  <c r="AF168" i="41"/>
  <c r="AH168" i="41"/>
  <c r="AD169" i="41"/>
  <c r="AF169" i="41"/>
  <c r="AH169" i="41"/>
  <c r="AD170" i="41"/>
  <c r="AF170" i="41"/>
  <c r="AH170" i="41"/>
  <c r="AD171" i="41"/>
  <c r="AF171" i="41"/>
  <c r="AH171" i="41"/>
  <c r="AD172" i="41"/>
  <c r="AF172" i="41"/>
  <c r="AH172" i="41"/>
  <c r="AD173" i="41"/>
  <c r="AF173" i="41"/>
  <c r="AH173" i="41"/>
  <c r="AD174" i="41"/>
  <c r="AF174" i="41"/>
  <c r="AH174" i="41"/>
  <c r="E6" i="41" l="1"/>
  <c r="C8" i="41"/>
  <c r="P175" i="41"/>
  <c r="Q36" i="49" l="1"/>
  <c r="Q36" i="44" l="1"/>
  <c r="M36" i="44" s="1"/>
  <c r="M178" i="41" l="1"/>
  <c r="Q178" i="41"/>
  <c r="Q179" i="41"/>
  <c r="M181" i="41"/>
  <c r="Q181" i="41"/>
  <c r="M705" i="51" l="1"/>
  <c r="M67" i="53"/>
  <c r="M339" i="52"/>
  <c r="M33" i="49"/>
  <c r="M179" i="41"/>
  <c r="M49" i="45"/>
  <c r="AF13" i="41" l="1"/>
  <c r="Q197" i="41" l="1"/>
  <c r="AD13" i="41"/>
  <c r="AH13" i="41"/>
  <c r="X179" i="41" l="1"/>
  <c r="AB179" i="41" s="1"/>
  <c r="X183" i="41"/>
  <c r="AB183" i="41" s="1"/>
  <c r="X187" i="41"/>
  <c r="AB187" i="41" s="1"/>
  <c r="X191" i="41"/>
  <c r="AB191" i="41" s="1"/>
  <c r="X178" i="41"/>
  <c r="AB178" i="41" s="1"/>
  <c r="Y178" i="41"/>
  <c r="Z178" i="41" s="1"/>
  <c r="AA178" i="41" s="1"/>
  <c r="Y179" i="41"/>
  <c r="Z179" i="41" s="1"/>
  <c r="AA179" i="41" s="1"/>
  <c r="Y183" i="41"/>
  <c r="Z183" i="41" s="1"/>
  <c r="AA183" i="41" s="1"/>
  <c r="Y187" i="41"/>
  <c r="Z187" i="41" s="1"/>
  <c r="AA187" i="41" s="1"/>
  <c r="Y191" i="41"/>
  <c r="Z191" i="41" s="1"/>
  <c r="AA191" i="41" s="1"/>
  <c r="X181" i="41"/>
  <c r="AB181" i="41" s="1"/>
  <c r="X180" i="41"/>
  <c r="AB180" i="41" s="1"/>
  <c r="X184" i="41"/>
  <c r="AB184" i="41" s="1"/>
  <c r="X188" i="41"/>
  <c r="AB188" i="41" s="1"/>
  <c r="X192" i="41"/>
  <c r="AB192" i="41" s="1"/>
  <c r="X189" i="41"/>
  <c r="AB189" i="41" s="1"/>
  <c r="Y180" i="41"/>
  <c r="Z180" i="41" s="1"/>
  <c r="AA180" i="41" s="1"/>
  <c r="Y184" i="41"/>
  <c r="Z184" i="41" s="1"/>
  <c r="AA184" i="41" s="1"/>
  <c r="Y188" i="41"/>
  <c r="Z188" i="41" s="1"/>
  <c r="AA188" i="41" s="1"/>
  <c r="Y192" i="41"/>
  <c r="Z192" i="41" s="1"/>
  <c r="AA192" i="41" s="1"/>
  <c r="X185" i="41"/>
  <c r="AB185" i="41" s="1"/>
  <c r="Y181" i="41"/>
  <c r="Z181" i="41" s="1"/>
  <c r="AA181" i="41" s="1"/>
  <c r="Y185" i="41"/>
  <c r="Z185" i="41" s="1"/>
  <c r="AA185" i="41" s="1"/>
  <c r="Y189" i="41"/>
  <c r="Z189" i="41" s="1"/>
  <c r="AA189" i="41" s="1"/>
  <c r="X182" i="41"/>
  <c r="AB182" i="41" s="1"/>
  <c r="X186" i="41"/>
  <c r="AB186" i="41" s="1"/>
  <c r="X190" i="41"/>
  <c r="AB190" i="41" s="1"/>
  <c r="Y182" i="41"/>
  <c r="Z182" i="41" s="1"/>
  <c r="AA182" i="41" s="1"/>
  <c r="Y186" i="41"/>
  <c r="Z186" i="41" s="1"/>
  <c r="AA186" i="41" s="1"/>
  <c r="Y190" i="41"/>
  <c r="Z190" i="41" s="1"/>
  <c r="AA190" i="41" s="1"/>
  <c r="Q52" i="45" l="1"/>
  <c r="M342" i="52" l="1"/>
  <c r="M70" i="53"/>
  <c r="M36" i="49"/>
  <c r="M708" i="51"/>
  <c r="M52" i="45"/>
  <c r="AA3" i="41"/>
  <c r="AA2" i="41" l="1"/>
  <c r="Q199" i="41" l="1"/>
  <c r="Q196" i="41" l="1"/>
  <c r="Y201" i="41" l="1"/>
  <c r="Z201" i="41" s="1"/>
  <c r="AA201" i="41" s="1"/>
  <c r="X201" i="41"/>
  <c r="AB201" i="41" s="1"/>
  <c r="R175" i="41" l="1"/>
  <c r="F6" i="41" l="1"/>
  <c r="F8" i="41" s="1"/>
  <c r="Y203" i="41" l="1"/>
  <c r="X203" i="41"/>
  <c r="Y202" i="41"/>
  <c r="Z202" i="41" s="1"/>
  <c r="AA202" i="41" s="1"/>
  <c r="X202" i="41"/>
  <c r="AB202" i="41" s="1"/>
  <c r="Y208" i="41" l="1"/>
  <c r="Z208" i="41" s="1"/>
  <c r="AA208" i="41" s="1"/>
  <c r="X208" i="41"/>
  <c r="AB208" i="41" s="1"/>
  <c r="Y209" i="41"/>
  <c r="Z209" i="41" s="1"/>
  <c r="AA209" i="41" s="1"/>
  <c r="X209" i="41"/>
  <c r="AB209" i="41" s="1"/>
  <c r="X207" i="41"/>
  <c r="AB207" i="41" s="1"/>
  <c r="Y207" i="41"/>
  <c r="Z207" i="41" s="1"/>
  <c r="AA207" i="41" s="1"/>
  <c r="Y200" i="41"/>
  <c r="Z200" i="41" s="1"/>
  <c r="AA200" i="41" s="1"/>
  <c r="X200" i="41"/>
  <c r="AB200" i="41" s="1"/>
  <c r="X204" i="41"/>
  <c r="AB204" i="41" s="1"/>
  <c r="Y204" i="41"/>
  <c r="Z204" i="41" s="1"/>
  <c r="AA204" i="41" s="1"/>
  <c r="X206" i="41"/>
  <c r="AB206" i="41" s="1"/>
  <c r="X199" i="41"/>
  <c r="AB199" i="41" s="1"/>
  <c r="X197" i="41"/>
  <c r="AB197" i="41" s="1"/>
  <c r="X196" i="41"/>
  <c r="AB196" i="41" s="1"/>
  <c r="Y199" i="41"/>
  <c r="Z199" i="41" s="1"/>
  <c r="AA199" i="41" s="1"/>
  <c r="Y210" i="41"/>
  <c r="Z210" i="41" s="1"/>
  <c r="AA210" i="41" s="1"/>
  <c r="Y205" i="41"/>
  <c r="Z205" i="41" s="1"/>
  <c r="AA205" i="41" s="1"/>
  <c r="Y198" i="41"/>
  <c r="Z198" i="41" s="1"/>
  <c r="AA198" i="41" s="1"/>
  <c r="Y196" i="41"/>
  <c r="Z196" i="41" s="1"/>
  <c r="AA196" i="41" s="1"/>
  <c r="Y206" i="41"/>
  <c r="Z206" i="41" s="1"/>
  <c r="AA206" i="41" s="1"/>
  <c r="Y197" i="41"/>
  <c r="Z197" i="41" s="1"/>
  <c r="AA197" i="41" s="1"/>
  <c r="X210" i="41"/>
  <c r="AB210" i="41" s="1"/>
  <c r="X205" i="41"/>
  <c r="AB205" i="41" s="1"/>
  <c r="X198" i="41"/>
  <c r="AB198" i="41" s="1"/>
  <c r="AB203" i="41"/>
  <c r="Z203" i="41"/>
  <c r="AA203" i="41" s="1"/>
  <c r="Y193" i="41" l="1"/>
  <c r="Y211" i="41"/>
  <c r="X211" i="41"/>
  <c r="AB211" i="41" s="1"/>
  <c r="X193" i="41"/>
  <c r="Z211" i="41"/>
  <c r="AA211" i="41"/>
  <c r="AA193" i="41" l="1"/>
  <c r="Z193" i="41"/>
  <c r="Q182" i="41" l="1"/>
  <c r="N31" i="42"/>
  <c r="K31" i="42" l="1"/>
  <c r="X3" i="42"/>
  <c r="Q200" i="41" l="1"/>
  <c r="M182" i="41" l="1"/>
</calcChain>
</file>

<file path=xl/sharedStrings.xml><?xml version="1.0" encoding="utf-8"?>
<sst xmlns="http://schemas.openxmlformats.org/spreadsheetml/2006/main" count="32485" uniqueCount="7851">
  <si>
    <t>SEXTA</t>
  </si>
  <si>
    <t>SEGUNDA</t>
  </si>
  <si>
    <t>TERÇA</t>
  </si>
  <si>
    <t>QUARTA</t>
  </si>
  <si>
    <t>QUINTA</t>
  </si>
  <si>
    <t>Ativ.</t>
  </si>
  <si>
    <t>Tarefa</t>
  </si>
  <si>
    <t>Desenho</t>
  </si>
  <si>
    <t>Rev.</t>
  </si>
  <si>
    <t>Unid.</t>
  </si>
  <si>
    <t>Prog.</t>
  </si>
  <si>
    <t>Real.</t>
  </si>
  <si>
    <t>Projeto:</t>
  </si>
  <si>
    <t xml:space="preserve">Semana: </t>
  </si>
  <si>
    <t>Prazo</t>
  </si>
  <si>
    <t>Bl./Mód.</t>
  </si>
  <si>
    <t>Supervisor PCP</t>
  </si>
  <si>
    <t>Validação PCP</t>
  </si>
  <si>
    <t>Peso atividade</t>
  </si>
  <si>
    <t>TOTAL</t>
  </si>
  <si>
    <t xml:space="preserve">                            Programação Semanal - Folha Tarefa </t>
  </si>
  <si>
    <t xml:space="preserve">ATIVIDADES PROGRAMADAS </t>
  </si>
  <si>
    <t>PROCESSAMENTO</t>
  </si>
  <si>
    <t>SOLDA/END</t>
  </si>
  <si>
    <t>ELEVAÇÃO</t>
  </si>
  <si>
    <t xml:space="preserve">Projeto </t>
  </si>
  <si>
    <t>Projeto</t>
  </si>
  <si>
    <t>Programador: Renan Botelho</t>
  </si>
  <si>
    <t>Cód 8D</t>
  </si>
  <si>
    <t>ACC</t>
  </si>
  <si>
    <t>Prog</t>
  </si>
  <si>
    <t xml:space="preserve">PRG: PESO (TON) </t>
  </si>
  <si>
    <t xml:space="preserve">MONTAGEM </t>
  </si>
  <si>
    <t>CJ</t>
  </si>
  <si>
    <t>***</t>
  </si>
  <si>
    <t>Prazo P/ Fabricação</t>
  </si>
  <si>
    <t xml:space="preserve"> </t>
  </si>
  <si>
    <t>ESCOPO</t>
  </si>
  <si>
    <t>00 de 01</t>
  </si>
  <si>
    <t>Assistente Técnico: Anderson Elias</t>
  </si>
  <si>
    <t>(P-78) B0019B</t>
  </si>
  <si>
    <t>00 de 05</t>
  </si>
  <si>
    <t>M09A</t>
  </si>
  <si>
    <t>P-83</t>
  </si>
  <si>
    <t>Tag</t>
  </si>
  <si>
    <t>FABRICAÇÃO DE NÓS</t>
  </si>
  <si>
    <t>ST-CF-1419-09A-104</t>
  </si>
  <si>
    <t>80.20.XX.XX</t>
  </si>
  <si>
    <t>ATIVIDADES PROGRAMADAS - MONTAGEM</t>
  </si>
  <si>
    <t>ATIVIDADES PROGRAMADAS - PROCESSAMENTO</t>
  </si>
  <si>
    <t>Estaleiro</t>
  </si>
  <si>
    <t>ATIVIDADES PROGRAMADAS - SOLDA</t>
  </si>
  <si>
    <t>Supervisor: Djones / Lucas</t>
  </si>
  <si>
    <t>Assistente Técnico: Anderson / Adriano</t>
  </si>
  <si>
    <t>Liderança: Armando / Érico / Lyndomar / Édson</t>
  </si>
  <si>
    <t>****</t>
  </si>
  <si>
    <t>ABRAÇADEIRAS - TUBULAÇÃO</t>
  </si>
  <si>
    <t>40.80.00.00</t>
  </si>
  <si>
    <t>CABEÇOS - GOLFINHO</t>
  </si>
  <si>
    <t>30.00.00.00.14.20</t>
  </si>
  <si>
    <t>ATIVIDADES EXTRA-ESCOPO</t>
  </si>
  <si>
    <t>Extra</t>
  </si>
  <si>
    <t>Aanço Anterior</t>
  </si>
  <si>
    <t>ST-CF-1419-09A-103</t>
  </si>
  <si>
    <t>00 de 20</t>
  </si>
  <si>
    <t>03 de 08</t>
  </si>
  <si>
    <t>02 de 06</t>
  </si>
  <si>
    <t>05 de 08</t>
  </si>
  <si>
    <t>FABRICAÇÃO DE NÓS
Montagem de Meia Cana</t>
  </si>
  <si>
    <t>FABRICAÇÃO DE NÓS
Montagem das Cruzetas</t>
  </si>
  <si>
    <t>FABRICAÇÃO DE NÓS
Solda de Meia Cana</t>
  </si>
  <si>
    <t>150 DE 186</t>
  </si>
  <si>
    <t>(P-83) B0022B</t>
  </si>
  <si>
    <t>Supervisor: Djones Moura</t>
  </si>
  <si>
    <t>M05B</t>
  </si>
  <si>
    <t>DRAIN GUTTER</t>
  </si>
  <si>
    <t>DRAIN BOX</t>
  </si>
  <si>
    <t>DRAIN PIT</t>
  </si>
  <si>
    <t>ESCADA INCLINADA</t>
  </si>
  <si>
    <t>M05</t>
  </si>
  <si>
    <t>BALAÚSTRE</t>
  </si>
  <si>
    <t>ESCADA VERTICAL</t>
  </si>
  <si>
    <t>FUNDAÇÃO</t>
  </si>
  <si>
    <t>PLATAFORMA PEQUENA</t>
  </si>
  <si>
    <t>PLATAFORMA MÉDIA</t>
  </si>
  <si>
    <t>PLATAFORMA GRANDE</t>
  </si>
  <si>
    <t>NÍVEL</t>
  </si>
  <si>
    <t>PRODUTO</t>
  </si>
  <si>
    <t>QTD</t>
  </si>
  <si>
    <t>PESO</t>
  </si>
  <si>
    <t>KPI</t>
  </si>
  <si>
    <t>HH</t>
  </si>
  <si>
    <t>EFETIVO</t>
  </si>
  <si>
    <t>M10B</t>
  </si>
  <si>
    <t>DIA</t>
  </si>
  <si>
    <t>LAY DOWN</t>
  </si>
  <si>
    <t>M06</t>
  </si>
  <si>
    <t>COAMING</t>
  </si>
  <si>
    <t>MONOVIA</t>
  </si>
  <si>
    <t>TRIMMER</t>
  </si>
  <si>
    <t>PENETRAÇÕES</t>
  </si>
  <si>
    <t>PENETRAÇÃO</t>
  </si>
  <si>
    <t>SOLDA / END</t>
  </si>
  <si>
    <t>M11</t>
  </si>
  <si>
    <t>M09B</t>
  </si>
  <si>
    <t>M09C</t>
  </si>
  <si>
    <t>M09D</t>
  </si>
  <si>
    <t>M09E</t>
  </si>
  <si>
    <t>05</t>
  </si>
  <si>
    <t>07</t>
  </si>
  <si>
    <t>06</t>
  </si>
  <si>
    <t>PESO TOTAL WBS</t>
  </si>
  <si>
    <t>PESO TOTAL PROG</t>
  </si>
  <si>
    <t>Alef Esteves</t>
  </si>
  <si>
    <t>Liderança: Adriano (Encarregado) / Bruno Oliveira</t>
  </si>
  <si>
    <t>Assistente Técnico: Anderson Elias / Franco Xavier</t>
  </si>
  <si>
    <t>Oficinas</t>
  </si>
  <si>
    <t>Liderança:Lyndomar (Encarregado) - Alex / Kelli / Alef</t>
  </si>
  <si>
    <t>Delporton</t>
  </si>
  <si>
    <t>Liderança:Armando (Encarregado) - Rogério / Bruno / Cadilha / Érico</t>
  </si>
  <si>
    <t>P84</t>
  </si>
  <si>
    <t>Programador: Marcus Leal</t>
  </si>
  <si>
    <t>P-84</t>
  </si>
  <si>
    <t>(P-84) B0024C</t>
  </si>
  <si>
    <t>MONOVIAS</t>
  </si>
  <si>
    <t>CAIXAS DE DRENO</t>
  </si>
  <si>
    <t>FUNDAÇÕES DE EQUIPAMENTOS</t>
  </si>
  <si>
    <t>ESCADAS INCLINADAS</t>
  </si>
  <si>
    <t>TRIMMERS</t>
  </si>
  <si>
    <t>TURCOS</t>
  </si>
  <si>
    <t>BUMPER</t>
  </si>
  <si>
    <t>ESCADAS VERTICAIS ATÉ 100KG</t>
  </si>
  <si>
    <t>ESCADAS VERTICAIS ACIMA DE 100KG</t>
  </si>
  <si>
    <t>EQUIPMENT SUPPORT</t>
  </si>
  <si>
    <t>M02</t>
  </si>
  <si>
    <t>M07A</t>
  </si>
  <si>
    <t>ST-DF-1412-M02-101</t>
  </si>
  <si>
    <t>C</t>
  </si>
  <si>
    <t>101-31601-A</t>
  </si>
  <si>
    <t>101-31701-A</t>
  </si>
  <si>
    <t>101-31801-A</t>
  </si>
  <si>
    <t>101-31901-A</t>
  </si>
  <si>
    <t>101-32001-A</t>
  </si>
  <si>
    <t>HO-DF-1415-M05B-393</t>
  </si>
  <si>
    <t>ST-DF-1417-M07A-101</t>
  </si>
  <si>
    <t>SWAY BRACING</t>
  </si>
  <si>
    <t>393-10301-A</t>
  </si>
  <si>
    <t>393-10401-A</t>
  </si>
  <si>
    <t>393-10801-A</t>
  </si>
  <si>
    <t>393-10901-A</t>
  </si>
  <si>
    <t>393-11301-D</t>
  </si>
  <si>
    <t>393-11401-A</t>
  </si>
  <si>
    <t>393-11801-A</t>
  </si>
  <si>
    <t>393-11901-A</t>
  </si>
  <si>
    <t>393-12301-A</t>
  </si>
  <si>
    <t>393-12401-A</t>
  </si>
  <si>
    <t>393-12801-A</t>
  </si>
  <si>
    <t>393-12901-A</t>
  </si>
  <si>
    <t>393-13201-A</t>
  </si>
  <si>
    <t>393-13301-A</t>
  </si>
  <si>
    <t>393-13801-A</t>
  </si>
  <si>
    <t>393-13901-A</t>
  </si>
  <si>
    <t>101-28801-A</t>
  </si>
  <si>
    <t>101-28901-A</t>
  </si>
  <si>
    <t>101-29701-A</t>
  </si>
  <si>
    <t>101-30201-A</t>
  </si>
  <si>
    <t>À Prog.</t>
  </si>
  <si>
    <t>Prog %</t>
  </si>
  <si>
    <t>HO-DF-1411-M01-391</t>
  </si>
  <si>
    <t>Nome do Produto</t>
  </si>
  <si>
    <t>CURVA W2552</t>
  </si>
  <si>
    <t>PROG W2552</t>
  </si>
  <si>
    <t>391-10001-A</t>
  </si>
  <si>
    <t>V-UC-1254001A-01</t>
  </si>
  <si>
    <t>V-UC-1254001B-02</t>
  </si>
  <si>
    <t>V-UC-1254001B-01</t>
  </si>
  <si>
    <t>V-UC-1254001C-02</t>
  </si>
  <si>
    <t>V-UC-1254001C-01</t>
  </si>
  <si>
    <t>V-UC-1231002A-01</t>
  </si>
  <si>
    <t>V-UC-1252001A</t>
  </si>
  <si>
    <t>V-UC-1231002B-02</t>
  </si>
  <si>
    <t>V-UC-1231002B-01</t>
  </si>
  <si>
    <t>V-Z-5241001</t>
  </si>
  <si>
    <t>M01</t>
  </si>
  <si>
    <t>P-UC-1225001A-01</t>
  </si>
  <si>
    <t>P-UC-1225001A-02</t>
  </si>
  <si>
    <t>P-UC-1225001B-01</t>
  </si>
  <si>
    <t>P-UC-1225001B-02</t>
  </si>
  <si>
    <t xml:space="preserve">SOLDA </t>
  </si>
  <si>
    <t>MONTAGEM DELPORTON</t>
  </si>
  <si>
    <t>STIFF</t>
  </si>
  <si>
    <t>MONORAIL</t>
  </si>
  <si>
    <t>GUARDRAIL WITH COAMING</t>
  </si>
  <si>
    <t>M05B-314-10501-A</t>
  </si>
  <si>
    <t>M05B-314-10801-A</t>
  </si>
  <si>
    <t>M05B-314-10901-A</t>
  </si>
  <si>
    <t>M05B-314-11801-A</t>
  </si>
  <si>
    <t>M05B-314-11701-A</t>
  </si>
  <si>
    <t>M05B-314-10601-A</t>
  </si>
  <si>
    <t>M05B-314-11001-A</t>
  </si>
  <si>
    <t>M05B-314-11901-A</t>
  </si>
  <si>
    <t>M05B-314-12201-A</t>
  </si>
  <si>
    <t>M05B-314-12501-A</t>
  </si>
  <si>
    <t>I-DE-3010.2S-1415-140-S2N-553</t>
  </si>
  <si>
    <t>M07B</t>
  </si>
  <si>
    <t>HANDLING DEVICE</t>
  </si>
  <si>
    <t>GUARDRAIL WITHOUT COAMING</t>
  </si>
  <si>
    <t>M01-331-10001-A</t>
  </si>
  <si>
    <t>M01-331-10201-A</t>
  </si>
  <si>
    <t>M01-331-10301-A</t>
  </si>
  <si>
    <t>M05B-335-10301-D</t>
  </si>
  <si>
    <t>M05B-335-10401-D</t>
  </si>
  <si>
    <t>M01-312-11501-A</t>
  </si>
  <si>
    <t>M01-312-11701-A</t>
  </si>
  <si>
    <t>A</t>
  </si>
  <si>
    <t>HO-DF-1411-M01-331</t>
  </si>
  <si>
    <t>HO-DF-1415-M05B-335</t>
  </si>
  <si>
    <t>I-DE-3010.2S-1411-140-S2N-041</t>
  </si>
  <si>
    <t>I-DE-3010.2S-1412-140-S2N-041</t>
  </si>
  <si>
    <t>I-DE-3010.2S-1412-140-S2N-045</t>
  </si>
  <si>
    <t>OFPD-M05B-4001 &amp; 4002-10MT</t>
  </si>
  <si>
    <t>OFPD-M05B-4003 &amp; 4004-10MT</t>
  </si>
  <si>
    <t>I-DE-3010.2S-1411-140-S2N-037</t>
  </si>
  <si>
    <t>I-DE-3010.2S-1412-140-S2N-049</t>
  </si>
  <si>
    <t>I-DE-3010.2S-1412-140-S2N-053</t>
  </si>
  <si>
    <t>I-DE-3010.2S-1412-140-S2N-057</t>
  </si>
  <si>
    <t>M01-311-10601-A</t>
  </si>
  <si>
    <t>M01-311-10701-A</t>
  </si>
  <si>
    <t>M01-311-10801-A</t>
  </si>
  <si>
    <t>M01-311-10901-A</t>
  </si>
  <si>
    <t>M01-311-11001-A</t>
  </si>
  <si>
    <t>M01-311-11101-A</t>
  </si>
  <si>
    <t>M01-311-11501-A</t>
  </si>
  <si>
    <t>M01-311-11601-A</t>
  </si>
  <si>
    <t>M01-311-11701-A</t>
  </si>
  <si>
    <t>M01-312-10601-A</t>
  </si>
  <si>
    <t>M01-312-11801-A</t>
  </si>
  <si>
    <t>M01-312-12601-A</t>
  </si>
  <si>
    <t>M02-313-10001-A</t>
  </si>
  <si>
    <t>M02-313-10101-A</t>
  </si>
  <si>
    <t>M02-313-10201-A</t>
  </si>
  <si>
    <t>M02-313-12001-A</t>
  </si>
  <si>
    <t>M02-314-10201-A</t>
  </si>
  <si>
    <t>M02-314-10301-A</t>
  </si>
  <si>
    <t>M02-314-11601-A</t>
  </si>
  <si>
    <t>M02-314-11701-A</t>
  </si>
  <si>
    <t>M02-314-10101-A</t>
  </si>
  <si>
    <t>M02-314-10401-A</t>
  </si>
  <si>
    <t>M02-314-11901-A</t>
  </si>
  <si>
    <t>M02-314-10901-A</t>
  </si>
  <si>
    <t>M02-314-11001-A</t>
  </si>
  <si>
    <t>M02-314-11101-A</t>
  </si>
  <si>
    <t>M02-314-10801-A</t>
  </si>
  <si>
    <t>M02-315-10001-A</t>
  </si>
  <si>
    <t>M02-315-10601-A</t>
  </si>
  <si>
    <t>M02-315-11001-A</t>
  </si>
  <si>
    <t>M02-315-11201-A</t>
  </si>
  <si>
    <t>M02-315-11301-A</t>
  </si>
  <si>
    <t>M02-315-11101-A</t>
  </si>
  <si>
    <t>M02-315-11501-A</t>
  </si>
  <si>
    <t>M02-311-10201-B</t>
  </si>
  <si>
    <t>M02-311-10201-C</t>
  </si>
  <si>
    <t>M02-311-10201-D</t>
  </si>
  <si>
    <t>M02-311-10201-E</t>
  </si>
  <si>
    <t>M02-311-10201-F</t>
  </si>
  <si>
    <t>M02-311-10201-G</t>
  </si>
  <si>
    <t>M02-311-10201-H</t>
  </si>
  <si>
    <t>M02-311-10201-J</t>
  </si>
  <si>
    <t>M02-311-10201-K</t>
  </si>
  <si>
    <t>M02-311-10201-L</t>
  </si>
  <si>
    <t>M02-311-10201-M</t>
  </si>
  <si>
    <t>M02-311-10201-N</t>
  </si>
  <si>
    <t>M02-311-10201-P</t>
  </si>
  <si>
    <t>M02-311-10201-R</t>
  </si>
  <si>
    <t>M02-311-10201-S</t>
  </si>
  <si>
    <t>M02-311-10201-T</t>
  </si>
  <si>
    <t>M02-311-10201-U</t>
  </si>
  <si>
    <t>M02-311-10201-V</t>
  </si>
  <si>
    <t>M02-311-10201-W</t>
  </si>
  <si>
    <t>M02-311-10201-X</t>
  </si>
  <si>
    <t>M02-311-10201-Y</t>
  </si>
  <si>
    <t>M02-311-10201-Z</t>
  </si>
  <si>
    <t>M02-311-10201-AA</t>
  </si>
  <si>
    <t>M02-311-10201-AB</t>
  </si>
  <si>
    <t>M02-311-10301-B</t>
  </si>
  <si>
    <t>M02-311-10301-C</t>
  </si>
  <si>
    <t>M02-311-10301-D</t>
  </si>
  <si>
    <t>M02-311-10301-E</t>
  </si>
  <si>
    <t>M02-311-10301-F</t>
  </si>
  <si>
    <t>M02-311-10301-G</t>
  </si>
  <si>
    <t>M02-311-10301-H</t>
  </si>
  <si>
    <t>M02-311-10301-J</t>
  </si>
  <si>
    <t>M02-311-10301-K</t>
  </si>
  <si>
    <t>M02-311-10301-L</t>
  </si>
  <si>
    <t>M02-311-10301-M</t>
  </si>
  <si>
    <t>M02-311-10301-N</t>
  </si>
  <si>
    <t>M02-311-10301-P</t>
  </si>
  <si>
    <t>M02-311-10301-R</t>
  </si>
  <si>
    <t>M02-311-10301-S</t>
  </si>
  <si>
    <t>M02-311-10301-T</t>
  </si>
  <si>
    <t>M02-311-10301-U</t>
  </si>
  <si>
    <t>M02-311-10301-V</t>
  </si>
  <si>
    <t>M02-311-10301-W</t>
  </si>
  <si>
    <t>M02-311-10301-X</t>
  </si>
  <si>
    <t>M02-311-10301-Y</t>
  </si>
  <si>
    <t>M02-311-10301-Z</t>
  </si>
  <si>
    <t>M02-311-10301-AA</t>
  </si>
  <si>
    <t>M02-311-10301-AB</t>
  </si>
  <si>
    <t>M02-311-10401-B</t>
  </si>
  <si>
    <t>M02-311-10401-C</t>
  </si>
  <si>
    <t>M02-311-10401-D</t>
  </si>
  <si>
    <t>M02-311-10401-E</t>
  </si>
  <si>
    <t>M02-311-10401-F</t>
  </si>
  <si>
    <t>M02-311-10401-G</t>
  </si>
  <si>
    <t>M02-311-10401-H</t>
  </si>
  <si>
    <t>M02-311-10401-J</t>
  </si>
  <si>
    <t>M02-311-10401-K</t>
  </si>
  <si>
    <t>M02-311-10401-L</t>
  </si>
  <si>
    <t>M02-311-10401-M</t>
  </si>
  <si>
    <t>M02-311-10401-N</t>
  </si>
  <si>
    <t>M02-311-10401-P</t>
  </si>
  <si>
    <t>M02-311-10401-R</t>
  </si>
  <si>
    <t>M02-311-10401-S</t>
  </si>
  <si>
    <t>M02-311-10401-T</t>
  </si>
  <si>
    <t>M02-311-10401-U</t>
  </si>
  <si>
    <t>M02-311-10401-V</t>
  </si>
  <si>
    <t>M02-311-10401-W</t>
  </si>
  <si>
    <t>M02-311-10401-X</t>
  </si>
  <si>
    <t>M02-311-10401-Y</t>
  </si>
  <si>
    <t>M02-311-10401-Z</t>
  </si>
  <si>
    <t>M02-311-10401-AA</t>
  </si>
  <si>
    <t>M02-311-10401-AB</t>
  </si>
  <si>
    <t>M02-312-10001-B</t>
  </si>
  <si>
    <t>M02-312-10001-C</t>
  </si>
  <si>
    <t>M02-312-10001-D</t>
  </si>
  <si>
    <t>M02-312-10001-E</t>
  </si>
  <si>
    <t>M02-312-10001-F</t>
  </si>
  <si>
    <t>M02-312-10001-G</t>
  </si>
  <si>
    <t>M02-312-10001-H</t>
  </si>
  <si>
    <t>M02-312-10001-J</t>
  </si>
  <si>
    <t>M02-312-10001-K</t>
  </si>
  <si>
    <t>M02-312-10001-L</t>
  </si>
  <si>
    <t>M02-312-10001-M</t>
  </si>
  <si>
    <t>M02-312-10001-N</t>
  </si>
  <si>
    <t>M02-312-10001-P</t>
  </si>
  <si>
    <t>M02-312-10001-R</t>
  </si>
  <si>
    <t>M02-312-10001-S</t>
  </si>
  <si>
    <t>M02-312-10001-T</t>
  </si>
  <si>
    <t>M02-312-10001-U</t>
  </si>
  <si>
    <t>M02-312-10001-V</t>
  </si>
  <si>
    <t>M02-312-10001-W</t>
  </si>
  <si>
    <t>M02-312-10001-X</t>
  </si>
  <si>
    <t>M02-312-10001-Y</t>
  </si>
  <si>
    <t>M02-312-10001-Z</t>
  </si>
  <si>
    <t>M02-312-10001-AA</t>
  </si>
  <si>
    <t>M02-312-10001-AB</t>
  </si>
  <si>
    <t>M02-312-10001-AC</t>
  </si>
  <si>
    <t>M02-312-10101-B</t>
  </si>
  <si>
    <t>M02-312-10101-C</t>
  </si>
  <si>
    <t>M02-312-10101-D</t>
  </si>
  <si>
    <t>M02-312-10101-E</t>
  </si>
  <si>
    <t>M02-312-10101-F</t>
  </si>
  <si>
    <t>M02-312-10101-G</t>
  </si>
  <si>
    <t>M02-312-10101-H</t>
  </si>
  <si>
    <t>M02-312-10101-J</t>
  </si>
  <si>
    <t>M02-312-10101-K</t>
  </si>
  <si>
    <t>M02-312-10101-L</t>
  </si>
  <si>
    <t>M02-312-10101-M</t>
  </si>
  <si>
    <t>M02-312-10101-N</t>
  </si>
  <si>
    <t>M02-312-10101-P</t>
  </si>
  <si>
    <t>M02-312-10101-R</t>
  </si>
  <si>
    <t>M02-312-10101-S</t>
  </si>
  <si>
    <t>M02-312-10101-T</t>
  </si>
  <si>
    <t>M02-312-10101-U</t>
  </si>
  <si>
    <t>M02-312-10101-V</t>
  </si>
  <si>
    <t>M02-312-10101-W</t>
  </si>
  <si>
    <t>M02-312-10101-X</t>
  </si>
  <si>
    <t>M02-312-10101-Y</t>
  </si>
  <si>
    <t>M02-312-10101-Z</t>
  </si>
  <si>
    <t>M02-312-10101-AA</t>
  </si>
  <si>
    <t>M02-312-10101-AB</t>
  </si>
  <si>
    <t>M02-312-10101-AC</t>
  </si>
  <si>
    <t>M02-312-10201-B</t>
  </si>
  <si>
    <t>M02-312-10201-C</t>
  </si>
  <si>
    <t>M02-312-10201-D</t>
  </si>
  <si>
    <t>M02-312-10201-E</t>
  </si>
  <si>
    <t>M02-312-10201-F</t>
  </si>
  <si>
    <t>M02-312-10201-G</t>
  </si>
  <si>
    <t>M02-312-10201-H</t>
  </si>
  <si>
    <t>M02-312-10201-J</t>
  </si>
  <si>
    <t>M02-312-10201-K</t>
  </si>
  <si>
    <t>M02-312-10201-L</t>
  </si>
  <si>
    <t>M02-312-10201-M</t>
  </si>
  <si>
    <t>M02-312-10201-N</t>
  </si>
  <si>
    <t>M02-312-10201-P</t>
  </si>
  <si>
    <t>M02-312-10201-R</t>
  </si>
  <si>
    <t>M02-312-10201-S</t>
  </si>
  <si>
    <t>M02-312-10201-T</t>
  </si>
  <si>
    <t>M02-312-10201-U</t>
  </si>
  <si>
    <t>M02-312-10201-V</t>
  </si>
  <si>
    <t>M02-312-10201-W</t>
  </si>
  <si>
    <t>M02-312-10201-X</t>
  </si>
  <si>
    <t>M02-312-10201-Y</t>
  </si>
  <si>
    <t>M02-312-10201-Z</t>
  </si>
  <si>
    <t>M02-312-10201-AA</t>
  </si>
  <si>
    <t>M02-312-10201-AB</t>
  </si>
  <si>
    <t>M02-312-10201-AC</t>
  </si>
  <si>
    <t>M02-312-11801-B</t>
  </si>
  <si>
    <t>M02-312-11801-C</t>
  </si>
  <si>
    <t>M02-312-11801-D</t>
  </si>
  <si>
    <t>M02-312-11801-E</t>
  </si>
  <si>
    <t>M02-312-11801-F</t>
  </si>
  <si>
    <t>M02-312-11801-G</t>
  </si>
  <si>
    <t>M02-312-11801-H</t>
  </si>
  <si>
    <t>M02-312-11801-J</t>
  </si>
  <si>
    <t>M02-312-11801-K</t>
  </si>
  <si>
    <t>M02-312-11801-L</t>
  </si>
  <si>
    <t>M02-312-11801-M</t>
  </si>
  <si>
    <t>M02-312-11801-N</t>
  </si>
  <si>
    <t>M02-312-11801-P</t>
  </si>
  <si>
    <t>M02-313-10001-B</t>
  </si>
  <si>
    <t>M02-313-10001-C</t>
  </si>
  <si>
    <t>M02-313-10001-D</t>
  </si>
  <si>
    <t>M02-313-10001-E</t>
  </si>
  <si>
    <t>M02-313-10001-F</t>
  </si>
  <si>
    <t>M02-313-10001-G</t>
  </si>
  <si>
    <t>M02-313-10001-H</t>
  </si>
  <si>
    <t>M02-313-10001-J</t>
  </si>
  <si>
    <t>M02-313-10001-K</t>
  </si>
  <si>
    <t>M02-313-10001-L</t>
  </si>
  <si>
    <t>M02-313-10001-M</t>
  </si>
  <si>
    <t>M02-313-10001-N</t>
  </si>
  <si>
    <t>M02-313-10001-P</t>
  </si>
  <si>
    <t>M02-313-10001-R</t>
  </si>
  <si>
    <t>M02-313-10001-S</t>
  </si>
  <si>
    <t>M02-313-10001-T</t>
  </si>
  <si>
    <t>M02-313-10001-U</t>
  </si>
  <si>
    <t>M02-313-10001-V</t>
  </si>
  <si>
    <t>M02-313-10001-W</t>
  </si>
  <si>
    <t>M02-313-10001-X</t>
  </si>
  <si>
    <t>M02-313-10001-Y</t>
  </si>
  <si>
    <t>M02-313-10001-Z</t>
  </si>
  <si>
    <t>M02-313-10001-AA</t>
  </si>
  <si>
    <t>M02-313-10001-AB</t>
  </si>
  <si>
    <t>M02-313-10001-AC</t>
  </si>
  <si>
    <t>M02-313-10101-B</t>
  </si>
  <si>
    <t>M02-313-10101-C</t>
  </si>
  <si>
    <t>M02-313-10101-D</t>
  </si>
  <si>
    <t>M02-313-10101-E</t>
  </si>
  <si>
    <t>M02-313-10101-F</t>
  </si>
  <si>
    <t>M02-313-10101-G</t>
  </si>
  <si>
    <t>M02-313-10101-H</t>
  </si>
  <si>
    <t>M02-313-10101-J</t>
  </si>
  <si>
    <t>M02-313-10101-K</t>
  </si>
  <si>
    <t>M02-313-10101-L</t>
  </si>
  <si>
    <t>M02-313-10101-M</t>
  </si>
  <si>
    <t>M02-313-10101-N</t>
  </si>
  <si>
    <t>M02-313-10101-P</t>
  </si>
  <si>
    <t>M02-313-10101-R</t>
  </si>
  <si>
    <t>M02-313-10101-S</t>
  </si>
  <si>
    <t>M02-313-10101-T</t>
  </si>
  <si>
    <t>M02-313-10101-U</t>
  </si>
  <si>
    <t>M02-313-10101-V</t>
  </si>
  <si>
    <t>M02-313-10101-W</t>
  </si>
  <si>
    <t>M02-313-10101-X</t>
  </si>
  <si>
    <t>M02-313-10101-Y</t>
  </si>
  <si>
    <t>M02-313-10101-Z</t>
  </si>
  <si>
    <t>M02-313-10101-AA</t>
  </si>
  <si>
    <t>M02-313-10101-AB</t>
  </si>
  <si>
    <t>M02-313-10101-AC</t>
  </si>
  <si>
    <t>M02-313-10201-B</t>
  </si>
  <si>
    <t>M02-313-10201-C</t>
  </si>
  <si>
    <t>M02-313-10201-D</t>
  </si>
  <si>
    <t>M02-313-10201-E</t>
  </si>
  <si>
    <t>M02-313-10201-F</t>
  </si>
  <si>
    <t>M02-313-10201-G</t>
  </si>
  <si>
    <t>M02-313-10201-H</t>
  </si>
  <si>
    <t>M02-313-10201-J</t>
  </si>
  <si>
    <t>M02-313-10201-K</t>
  </si>
  <si>
    <t>M02-313-10201-L</t>
  </si>
  <si>
    <t>M02-313-10201-M</t>
  </si>
  <si>
    <t>M02-313-10201-N</t>
  </si>
  <si>
    <t>M02-313-10201-P</t>
  </si>
  <si>
    <t>M02-313-10201-R</t>
  </si>
  <si>
    <t>M02-313-10201-S</t>
  </si>
  <si>
    <t>M02-313-10201-T</t>
  </si>
  <si>
    <t>M02-313-10201-U</t>
  </si>
  <si>
    <t>M02-313-10201-V</t>
  </si>
  <si>
    <t>M02-313-10201-W</t>
  </si>
  <si>
    <t>M02-313-10201-X</t>
  </si>
  <si>
    <t>M02-313-10201-Y</t>
  </si>
  <si>
    <t>M02-313-10201-Z</t>
  </si>
  <si>
    <t>M02-313-10201-AA</t>
  </si>
  <si>
    <t>M02-313-10201-AB</t>
  </si>
  <si>
    <t>M02-313-10201-AC</t>
  </si>
  <si>
    <t>M02-313-12001-B</t>
  </si>
  <si>
    <t>M02-313-12001-C</t>
  </si>
  <si>
    <t>M02-313-12001-D</t>
  </si>
  <si>
    <t>M02-313-12001-E</t>
  </si>
  <si>
    <t>M02-313-12001-F</t>
  </si>
  <si>
    <t>M02-313-12001-G</t>
  </si>
  <si>
    <t>M02-313-12001-H</t>
  </si>
  <si>
    <t>M02-313-12001-J</t>
  </si>
  <si>
    <t>M02-313-12001-K</t>
  </si>
  <si>
    <t>M02-313-12001-L</t>
  </si>
  <si>
    <t>M02-313-12001-M</t>
  </si>
  <si>
    <t>M02-313-12001-N</t>
  </si>
  <si>
    <t>M02-313-12001-P</t>
  </si>
  <si>
    <t>M02-313-12001-R</t>
  </si>
  <si>
    <t>M02-313-12001-S</t>
  </si>
  <si>
    <t>M02-313-12001-T</t>
  </si>
  <si>
    <t>M02-313-12001-U</t>
  </si>
  <si>
    <t>M02-313-12001-V</t>
  </si>
  <si>
    <t>M02-313-12001-W</t>
  </si>
  <si>
    <t>M02-313-12001-X</t>
  </si>
  <si>
    <t>M02-313-12001-Y</t>
  </si>
  <si>
    <t>M02-313-12001-Z</t>
  </si>
  <si>
    <t>M02-313-12001-AA</t>
  </si>
  <si>
    <t>M02-313-12001-AB</t>
  </si>
  <si>
    <t>M02-313-12001-AC</t>
  </si>
  <si>
    <t>M02-314-10201-B</t>
  </si>
  <si>
    <t>M02-314-10201-C</t>
  </si>
  <si>
    <t>M02-314-10201-D</t>
  </si>
  <si>
    <t>M02-314-10201-E</t>
  </si>
  <si>
    <t>M02-314-10201-F</t>
  </si>
  <si>
    <t>M02-314-10201-G</t>
  </si>
  <si>
    <t>M02-314-10201-H</t>
  </si>
  <si>
    <t>M02-314-10201-J</t>
  </si>
  <si>
    <t>M02-314-10201-K</t>
  </si>
  <si>
    <t>M02-314-10201-L</t>
  </si>
  <si>
    <t>M02-314-10201-M</t>
  </si>
  <si>
    <t>M02-314-10201-N</t>
  </si>
  <si>
    <t>M02-314-10201-P</t>
  </si>
  <si>
    <t>M02-314-10201-R</t>
  </si>
  <si>
    <t>M02-314-10201-S</t>
  </si>
  <si>
    <t>M02-314-10201-T</t>
  </si>
  <si>
    <t>M02-314-10201-U</t>
  </si>
  <si>
    <t>M02-314-10201-V</t>
  </si>
  <si>
    <t>M02-314-10201-W</t>
  </si>
  <si>
    <t>M02-314-10201-X</t>
  </si>
  <si>
    <t>M02-314-10201-Y</t>
  </si>
  <si>
    <t>M02-314-10201-Z</t>
  </si>
  <si>
    <t>M02-314-10201-AA</t>
  </si>
  <si>
    <t>M02-314-10201-AB</t>
  </si>
  <si>
    <t>M02-314-10201-AC</t>
  </si>
  <si>
    <t>M02-314-10301-B</t>
  </si>
  <si>
    <t>M02-314-10301-C</t>
  </si>
  <si>
    <t>M02-314-10301-D</t>
  </si>
  <si>
    <t>M02-314-10301-E</t>
  </si>
  <si>
    <t>M02-314-10301-F</t>
  </si>
  <si>
    <t>M02-314-10301-G</t>
  </si>
  <si>
    <t>M02-314-10301-H</t>
  </si>
  <si>
    <t>M02-314-10301-J</t>
  </si>
  <si>
    <t>M02-314-10301-K</t>
  </si>
  <si>
    <t>M02-314-10301-L</t>
  </si>
  <si>
    <t>M02-314-10301-M</t>
  </si>
  <si>
    <t>M02-314-10301-N</t>
  </si>
  <si>
    <t>M02-314-10301-P</t>
  </si>
  <si>
    <t>M02-314-10301-R</t>
  </si>
  <si>
    <t>M02-314-10301-S</t>
  </si>
  <si>
    <t>M02-314-10301-T</t>
  </si>
  <si>
    <t>M02-314-10301-U</t>
  </si>
  <si>
    <t>M02-314-10301-V</t>
  </si>
  <si>
    <t>M02-314-10301-W</t>
  </si>
  <si>
    <t>M02-314-10301-X</t>
  </si>
  <si>
    <t>M02-314-10301-Y</t>
  </si>
  <si>
    <t>M02-314-10301-Z</t>
  </si>
  <si>
    <t>M02-314-10301-AA</t>
  </si>
  <si>
    <t>M02-314-10301-AB</t>
  </si>
  <si>
    <t>M02-314-10301-AC</t>
  </si>
  <si>
    <t>M02-314-11601-B</t>
  </si>
  <si>
    <t>M02-314-11601-C</t>
  </si>
  <si>
    <t>M02-314-11601-D</t>
  </si>
  <si>
    <t>M02-314-11601-E</t>
  </si>
  <si>
    <t>M02-314-11601-F</t>
  </si>
  <si>
    <t>M02-314-11601-G</t>
  </si>
  <si>
    <t>M02-314-11601-H</t>
  </si>
  <si>
    <t>M02-314-11601-J</t>
  </si>
  <si>
    <t>M02-314-11601-K</t>
  </si>
  <si>
    <t>M02-314-11601-L</t>
  </si>
  <si>
    <t>M02-314-11601-M</t>
  </si>
  <si>
    <t>M02-314-11601-N</t>
  </si>
  <si>
    <t>M02-314-11601-P</t>
  </si>
  <si>
    <t>M02-314-11601-R</t>
  </si>
  <si>
    <t>M02-314-11601-S</t>
  </si>
  <si>
    <t>M02-314-11601-T</t>
  </si>
  <si>
    <t>M02-314-11601-U</t>
  </si>
  <si>
    <t>M02-314-11601-V</t>
  </si>
  <si>
    <t>M02-314-11601-W</t>
  </si>
  <si>
    <t>M02-314-11601-X</t>
  </si>
  <si>
    <t>M02-314-11601-Y</t>
  </si>
  <si>
    <t>M02-314-11601-Z</t>
  </si>
  <si>
    <t>M02-314-11601-AA</t>
  </si>
  <si>
    <t>M02-314-11601-AB</t>
  </si>
  <si>
    <t>M02-314-11601-AC</t>
  </si>
  <si>
    <t>M02-314-11701-B</t>
  </si>
  <si>
    <t>M02-314-11701-C</t>
  </si>
  <si>
    <t>M02-314-11701-D</t>
  </si>
  <si>
    <t>M02-314-11701-E</t>
  </si>
  <si>
    <t>M02-314-11701-F</t>
  </si>
  <si>
    <t>M02-314-11701-G</t>
  </si>
  <si>
    <t>M02-314-11701-H</t>
  </si>
  <si>
    <t>M02-314-11701-J</t>
  </si>
  <si>
    <t>M02-314-11701-K</t>
  </si>
  <si>
    <t>M02-314-11701-L</t>
  </si>
  <si>
    <t>M02-314-11701-M</t>
  </si>
  <si>
    <t>M02-314-11701-N</t>
  </si>
  <si>
    <t>M02-314-11701-P</t>
  </si>
  <si>
    <t>M02-314-11701-R</t>
  </si>
  <si>
    <t>M02-314-11701-S</t>
  </si>
  <si>
    <t>M02-314-11701-T</t>
  </si>
  <si>
    <t>M02-314-11701-U</t>
  </si>
  <si>
    <t>M02-314-11701-V</t>
  </si>
  <si>
    <t>M02-314-11701-W</t>
  </si>
  <si>
    <t>M02-314-11701-X</t>
  </si>
  <si>
    <t>M02-314-11701-Y</t>
  </si>
  <si>
    <t>M02-314-11701-Z</t>
  </si>
  <si>
    <t>M02-314-11701-AA</t>
  </si>
  <si>
    <t>M02-314-11701-AB</t>
  </si>
  <si>
    <t>M02-314-11701-AC</t>
  </si>
  <si>
    <t>M02-314-10101-B</t>
  </si>
  <si>
    <t>M02-314-10101-C</t>
  </si>
  <si>
    <t>M02-314-10101-D</t>
  </si>
  <si>
    <t>M02-314-10101-E</t>
  </si>
  <si>
    <t>M02-314-10101-F</t>
  </si>
  <si>
    <t>M02-314-10101-G</t>
  </si>
  <si>
    <t>M02-314-10101-H</t>
  </si>
  <si>
    <t>M02-314-10101-J</t>
  </si>
  <si>
    <t>M02-314-10101-K</t>
  </si>
  <si>
    <t>M02-314-10101-L</t>
  </si>
  <si>
    <t>M02-314-10101-M</t>
  </si>
  <si>
    <t>M02-314-10101-N</t>
  </si>
  <si>
    <t>M02-314-10101-P</t>
  </si>
  <si>
    <t>M02-314-10101-R</t>
  </si>
  <si>
    <t>M02-314-10101-S</t>
  </si>
  <si>
    <t>M02-314-10101-T</t>
  </si>
  <si>
    <t>M02-314-10101-U</t>
  </si>
  <si>
    <t>M02-314-10101-V</t>
  </si>
  <si>
    <t>M02-314-10101-W</t>
  </si>
  <si>
    <t>M02-314-10101-X</t>
  </si>
  <si>
    <t>M02-314-10101-Y</t>
  </si>
  <si>
    <t>M02-314-10101-Z</t>
  </si>
  <si>
    <t>M02-314-10101-AA</t>
  </si>
  <si>
    <t>M02-314-10101-AB</t>
  </si>
  <si>
    <t>M02-314-10101-AC</t>
  </si>
  <si>
    <t>M02-314-10401-B</t>
  </si>
  <si>
    <t>M02-314-10401-C</t>
  </si>
  <si>
    <t>M02-314-10401-D</t>
  </si>
  <si>
    <t>M02-314-10401-E</t>
  </si>
  <si>
    <t>M02-314-10401-F</t>
  </si>
  <si>
    <t>M02-314-10401-G</t>
  </si>
  <si>
    <t>M02-314-10401-H</t>
  </si>
  <si>
    <t>M02-314-10401-J</t>
  </si>
  <si>
    <t>M02-314-10401-K</t>
  </si>
  <si>
    <t>M02-314-10401-L</t>
  </si>
  <si>
    <t>M02-314-10401-M</t>
  </si>
  <si>
    <t>M02-314-10401-N</t>
  </si>
  <si>
    <t>M02-314-10401-P</t>
  </si>
  <si>
    <t>M02-314-11901-B</t>
  </si>
  <si>
    <t>M02-314-11901-C</t>
  </si>
  <si>
    <t>M02-314-11901-D</t>
  </si>
  <si>
    <t>M02-314-11901-E</t>
  </si>
  <si>
    <t>M02-314-11901-F</t>
  </si>
  <si>
    <t>M02-314-11901-G</t>
  </si>
  <si>
    <t>M02-314-11901-H</t>
  </si>
  <si>
    <t>M02-314-11901-J</t>
  </si>
  <si>
    <t>M02-314-11901-K</t>
  </si>
  <si>
    <t>M02-314-11901-L</t>
  </si>
  <si>
    <t>M02-314-11901-M</t>
  </si>
  <si>
    <t>M02-314-11901-N</t>
  </si>
  <si>
    <t>M02-314-11901-P</t>
  </si>
  <si>
    <t>M02-314-10901-B</t>
  </si>
  <si>
    <t>M02-314-10901-C</t>
  </si>
  <si>
    <t>M02-314-10901-D</t>
  </si>
  <si>
    <t>M02-314-10901-E</t>
  </si>
  <si>
    <t>M02-314-10901-F</t>
  </si>
  <si>
    <t>M02-314-10901-G</t>
  </si>
  <si>
    <t>M02-314-10901-H</t>
  </si>
  <si>
    <t>M02-314-10901-J</t>
  </si>
  <si>
    <t>M02-314-10901-K</t>
  </si>
  <si>
    <t>M02-314-10901-L</t>
  </si>
  <si>
    <t>M02-314-10901-M</t>
  </si>
  <si>
    <t>M02-314-10901-N</t>
  </si>
  <si>
    <t>M02-314-10901-P</t>
  </si>
  <si>
    <t>M02-314-10901-R</t>
  </si>
  <si>
    <t>M02-314-10901-S</t>
  </si>
  <si>
    <t>M02-314-10901-T</t>
  </si>
  <si>
    <t>M02-314-10901-U</t>
  </si>
  <si>
    <t>M02-314-10901-V</t>
  </si>
  <si>
    <t>M02-314-10901-W</t>
  </si>
  <si>
    <t>M02-314-10901-X</t>
  </si>
  <si>
    <t>M02-314-10901-Y</t>
  </si>
  <si>
    <t>M02-314-10901-Z</t>
  </si>
  <si>
    <t>M02-314-10901-AA</t>
  </si>
  <si>
    <t>M02-314-10901-AB</t>
  </si>
  <si>
    <t>M02-314-11001-B</t>
  </si>
  <si>
    <t>M02-314-11001-C</t>
  </si>
  <si>
    <t>M02-314-11001-D</t>
  </si>
  <si>
    <t>M02-314-11001-E</t>
  </si>
  <si>
    <t>M02-314-11001-F</t>
  </si>
  <si>
    <t>M02-314-11001-G</t>
  </si>
  <si>
    <t>M02-314-11001-H</t>
  </si>
  <si>
    <t>M02-314-11001-J</t>
  </si>
  <si>
    <t>M02-314-11001-K</t>
  </si>
  <si>
    <t>M02-314-11001-L</t>
  </si>
  <si>
    <t>M02-314-11001-M</t>
  </si>
  <si>
    <t>M02-314-11001-N</t>
  </si>
  <si>
    <t>M02-314-11001-P</t>
  </si>
  <si>
    <t>M02-314-11001-R</t>
  </si>
  <si>
    <t>M02-314-11001-S</t>
  </si>
  <si>
    <t>M02-314-11001-T</t>
  </si>
  <si>
    <t>M02-314-11001-U</t>
  </si>
  <si>
    <t>M02-314-11001-V</t>
  </si>
  <si>
    <t>M02-314-11001-W</t>
  </si>
  <si>
    <t>M02-314-11001-X</t>
  </si>
  <si>
    <t>M02-314-11001-Y</t>
  </si>
  <si>
    <t>M02-314-11001-Z</t>
  </si>
  <si>
    <t>M02-314-11001-AA</t>
  </si>
  <si>
    <t>M02-314-11001-AB</t>
  </si>
  <si>
    <t>M02-314-11101-B</t>
  </si>
  <si>
    <t>M02-314-11101-C</t>
  </si>
  <si>
    <t>M02-314-11101-D</t>
  </si>
  <si>
    <t>M02-314-11101-E</t>
  </si>
  <si>
    <t>M02-314-11101-F</t>
  </si>
  <si>
    <t>M02-314-11101-G</t>
  </si>
  <si>
    <t>M02-314-11101-H</t>
  </si>
  <si>
    <t>M02-314-11101-J</t>
  </si>
  <si>
    <t>M02-314-11101-K</t>
  </si>
  <si>
    <t>M02-314-11101-L</t>
  </si>
  <si>
    <t>M02-314-11101-M</t>
  </si>
  <si>
    <t>M02-314-11101-N</t>
  </si>
  <si>
    <t>M02-314-11101-P</t>
  </si>
  <si>
    <t>M02-314-11101-R</t>
  </si>
  <si>
    <t>M02-314-11101-S</t>
  </si>
  <si>
    <t>M02-314-11101-T</t>
  </si>
  <si>
    <t>M02-314-11101-U</t>
  </si>
  <si>
    <t>M02-314-11101-V</t>
  </si>
  <si>
    <t>M02-314-11101-W</t>
  </si>
  <si>
    <t>M02-314-11101-X</t>
  </si>
  <si>
    <t>M02-314-11101-Y</t>
  </si>
  <si>
    <t>M02-314-11101-Z</t>
  </si>
  <si>
    <t>M02-314-11101-AA</t>
  </si>
  <si>
    <t>M02-314-11101-AB</t>
  </si>
  <si>
    <t>M02-314-10801-B</t>
  </si>
  <si>
    <t>M02-314-10801-C</t>
  </si>
  <si>
    <t>M02-314-10801-D</t>
  </si>
  <si>
    <t>M02-314-10801-E</t>
  </si>
  <si>
    <t>M02-314-10801-F</t>
  </si>
  <si>
    <t>M02-314-10801-G</t>
  </si>
  <si>
    <t>M02-314-10801-H</t>
  </si>
  <si>
    <t>M02-314-10801-J</t>
  </si>
  <si>
    <t>M02-314-10801-K</t>
  </si>
  <si>
    <t>M02-314-10801-L</t>
  </si>
  <si>
    <t>M02-314-10801-M</t>
  </si>
  <si>
    <t>M02-314-10801-N</t>
  </si>
  <si>
    <t>M02-315-10001-B</t>
  </si>
  <si>
    <t>M02-315-10001-C</t>
  </si>
  <si>
    <t>M02-315-10001-D</t>
  </si>
  <si>
    <t>M02-315-10001-E</t>
  </si>
  <si>
    <t>M02-315-10001-F</t>
  </si>
  <si>
    <t>M02-315-10001-G</t>
  </si>
  <si>
    <t>M02-315-10001-H</t>
  </si>
  <si>
    <t>M02-315-10001-J</t>
  </si>
  <si>
    <t>M02-315-10001-K</t>
  </si>
  <si>
    <t>M02-315-10001-L</t>
  </si>
  <si>
    <t>M02-315-10001-M</t>
  </si>
  <si>
    <t>M02-315-10001-N</t>
  </si>
  <si>
    <t>M02-315-10001-P</t>
  </si>
  <si>
    <t>M02-315-10001-R</t>
  </si>
  <si>
    <t>M02-315-10001-S</t>
  </si>
  <si>
    <t>M02-315-10001-T</t>
  </si>
  <si>
    <t>M02-315-10001-U</t>
  </si>
  <si>
    <t>M02-315-10001-V</t>
  </si>
  <si>
    <t>M02-315-10001-W</t>
  </si>
  <si>
    <t>M02-315-10001-X</t>
  </si>
  <si>
    <t>M02-315-10001-Y</t>
  </si>
  <si>
    <t>M02-315-10001-Z</t>
  </si>
  <si>
    <t>M02-315-10001-AA</t>
  </si>
  <si>
    <t>M02-315-10001-AB</t>
  </si>
  <si>
    <t>M02-315-10001-AC</t>
  </si>
  <si>
    <t>M02-315-10601-B</t>
  </si>
  <si>
    <t>M02-315-10601-C</t>
  </si>
  <si>
    <t>M02-315-10601-D</t>
  </si>
  <si>
    <t>M02-315-10601-E</t>
  </si>
  <si>
    <t>M02-315-10601-F</t>
  </si>
  <si>
    <t>M02-315-10601-G</t>
  </si>
  <si>
    <t>M02-315-10601-H</t>
  </si>
  <si>
    <t>M02-315-10601-J</t>
  </si>
  <si>
    <t>M02-315-10601-K</t>
  </si>
  <si>
    <t>M02-315-10601-L</t>
  </si>
  <si>
    <t>M02-315-10601-M</t>
  </si>
  <si>
    <t>M02-315-10601-N</t>
  </si>
  <si>
    <t>M02-315-10601-P</t>
  </si>
  <si>
    <t>M02-315-10601-R</t>
  </si>
  <si>
    <t>M02-315-10601-S</t>
  </si>
  <si>
    <t>M02-315-10601-T</t>
  </si>
  <si>
    <t>M02-315-10601-U</t>
  </si>
  <si>
    <t>M02-315-10601-V</t>
  </si>
  <si>
    <t>M02-315-10601-W</t>
  </si>
  <si>
    <t>M02-315-10601-X</t>
  </si>
  <si>
    <t>M02-315-10601-Y</t>
  </si>
  <si>
    <t>M02-315-10601-Z</t>
  </si>
  <si>
    <t>M02-315-10601-AA</t>
  </si>
  <si>
    <t>M02-315-10601-AB</t>
  </si>
  <si>
    <t>M02-315-10601-AC</t>
  </si>
  <si>
    <t>M02-315-11001-B</t>
  </si>
  <si>
    <t>M02-315-11001-C</t>
  </si>
  <si>
    <t>M02-315-11001-D</t>
  </si>
  <si>
    <t>M02-315-11001-E</t>
  </si>
  <si>
    <t>M02-315-11001-F</t>
  </si>
  <si>
    <t>M02-315-11001-G</t>
  </si>
  <si>
    <t>M02-315-11001-H</t>
  </si>
  <si>
    <t>M02-315-11001-J</t>
  </si>
  <si>
    <t>M02-315-11001-K</t>
  </si>
  <si>
    <t>M02-315-11001-L</t>
  </si>
  <si>
    <t>M02-315-11001-M</t>
  </si>
  <si>
    <t>M02-315-11001-N</t>
  </si>
  <si>
    <t>M02-315-11001-P</t>
  </si>
  <si>
    <t>M02-315-11001-R</t>
  </si>
  <si>
    <t>M02-315-11001-S</t>
  </si>
  <si>
    <t>M02-315-11001-T</t>
  </si>
  <si>
    <t>M02-315-11001-U</t>
  </si>
  <si>
    <t>M02-315-11001-V</t>
  </si>
  <si>
    <t>M02-315-11001-W</t>
  </si>
  <si>
    <t>M02-315-11001-X</t>
  </si>
  <si>
    <t>M02-315-11001-Y</t>
  </si>
  <si>
    <t>M02-315-11001-Z</t>
  </si>
  <si>
    <t>M02-315-11001-AA</t>
  </si>
  <si>
    <t>M02-315-11001-AB</t>
  </si>
  <si>
    <t>M02-315-11001-AC</t>
  </si>
  <si>
    <t>M02-315-11201-B</t>
  </si>
  <si>
    <t>M02-315-11201-C</t>
  </si>
  <si>
    <t>M02-315-11201-D</t>
  </si>
  <si>
    <t>M02-315-11201-E</t>
  </si>
  <si>
    <t>M02-315-11201-F</t>
  </si>
  <si>
    <t>M02-315-11201-G</t>
  </si>
  <si>
    <t>M02-315-11201-H</t>
  </si>
  <si>
    <t>M02-315-11201-J</t>
  </si>
  <si>
    <t>M02-315-11201-K</t>
  </si>
  <si>
    <t>M02-315-11201-L</t>
  </si>
  <si>
    <t>M02-315-11201-M</t>
  </si>
  <si>
    <t>M02-315-11201-N</t>
  </si>
  <si>
    <t>M02-315-11201-P</t>
  </si>
  <si>
    <t>M02-315-11201-R</t>
  </si>
  <si>
    <t>M02-315-11201-S</t>
  </si>
  <si>
    <t>M02-315-11201-T</t>
  </si>
  <si>
    <t>M02-315-11201-U</t>
  </si>
  <si>
    <t>M02-315-11201-V</t>
  </si>
  <si>
    <t>M02-315-11201-W</t>
  </si>
  <si>
    <t>M02-315-11201-X</t>
  </si>
  <si>
    <t>M02-315-11201-Y</t>
  </si>
  <si>
    <t>M02-315-11201-Z</t>
  </si>
  <si>
    <t>M02-315-11201-AA</t>
  </si>
  <si>
    <t>M02-315-11201-AB</t>
  </si>
  <si>
    <t>M02-315-11201-AC</t>
  </si>
  <si>
    <t>M02-315-11301-B</t>
  </si>
  <si>
    <t>M02-315-11301-C</t>
  </si>
  <si>
    <t>M02-315-11301-D</t>
  </si>
  <si>
    <t>M02-315-11301-E</t>
  </si>
  <si>
    <t>M02-315-11301-F</t>
  </si>
  <si>
    <t>M02-315-11301-G</t>
  </si>
  <si>
    <t>M02-315-11301-H</t>
  </si>
  <si>
    <t>M02-315-11301-J</t>
  </si>
  <si>
    <t>M02-315-11301-K</t>
  </si>
  <si>
    <t>M02-315-11301-L</t>
  </si>
  <si>
    <t>M02-315-11301-M</t>
  </si>
  <si>
    <t>M02-315-11301-N</t>
  </si>
  <si>
    <t>M02-315-11301-P</t>
  </si>
  <si>
    <t>M02-315-11301-R</t>
  </si>
  <si>
    <t>M02-315-11301-S</t>
  </si>
  <si>
    <t>M02-315-11301-T</t>
  </si>
  <si>
    <t>M02-315-11301-U</t>
  </si>
  <si>
    <t>M02-315-11301-V</t>
  </si>
  <si>
    <t>M02-315-11301-W</t>
  </si>
  <si>
    <t>M02-315-11301-X</t>
  </si>
  <si>
    <t>M02-315-11301-Y</t>
  </si>
  <si>
    <t>M02-315-11301-Z</t>
  </si>
  <si>
    <t>M02-315-11301-AA</t>
  </si>
  <si>
    <t>M02-315-11301-AB</t>
  </si>
  <si>
    <t>M02-315-11301-AC</t>
  </si>
  <si>
    <t>M02-315-11101-B</t>
  </si>
  <si>
    <t>M02-315-11101-C</t>
  </si>
  <si>
    <t>M02-315-11101-D</t>
  </si>
  <si>
    <t>M02-315-11101-E</t>
  </si>
  <si>
    <t>M02-315-11101-F</t>
  </si>
  <si>
    <t>M02-315-11101-G</t>
  </si>
  <si>
    <t>M02-315-11101-H</t>
  </si>
  <si>
    <t>M02-315-11101-J</t>
  </si>
  <si>
    <t>M02-315-11101-K</t>
  </si>
  <si>
    <t>M02-315-11101-L</t>
  </si>
  <si>
    <t>M02-315-11101-M</t>
  </si>
  <si>
    <t>M02-315-11101-N</t>
  </si>
  <si>
    <t>M02-315-11101-P</t>
  </si>
  <si>
    <t>M02-315-11501-B</t>
  </si>
  <si>
    <t>M02-315-11501-C</t>
  </si>
  <si>
    <t>M02-315-11501-D</t>
  </si>
  <si>
    <t>M02-315-11501-E</t>
  </si>
  <si>
    <t>M02-315-11501-F</t>
  </si>
  <si>
    <t>M02-315-11501-G</t>
  </si>
  <si>
    <t>M02-315-11501-H</t>
  </si>
  <si>
    <t>M02-315-11501-J</t>
  </si>
  <si>
    <t>M02-315-11501-K</t>
  </si>
  <si>
    <t>M02-315-11501-L</t>
  </si>
  <si>
    <t>M02-315-11501-M</t>
  </si>
  <si>
    <t>M02-315-11501-N</t>
  </si>
  <si>
    <t>M02-315-11501-P</t>
  </si>
  <si>
    <t>HO-DF-1417-M07A-492</t>
  </si>
  <si>
    <t>HO-DF-1417-M07B-492</t>
  </si>
  <si>
    <t>HO-DF-1417-M07B-494</t>
  </si>
  <si>
    <t>HO-DF-1417-M07A-494</t>
  </si>
  <si>
    <t>Z-UC-1231002A-03</t>
  </si>
  <si>
    <t>Z-UC-1231002B-03</t>
  </si>
  <si>
    <t>Z-UC-1252001A-03</t>
  </si>
  <si>
    <t>Z-UC-1231002C-03</t>
  </si>
  <si>
    <t>Z-UC-1231002D-03</t>
  </si>
  <si>
    <t>Z-UC-1252001B-03</t>
  </si>
  <si>
    <t>MR-M01-2001 5MT SWL</t>
  </si>
  <si>
    <t>MR-M01-3001 5MT SWL</t>
  </si>
  <si>
    <t>MR-M01-3002 5MT SWL</t>
  </si>
  <si>
    <t>UC-1231002C-01</t>
  </si>
  <si>
    <t>UC-1231002C-02</t>
  </si>
  <si>
    <t>UC-1252001B</t>
  </si>
  <si>
    <t>UC-1231002D-01</t>
  </si>
  <si>
    <t>UC-1231002D-02</t>
  </si>
  <si>
    <t>PE-M05B-4001 (S.W.L. 10.0MT)</t>
  </si>
  <si>
    <t>PE-M05B-4002 (S.W.L. 10.0MT)</t>
  </si>
  <si>
    <t>PE-M05B-4003 (S.W.L. 10.0MT)</t>
  </si>
  <si>
    <t>PE-M05B-4004 (S.W.L. 10.0MT)</t>
  </si>
  <si>
    <t>UC-1231002A-01</t>
  </si>
  <si>
    <t>UC-1231002A-02</t>
  </si>
  <si>
    <t>UC-1231002B-01</t>
  </si>
  <si>
    <t>UC-1231002B-02</t>
  </si>
  <si>
    <t>UC-1252001A</t>
  </si>
  <si>
    <t>WING PLATE</t>
  </si>
  <si>
    <t>PADEYE</t>
  </si>
  <si>
    <t>M07A-492-10001-A</t>
  </si>
  <si>
    <t>M07A-492-10001-B</t>
  </si>
  <si>
    <t>M07A-492-10001-C</t>
  </si>
  <si>
    <t>M07A-492-10001-D</t>
  </si>
  <si>
    <t>M07A-492-10001-E</t>
  </si>
  <si>
    <t>M07A-492-10002-A</t>
  </si>
  <si>
    <t>M07A-492-10002-B</t>
  </si>
  <si>
    <t>M07A-492-10002-C</t>
  </si>
  <si>
    <t>M07A-492-10002-D</t>
  </si>
  <si>
    <t>M07A-492-10003-A</t>
  </si>
  <si>
    <t>M07A-492-10003-B</t>
  </si>
  <si>
    <t>M07A-492-10003-C</t>
  </si>
  <si>
    <t>M07A-492-10004-A</t>
  </si>
  <si>
    <t>M07A-492-10004-B</t>
  </si>
  <si>
    <t>M07A-492-10004-C</t>
  </si>
  <si>
    <t>M07A-492-10101-A</t>
  </si>
  <si>
    <t>M07A-492-10101-B</t>
  </si>
  <si>
    <t>M07A-492-10101-C</t>
  </si>
  <si>
    <t>M07A-492-10101-D</t>
  </si>
  <si>
    <t>M07A-492-10101-E</t>
  </si>
  <si>
    <t>M07A-492-10102-A</t>
  </si>
  <si>
    <t>M07A-492-10102-B</t>
  </si>
  <si>
    <t>M07A-492-10102-C</t>
  </si>
  <si>
    <t>M07A-492-10102-D</t>
  </si>
  <si>
    <t>M07A-492-10103-A</t>
  </si>
  <si>
    <t>M07A-492-10103-B</t>
  </si>
  <si>
    <t>M07A-492-10103-C</t>
  </si>
  <si>
    <t>M07A-492-10103-D</t>
  </si>
  <si>
    <t>M07A-492-10104-A</t>
  </si>
  <si>
    <t>M07A-492-10104-B</t>
  </si>
  <si>
    <t>M07A-492-10104-C</t>
  </si>
  <si>
    <t>M07A-492-10104-E</t>
  </si>
  <si>
    <t>M07A-492-10201-A</t>
  </si>
  <si>
    <t>M07A-492-10201-B</t>
  </si>
  <si>
    <t>M07A-492-10201-C</t>
  </si>
  <si>
    <t>M07A-492-10201-D</t>
  </si>
  <si>
    <t>M07A-492-10201-E</t>
  </si>
  <si>
    <t>M07A-492-10202-A</t>
  </si>
  <si>
    <t>M07A-492-10202-B</t>
  </si>
  <si>
    <t>M07A-492-10202-C</t>
  </si>
  <si>
    <t>M07A-492-10202-D</t>
  </si>
  <si>
    <t>M07A-492-10203-A</t>
  </si>
  <si>
    <t>M07A-492-10203-B</t>
  </si>
  <si>
    <t>M07A-492-10203-C</t>
  </si>
  <si>
    <t>M07A-492-10203-D</t>
  </si>
  <si>
    <t>M07A-492-10204-A</t>
  </si>
  <si>
    <t>M07A-492-10204-B</t>
  </si>
  <si>
    <t>M07A-492-10204-C</t>
  </si>
  <si>
    <t>M07A-492-10204-D</t>
  </si>
  <si>
    <t>M07A-492-10301-A</t>
  </si>
  <si>
    <t>M07A-492-10301-B</t>
  </si>
  <si>
    <t>M07A-492-10301-C</t>
  </si>
  <si>
    <t>M07A-492-10301-D</t>
  </si>
  <si>
    <t>M07A-492-10301-E</t>
  </si>
  <si>
    <t>M07A-492-10301-F</t>
  </si>
  <si>
    <t>M07A-492-10301-G</t>
  </si>
  <si>
    <t>M07A-492-10301-H</t>
  </si>
  <si>
    <t>M07A-492-10301-J</t>
  </si>
  <si>
    <t>M07A-492-10301-K</t>
  </si>
  <si>
    <t>M07A-492-10301-L</t>
  </si>
  <si>
    <t>M07A-492-10301-M</t>
  </si>
  <si>
    <t>M07A-492-10401-A</t>
  </si>
  <si>
    <t>M07A-492-10401-B</t>
  </si>
  <si>
    <t>M07A-492-10401-C</t>
  </si>
  <si>
    <t>M07A-492-10401-D</t>
  </si>
  <si>
    <t>M07A-492-10401-E</t>
  </si>
  <si>
    <t>M07A-492-10401-F</t>
  </si>
  <si>
    <t>M07A-492-10401-G</t>
  </si>
  <si>
    <t>M07A-492-10401-H</t>
  </si>
  <si>
    <t>M07A-492-10401-J</t>
  </si>
  <si>
    <t>M07A-492-10401-K</t>
  </si>
  <si>
    <t>M07B-492-10001-A</t>
  </si>
  <si>
    <t>M07B-492-10001-B</t>
  </si>
  <si>
    <t>M07B-492-10001-C</t>
  </si>
  <si>
    <t>M07B-492-10001-D</t>
  </si>
  <si>
    <t>M07B-492-10002-A</t>
  </si>
  <si>
    <t>M07B-492-10002-B</t>
  </si>
  <si>
    <t>M07B-492-10002-C</t>
  </si>
  <si>
    <t>M07B-492-10002-D</t>
  </si>
  <si>
    <t>M07B-492-10003-A</t>
  </si>
  <si>
    <t>M07B-492-10003-B</t>
  </si>
  <si>
    <t>M07B-492-10003-C</t>
  </si>
  <si>
    <t>M07B-492-10004-A</t>
  </si>
  <si>
    <t>M07B-492-10004-B</t>
  </si>
  <si>
    <t>M07B-492-10004-C</t>
  </si>
  <si>
    <t>M07B-492-10004-D</t>
  </si>
  <si>
    <t>M07B-492-10005-A</t>
  </si>
  <si>
    <t>M07B-492-10005-B</t>
  </si>
  <si>
    <t>M07B-492-10005-C</t>
  </si>
  <si>
    <t>M07B-492-10005-D</t>
  </si>
  <si>
    <t>M07B-492-10006-A</t>
  </si>
  <si>
    <t>M07B-492-10006-B</t>
  </si>
  <si>
    <t>M07B-492-10006-C</t>
  </si>
  <si>
    <t>M07B-492-10006-D</t>
  </si>
  <si>
    <t>M07B-492-10007-A</t>
  </si>
  <si>
    <t>M07B-492-10007-B</t>
  </si>
  <si>
    <t>M07B-492-10007-C</t>
  </si>
  <si>
    <t>M07B-492-10007-D</t>
  </si>
  <si>
    <t>M07B-492-10008-A</t>
  </si>
  <si>
    <t>M07B-492-10008-B</t>
  </si>
  <si>
    <t>M07B-492-10008-C</t>
  </si>
  <si>
    <t>M07B-492-10008-D</t>
  </si>
  <si>
    <t>M07B-492-10008-E</t>
  </si>
  <si>
    <t>M07B-492-10009-A</t>
  </si>
  <si>
    <t>M07B-492-10009-B</t>
  </si>
  <si>
    <t>M07B-492-10009-D</t>
  </si>
  <si>
    <t>M07B-492-10009-E</t>
  </si>
  <si>
    <t>M07B-492-10010-A</t>
  </si>
  <si>
    <t>M07B-492-10010-B</t>
  </si>
  <si>
    <t>M07B-492-10010-D</t>
  </si>
  <si>
    <t>M07B-492-10010-E</t>
  </si>
  <si>
    <t>M07B-492-10011-A</t>
  </si>
  <si>
    <t>M07B-492-10011-B</t>
  </si>
  <si>
    <t>M07B-492-10011-D</t>
  </si>
  <si>
    <t>M07B-492-10011-E</t>
  </si>
  <si>
    <t>M07B-492-10012-A</t>
  </si>
  <si>
    <t>M07B-492-10012-B</t>
  </si>
  <si>
    <t>M07B-492-10012-D</t>
  </si>
  <si>
    <t>M07B-492-10012-E</t>
  </si>
  <si>
    <t>M07B-492-10013-A</t>
  </si>
  <si>
    <t>M07B-492-10013-B</t>
  </si>
  <si>
    <t>M07B-492-10014-A</t>
  </si>
  <si>
    <t>M07B-492-10014-B</t>
  </si>
  <si>
    <t>M07B-492-10015-A</t>
  </si>
  <si>
    <t>M07B-492-10015-B</t>
  </si>
  <si>
    <t>M07B-492-10016-A</t>
  </si>
  <si>
    <t>M07B-492-10016-B</t>
  </si>
  <si>
    <t>M07B-492-10017-A</t>
  </si>
  <si>
    <t>M07B-492-10017-B</t>
  </si>
  <si>
    <t>M07B-492-10018-A</t>
  </si>
  <si>
    <t>M07B-492-10018-B</t>
  </si>
  <si>
    <t>M07B-492-10019-A</t>
  </si>
  <si>
    <t>M07B-492-10019-B</t>
  </si>
  <si>
    <t>M07B-492-10020-A</t>
  </si>
  <si>
    <t>M07B-492-10020-B</t>
  </si>
  <si>
    <t>M07B-492-10021-A</t>
  </si>
  <si>
    <t>M07B-492-10021-B</t>
  </si>
  <si>
    <t>M07B-492-10022-A</t>
  </si>
  <si>
    <t>M07B-492-10022-B</t>
  </si>
  <si>
    <t>M07B-492-10023-A</t>
  </si>
  <si>
    <t>M07B-492-10023-B</t>
  </si>
  <si>
    <t>M07B-492-10024-A</t>
  </si>
  <si>
    <t>M07B-492-10024-B</t>
  </si>
  <si>
    <t>M07B-494-10001-A</t>
  </si>
  <si>
    <t>M07B-494-10001-B</t>
  </si>
  <si>
    <t>M07B-494-10001-C</t>
  </si>
  <si>
    <t>M07B-494-10002-B</t>
  </si>
  <si>
    <t>M07B-494-10002-C</t>
  </si>
  <si>
    <t>M07B-494-10003-B</t>
  </si>
  <si>
    <t>M07B-494-10003-C</t>
  </si>
  <si>
    <t>M07B-494-10004-B</t>
  </si>
  <si>
    <t>M07B-494-10004-C</t>
  </si>
  <si>
    <t>M07B-494-10005-B</t>
  </si>
  <si>
    <t>M07B-494-10005-C</t>
  </si>
  <si>
    <t>M07B-494-10006-B</t>
  </si>
  <si>
    <t>M07B-494-10006-C</t>
  </si>
  <si>
    <t>M07B-494-10007-A</t>
  </si>
  <si>
    <t>M07B-494-10007-B</t>
  </si>
  <si>
    <t>M07B-494-10007-C</t>
  </si>
  <si>
    <t>M07B-494-10008-B</t>
  </si>
  <si>
    <t>M07B-494-10008-C</t>
  </si>
  <si>
    <t>M07B-494-10009-B</t>
  </si>
  <si>
    <t>M07B-494-10009-C</t>
  </si>
  <si>
    <t>M07B-494-10010-B</t>
  </si>
  <si>
    <t>M07B-494-10010-C</t>
  </si>
  <si>
    <t>M07B-494-10011-B</t>
  </si>
  <si>
    <t>M07B-494-10011-C</t>
  </si>
  <si>
    <t>M07B-494-10012-B</t>
  </si>
  <si>
    <t>M07B-494-10012-C</t>
  </si>
  <si>
    <t>M07B-494-10013-B</t>
  </si>
  <si>
    <t>M07B-494-10013-C</t>
  </si>
  <si>
    <t>M07B-494-10014-0</t>
  </si>
  <si>
    <t>M07B-494-10015-B</t>
  </si>
  <si>
    <t>M07B-494-10015-C</t>
  </si>
  <si>
    <t>M07B-494-10016-B</t>
  </si>
  <si>
    <t>M07B-494-10016-C</t>
  </si>
  <si>
    <t>M07B-494-10017-B</t>
  </si>
  <si>
    <t>M07B-494-10017-C</t>
  </si>
  <si>
    <t>M07B-494-10018-B</t>
  </si>
  <si>
    <t>M07B-494-10018-C</t>
  </si>
  <si>
    <t>M07B-494-10019-B</t>
  </si>
  <si>
    <t>M07B-494-10019-C</t>
  </si>
  <si>
    <t>M07B-494-20001-A</t>
  </si>
  <si>
    <t>M07B-494-20001-B</t>
  </si>
  <si>
    <t>M07B-494-20001-C</t>
  </si>
  <si>
    <t>M07B-494-20002-B</t>
  </si>
  <si>
    <t>M07B-494-20003-B</t>
  </si>
  <si>
    <t>M07B-494-20004-B</t>
  </si>
  <si>
    <t>M07B-494-20004-C</t>
  </si>
  <si>
    <t>M07B-494-20005-B</t>
  </si>
  <si>
    <t>M07B-494-20005-C</t>
  </si>
  <si>
    <t>M07B-494-20006-B</t>
  </si>
  <si>
    <t>M07B-494-20006-C</t>
  </si>
  <si>
    <t>M07B-494-20007-A</t>
  </si>
  <si>
    <t>M07B-494-20007-B</t>
  </si>
  <si>
    <t>M07B-494-20007-C</t>
  </si>
  <si>
    <t>M07B-494-20008-B</t>
  </si>
  <si>
    <t>M07B-494-20008-C</t>
  </si>
  <si>
    <t>M07B-494-20010-B</t>
  </si>
  <si>
    <t>M07B-494-20010-C</t>
  </si>
  <si>
    <t>M07B-494-20012-A</t>
  </si>
  <si>
    <t>M07B-494-20012-B</t>
  </si>
  <si>
    <t>M05B-335-10301-L</t>
  </si>
  <si>
    <t>M05B-335-10301-N</t>
  </si>
  <si>
    <t>M05B-335-10301-P</t>
  </si>
  <si>
    <t>M05B-335-10301-V</t>
  </si>
  <si>
    <t>M05B-335-10401-E</t>
  </si>
  <si>
    <t>M05B-335-10401-F</t>
  </si>
  <si>
    <t>M05B-335-10401-H</t>
  </si>
  <si>
    <t>M05B-335-10401-J</t>
  </si>
  <si>
    <t>M05B-335-10401-M</t>
  </si>
  <si>
    <t>M05B-335-10401-T</t>
  </si>
  <si>
    <t>M07A-494-10001-A</t>
  </si>
  <si>
    <t>M07A-494-10001-B</t>
  </si>
  <si>
    <t>M07A-494-10001-C</t>
  </si>
  <si>
    <t>M07A-494-10001-D</t>
  </si>
  <si>
    <t>M07A-494-10001-E</t>
  </si>
  <si>
    <t>M07A-494-10001-F</t>
  </si>
  <si>
    <t>M07A-494-10002-B</t>
  </si>
  <si>
    <t>M07A-494-10002-C</t>
  </si>
  <si>
    <t>M07A-494-10003-B</t>
  </si>
  <si>
    <t>M07A-494-10101-B</t>
  </si>
  <si>
    <t>M07A-494-10101-C</t>
  </si>
  <si>
    <t>M07A-494-10102-B</t>
  </si>
  <si>
    <t>M07A-494-10102-C</t>
  </si>
  <si>
    <t>M07A-494-10103-B</t>
  </si>
  <si>
    <t>M07A-494-10103-C</t>
  </si>
  <si>
    <t>M07A-494-10201-A</t>
  </si>
  <si>
    <t>M07A-494-10201-B</t>
  </si>
  <si>
    <t>M07A-494-10201-C</t>
  </si>
  <si>
    <t>M07A-494-10201-D</t>
  </si>
  <si>
    <t>M07A-494-10201-E</t>
  </si>
  <si>
    <t>M07A-494-10201-F</t>
  </si>
  <si>
    <t>M07A-494-10201-G</t>
  </si>
  <si>
    <t>M07A-494-10202-B</t>
  </si>
  <si>
    <t>M07A-494-10202-C</t>
  </si>
  <si>
    <t>M07A-494-10203-B</t>
  </si>
  <si>
    <t>M07A-494-10203-C</t>
  </si>
  <si>
    <t>M07A-494-10301-B</t>
  </si>
  <si>
    <t>M07A-494-10301-C</t>
  </si>
  <si>
    <t>M07A-494-10302-B</t>
  </si>
  <si>
    <t>M07A-494-10302-C</t>
  </si>
  <si>
    <t>M07A-494-10303-B</t>
  </si>
  <si>
    <t>M07A-494-10303-C</t>
  </si>
  <si>
    <t>M07A-494-10401-A</t>
  </si>
  <si>
    <t>M07A-494-10401-B</t>
  </si>
  <si>
    <t>M07A-494-10401-C</t>
  </si>
  <si>
    <t>M07A-494-10401-D</t>
  </si>
  <si>
    <t>M07A-494-10401-E</t>
  </si>
  <si>
    <t>M07A-494-10402-B</t>
  </si>
  <si>
    <t>M07A-494-10402-C</t>
  </si>
  <si>
    <t>M07A-494-10403-B</t>
  </si>
  <si>
    <t>M07A-494-10403-C</t>
  </si>
  <si>
    <t>M07A-494-10501-B</t>
  </si>
  <si>
    <t>M07A-494-10501-C</t>
  </si>
  <si>
    <t>M07A-494-10501-D</t>
  </si>
  <si>
    <t>M07A-494-10501-E</t>
  </si>
  <si>
    <t>M07A-494-10502-B</t>
  </si>
  <si>
    <t>M07A-494-10502-C</t>
  </si>
  <si>
    <t>M07A-494-10503-B</t>
  </si>
  <si>
    <t>M07A-494-10503-C</t>
  </si>
  <si>
    <t>M07A-494-10504-A</t>
  </si>
  <si>
    <t>M07A-494-10504-B</t>
  </si>
  <si>
    <t>M07A-494-10504-C</t>
  </si>
  <si>
    <t>M07A-494-10504-D</t>
  </si>
  <si>
    <t>M07A-494-10601-0</t>
  </si>
  <si>
    <t>M07A-494-10602-B</t>
  </si>
  <si>
    <t>M07A-494-10602-C</t>
  </si>
  <si>
    <t>M07A-494-10603-B</t>
  </si>
  <si>
    <t>M07A-494-10603-C</t>
  </si>
  <si>
    <t>M07A-494-10701-B</t>
  </si>
  <si>
    <t>M07A-494-10701-C</t>
  </si>
  <si>
    <t>M07A-494-10702-B</t>
  </si>
  <si>
    <t>M07A-494-10702-C</t>
  </si>
  <si>
    <t>M07A-494-10703-B</t>
  </si>
  <si>
    <t>M07A-494-10703-C</t>
  </si>
  <si>
    <t>M07A-494-10801-A</t>
  </si>
  <si>
    <t>M07A-494-10801-B</t>
  </si>
  <si>
    <t>M07A-494-10801-C</t>
  </si>
  <si>
    <t>M07A-494-10802-B</t>
  </si>
  <si>
    <t>M07A-494-10802-C</t>
  </si>
  <si>
    <t>M07A-494-10803-B</t>
  </si>
  <si>
    <t>M07A-494-10803-C</t>
  </si>
  <si>
    <t>M07A-494-10901-B</t>
  </si>
  <si>
    <t>M07A-494-10901-C</t>
  </si>
  <si>
    <t>M07A-494-10902-B</t>
  </si>
  <si>
    <t>M07A-494-10902-C</t>
  </si>
  <si>
    <t>M07A-494-10903-B</t>
  </si>
  <si>
    <t>M07A-494-10903-C</t>
  </si>
  <si>
    <t>HO-DF-1415-M05B-332</t>
  </si>
  <si>
    <t>HO-DF-1417-M07A-394</t>
  </si>
  <si>
    <t>HO-DF-1417-M07A-395</t>
  </si>
  <si>
    <t>HO-DF-1417-M07B-331</t>
  </si>
  <si>
    <t>HO-DF-1417-M07A-331</t>
  </si>
  <si>
    <t>HO-DF-1412-M02-332</t>
  </si>
  <si>
    <t>SUPPORT BEAM</t>
  </si>
  <si>
    <t>MR-M05B-1004 10MT SWL</t>
  </si>
  <si>
    <t>P-UC-1231002A-01</t>
  </si>
  <si>
    <t>P-UC-1231002A-02</t>
  </si>
  <si>
    <t>P-UC-1231002B-01</t>
  </si>
  <si>
    <t>P-UC-1231002B-02</t>
  </si>
  <si>
    <t>P-UC-1252001A</t>
  </si>
  <si>
    <t>Z-TA-5412001-02</t>
  </si>
  <si>
    <t>Z-TA-5412001-01</t>
  </si>
  <si>
    <t>MR-PR-1001 SWL 25MT</t>
  </si>
  <si>
    <t>MR-M07B-1001 SWL 30MT</t>
  </si>
  <si>
    <t>MR-M07B-1002 SWL 30MT</t>
  </si>
  <si>
    <t>MR-M07B-1003 SWL 30MT</t>
  </si>
  <si>
    <t>MR-1001 SWL 30MT</t>
  </si>
  <si>
    <t>MR-1002 SWL 30MT</t>
  </si>
  <si>
    <t>MR-1006 SWL 5MT</t>
  </si>
  <si>
    <t>MR-1005 SWL 5MT</t>
  </si>
  <si>
    <t>MR-1004 SWL 5MT</t>
  </si>
  <si>
    <t>MR-M02-1001 35MT SWL</t>
  </si>
  <si>
    <t>MR-M02-1003 - 35MT SWL</t>
  </si>
  <si>
    <t>OFBM-M05B-4001-3MT</t>
  </si>
  <si>
    <t>OFBM-M05B-4005-3MT</t>
  </si>
  <si>
    <t>OFBM-M05B-4002-3MT</t>
  </si>
  <si>
    <t>OFBM-M05B-4004-3MT</t>
  </si>
  <si>
    <t>M05B-332-10201-A</t>
  </si>
  <si>
    <t>M07A-394-11001-A</t>
  </si>
  <si>
    <t>M07A-395-10001-A</t>
  </si>
  <si>
    <t>M07B-331-10501-A</t>
  </si>
  <si>
    <t>M07B-331-10601-A</t>
  </si>
  <si>
    <t>M07B-331-10701-A</t>
  </si>
  <si>
    <t>M07A-331-10001-B</t>
  </si>
  <si>
    <t>M07A-331-10401-A</t>
  </si>
  <si>
    <t>M07A-331-10702-A</t>
  </si>
  <si>
    <t>M07A-331-10902-A</t>
  </si>
  <si>
    <t>M07A-331-10701-A</t>
  </si>
  <si>
    <t>M07A-331-10801-A</t>
  </si>
  <si>
    <t>M07A-331-10901-A</t>
  </si>
  <si>
    <t>M02-332-10001-A</t>
  </si>
  <si>
    <t>M02-332-10201-A</t>
  </si>
  <si>
    <t>M05B-335-10001-A</t>
  </si>
  <si>
    <t>M05B-335-10201-A</t>
  </si>
  <si>
    <t>M05B-335-10501-A</t>
  </si>
  <si>
    <t>M05B-335-10601-A</t>
  </si>
  <si>
    <t>HO-DF-1415-M05B-492</t>
  </si>
  <si>
    <t>HO-DF-1415-M05B-494</t>
  </si>
  <si>
    <t>M05B-332-10501-A</t>
  </si>
  <si>
    <t>M05B-332-10601-A</t>
  </si>
  <si>
    <t>M07A-394-10001-A</t>
  </si>
  <si>
    <t>M07A-394-20001-A</t>
  </si>
  <si>
    <t>M07A-394-30001-A</t>
  </si>
  <si>
    <t>M07A-394-40001-A</t>
  </si>
  <si>
    <t>M07A-394-50001-A</t>
  </si>
  <si>
    <t>M07A-394-60001-A</t>
  </si>
  <si>
    <t>M05B-492-10801-A</t>
  </si>
  <si>
    <t>M05B-492-11001-A</t>
  </si>
  <si>
    <t>M05B-494-10301-A</t>
  </si>
  <si>
    <t>M05B-494-10301-B</t>
  </si>
  <si>
    <t>M05B-494-10301-C</t>
  </si>
  <si>
    <t>M05B-494-10401-A</t>
  </si>
  <si>
    <t>M05B-494-10401-D</t>
  </si>
  <si>
    <t>M05B-494-10401-E</t>
  </si>
  <si>
    <t>M05B-494-10501-A</t>
  </si>
  <si>
    <t>M05B-494-10501-C</t>
  </si>
  <si>
    <t>M05B-494-10501-D</t>
  </si>
  <si>
    <t>M05B-494-10601-A</t>
  </si>
  <si>
    <t>M05B-494-10601-B</t>
  </si>
  <si>
    <t>M05B-494-10601-C</t>
  </si>
  <si>
    <t>M05B-494-10701-A</t>
  </si>
  <si>
    <t>M05B-494-10701-D</t>
  </si>
  <si>
    <t>M05B-494-10701-E</t>
  </si>
  <si>
    <t>M07A-331-10501-A</t>
  </si>
  <si>
    <t>MR-M05B-1008 5MT SWL</t>
  </si>
  <si>
    <t>MR-M05B-1007 5MT SWL</t>
  </si>
  <si>
    <t>V-UC-1225001A-03</t>
  </si>
  <si>
    <t>V-UC-1225001B-03</t>
  </si>
  <si>
    <t>AIT-1225001</t>
  </si>
  <si>
    <t>MÓDULO</t>
  </si>
  <si>
    <t>DESENHO</t>
  </si>
  <si>
    <t>REVISÃO</t>
  </si>
  <si>
    <t>DESCRIÇÃO DO PRODUTO</t>
  </si>
  <si>
    <t>NOME DO PRODUTO</t>
  </si>
  <si>
    <t>TAG</t>
  </si>
  <si>
    <t>TAG-CONTROLSTRU</t>
  </si>
  <si>
    <t>ATIVIDADES / OBSERVAÇÕES</t>
  </si>
  <si>
    <t>332-10804-A</t>
  </si>
  <si>
    <t>395-10001-A</t>
  </si>
  <si>
    <t>395-10101-A</t>
  </si>
  <si>
    <t>M07A-395-10101-A</t>
  </si>
  <si>
    <t>395-10101-B</t>
  </si>
  <si>
    <t>M07A-395-10101-B</t>
  </si>
  <si>
    <t>395-10201-A</t>
  </si>
  <si>
    <t>M07A-395-10201-A</t>
  </si>
  <si>
    <t>395-10301-A</t>
  </si>
  <si>
    <t>M07A-395-10301-A</t>
  </si>
  <si>
    <t>395-10301-B</t>
  </si>
  <si>
    <t>M07A-395-10301-B</t>
  </si>
  <si>
    <t>395-10401-A</t>
  </si>
  <si>
    <t>M07A-395-10401-A</t>
  </si>
  <si>
    <t>395-10501-A</t>
  </si>
  <si>
    <t>M07A-395-10501-A</t>
  </si>
  <si>
    <t>MR-2001 SWL 10MT</t>
  </si>
  <si>
    <t>332-10004-A</t>
  </si>
  <si>
    <t>ELEVATION COAMING</t>
  </si>
  <si>
    <t>I-DE-3010.2S-1417-140-S2N-571</t>
  </si>
  <si>
    <t>571-10001-A</t>
  </si>
  <si>
    <t>M07B-571-10001-A</t>
  </si>
  <si>
    <t>571-10001-B</t>
  </si>
  <si>
    <t>M07B-571-10001-B</t>
  </si>
  <si>
    <t>571-10001-C</t>
  </si>
  <si>
    <t>M07B-571-10001-C</t>
  </si>
  <si>
    <t>571-10001-D</t>
  </si>
  <si>
    <t>M07B-571-10001-D</t>
  </si>
  <si>
    <t>571-10001-E</t>
  </si>
  <si>
    <t>M07B-571-10001-E</t>
  </si>
  <si>
    <t>571-10001-F</t>
  </si>
  <si>
    <t>M07B-571-10001-F</t>
  </si>
  <si>
    <t>571-10001-G</t>
  </si>
  <si>
    <t>M07B-571-10001-G</t>
  </si>
  <si>
    <t>571-10001-H</t>
  </si>
  <si>
    <t>M07B-571-10001-H</t>
  </si>
  <si>
    <t>571-10001-J</t>
  </si>
  <si>
    <t>M07B-571-10001-J</t>
  </si>
  <si>
    <t>571-10001-K</t>
  </si>
  <si>
    <t>M07B-571-10001-K</t>
  </si>
  <si>
    <t>571-10001-L</t>
  </si>
  <si>
    <t>M07B-571-10001-L</t>
  </si>
  <si>
    <t>571-10001-M</t>
  </si>
  <si>
    <t>M07B-571-10001-M</t>
  </si>
  <si>
    <t>571-10001-N</t>
  </si>
  <si>
    <t>M07B-571-10001-N</t>
  </si>
  <si>
    <t>571-10001-P</t>
  </si>
  <si>
    <t>M07B-571-10001-P</t>
  </si>
  <si>
    <t>571-10001-R</t>
  </si>
  <si>
    <t>M07B-571-10001-R</t>
  </si>
  <si>
    <t>571-10001-S</t>
  </si>
  <si>
    <t>M07B-571-10001-S</t>
  </si>
  <si>
    <t>571-10001-T</t>
  </si>
  <si>
    <t>M07B-571-10001-T</t>
  </si>
  <si>
    <t>571-10001-U</t>
  </si>
  <si>
    <t>M07B-571-10001-U</t>
  </si>
  <si>
    <t>571-10001-V</t>
  </si>
  <si>
    <t>M07B-571-10001-V</t>
  </si>
  <si>
    <t>571-10001-W</t>
  </si>
  <si>
    <t>M07B-571-10001-W</t>
  </si>
  <si>
    <t>571-10001-X</t>
  </si>
  <si>
    <t>M07B-571-10001-X</t>
  </si>
  <si>
    <t>571-10001-Y</t>
  </si>
  <si>
    <t>M07B-571-10001-Y</t>
  </si>
  <si>
    <t>571-10001-Z</t>
  </si>
  <si>
    <t>M07B-571-10001-Z</t>
  </si>
  <si>
    <t>571-10001-AA</t>
  </si>
  <si>
    <t>M07B-571-10001-AA</t>
  </si>
  <si>
    <t>571-10001-AB</t>
  </si>
  <si>
    <t>M07B-571-10001-AB</t>
  </si>
  <si>
    <t>571-10001-AC</t>
  </si>
  <si>
    <t>M07B-571-10001-AC</t>
  </si>
  <si>
    <t>571-10001-AD</t>
  </si>
  <si>
    <t>M07B-571-10001-AD</t>
  </si>
  <si>
    <t>571-10001-AE</t>
  </si>
  <si>
    <t>M07B-571-10001-AE</t>
  </si>
  <si>
    <t>571-10001-AF</t>
  </si>
  <si>
    <t>M07B-571-10001-AF</t>
  </si>
  <si>
    <t>571-10001-AG</t>
  </si>
  <si>
    <t>M07B-571-10001-AG</t>
  </si>
  <si>
    <t>571-10001-AH</t>
  </si>
  <si>
    <t>M07B-571-10001-AH</t>
  </si>
  <si>
    <t>571-10001-AJ</t>
  </si>
  <si>
    <t>M07B-571-10001-AJ</t>
  </si>
  <si>
    <t>571-10001-AK</t>
  </si>
  <si>
    <t>M07B-571-10001-AK</t>
  </si>
  <si>
    <t>571-10001-AL</t>
  </si>
  <si>
    <t>M07B-571-10001-AL</t>
  </si>
  <si>
    <t>571-10001-AM</t>
  </si>
  <si>
    <t>M07B-571-10001-AM</t>
  </si>
  <si>
    <t>571-10001-AN</t>
  </si>
  <si>
    <t>M07B-571-10001-AN</t>
  </si>
  <si>
    <t>571-10001-AP</t>
  </si>
  <si>
    <t>M07B-571-10001-AP</t>
  </si>
  <si>
    <t>571-10001-AR</t>
  </si>
  <si>
    <t>M07B-571-10001-AR</t>
  </si>
  <si>
    <t>571-10001-AS</t>
  </si>
  <si>
    <t>M07B-571-10001-AS</t>
  </si>
  <si>
    <t>571-10001-AT</t>
  </si>
  <si>
    <t>M07B-571-10001-AT</t>
  </si>
  <si>
    <t>571-10001-AU</t>
  </si>
  <si>
    <t>M07B-571-10001-AU</t>
  </si>
  <si>
    <t>571-10101-K</t>
  </si>
  <si>
    <t>M07B-571-10101-K</t>
  </si>
  <si>
    <t>571-10101-L</t>
  </si>
  <si>
    <t>M07B-571-10101-L</t>
  </si>
  <si>
    <t>571-10101-M</t>
  </si>
  <si>
    <t>M07B-571-10101-M</t>
  </si>
  <si>
    <t>494-10008-A</t>
  </si>
  <si>
    <t>I-DE-3010.2S-1411-140-S2N-062</t>
  </si>
  <si>
    <t>062-10001-A</t>
  </si>
  <si>
    <t>M01-062-10001-A</t>
  </si>
  <si>
    <t>062-10001-B</t>
  </si>
  <si>
    <t>M01-062-10001-B</t>
  </si>
  <si>
    <t>062-10001-C</t>
  </si>
  <si>
    <t>M01-062-10001-C</t>
  </si>
  <si>
    <t>062-10001-D</t>
  </si>
  <si>
    <t>M01-062-10001-D</t>
  </si>
  <si>
    <t>062-10001-E</t>
  </si>
  <si>
    <t>M01-062-10001-E</t>
  </si>
  <si>
    <t>062-10001-F</t>
  </si>
  <si>
    <t>M01-062-10001-F</t>
  </si>
  <si>
    <t>062-10001-G</t>
  </si>
  <si>
    <t>M01-062-10001-G</t>
  </si>
  <si>
    <t>062-10001-H</t>
  </si>
  <si>
    <t>M01-062-10001-H</t>
  </si>
  <si>
    <t>062-10001-J</t>
  </si>
  <si>
    <t>M01-062-10001-J</t>
  </si>
  <si>
    <t>062-10001-K</t>
  </si>
  <si>
    <t>M01-062-10001-K</t>
  </si>
  <si>
    <t>062-10001-L</t>
  </si>
  <si>
    <t>M01-062-10001-L</t>
  </si>
  <si>
    <t>062-10101-A</t>
  </si>
  <si>
    <t>M01-062-10101-A</t>
  </si>
  <si>
    <t>062-10101-B</t>
  </si>
  <si>
    <t>M01-062-10101-B</t>
  </si>
  <si>
    <t>062-10101-C</t>
  </si>
  <si>
    <t>M01-062-10101-C</t>
  </si>
  <si>
    <t>062-10101-D</t>
  </si>
  <si>
    <t>M01-062-10101-D</t>
  </si>
  <si>
    <t>062-10101-E</t>
  </si>
  <si>
    <t>M01-062-10101-E</t>
  </si>
  <si>
    <t>062-10201-A</t>
  </si>
  <si>
    <t>M01-062-10201-A</t>
  </si>
  <si>
    <t>062-10201-B</t>
  </si>
  <si>
    <t>M01-062-10201-B</t>
  </si>
  <si>
    <t>062-10201-C</t>
  </si>
  <si>
    <t>M01-062-10201-C</t>
  </si>
  <si>
    <t>062-10201-D</t>
  </si>
  <si>
    <t>M01-062-10201-D</t>
  </si>
  <si>
    <t>062-10201-E</t>
  </si>
  <si>
    <t>M01-062-10201-E</t>
  </si>
  <si>
    <t>062-10301-A</t>
  </si>
  <si>
    <t>M01-062-10301-A</t>
  </si>
  <si>
    <t>062-10301-B</t>
  </si>
  <si>
    <t>M01-062-10301-B</t>
  </si>
  <si>
    <t>062-10301-C</t>
  </si>
  <si>
    <t>M01-062-10301-C</t>
  </si>
  <si>
    <t>062-10301-D</t>
  </si>
  <si>
    <t>M01-062-10301-D</t>
  </si>
  <si>
    <t>062-10301-E</t>
  </si>
  <si>
    <t>M01-062-10301-E</t>
  </si>
  <si>
    <t>062-10401-A</t>
  </si>
  <si>
    <t>M01-062-10401-A</t>
  </si>
  <si>
    <t>062-10401-B</t>
  </si>
  <si>
    <t>M01-062-10401-B</t>
  </si>
  <si>
    <t>062-10401-C</t>
  </si>
  <si>
    <t>M01-062-10401-C</t>
  </si>
  <si>
    <t>062-10401-D</t>
  </si>
  <si>
    <t>M01-062-10401-D</t>
  </si>
  <si>
    <t>062-10401-E</t>
  </si>
  <si>
    <t>M01-062-10401-E</t>
  </si>
  <si>
    <t>062-10401-F</t>
  </si>
  <si>
    <t>M01-062-10401-F</t>
  </si>
  <si>
    <t>062-10401-G</t>
  </si>
  <si>
    <t>M01-062-10401-G</t>
  </si>
  <si>
    <t>062-10401-H</t>
  </si>
  <si>
    <t>M01-062-10401-H</t>
  </si>
  <si>
    <t>062-10401-J</t>
  </si>
  <si>
    <t>M01-062-10401-J</t>
  </si>
  <si>
    <t>062-10401-K</t>
  </si>
  <si>
    <t>M01-062-10401-K</t>
  </si>
  <si>
    <t>062-10401-L</t>
  </si>
  <si>
    <t>M01-062-10401-L</t>
  </si>
  <si>
    <t>062-10401-M</t>
  </si>
  <si>
    <t>M01-062-10401-M</t>
  </si>
  <si>
    <t>062-10401-N</t>
  </si>
  <si>
    <t>M01-062-10401-N</t>
  </si>
  <si>
    <t>062-10401-P</t>
  </si>
  <si>
    <t>M01-062-10401-P</t>
  </si>
  <si>
    <t>062-10401-R</t>
  </si>
  <si>
    <t>M01-062-10401-R</t>
  </si>
  <si>
    <t>062-10401-S</t>
  </si>
  <si>
    <t>M01-062-10401-S</t>
  </si>
  <si>
    <t>062-10401-T</t>
  </si>
  <si>
    <t>M01-062-10401-T</t>
  </si>
  <si>
    <t>062-10401-U</t>
  </si>
  <si>
    <t>M01-062-10401-U</t>
  </si>
  <si>
    <t>062-10401-V</t>
  </si>
  <si>
    <t>M01-062-10401-V</t>
  </si>
  <si>
    <t>062-10401-W</t>
  </si>
  <si>
    <t>M01-062-10401-W</t>
  </si>
  <si>
    <t>062-10401-X</t>
  </si>
  <si>
    <t>M01-062-10401-X</t>
  </si>
  <si>
    <t>062-10501-A</t>
  </si>
  <si>
    <t>M01-062-10501-A</t>
  </si>
  <si>
    <t>062-10501-B</t>
  </si>
  <si>
    <t>M01-062-10501-B</t>
  </si>
  <si>
    <t>062-10501-C</t>
  </si>
  <si>
    <t>M01-062-10501-C</t>
  </si>
  <si>
    <t>062-10501-D</t>
  </si>
  <si>
    <t>M01-062-10501-D</t>
  </si>
  <si>
    <t>062-10501-E</t>
  </si>
  <si>
    <t>M01-062-10501-E</t>
  </si>
  <si>
    <t>062-10501-F</t>
  </si>
  <si>
    <t>M01-062-10501-F</t>
  </si>
  <si>
    <t>062-10501-G</t>
  </si>
  <si>
    <t>M01-062-10501-G</t>
  </si>
  <si>
    <t>062-10501-H</t>
  </si>
  <si>
    <t>M01-062-10501-H</t>
  </si>
  <si>
    <t>062-10501-J</t>
  </si>
  <si>
    <t>M01-062-10501-J</t>
  </si>
  <si>
    <t>HO-DF-1417-M07A-351</t>
  </si>
  <si>
    <t>ACCESS PLATFORM</t>
  </si>
  <si>
    <t>ACCESS PLATFORM AP-01</t>
  </si>
  <si>
    <t>351-10004</t>
  </si>
  <si>
    <t>351-10010-A</t>
  </si>
  <si>
    <t>351-10016-A</t>
  </si>
  <si>
    <t>351-10017-A</t>
  </si>
  <si>
    <t>351-10020-A</t>
  </si>
  <si>
    <t>ACCESS PLATFORM AP-02</t>
  </si>
  <si>
    <t>351-10101-A</t>
  </si>
  <si>
    <t>351-10101-B</t>
  </si>
  <si>
    <t>351-10101-C</t>
  </si>
  <si>
    <t>351-10101-D</t>
  </si>
  <si>
    <t>351-10101-E</t>
  </si>
  <si>
    <t>351-10101-G</t>
  </si>
  <si>
    <t>351-10102-A</t>
  </si>
  <si>
    <t>351-10102-B</t>
  </si>
  <si>
    <t>351-10102-C</t>
  </si>
  <si>
    <t>351-10103</t>
  </si>
  <si>
    <t>351-10104-A</t>
  </si>
  <si>
    <t>351-10104-B</t>
  </si>
  <si>
    <t>351-10104-C</t>
  </si>
  <si>
    <t>351-10106-A</t>
  </si>
  <si>
    <t>351-10106-B</t>
  </si>
  <si>
    <t>351-10107</t>
  </si>
  <si>
    <t>351-10108-B</t>
  </si>
  <si>
    <t>351-10108-C</t>
  </si>
  <si>
    <t>351-10108-D</t>
  </si>
  <si>
    <t>351-10108-E</t>
  </si>
  <si>
    <t>351-10108-F</t>
  </si>
  <si>
    <t>351-10109-A</t>
  </si>
  <si>
    <t>351-10109-B</t>
  </si>
  <si>
    <t>351-10109-C</t>
  </si>
  <si>
    <t>351-10110-B</t>
  </si>
  <si>
    <t>351-10111-A</t>
  </si>
  <si>
    <t>351-10111-B</t>
  </si>
  <si>
    <t>351-10112-B</t>
  </si>
  <si>
    <t>351-10114-A</t>
  </si>
  <si>
    <t>351-10114-B</t>
  </si>
  <si>
    <t>351-10115</t>
  </si>
  <si>
    <t>351-10116-A</t>
  </si>
  <si>
    <t>351-10116-B</t>
  </si>
  <si>
    <t>351-10116-C</t>
  </si>
  <si>
    <t>351-10118-A</t>
  </si>
  <si>
    <t>351-10118-B</t>
  </si>
  <si>
    <t>351-10119-A</t>
  </si>
  <si>
    <t>351-10119-B</t>
  </si>
  <si>
    <t>351-10119-C</t>
  </si>
  <si>
    <t>351-10120-A</t>
  </si>
  <si>
    <t>351-10120-B</t>
  </si>
  <si>
    <t>351-10122</t>
  </si>
  <si>
    <t>351-10123-A</t>
  </si>
  <si>
    <t>351-10123-B</t>
  </si>
  <si>
    <t>351-10125</t>
  </si>
  <si>
    <t>351-10126</t>
  </si>
  <si>
    <t>PLATFORM LEG</t>
  </si>
  <si>
    <t>351-10127-A</t>
  </si>
  <si>
    <t>M07A-351-10127-A</t>
  </si>
  <si>
    <t>351-10128-A</t>
  </si>
  <si>
    <t>M07A-351-10128-A</t>
  </si>
  <si>
    <t>351-10128-B</t>
  </si>
  <si>
    <t>351-10128-C</t>
  </si>
  <si>
    <t>351-10129-A</t>
  </si>
  <si>
    <t>M07A-351-10129-A</t>
  </si>
  <si>
    <t>351-10130-A</t>
  </si>
  <si>
    <t>M07A-351-10130-A</t>
  </si>
  <si>
    <t>351-10130-C</t>
  </si>
  <si>
    <t>351-10131-A</t>
  </si>
  <si>
    <t>M07A-351-10131-A</t>
  </si>
  <si>
    <t>351-10132-A</t>
  </si>
  <si>
    <t>M07A-351-10132-A</t>
  </si>
  <si>
    <t>351-10133-A</t>
  </si>
  <si>
    <t>M07A-351-10133-A</t>
  </si>
  <si>
    <t>351-10133-B</t>
  </si>
  <si>
    <t>351-10134-A</t>
  </si>
  <si>
    <t>M07A-351-10134-A</t>
  </si>
  <si>
    <t>351-10134-B</t>
  </si>
  <si>
    <t>351-10135-A</t>
  </si>
  <si>
    <t>M07A-351-10135-A</t>
  </si>
  <si>
    <t>351-10135-B</t>
  </si>
  <si>
    <t>351-10135-C</t>
  </si>
  <si>
    <t>351-10135-E</t>
  </si>
  <si>
    <t>351-10136-A</t>
  </si>
  <si>
    <t>M07A-351-10136-A</t>
  </si>
  <si>
    <t>351-10136-C</t>
  </si>
  <si>
    <t>351-10137-A</t>
  </si>
  <si>
    <t>M07A-351-10137-A</t>
  </si>
  <si>
    <t>351-10138-A</t>
  </si>
  <si>
    <t>M07A-351-10138-A</t>
  </si>
  <si>
    <t>351-10139-A</t>
  </si>
  <si>
    <t>M07A-351-10139-A</t>
  </si>
  <si>
    <t>351-10139-B</t>
  </si>
  <si>
    <t>351-10139-D</t>
  </si>
  <si>
    <t>351-10139-E</t>
  </si>
  <si>
    <t>351-10140</t>
  </si>
  <si>
    <t>ACCESS PLATFORM AP-03</t>
  </si>
  <si>
    <t>351-10201-C</t>
  </si>
  <si>
    <t>351-10201-D</t>
  </si>
  <si>
    <t>351-10201-E</t>
  </si>
  <si>
    <t>351-10202-A</t>
  </si>
  <si>
    <t>351-10203-B</t>
  </si>
  <si>
    <t>351-10203-C</t>
  </si>
  <si>
    <t>351-10204-A</t>
  </si>
  <si>
    <t>351-10204-B</t>
  </si>
  <si>
    <t>351-10205-B</t>
  </si>
  <si>
    <t>351-10206-A</t>
  </si>
  <si>
    <t>351-10206-B</t>
  </si>
  <si>
    <t>351-10206-C</t>
  </si>
  <si>
    <t>351-10208-B</t>
  </si>
  <si>
    <t>351-10208-C</t>
  </si>
  <si>
    <t>351-10211-A</t>
  </si>
  <si>
    <t>351-10211-B</t>
  </si>
  <si>
    <t>351-10211-C</t>
  </si>
  <si>
    <t>351-10212-A</t>
  </si>
  <si>
    <t>351-10212-B</t>
  </si>
  <si>
    <t>351-10212-C</t>
  </si>
  <si>
    <t>351-10213-B</t>
  </si>
  <si>
    <t>351-10214-B</t>
  </si>
  <si>
    <t>351-10214-C</t>
  </si>
  <si>
    <t>351-10215-B</t>
  </si>
  <si>
    <t>351-10215-C</t>
  </si>
  <si>
    <t>351-10216-B</t>
  </si>
  <si>
    <t>351-10217-B</t>
  </si>
  <si>
    <t>351-10218-A</t>
  </si>
  <si>
    <t>351-10218-B</t>
  </si>
  <si>
    <t>351-10218-C</t>
  </si>
  <si>
    <t>351-10219-A</t>
  </si>
  <si>
    <t>351-10219-B</t>
  </si>
  <si>
    <t>351-10220-A</t>
  </si>
  <si>
    <t>351-10220-B</t>
  </si>
  <si>
    <t>351-10221-A</t>
  </si>
  <si>
    <t>351-10221-B</t>
  </si>
  <si>
    <t>351-10222</t>
  </si>
  <si>
    <t>351-10224-A</t>
  </si>
  <si>
    <t>M07A-351-10224-A</t>
  </si>
  <si>
    <t>351-10224-B</t>
  </si>
  <si>
    <t>351-10224-C</t>
  </si>
  <si>
    <t>351-10224-E</t>
  </si>
  <si>
    <t>351-10225-A</t>
  </si>
  <si>
    <t>M07A-351-10225-A</t>
  </si>
  <si>
    <t>351-10225-B</t>
  </si>
  <si>
    <t>351-10225-C</t>
  </si>
  <si>
    <t>351-10225-E</t>
  </si>
  <si>
    <t>351-10226-A</t>
  </si>
  <si>
    <t>M07A-351-10226-A</t>
  </si>
  <si>
    <t>351-10227-A</t>
  </si>
  <si>
    <t>M07A-351-10227-A</t>
  </si>
  <si>
    <t>351-10227-B</t>
  </si>
  <si>
    <t>351-10227-C</t>
  </si>
  <si>
    <t>351-10228-A</t>
  </si>
  <si>
    <t>M07A-351-10228-A</t>
  </si>
  <si>
    <t>351-10229-A</t>
  </si>
  <si>
    <t>M07A-351-10229-A</t>
  </si>
  <si>
    <t>351-10229-B</t>
  </si>
  <si>
    <t>351-10229-C</t>
  </si>
  <si>
    <t>351-10230-A</t>
  </si>
  <si>
    <t>M07A-351-10230-A</t>
  </si>
  <si>
    <t>351-10230-E</t>
  </si>
  <si>
    <t>351-10231-A</t>
  </si>
  <si>
    <t>M07A-351-10231-A</t>
  </si>
  <si>
    <t>351-10231-B</t>
  </si>
  <si>
    <t>351-10231-C</t>
  </si>
  <si>
    <t>351-10231-D</t>
  </si>
  <si>
    <t>351-10232-A</t>
  </si>
  <si>
    <t>M07A-351-10232-A</t>
  </si>
  <si>
    <t>351-10232-B</t>
  </si>
  <si>
    <t>351-10232-C</t>
  </si>
  <si>
    <t>351-10233-A</t>
  </si>
  <si>
    <t>M07A-351-10233-A</t>
  </si>
  <si>
    <t>351-10234-A</t>
  </si>
  <si>
    <t>M07A-351-10234-A</t>
  </si>
  <si>
    <t>351-10234-B</t>
  </si>
  <si>
    <t>351-10235-A</t>
  </si>
  <si>
    <t>M07A-351-10235-A</t>
  </si>
  <si>
    <t>351-10235-B</t>
  </si>
  <si>
    <t>351-10235-C</t>
  </si>
  <si>
    <t>351-10235-D</t>
  </si>
  <si>
    <t>ACCESS PLATFORM AP-06</t>
  </si>
  <si>
    <t>351-20010-A</t>
  </si>
  <si>
    <t>M07A-351-20010-A</t>
  </si>
  <si>
    <t>351-20011-A</t>
  </si>
  <si>
    <t>M07A-351-20011-A</t>
  </si>
  <si>
    <t>351-20012-A</t>
  </si>
  <si>
    <t>M07A-351-20012-A</t>
  </si>
  <si>
    <t>351-20013-A</t>
  </si>
  <si>
    <t>M07A-351-20013-A</t>
  </si>
  <si>
    <t>351-20014-A</t>
  </si>
  <si>
    <t>M07A-351-20014-A</t>
  </si>
  <si>
    <t>351-20015-A</t>
  </si>
  <si>
    <t>M07A-351-20015-A</t>
  </si>
  <si>
    <t>ACCESS PLATFORM AP-05</t>
  </si>
  <si>
    <t>351-20116-A</t>
  </si>
  <si>
    <t>M07A-351-20116-A</t>
  </si>
  <si>
    <t>351-20116-B</t>
  </si>
  <si>
    <t>M07A-351-20116-B</t>
  </si>
  <si>
    <t>351-20117-A</t>
  </si>
  <si>
    <t>M07A-351-20117-A</t>
  </si>
  <si>
    <t>351-20118-A</t>
  </si>
  <si>
    <t>M07A-351-20118-A</t>
  </si>
  <si>
    <t>351-20118-B</t>
  </si>
  <si>
    <t>M07A-351-20118-B</t>
  </si>
  <si>
    <t>351-20119-A</t>
  </si>
  <si>
    <t>M07A-351-20119-A</t>
  </si>
  <si>
    <t>351-20119-B</t>
  </si>
  <si>
    <t>M07A-351-20119-B</t>
  </si>
  <si>
    <t>351-20120-A</t>
  </si>
  <si>
    <t>M07A-351-20120-A</t>
  </si>
  <si>
    <t>351-20121-A</t>
  </si>
  <si>
    <t>M07A-351-20121-A</t>
  </si>
  <si>
    <t>351-20121-B</t>
  </si>
  <si>
    <t>M07A-351-20121-B</t>
  </si>
  <si>
    <t>351-20122-A</t>
  </si>
  <si>
    <t>M07A-351-20122-A</t>
  </si>
  <si>
    <t>351-20123-A</t>
  </si>
  <si>
    <t>M07A-351-20123-A</t>
  </si>
  <si>
    <t>351-20124-A</t>
  </si>
  <si>
    <t>M07A-351-20124-A</t>
  </si>
  <si>
    <t>SUPPORT LEG</t>
  </si>
  <si>
    <t>351-20128-A</t>
  </si>
  <si>
    <t>M07A-351-20128-A</t>
  </si>
  <si>
    <t>351-20129-A</t>
  </si>
  <si>
    <t>M07A-351-20129-A</t>
  </si>
  <si>
    <t>351-20130-A</t>
  </si>
  <si>
    <t>M07A-351-20130-A</t>
  </si>
  <si>
    <t>351-20131-A</t>
  </si>
  <si>
    <t>M07A-351-20131-A</t>
  </si>
  <si>
    <t>351-30101</t>
  </si>
  <si>
    <t>M07A-351-30101-0</t>
  </si>
  <si>
    <t>PLATFORM GUARDRAIL</t>
  </si>
  <si>
    <t>351-30102-A</t>
  </si>
  <si>
    <t>M07A-351-30102-A</t>
  </si>
  <si>
    <t>351-30102-B</t>
  </si>
  <si>
    <t>M07A-351-30102-B</t>
  </si>
  <si>
    <t>351-30102-D</t>
  </si>
  <si>
    <t>M07A-351-30102-D</t>
  </si>
  <si>
    <t>351-30102-F</t>
  </si>
  <si>
    <t>M07A-351-30102-F</t>
  </si>
  <si>
    <t>351-30102-G</t>
  </si>
  <si>
    <t>M07A-351-30102-G</t>
  </si>
  <si>
    <t>351-30102-H</t>
  </si>
  <si>
    <t>M07A-351-30102-H</t>
  </si>
  <si>
    <t>351-30103-A</t>
  </si>
  <si>
    <t>M07A-351-30103-A</t>
  </si>
  <si>
    <t>351-30103-B</t>
  </si>
  <si>
    <t>M07A-351-30103-B</t>
  </si>
  <si>
    <t>351-30103-D</t>
  </si>
  <si>
    <t>M07A-351-30103-D</t>
  </si>
  <si>
    <t>351-30103-F</t>
  </si>
  <si>
    <t>M07A-351-30103-F</t>
  </si>
  <si>
    <t>351-30103-G</t>
  </si>
  <si>
    <t>M07A-351-30103-G</t>
  </si>
  <si>
    <t>351-30103-H</t>
  </si>
  <si>
    <t>M07A-351-30103-H</t>
  </si>
  <si>
    <t>351-30104-A</t>
  </si>
  <si>
    <t>M07A-351-30104-A</t>
  </si>
  <si>
    <t>351-30104-B</t>
  </si>
  <si>
    <t>M07A-351-30104-B</t>
  </si>
  <si>
    <t>351-30104-D</t>
  </si>
  <si>
    <t>M07A-351-30104-D</t>
  </si>
  <si>
    <t>351-30104-F</t>
  </si>
  <si>
    <t>M07A-351-30104-F</t>
  </si>
  <si>
    <t>351-30104-G</t>
  </si>
  <si>
    <t>M07A-351-30104-G</t>
  </si>
  <si>
    <t>351-30104-H</t>
  </si>
  <si>
    <t>M07A-351-30104-H</t>
  </si>
  <si>
    <t>351-30105-A</t>
  </si>
  <si>
    <t>M07A-351-30105-A</t>
  </si>
  <si>
    <t>351-30105-D</t>
  </si>
  <si>
    <t>M07A-351-30105-D</t>
  </si>
  <si>
    <t>351-30105-E</t>
  </si>
  <si>
    <t>M07A-351-30105-E</t>
  </si>
  <si>
    <t>351-30105-F</t>
  </si>
  <si>
    <t>M07A-351-30105-F</t>
  </si>
  <si>
    <t>351-30105-G</t>
  </si>
  <si>
    <t>M07A-351-30105-G</t>
  </si>
  <si>
    <t>351-30105-H</t>
  </si>
  <si>
    <t>M07A-351-30105-H</t>
  </si>
  <si>
    <t>351-30105-J</t>
  </si>
  <si>
    <t>M07A-351-30105-J</t>
  </si>
  <si>
    <t>351-30105-K</t>
  </si>
  <si>
    <t>M07A-351-30105-K</t>
  </si>
  <si>
    <t>351-30105-L</t>
  </si>
  <si>
    <t>M07A-351-30105-L</t>
  </si>
  <si>
    <t>351-30105-M</t>
  </si>
  <si>
    <t>M07A-351-30105-M</t>
  </si>
  <si>
    <t>351-30105-N</t>
  </si>
  <si>
    <t>M07A-351-30105-N</t>
  </si>
  <si>
    <t>351-30105-P</t>
  </si>
  <si>
    <t>M07A-351-30105-P</t>
  </si>
  <si>
    <t>351-30106-A</t>
  </si>
  <si>
    <t>M07A-351-30106-A</t>
  </si>
  <si>
    <t>351-30106-B</t>
  </si>
  <si>
    <t>M07A-351-30106-B</t>
  </si>
  <si>
    <t>351-30106-D</t>
  </si>
  <si>
    <t>M07A-351-30106-D</t>
  </si>
  <si>
    <t>351-30106-F</t>
  </si>
  <si>
    <t>M07A-351-30106-F</t>
  </si>
  <si>
    <t>351-30106-G</t>
  </si>
  <si>
    <t>M07A-351-30106-G</t>
  </si>
  <si>
    <t>351-30106-H</t>
  </si>
  <si>
    <t>M07A-351-30106-H</t>
  </si>
  <si>
    <t>351-30107-A</t>
  </si>
  <si>
    <t>M07A-351-30107-A</t>
  </si>
  <si>
    <t>351-30107-D</t>
  </si>
  <si>
    <t>M07A-351-30107-D</t>
  </si>
  <si>
    <t>351-30107-E</t>
  </si>
  <si>
    <t>M07A-351-30107-E</t>
  </si>
  <si>
    <t>351-30107-F</t>
  </si>
  <si>
    <t>M07A-351-30107-F</t>
  </si>
  <si>
    <t>351-30107-G</t>
  </si>
  <si>
    <t>M07A-351-30107-G</t>
  </si>
  <si>
    <t>351-30107-H</t>
  </si>
  <si>
    <t>M07A-351-30107-H</t>
  </si>
  <si>
    <t>351-30201</t>
  </si>
  <si>
    <t>M07A-351-30201-0</t>
  </si>
  <si>
    <t>351-30202-A</t>
  </si>
  <si>
    <t>M07A-351-30202-A</t>
  </si>
  <si>
    <t>351-30202-B</t>
  </si>
  <si>
    <t>M07A-351-30202-B</t>
  </si>
  <si>
    <t>351-30202-D</t>
  </si>
  <si>
    <t>M07A-351-30202-D</t>
  </si>
  <si>
    <t>351-30202-F</t>
  </si>
  <si>
    <t>M07A-351-30202-F</t>
  </si>
  <si>
    <t>351-30202-G</t>
  </si>
  <si>
    <t>M07A-351-30202-G</t>
  </si>
  <si>
    <t>351-30202-H</t>
  </si>
  <si>
    <t>M07A-351-30202-H</t>
  </si>
  <si>
    <t>351-30203-A</t>
  </si>
  <si>
    <t>M07A-351-30203-A</t>
  </si>
  <si>
    <t>351-30203-B</t>
  </si>
  <si>
    <t>M07A-351-30203-B</t>
  </si>
  <si>
    <t>351-30203-D</t>
  </si>
  <si>
    <t>M07A-351-30203-D</t>
  </si>
  <si>
    <t>351-30203-F</t>
  </si>
  <si>
    <t>M07A-351-30203-F</t>
  </si>
  <si>
    <t>351-30203-G</t>
  </si>
  <si>
    <t>M07A-351-30203-G</t>
  </si>
  <si>
    <t>351-30203-H</t>
  </si>
  <si>
    <t>M07A-351-30203-H</t>
  </si>
  <si>
    <t>351-30204-A</t>
  </si>
  <si>
    <t>M07A-351-30204-A</t>
  </si>
  <si>
    <t>351-30204-D</t>
  </si>
  <si>
    <t>M07A-351-30204-D</t>
  </si>
  <si>
    <t>351-30204-E</t>
  </si>
  <si>
    <t>M07A-351-30204-E</t>
  </si>
  <si>
    <t>351-30204-F</t>
  </si>
  <si>
    <t>M07A-351-30204-F</t>
  </si>
  <si>
    <t>351-30204-G</t>
  </si>
  <si>
    <t>M07A-351-30204-G</t>
  </si>
  <si>
    <t>351-30204-H</t>
  </si>
  <si>
    <t>M07A-351-30204-H</t>
  </si>
  <si>
    <t>351-30204-J</t>
  </si>
  <si>
    <t>M07A-351-30204-J</t>
  </si>
  <si>
    <t>351-30204-K</t>
  </si>
  <si>
    <t>M07A-351-30204-K</t>
  </si>
  <si>
    <t>351-30204-L</t>
  </si>
  <si>
    <t>M07A-351-30204-L</t>
  </si>
  <si>
    <t>351-30204-M</t>
  </si>
  <si>
    <t>M07A-351-30204-M</t>
  </si>
  <si>
    <t>351-30204-N</t>
  </si>
  <si>
    <t>M07A-351-30204-N</t>
  </si>
  <si>
    <t>351-30204-P</t>
  </si>
  <si>
    <t>M07A-351-30204-P</t>
  </si>
  <si>
    <t>351-30205-A</t>
  </si>
  <si>
    <t>M07A-351-30205-A</t>
  </si>
  <si>
    <t>351-30205-B</t>
  </si>
  <si>
    <t>M07A-351-30205-B</t>
  </si>
  <si>
    <t>351-30205-D</t>
  </si>
  <si>
    <t>M07A-351-30205-D</t>
  </si>
  <si>
    <t>351-30205-F</t>
  </si>
  <si>
    <t>M07A-351-30205-F</t>
  </si>
  <si>
    <t>351-30205-G</t>
  </si>
  <si>
    <t>M07A-351-30205-G</t>
  </si>
  <si>
    <t>351-30205-H</t>
  </si>
  <si>
    <t>M07A-351-30205-H</t>
  </si>
  <si>
    <t>351-30206-A</t>
  </si>
  <si>
    <t>M07A-351-30206-A</t>
  </si>
  <si>
    <t>351-30206-D</t>
  </si>
  <si>
    <t>M07A-351-30206-D</t>
  </si>
  <si>
    <t>351-30206-E</t>
  </si>
  <si>
    <t>M07A-351-30206-E</t>
  </si>
  <si>
    <t>351-30206-F</t>
  </si>
  <si>
    <t>M07A-351-30206-F</t>
  </si>
  <si>
    <t>351-30206-G</t>
  </si>
  <si>
    <t>M07A-351-30206-G</t>
  </si>
  <si>
    <t>351-30206-H</t>
  </si>
  <si>
    <t>M07A-351-30206-H</t>
  </si>
  <si>
    <t>351-30206-J</t>
  </si>
  <si>
    <t>M07A-351-30206-J</t>
  </si>
  <si>
    <t>351-30206-K</t>
  </si>
  <si>
    <t>M07A-351-30206-K</t>
  </si>
  <si>
    <t>351-30206-L</t>
  </si>
  <si>
    <t>M07A-351-30206-L</t>
  </si>
  <si>
    <t>351-30206-M</t>
  </si>
  <si>
    <t>M07A-351-30206-M</t>
  </si>
  <si>
    <t>351-30206-N</t>
  </si>
  <si>
    <t>M07A-351-30206-N</t>
  </si>
  <si>
    <t>351-30206-P</t>
  </si>
  <si>
    <t>M07A-351-30206-P</t>
  </si>
  <si>
    <t>351-40001-A</t>
  </si>
  <si>
    <t>M07A-351-40001-A</t>
  </si>
  <si>
    <t>351-40001-C</t>
  </si>
  <si>
    <t>M07A-351-40001-C</t>
  </si>
  <si>
    <t>351-40001-D</t>
  </si>
  <si>
    <t>M07A-351-40001-D</t>
  </si>
  <si>
    <t>351-40001-E</t>
  </si>
  <si>
    <t>M07A-351-40001-E</t>
  </si>
  <si>
    <t>351-40001-F</t>
  </si>
  <si>
    <t>M07A-351-40001-F</t>
  </si>
  <si>
    <t>351-40001-H</t>
  </si>
  <si>
    <t>M07A-351-40001-H</t>
  </si>
  <si>
    <t>351-40001-J</t>
  </si>
  <si>
    <t>M07A-351-40001-J</t>
  </si>
  <si>
    <t>351-40002-A</t>
  </si>
  <si>
    <t>M07A-351-40002-A</t>
  </si>
  <si>
    <t>351-40002-D</t>
  </si>
  <si>
    <t>M07A-351-40002-D</t>
  </si>
  <si>
    <t>351-40002-E</t>
  </si>
  <si>
    <t>M07A-351-40002-E</t>
  </si>
  <si>
    <t>351-40002-F</t>
  </si>
  <si>
    <t>M07A-351-40002-F</t>
  </si>
  <si>
    <t>351-40002-G</t>
  </si>
  <si>
    <t>M07A-351-40002-G</t>
  </si>
  <si>
    <t>351-40002-H</t>
  </si>
  <si>
    <t>M07A-351-40002-H</t>
  </si>
  <si>
    <t>351-40003-A</t>
  </si>
  <si>
    <t>M07A-351-40003-A</t>
  </si>
  <si>
    <t>351-40003-C</t>
  </si>
  <si>
    <t>M07A-351-40003-C</t>
  </si>
  <si>
    <t>351-40003-D</t>
  </si>
  <si>
    <t>M07A-351-40003-D</t>
  </si>
  <si>
    <t>351-40003-E</t>
  </si>
  <si>
    <t>M07A-351-40003-E</t>
  </si>
  <si>
    <t>351-40003-F</t>
  </si>
  <si>
    <t>M07A-351-40003-F</t>
  </si>
  <si>
    <t>351-40003-H</t>
  </si>
  <si>
    <t>M07A-351-40003-H</t>
  </si>
  <si>
    <t>351-40101-A</t>
  </si>
  <si>
    <t>M07A-351-40101-A</t>
  </si>
  <si>
    <t>351-40101-B</t>
  </si>
  <si>
    <t>M07A-351-40101-B</t>
  </si>
  <si>
    <t>351-40101-C</t>
  </si>
  <si>
    <t>M07A-351-40101-C</t>
  </si>
  <si>
    <t>351-40101-E</t>
  </si>
  <si>
    <t>M07A-351-40101-E</t>
  </si>
  <si>
    <t>351-40101-G</t>
  </si>
  <si>
    <t>M07A-351-40101-G</t>
  </si>
  <si>
    <t>351-40102-A</t>
  </si>
  <si>
    <t>M07A-351-40102-A</t>
  </si>
  <si>
    <t>351-40102-B</t>
  </si>
  <si>
    <t>M07A-351-40102-B</t>
  </si>
  <si>
    <t>351-40102-D</t>
  </si>
  <si>
    <t>M07A-351-40102-D</t>
  </si>
  <si>
    <t>351-40102-F</t>
  </si>
  <si>
    <t>M07A-351-40102-F</t>
  </si>
  <si>
    <t>351-40102-G</t>
  </si>
  <si>
    <t>M07A-351-40102-G</t>
  </si>
  <si>
    <t>351-40102-H</t>
  </si>
  <si>
    <t>M07A-351-40102-H</t>
  </si>
  <si>
    <t>351-40103-A</t>
  </si>
  <si>
    <t>M07A-351-40103-A</t>
  </si>
  <si>
    <t>351-40103-C</t>
  </si>
  <si>
    <t>M07A-351-40103-C</t>
  </si>
  <si>
    <t>351-40103-D</t>
  </si>
  <si>
    <t>M07A-351-40103-D</t>
  </si>
  <si>
    <t>351-40103-E</t>
  </si>
  <si>
    <t>M07A-351-40103-E</t>
  </si>
  <si>
    <t>351-40103-F</t>
  </si>
  <si>
    <t>M07A-351-40103-F</t>
  </si>
  <si>
    <t>351-40103-H</t>
  </si>
  <si>
    <t>M07A-351-40103-H</t>
  </si>
  <si>
    <t>351-40104-A</t>
  </si>
  <si>
    <t>M07A-351-40104-A</t>
  </si>
  <si>
    <t>351-40104-B</t>
  </si>
  <si>
    <t>M07A-351-40104-B</t>
  </si>
  <si>
    <t>351-40104-D</t>
  </si>
  <si>
    <t>M07A-351-40104-D</t>
  </si>
  <si>
    <t>351-40104-F</t>
  </si>
  <si>
    <t>M07A-351-40104-F</t>
  </si>
  <si>
    <t>351-40104-G</t>
  </si>
  <si>
    <t>M07A-351-40104-G</t>
  </si>
  <si>
    <t>351-40104-H</t>
  </si>
  <si>
    <t>M07A-351-40104-H</t>
  </si>
  <si>
    <t>HO-DF-1417-M07B-351</t>
  </si>
  <si>
    <t>351-10002-A</t>
  </si>
  <si>
    <t>351-10002-B</t>
  </si>
  <si>
    <t>351-10002-C</t>
  </si>
  <si>
    <t>351-10002-D</t>
  </si>
  <si>
    <t>351-10002-E</t>
  </si>
  <si>
    <t>351-10003-A</t>
  </si>
  <si>
    <t>351-10003-B</t>
  </si>
  <si>
    <t>351-10003-C</t>
  </si>
  <si>
    <t>351-10003-D</t>
  </si>
  <si>
    <t>351-10003-E</t>
  </si>
  <si>
    <t>351-10004-A</t>
  </si>
  <si>
    <t>351-10004-B</t>
  </si>
  <si>
    <t>351-10004-C</t>
  </si>
  <si>
    <t>351-10004-D</t>
  </si>
  <si>
    <t>351-10004-E</t>
  </si>
  <si>
    <t>351-10005-A</t>
  </si>
  <si>
    <t>351-10005-B</t>
  </si>
  <si>
    <t>351-10005-C</t>
  </si>
  <si>
    <t>351-10005-D</t>
  </si>
  <si>
    <t>351-10005-E</t>
  </si>
  <si>
    <t>351-10006-A</t>
  </si>
  <si>
    <t>351-10006-B</t>
  </si>
  <si>
    <t>351-10006-C</t>
  </si>
  <si>
    <t>351-10007-A</t>
  </si>
  <si>
    <t>351-10007-B</t>
  </si>
  <si>
    <t>351-10007-C</t>
  </si>
  <si>
    <t>351-10007-D</t>
  </si>
  <si>
    <t>351-10007-E</t>
  </si>
  <si>
    <t>351-10008-B</t>
  </si>
  <si>
    <t>351-10008-C</t>
  </si>
  <si>
    <t>351-10009-A</t>
  </si>
  <si>
    <t>351-10009-B</t>
  </si>
  <si>
    <t>351-10009-C</t>
  </si>
  <si>
    <t>351-10010-B</t>
  </si>
  <si>
    <t>351-10010-C</t>
  </si>
  <si>
    <t>351-10010-D</t>
  </si>
  <si>
    <t>351-10011-A</t>
  </si>
  <si>
    <t>351-10011-B</t>
  </si>
  <si>
    <t>351-10012-A</t>
  </si>
  <si>
    <t>351-10012-B</t>
  </si>
  <si>
    <t>351-10014-A</t>
  </si>
  <si>
    <t>351-10014-B</t>
  </si>
  <si>
    <t>351-10015-A</t>
  </si>
  <si>
    <t>351-10015-B</t>
  </si>
  <si>
    <t>351-10020-B</t>
  </si>
  <si>
    <t>351-10021-A</t>
  </si>
  <si>
    <t>351-10021-B</t>
  </si>
  <si>
    <t>351-10022</t>
  </si>
  <si>
    <t>M07B-351-10022-0</t>
  </si>
  <si>
    <t>351-10023</t>
  </si>
  <si>
    <t>M07B-351-10023-0</t>
  </si>
  <si>
    <t>351-10025-A</t>
  </si>
  <si>
    <t>351-10025-B</t>
  </si>
  <si>
    <t>351-10028-A</t>
  </si>
  <si>
    <t>M07B-351-10028-A</t>
  </si>
  <si>
    <t>351-10028-B</t>
  </si>
  <si>
    <t>M07B-351-10028-B</t>
  </si>
  <si>
    <t>351-10028-D</t>
  </si>
  <si>
    <t>M07B-351-10028-D</t>
  </si>
  <si>
    <t>351-10028-F</t>
  </si>
  <si>
    <t>M07B-351-10028-F</t>
  </si>
  <si>
    <t>351-10028-G</t>
  </si>
  <si>
    <t>M07B-351-10028-G</t>
  </si>
  <si>
    <t>351-10028-H</t>
  </si>
  <si>
    <t>M07B-351-10028-H</t>
  </si>
  <si>
    <t>351-10029-A</t>
  </si>
  <si>
    <t>M07B-351-10029-A</t>
  </si>
  <si>
    <t>351-10029-B</t>
  </si>
  <si>
    <t>M07B-351-10029-B</t>
  </si>
  <si>
    <t>351-10029-D</t>
  </si>
  <si>
    <t>M07B-351-10029-D</t>
  </si>
  <si>
    <t>351-10029-F</t>
  </si>
  <si>
    <t>M07B-351-10029-F</t>
  </si>
  <si>
    <t>351-10029-G</t>
  </si>
  <si>
    <t>M07B-351-10029-G</t>
  </si>
  <si>
    <t>351-10029-H</t>
  </si>
  <si>
    <t>M07B-351-10029-H</t>
  </si>
  <si>
    <t>351-10030-A</t>
  </si>
  <si>
    <t>M07B-351-10030-A</t>
  </si>
  <si>
    <t>351-10030-B</t>
  </si>
  <si>
    <t>M07B-351-10030-B</t>
  </si>
  <si>
    <t>351-10030-C</t>
  </si>
  <si>
    <t>351-10030-D</t>
  </si>
  <si>
    <t>M07B-351-10030-D</t>
  </si>
  <si>
    <t>351-10030-F</t>
  </si>
  <si>
    <t>M07B-351-10030-F</t>
  </si>
  <si>
    <t>351-10030-G</t>
  </si>
  <si>
    <t>M07B-351-10030-G</t>
  </si>
  <si>
    <t>351-10030-H</t>
  </si>
  <si>
    <t>M07B-351-10030-H</t>
  </si>
  <si>
    <t>351-10031-A</t>
  </si>
  <si>
    <t>M07B-351-10031-A</t>
  </si>
  <si>
    <t>351-10031-B</t>
  </si>
  <si>
    <t>M07B-351-10031-B</t>
  </si>
  <si>
    <t>351-10031-C</t>
  </si>
  <si>
    <t>351-10031-D</t>
  </si>
  <si>
    <t>M07B-351-10031-D</t>
  </si>
  <si>
    <t>351-10031-F</t>
  </si>
  <si>
    <t>M07B-351-10031-F</t>
  </si>
  <si>
    <t>351-10031-G</t>
  </si>
  <si>
    <t>M07B-351-10031-G</t>
  </si>
  <si>
    <t>351-10031-H</t>
  </si>
  <si>
    <t>M07B-351-10031-H</t>
  </si>
  <si>
    <t>351-10032-A</t>
  </si>
  <si>
    <t>M07B-351-10032-A</t>
  </si>
  <si>
    <t>351-10032-B</t>
  </si>
  <si>
    <t>M07B-351-10032-B</t>
  </si>
  <si>
    <t>351-10032-D</t>
  </si>
  <si>
    <t>M07B-351-10032-D</t>
  </si>
  <si>
    <t>351-10032-F</t>
  </si>
  <si>
    <t>M07B-351-10032-F</t>
  </si>
  <si>
    <t>351-10032-G</t>
  </si>
  <si>
    <t>M07B-351-10032-G</t>
  </si>
  <si>
    <t>351-10032-H</t>
  </si>
  <si>
    <t>M07B-351-10032-H</t>
  </si>
  <si>
    <t>351-10033-A</t>
  </si>
  <si>
    <t>351-10033-B</t>
  </si>
  <si>
    <t>351-10034-A</t>
  </si>
  <si>
    <t>M07B-351-10034-A</t>
  </si>
  <si>
    <t>351-10034-B</t>
  </si>
  <si>
    <t>M07B-351-10034-B</t>
  </si>
  <si>
    <t>351-10034-D</t>
  </si>
  <si>
    <t>M07B-351-10034-D</t>
  </si>
  <si>
    <t>351-10034-F</t>
  </si>
  <si>
    <t>M07B-351-10034-F</t>
  </si>
  <si>
    <t>351-10034-G</t>
  </si>
  <si>
    <t>M07B-351-10034-G</t>
  </si>
  <si>
    <t>351-10034-H</t>
  </si>
  <si>
    <t>M07B-351-10034-H</t>
  </si>
  <si>
    <t>351-10103-B</t>
  </si>
  <si>
    <t>351-10103-C</t>
  </si>
  <si>
    <t>351-10106-C</t>
  </si>
  <si>
    <t>351-10107-C</t>
  </si>
  <si>
    <t>351-10109-D</t>
  </si>
  <si>
    <t>351-10109-E</t>
  </si>
  <si>
    <t>351-10109-F</t>
  </si>
  <si>
    <t>351-10109-G</t>
  </si>
  <si>
    <t>351-10113-A</t>
  </si>
  <si>
    <t>351-10113-B</t>
  </si>
  <si>
    <t>351-10114-C</t>
  </si>
  <si>
    <t>351-10115-B</t>
  </si>
  <si>
    <t>351-10115-C</t>
  </si>
  <si>
    <t>M07B-351-10118-A</t>
  </si>
  <si>
    <t>351-10118-C</t>
  </si>
  <si>
    <t>M07B-351-10118-C</t>
  </si>
  <si>
    <t>351-10118-D</t>
  </si>
  <si>
    <t>M07B-351-10118-D</t>
  </si>
  <si>
    <t>351-10118-E</t>
  </si>
  <si>
    <t>M07B-351-10118-E</t>
  </si>
  <si>
    <t>351-10118-F</t>
  </si>
  <si>
    <t>M07B-351-10118-F</t>
  </si>
  <si>
    <t>351-10118-G</t>
  </si>
  <si>
    <t>351-10118-H</t>
  </si>
  <si>
    <t>M07B-351-10118-H</t>
  </si>
  <si>
    <t>M07B-351-10119-A</t>
  </si>
  <si>
    <t>351-10119-D</t>
  </si>
  <si>
    <t>M07B-351-10119-D</t>
  </si>
  <si>
    <t>351-10119-E</t>
  </si>
  <si>
    <t>M07B-351-10119-E</t>
  </si>
  <si>
    <t>351-10119-F</t>
  </si>
  <si>
    <t>M07B-351-10119-F</t>
  </si>
  <si>
    <t>351-10119-G</t>
  </si>
  <si>
    <t>M07B-351-10119-G</t>
  </si>
  <si>
    <t>351-10119-H</t>
  </si>
  <si>
    <t>M07B-351-10119-H</t>
  </si>
  <si>
    <t>351-10119-J</t>
  </si>
  <si>
    <t>M07B-351-10119-J</t>
  </si>
  <si>
    <t>351-10119-K</t>
  </si>
  <si>
    <t>M07B-351-10119-K</t>
  </si>
  <si>
    <t>351-10119-L</t>
  </si>
  <si>
    <t>M07B-351-10119-L</t>
  </si>
  <si>
    <t>351-10119-M</t>
  </si>
  <si>
    <t>M07B-351-10119-M</t>
  </si>
  <si>
    <t>351-10119-N</t>
  </si>
  <si>
    <t>M07B-351-10119-N</t>
  </si>
  <si>
    <t>351-10119-P</t>
  </si>
  <si>
    <t>M07B-351-10119-P</t>
  </si>
  <si>
    <t>M07B-351-10120-A</t>
  </si>
  <si>
    <t>351-10120-C</t>
  </si>
  <si>
    <t>M07B-351-10120-C</t>
  </si>
  <si>
    <t>351-10120-D</t>
  </si>
  <si>
    <t>M07B-351-10120-D</t>
  </si>
  <si>
    <t>351-10120-E</t>
  </si>
  <si>
    <t>M07B-351-10120-E</t>
  </si>
  <si>
    <t>351-10120-F</t>
  </si>
  <si>
    <t>M07B-351-10120-F</t>
  </si>
  <si>
    <t>351-10120-G</t>
  </si>
  <si>
    <t>351-10120-H</t>
  </si>
  <si>
    <t>M07B-351-10120-H</t>
  </si>
  <si>
    <t>351-10120-J</t>
  </si>
  <si>
    <t>M07B-351-10120-J</t>
  </si>
  <si>
    <t>351-10121-A</t>
  </si>
  <si>
    <t>351-10121-B</t>
  </si>
  <si>
    <t>351-10121-C</t>
  </si>
  <si>
    <t>351-10122-B</t>
  </si>
  <si>
    <t>351-10201-B</t>
  </si>
  <si>
    <t>351-10202-E</t>
  </si>
  <si>
    <t>351-10203-D</t>
  </si>
  <si>
    <t>351-10203-E</t>
  </si>
  <si>
    <t>351-10204-C</t>
  </si>
  <si>
    <t>351-10204-D</t>
  </si>
  <si>
    <t>351-10204-E</t>
  </si>
  <si>
    <t>351-10205-C</t>
  </si>
  <si>
    <t>351-10205-D</t>
  </si>
  <si>
    <t>351-10205-E</t>
  </si>
  <si>
    <t>351-10206-D</t>
  </si>
  <si>
    <t>351-10206-E</t>
  </si>
  <si>
    <t>351-10207-B</t>
  </si>
  <si>
    <t>351-10207-C</t>
  </si>
  <si>
    <t>351-10207-D</t>
  </si>
  <si>
    <t>351-10213-C</t>
  </si>
  <si>
    <t>351-10214-E</t>
  </si>
  <si>
    <t>351-10216-C</t>
  </si>
  <si>
    <t>351-10220-C</t>
  </si>
  <si>
    <t>351-10220-D</t>
  </si>
  <si>
    <t>351-10220-E</t>
  </si>
  <si>
    <t>351-10221-C</t>
  </si>
  <si>
    <t>351-10223-A</t>
  </si>
  <si>
    <t>351-10223-B</t>
  </si>
  <si>
    <t>351-10226</t>
  </si>
  <si>
    <t>351-10233</t>
  </si>
  <si>
    <t>351-10238-B</t>
  </si>
  <si>
    <t>351-10239-A</t>
  </si>
  <si>
    <t>M07B-351-10239-A</t>
  </si>
  <si>
    <t>351-10239-B</t>
  </si>
  <si>
    <t>M07B-351-10239-B</t>
  </si>
  <si>
    <t>351-10239-C</t>
  </si>
  <si>
    <t>351-10239-D</t>
  </si>
  <si>
    <t>M07B-351-10239-D</t>
  </si>
  <si>
    <t>351-10239-F</t>
  </si>
  <si>
    <t>M07B-351-10239-F</t>
  </si>
  <si>
    <t>351-10239-G</t>
  </si>
  <si>
    <t>M07B-351-10239-G</t>
  </si>
  <si>
    <t>351-10239-H</t>
  </si>
  <si>
    <t>M07B-351-10239-H</t>
  </si>
  <si>
    <t>351-10240-A</t>
  </si>
  <si>
    <t>M07B-351-10240-A</t>
  </si>
  <si>
    <t>351-10240-B</t>
  </si>
  <si>
    <t>M07B-351-10240-B</t>
  </si>
  <si>
    <t>351-10240-D</t>
  </si>
  <si>
    <t>M07B-351-10240-D</t>
  </si>
  <si>
    <t>351-10240-F</t>
  </si>
  <si>
    <t>M07B-351-10240-F</t>
  </si>
  <si>
    <t>351-10240-G</t>
  </si>
  <si>
    <t>M07B-351-10240-G</t>
  </si>
  <si>
    <t>351-10240-H</t>
  </si>
  <si>
    <t>M07B-351-10240-H</t>
  </si>
  <si>
    <t>351-10241-A</t>
  </si>
  <si>
    <t>M07B-351-10241-A</t>
  </si>
  <si>
    <t>351-10241-B</t>
  </si>
  <si>
    <t>M07B-351-10241-B</t>
  </si>
  <si>
    <t>351-10241-D</t>
  </si>
  <si>
    <t>M07B-351-10241-D</t>
  </si>
  <si>
    <t>351-10241-F</t>
  </si>
  <si>
    <t>M07B-351-10241-F</t>
  </si>
  <si>
    <t>351-10241-G</t>
  </si>
  <si>
    <t>M07B-351-10241-G</t>
  </si>
  <si>
    <t>351-10241-H</t>
  </si>
  <si>
    <t>M07B-351-10241-H</t>
  </si>
  <si>
    <t>351-10242-A</t>
  </si>
  <si>
    <t>351-10242-B</t>
  </si>
  <si>
    <t>351-10242-C</t>
  </si>
  <si>
    <t>M07B-351-10242-C</t>
  </si>
  <si>
    <t>351-10242-D</t>
  </si>
  <si>
    <t>M07B-351-10242-D</t>
  </si>
  <si>
    <t>351-10242-E</t>
  </si>
  <si>
    <t>M07B-351-10242-E</t>
  </si>
  <si>
    <t>351-10242-F</t>
  </si>
  <si>
    <t>M07B-351-10242-F</t>
  </si>
  <si>
    <t>351-10242-G</t>
  </si>
  <si>
    <t>M07B-351-10242-G</t>
  </si>
  <si>
    <t>351-10242-H</t>
  </si>
  <si>
    <t>M07B-351-10242-H</t>
  </si>
  <si>
    <t>351-10242-J</t>
  </si>
  <si>
    <t>M07B-351-10242-J</t>
  </si>
  <si>
    <t>351-10242-K</t>
  </si>
  <si>
    <t>M07B-351-10242-K</t>
  </si>
  <si>
    <t>351-10242-L</t>
  </si>
  <si>
    <t>M07B-351-10242-L</t>
  </si>
  <si>
    <t>351-10242-N</t>
  </si>
  <si>
    <t>M07B-351-10242-N</t>
  </si>
  <si>
    <t>351-10242-P</t>
  </si>
  <si>
    <t>M07B-351-10242-P</t>
  </si>
  <si>
    <t>351-10242-R</t>
  </si>
  <si>
    <t>M07B-351-10242-R</t>
  </si>
  <si>
    <t>351-10242-S</t>
  </si>
  <si>
    <t>M07B-351-10242-S</t>
  </si>
  <si>
    <t>351-10243-C</t>
  </si>
  <si>
    <t>M07B-351-10243-C</t>
  </si>
  <si>
    <t>351-10243-D</t>
  </si>
  <si>
    <t>M07B-351-10243-D</t>
  </si>
  <si>
    <t>351-10243-E</t>
  </si>
  <si>
    <t>M07B-351-10243-E</t>
  </si>
  <si>
    <t>351-10243-F</t>
  </si>
  <si>
    <t>M07B-351-10243-F</t>
  </si>
  <si>
    <t>351-10243-G</t>
  </si>
  <si>
    <t>M07B-351-10243-G</t>
  </si>
  <si>
    <t>351-10243-H</t>
  </si>
  <si>
    <t>M07B-351-10243-H</t>
  </si>
  <si>
    <t>351-10243-J</t>
  </si>
  <si>
    <t>M07B-351-10243-J</t>
  </si>
  <si>
    <t>351-10244-B</t>
  </si>
  <si>
    <t>351-10244-C</t>
  </si>
  <si>
    <t>351-10244-D</t>
  </si>
  <si>
    <t>351-10244-E</t>
  </si>
  <si>
    <t>351-10245</t>
  </si>
  <si>
    <t>ACCESS PLATFORM AP-04</t>
  </si>
  <si>
    <t>351-10301-A</t>
  </si>
  <si>
    <t>351-10301-B</t>
  </si>
  <si>
    <t>351-10301-C</t>
  </si>
  <si>
    <t>351-10301-D</t>
  </si>
  <si>
    <t>351-10303-C</t>
  </si>
  <si>
    <t>351-10304-B</t>
  </si>
  <si>
    <t>351-10304-C</t>
  </si>
  <si>
    <t>351-10305-B</t>
  </si>
  <si>
    <t>351-10305-C</t>
  </si>
  <si>
    <t>351-10305-D</t>
  </si>
  <si>
    <t>351-10305-E</t>
  </si>
  <si>
    <t>351-10305-F</t>
  </si>
  <si>
    <t>351-10305-G</t>
  </si>
  <si>
    <t>351-10306-B</t>
  </si>
  <si>
    <t>351-10306-C</t>
  </si>
  <si>
    <t>351-10306-E</t>
  </si>
  <si>
    <t>351-10307-B</t>
  </si>
  <si>
    <t>351-10307-C</t>
  </si>
  <si>
    <t>351-10309-B</t>
  </si>
  <si>
    <t>351-10311-B</t>
  </si>
  <si>
    <t>351-10313-B</t>
  </si>
  <si>
    <t>351-10317-B</t>
  </si>
  <si>
    <t>351-10318-B</t>
  </si>
  <si>
    <t>351-10319-A</t>
  </si>
  <si>
    <t>351-10319-B</t>
  </si>
  <si>
    <t>351-10320</t>
  </si>
  <si>
    <t>351-10322-A</t>
  </si>
  <si>
    <t>351-10322-B</t>
  </si>
  <si>
    <t>351-10324-A</t>
  </si>
  <si>
    <t>351-10324-B</t>
  </si>
  <si>
    <t>351-10324-C</t>
  </si>
  <si>
    <t>351-10324-D</t>
  </si>
  <si>
    <t>351-10324-E</t>
  </si>
  <si>
    <t>351-10325-A</t>
  </si>
  <si>
    <t>351-10325-B</t>
  </si>
  <si>
    <t>351-10326-A</t>
  </si>
  <si>
    <t>351-10326-C</t>
  </si>
  <si>
    <t>351-10337-A</t>
  </si>
  <si>
    <t>M07B-351-10337-A</t>
  </si>
  <si>
    <t>351-10337-B</t>
  </si>
  <si>
    <t>M07B-351-10337-B</t>
  </si>
  <si>
    <t>351-10337-D</t>
  </si>
  <si>
    <t>M07B-351-10337-D</t>
  </si>
  <si>
    <t>351-10337-F</t>
  </si>
  <si>
    <t>M07B-351-10337-F</t>
  </si>
  <si>
    <t>351-10337-G</t>
  </si>
  <si>
    <t>M07B-351-10337-G</t>
  </si>
  <si>
    <t>351-10337-H</t>
  </si>
  <si>
    <t>M07B-351-10337-H</t>
  </si>
  <si>
    <t>351-10338-A</t>
  </si>
  <si>
    <t>M07B-351-10338-A</t>
  </si>
  <si>
    <t>351-10338-B</t>
  </si>
  <si>
    <t>M07B-351-10338-B</t>
  </si>
  <si>
    <t>351-10338-D</t>
  </si>
  <si>
    <t>M07B-351-10338-D</t>
  </si>
  <si>
    <t>351-10338-F</t>
  </si>
  <si>
    <t>M07B-351-10338-F</t>
  </si>
  <si>
    <t>351-10338-G</t>
  </si>
  <si>
    <t>M07B-351-10338-G</t>
  </si>
  <si>
    <t>351-10338-H</t>
  </si>
  <si>
    <t>M07B-351-10338-H</t>
  </si>
  <si>
    <t>351-10339-A</t>
  </si>
  <si>
    <t>M07B-351-10339-A</t>
  </si>
  <si>
    <t>351-10339-C</t>
  </si>
  <si>
    <t>M07B-351-10339-C</t>
  </si>
  <si>
    <t>351-10339-D</t>
  </si>
  <si>
    <t>M07B-351-10339-D</t>
  </si>
  <si>
    <t>351-10339-E</t>
  </si>
  <si>
    <t>M07B-351-10339-E</t>
  </si>
  <si>
    <t>351-10339-F</t>
  </si>
  <si>
    <t>M07B-351-10339-F</t>
  </si>
  <si>
    <t>351-10339-H</t>
  </si>
  <si>
    <t>M07B-351-10339-H</t>
  </si>
  <si>
    <t>351-10401-A</t>
  </si>
  <si>
    <t>351-10401-B</t>
  </si>
  <si>
    <t>351-10401-C</t>
  </si>
  <si>
    <t>351-10401-D</t>
  </si>
  <si>
    <t>351-10401-E</t>
  </si>
  <si>
    <t>351-10402-B</t>
  </si>
  <si>
    <t>351-10402-C</t>
  </si>
  <si>
    <t>351-10402-D</t>
  </si>
  <si>
    <t>351-10402-E</t>
  </si>
  <si>
    <t>351-10403-B</t>
  </si>
  <si>
    <t>351-10403-C</t>
  </si>
  <si>
    <t>351-10403-D</t>
  </si>
  <si>
    <t>351-10403-E</t>
  </si>
  <si>
    <t>351-10404-B</t>
  </si>
  <si>
    <t>351-10404-C</t>
  </si>
  <si>
    <t>351-10405-B</t>
  </si>
  <si>
    <t>351-10405-C</t>
  </si>
  <si>
    <t>351-10406-B</t>
  </si>
  <si>
    <t>351-10406-C</t>
  </si>
  <si>
    <t>351-10407-C</t>
  </si>
  <si>
    <t>351-10408-B</t>
  </si>
  <si>
    <t>351-10409-B</t>
  </si>
  <si>
    <t>351-10409-C</t>
  </si>
  <si>
    <t>351-10409-D</t>
  </si>
  <si>
    <t>351-10409-E</t>
  </si>
  <si>
    <t>351-10410-B</t>
  </si>
  <si>
    <t>351-10410-C</t>
  </si>
  <si>
    <t>351-10410-D</t>
  </si>
  <si>
    <t>351-10410-E</t>
  </si>
  <si>
    <t>351-10411-B</t>
  </si>
  <si>
    <t>351-10411-C</t>
  </si>
  <si>
    <t>351-10412-B</t>
  </si>
  <si>
    <t>351-10412-C</t>
  </si>
  <si>
    <t>351-10413-B</t>
  </si>
  <si>
    <t>351-10413-C</t>
  </si>
  <si>
    <t>351-10414-B</t>
  </si>
  <si>
    <t>351-10414-C</t>
  </si>
  <si>
    <t>351-10415-B</t>
  </si>
  <si>
    <t>351-10415-C</t>
  </si>
  <si>
    <t>351-10416-B</t>
  </si>
  <si>
    <t>351-10417-B</t>
  </si>
  <si>
    <t>351-10417-C</t>
  </si>
  <si>
    <t>351-10418-B</t>
  </si>
  <si>
    <t>351-10418-C</t>
  </si>
  <si>
    <t>351-10419-B</t>
  </si>
  <si>
    <t>351-10419-C</t>
  </si>
  <si>
    <t>351-10420-B</t>
  </si>
  <si>
    <t>351-10420-C</t>
  </si>
  <si>
    <t>351-10421-A</t>
  </si>
  <si>
    <t>351-10421-B</t>
  </si>
  <si>
    <t>351-10422-A</t>
  </si>
  <si>
    <t>351-10422-B</t>
  </si>
  <si>
    <t>351-10423-A</t>
  </si>
  <si>
    <t>351-10423-B</t>
  </si>
  <si>
    <t>351-10424-A</t>
  </si>
  <si>
    <t>351-10425-A</t>
  </si>
  <si>
    <t>351-10425-B</t>
  </si>
  <si>
    <t>351-10426-A</t>
  </si>
  <si>
    <t>351-10426-B</t>
  </si>
  <si>
    <t>351-10427-A</t>
  </si>
  <si>
    <t>351-10427-B</t>
  </si>
  <si>
    <t>351-10427-C</t>
  </si>
  <si>
    <t>351-10428-A</t>
  </si>
  <si>
    <t>351-10428-B</t>
  </si>
  <si>
    <t>351-10429-A</t>
  </si>
  <si>
    <t>351-10429-B</t>
  </si>
  <si>
    <t>351-10430-A</t>
  </si>
  <si>
    <t>351-10430-B</t>
  </si>
  <si>
    <t>351-10430-C</t>
  </si>
  <si>
    <t>351-10434-A</t>
  </si>
  <si>
    <t>M07B-351-10434-A</t>
  </si>
  <si>
    <t>351-10434-B</t>
  </si>
  <si>
    <t>M07B-351-10434-B</t>
  </si>
  <si>
    <t>351-10434-D</t>
  </si>
  <si>
    <t>M07B-351-10434-D</t>
  </si>
  <si>
    <t>351-10434-F</t>
  </si>
  <si>
    <t>M07B-351-10434-F</t>
  </si>
  <si>
    <t>351-10434-G</t>
  </si>
  <si>
    <t>M07B-351-10434-G</t>
  </si>
  <si>
    <t>351-10434-H</t>
  </si>
  <si>
    <t>M07B-351-10434-H</t>
  </si>
  <si>
    <t>351-10435-A</t>
  </si>
  <si>
    <t>M07B-351-10435-A</t>
  </si>
  <si>
    <t>351-10435-B</t>
  </si>
  <si>
    <t>351-10435-D</t>
  </si>
  <si>
    <t>M07B-351-10435-D</t>
  </si>
  <si>
    <t>351-10435-E</t>
  </si>
  <si>
    <t>M07B-351-10435-E</t>
  </si>
  <si>
    <t>351-10435-F</t>
  </si>
  <si>
    <t>M07B-351-10435-F</t>
  </si>
  <si>
    <t>351-10435-G</t>
  </si>
  <si>
    <t>M07B-351-10435-G</t>
  </si>
  <si>
    <t>351-10435-H</t>
  </si>
  <si>
    <t>M07B-351-10435-H</t>
  </si>
  <si>
    <t>351-10435-J</t>
  </si>
  <si>
    <t>M07B-351-10435-J</t>
  </si>
  <si>
    <t>351-10435-K</t>
  </si>
  <si>
    <t>M07B-351-10435-K</t>
  </si>
  <si>
    <t>351-10435-L</t>
  </si>
  <si>
    <t>M07B-351-10435-L</t>
  </si>
  <si>
    <t>351-10435-M</t>
  </si>
  <si>
    <t>M07B-351-10435-M</t>
  </si>
  <si>
    <t>351-10435-N</t>
  </si>
  <si>
    <t>M07B-351-10435-N</t>
  </si>
  <si>
    <t>351-10435-P</t>
  </si>
  <si>
    <t>M07B-351-10435-P</t>
  </si>
  <si>
    <t>351-10436-A</t>
  </si>
  <si>
    <t>M07B-351-10436-A</t>
  </si>
  <si>
    <t>351-10436-B</t>
  </si>
  <si>
    <t>M07B-351-10436-B</t>
  </si>
  <si>
    <t>351-10436-D</t>
  </si>
  <si>
    <t>M07B-351-10436-D</t>
  </si>
  <si>
    <t>351-10436-F</t>
  </si>
  <si>
    <t>M07B-351-10436-F</t>
  </si>
  <si>
    <t>351-10436-G</t>
  </si>
  <si>
    <t>M07B-351-10436-G</t>
  </si>
  <si>
    <t>351-10436-H</t>
  </si>
  <si>
    <t>M07B-351-10436-H</t>
  </si>
  <si>
    <t>351-10438-A</t>
  </si>
  <si>
    <t>M07B-351-10438-A</t>
  </si>
  <si>
    <t>351-10438-B</t>
  </si>
  <si>
    <t>351-10438-D</t>
  </si>
  <si>
    <t>M07B-351-10438-D</t>
  </si>
  <si>
    <t>351-10438-E</t>
  </si>
  <si>
    <t>M07B-351-10438-E</t>
  </si>
  <si>
    <t>351-10438-F</t>
  </si>
  <si>
    <t>M07B-351-10438-F</t>
  </si>
  <si>
    <t>351-10438-G</t>
  </si>
  <si>
    <t>M07B-351-10438-G</t>
  </si>
  <si>
    <t>351-10438-H</t>
  </si>
  <si>
    <t>M07B-351-10438-H</t>
  </si>
  <si>
    <t>351-10438-J</t>
  </si>
  <si>
    <t>M07B-351-10438-J</t>
  </si>
  <si>
    <t>351-10438-K</t>
  </si>
  <si>
    <t>M07B-351-10438-K</t>
  </si>
  <si>
    <t>351-10438-L</t>
  </si>
  <si>
    <t>M07B-351-10438-L</t>
  </si>
  <si>
    <t>351-10438-M</t>
  </si>
  <si>
    <t>M07B-351-10438-M</t>
  </si>
  <si>
    <t>351-10438-N</t>
  </si>
  <si>
    <t>M07B-351-10438-N</t>
  </si>
  <si>
    <t>351-10438-P</t>
  </si>
  <si>
    <t>M07B-351-10438-P</t>
  </si>
  <si>
    <t>351-10440-A</t>
  </si>
  <si>
    <t>M07B-351-10440-A</t>
  </si>
  <si>
    <t>351-10440-B</t>
  </si>
  <si>
    <t>M07B-351-10440-B</t>
  </si>
  <si>
    <t>351-10440-D</t>
  </si>
  <si>
    <t>M07B-351-10440-D</t>
  </si>
  <si>
    <t>351-10440-E</t>
  </si>
  <si>
    <t>M07B-351-10440-E</t>
  </si>
  <si>
    <t>351-10440-F</t>
  </si>
  <si>
    <t>M07B-351-10440-F</t>
  </si>
  <si>
    <t>351-10501-A</t>
  </si>
  <si>
    <t>351-10501-B</t>
  </si>
  <si>
    <t>351-10501-C</t>
  </si>
  <si>
    <t>351-10501-D</t>
  </si>
  <si>
    <t>351-10501-E</t>
  </si>
  <si>
    <t>351-10502-B</t>
  </si>
  <si>
    <t>351-10502-C</t>
  </si>
  <si>
    <t>351-10502-D</t>
  </si>
  <si>
    <t>351-10502-E</t>
  </si>
  <si>
    <t>351-10503-B</t>
  </si>
  <si>
    <t>351-10503-C</t>
  </si>
  <si>
    <t>351-10504-B</t>
  </si>
  <si>
    <t>351-10504-C</t>
  </si>
  <si>
    <t>351-10506-B</t>
  </si>
  <si>
    <t>351-10506-C</t>
  </si>
  <si>
    <t>351-10506-D</t>
  </si>
  <si>
    <t>351-10508-B</t>
  </si>
  <si>
    <t>351-10510-B</t>
  </si>
  <si>
    <t>351-10510-C</t>
  </si>
  <si>
    <t>351-10510-D</t>
  </si>
  <si>
    <t>351-10513-A</t>
  </si>
  <si>
    <t>351-10514-A</t>
  </si>
  <si>
    <t>351-10514-C</t>
  </si>
  <si>
    <t>351-10514-D</t>
  </si>
  <si>
    <t>351-10517-A</t>
  </si>
  <si>
    <t>351-10517-B</t>
  </si>
  <si>
    <t>351-10517-C</t>
  </si>
  <si>
    <t>351-10518-A</t>
  </si>
  <si>
    <t>351-10518-B</t>
  </si>
  <si>
    <t>351-10519-A</t>
  </si>
  <si>
    <t>351-10519-B</t>
  </si>
  <si>
    <t>351-10521-A</t>
  </si>
  <si>
    <t>351-10527-A</t>
  </si>
  <si>
    <t>351-10528-B</t>
  </si>
  <si>
    <t>351-10529-B</t>
  </si>
  <si>
    <t>351-10530-B</t>
  </si>
  <si>
    <t>351-10531-A</t>
  </si>
  <si>
    <t>M07B-351-10531-A</t>
  </si>
  <si>
    <t>351-10531-B</t>
  </si>
  <si>
    <t>351-10531-C</t>
  </si>
  <si>
    <t>M07B-351-10531-C</t>
  </si>
  <si>
    <t>351-10531-E</t>
  </si>
  <si>
    <t>M07B-351-10531-E</t>
  </si>
  <si>
    <t>351-10531-F</t>
  </si>
  <si>
    <t>M07B-351-10531-F</t>
  </si>
  <si>
    <t>351-10531-G</t>
  </si>
  <si>
    <t>M07B-351-10531-G</t>
  </si>
  <si>
    <t>351-10531-H</t>
  </si>
  <si>
    <t>M07B-351-10531-H</t>
  </si>
  <si>
    <t>351-10531-J</t>
  </si>
  <si>
    <t>M07B-351-10531-J</t>
  </si>
  <si>
    <t>351-10531-K</t>
  </si>
  <si>
    <t>M07B-351-10531-K</t>
  </si>
  <si>
    <t>351-10532-A</t>
  </si>
  <si>
    <t>M07B-351-10532-A</t>
  </si>
  <si>
    <t>351-10532-B</t>
  </si>
  <si>
    <t>M07B-351-10532-B</t>
  </si>
  <si>
    <t>351-10532-C</t>
  </si>
  <si>
    <t>351-10532-D</t>
  </si>
  <si>
    <t>M07B-351-10532-D</t>
  </si>
  <si>
    <t>351-10532-F</t>
  </si>
  <si>
    <t>M07B-351-10532-F</t>
  </si>
  <si>
    <t>351-10532-G</t>
  </si>
  <si>
    <t>M07B-351-10532-G</t>
  </si>
  <si>
    <t>351-10532-H</t>
  </si>
  <si>
    <t>M07B-351-10532-H</t>
  </si>
  <si>
    <t>ACCESS PLATFORM AP-07</t>
  </si>
  <si>
    <t>351-10602-B</t>
  </si>
  <si>
    <t>351-10603-B</t>
  </si>
  <si>
    <t>351-10604-B</t>
  </si>
  <si>
    <t>351-10605-B</t>
  </si>
  <si>
    <t>351-10610-A</t>
  </si>
  <si>
    <t>351-10610-B</t>
  </si>
  <si>
    <t>M07B-351-10610-B</t>
  </si>
  <si>
    <t>351-10610-C</t>
  </si>
  <si>
    <t>351-10610-D</t>
  </si>
  <si>
    <t>M07B-351-10610-D</t>
  </si>
  <si>
    <t>351-10610-G</t>
  </si>
  <si>
    <t>M07B-351-10610-G</t>
  </si>
  <si>
    <t>351-10610-H</t>
  </si>
  <si>
    <t>M07B-351-10610-H</t>
  </si>
  <si>
    <t>351-10610-J</t>
  </si>
  <si>
    <t>M07B-351-10610-J</t>
  </si>
  <si>
    <t>351-10610-K</t>
  </si>
  <si>
    <t>M07B-351-10610-K</t>
  </si>
  <si>
    <t>351-10610-L</t>
  </si>
  <si>
    <t>M07B-351-10610-L</t>
  </si>
  <si>
    <t>351-10610-N</t>
  </si>
  <si>
    <t>M07B-351-10610-N</t>
  </si>
  <si>
    <t>351-10610-P</t>
  </si>
  <si>
    <t>M07B-351-10610-P</t>
  </si>
  <si>
    <t>351-10610-R</t>
  </si>
  <si>
    <t>M07B-351-10610-R</t>
  </si>
  <si>
    <t>351-10610-S</t>
  </si>
  <si>
    <t>M07B-351-10610-S</t>
  </si>
  <si>
    <t>351-10611-A</t>
  </si>
  <si>
    <t>M07B-351-10611-A</t>
  </si>
  <si>
    <t>351-10611-E</t>
  </si>
  <si>
    <t>M07B-351-10611-E</t>
  </si>
  <si>
    <t>351-10611-G</t>
  </si>
  <si>
    <t>M07B-351-10611-G</t>
  </si>
  <si>
    <t>351-10611-H</t>
  </si>
  <si>
    <t>M07B-351-10611-H</t>
  </si>
  <si>
    <t>ACCESS PLATFORM AP-08</t>
  </si>
  <si>
    <t>351-10702-B</t>
  </si>
  <si>
    <t>351-10703-B</t>
  </si>
  <si>
    <t>351-10704-B</t>
  </si>
  <si>
    <t>351-10705-B</t>
  </si>
  <si>
    <t>351-10710-A</t>
  </si>
  <si>
    <t>351-10710-B</t>
  </si>
  <si>
    <t>M07B-351-10710-B</t>
  </si>
  <si>
    <t>351-10710-C</t>
  </si>
  <si>
    <t>351-10710-D</t>
  </si>
  <si>
    <t>M07B-351-10710-D</t>
  </si>
  <si>
    <t>351-10710-E</t>
  </si>
  <si>
    <t>351-10710-F</t>
  </si>
  <si>
    <t>M07B-351-10710-F</t>
  </si>
  <si>
    <t>351-10710-G</t>
  </si>
  <si>
    <t>M07B-351-10710-G</t>
  </si>
  <si>
    <t>351-10710-H</t>
  </si>
  <si>
    <t>M07B-351-10710-H</t>
  </si>
  <si>
    <t>351-10710-J</t>
  </si>
  <si>
    <t>M07B-351-10710-J</t>
  </si>
  <si>
    <t>351-10710-K</t>
  </si>
  <si>
    <t>M07B-351-10710-K</t>
  </si>
  <si>
    <t>351-10710-L</t>
  </si>
  <si>
    <t>M07B-351-10710-L</t>
  </si>
  <si>
    <t>351-10710-M</t>
  </si>
  <si>
    <t>M07B-351-10710-M</t>
  </si>
  <si>
    <t>351-10710-N</t>
  </si>
  <si>
    <t>M07B-351-10710-N</t>
  </si>
  <si>
    <t>351-10710-P</t>
  </si>
  <si>
    <t>M07B-351-10710-P</t>
  </si>
  <si>
    <t>351-10710-R</t>
  </si>
  <si>
    <t>M07B-351-10710-R</t>
  </si>
  <si>
    <t>351-10710-S</t>
  </si>
  <si>
    <t>M07B-351-10710-S</t>
  </si>
  <si>
    <t>351-10711-A</t>
  </si>
  <si>
    <t>M07B-351-10711-A</t>
  </si>
  <si>
    <t>351-10711-B</t>
  </si>
  <si>
    <t>351-10711-C</t>
  </si>
  <si>
    <t>351-10711-D</t>
  </si>
  <si>
    <t>351-10711-E</t>
  </si>
  <si>
    <t>M07B-351-10711-E</t>
  </si>
  <si>
    <t>351-10711-F</t>
  </si>
  <si>
    <t>M07B-351-10711-F</t>
  </si>
  <si>
    <t>351-10711-G</t>
  </si>
  <si>
    <t>351-10711-H</t>
  </si>
  <si>
    <t>M07B-351-10711-H</t>
  </si>
  <si>
    <t>332-10901-A</t>
  </si>
  <si>
    <t>332-10902-A</t>
  </si>
  <si>
    <t>351-10024-B</t>
  </si>
  <si>
    <t>351-10026-B</t>
  </si>
  <si>
    <t>351-10027-B</t>
  </si>
  <si>
    <t>MR-M05B-1003 2MT SWL</t>
  </si>
  <si>
    <t>332-10002-A</t>
  </si>
  <si>
    <t>M05B-332-10002-A</t>
  </si>
  <si>
    <t>332-10003-A</t>
  </si>
  <si>
    <t>M05B-332-10003-A</t>
  </si>
  <si>
    <t>M05B-332-10004-A</t>
  </si>
  <si>
    <t>332-10005</t>
  </si>
  <si>
    <t>M05B-332-10005-0</t>
  </si>
  <si>
    <t>332-10006-A</t>
  </si>
  <si>
    <t>M05B-332-10006-A</t>
  </si>
  <si>
    <t>332-10007-A</t>
  </si>
  <si>
    <t>M05B-332-10007-A</t>
  </si>
  <si>
    <t>332-10008-A</t>
  </si>
  <si>
    <t>M05B-332-10008-A</t>
  </si>
  <si>
    <t>332-10009-A</t>
  </si>
  <si>
    <t>M05B-332-10009-A</t>
  </si>
  <si>
    <t>MR-M05B-1002 30MT SWL</t>
  </si>
  <si>
    <t>332-10707-A</t>
  </si>
  <si>
    <t>M05B-332-10707-A</t>
  </si>
  <si>
    <t>TQ-UC-1225001A-02</t>
  </si>
  <si>
    <t>492-11201-F</t>
  </si>
  <si>
    <t>M05B-492-11201-F</t>
  </si>
  <si>
    <t>331-10702-B</t>
  </si>
  <si>
    <t>M07A-331-10702-B</t>
  </si>
  <si>
    <t>331-10703-B</t>
  </si>
  <si>
    <t>M07A-331-10703-B</t>
  </si>
  <si>
    <t>331-10802-B</t>
  </si>
  <si>
    <t>M07A-331-10802-B</t>
  </si>
  <si>
    <t>331-10803-B</t>
  </si>
  <si>
    <t>M07A-331-10803-B</t>
  </si>
  <si>
    <t>331-10903-B</t>
  </si>
  <si>
    <t>M07A-331-10903-B</t>
  </si>
  <si>
    <t>331-11002-A</t>
  </si>
  <si>
    <t>M07A-331-11002-A</t>
  </si>
  <si>
    <t>331-11002-B</t>
  </si>
  <si>
    <t>M07A-331-11002-B</t>
  </si>
  <si>
    <t>331-11002-C</t>
  </si>
  <si>
    <t>M07A-331-11002-C</t>
  </si>
  <si>
    <t>331-11003-A</t>
  </si>
  <si>
    <t>M07A-331-11003-A</t>
  </si>
  <si>
    <t>331-11003-B</t>
  </si>
  <si>
    <t>M07A-331-11003-B</t>
  </si>
  <si>
    <t>331-11003-C</t>
  </si>
  <si>
    <t>M07A-331-11003-C</t>
  </si>
  <si>
    <t>331-10507-A</t>
  </si>
  <si>
    <t>M07A-331-10507-A</t>
  </si>
  <si>
    <t>331-10001-F</t>
  </si>
  <si>
    <t>M01-331-10001-F</t>
  </si>
  <si>
    <t>M07B-494-10008-A</t>
  </si>
  <si>
    <t>335-10301-D</t>
  </si>
  <si>
    <t>335-10301-J</t>
  </si>
  <si>
    <t>M05B-335-10301-J</t>
  </si>
  <si>
    <t>I-DE-3010.2S-1415-140-S2N-573</t>
  </si>
  <si>
    <t>BEAM PENETRATION</t>
  </si>
  <si>
    <t>PB-M05B-L1-112171</t>
  </si>
  <si>
    <t>PB-M05B-L1-112171-A</t>
  </si>
  <si>
    <t>PB-M05B-L1-112171-B</t>
  </si>
  <si>
    <t>HO-CF-1415-M05B-320</t>
  </si>
  <si>
    <t>M05B-L1-DG6-002</t>
  </si>
  <si>
    <t>320-10801-BC</t>
  </si>
  <si>
    <t>M05B-320-10801-BC</t>
  </si>
  <si>
    <t>320-10801-CA</t>
  </si>
  <si>
    <t>M05B-320-10801-CA</t>
  </si>
  <si>
    <t>M07A-351-10021-A</t>
  </si>
  <si>
    <t>351-10022-A</t>
  </si>
  <si>
    <t>M07A-351-10022-A</t>
  </si>
  <si>
    <t>351-10023-A</t>
  </si>
  <si>
    <t>M07A-351-10023-A</t>
  </si>
  <si>
    <t>351-10024-A</t>
  </si>
  <si>
    <t>M07A-351-10024-A</t>
  </si>
  <si>
    <t>M07A-351-10025-A</t>
  </si>
  <si>
    <t>351-10026-A</t>
  </si>
  <si>
    <t>M07A-351-10026-A</t>
  </si>
  <si>
    <t>351-10027-A</t>
  </si>
  <si>
    <t>M07A-351-10027-A</t>
  </si>
  <si>
    <t>M07A-351-10028-A</t>
  </si>
  <si>
    <t>351-20212-A</t>
  </si>
  <si>
    <t>M07A-351-20212-A</t>
  </si>
  <si>
    <t>351-20212-B</t>
  </si>
  <si>
    <t>M07A-351-20212-B</t>
  </si>
  <si>
    <t>351-20213-A</t>
  </si>
  <si>
    <t>M07A-351-20213-A</t>
  </si>
  <si>
    <t>351-20214-A</t>
  </si>
  <si>
    <t>M07A-351-20214-A</t>
  </si>
  <si>
    <t>351-20214-B</t>
  </si>
  <si>
    <t>M07A-351-20214-B</t>
  </si>
  <si>
    <t>351-20215-A</t>
  </si>
  <si>
    <t>M07A-351-20215-A</t>
  </si>
  <si>
    <t>351-20215-B</t>
  </si>
  <si>
    <t>M07A-351-20215-B</t>
  </si>
  <si>
    <t>351-20216-A</t>
  </si>
  <si>
    <t>M07A-351-20216-A</t>
  </si>
  <si>
    <t>351-20217-A</t>
  </si>
  <si>
    <t>M07A-351-20217-A</t>
  </si>
  <si>
    <t>351-20217-B</t>
  </si>
  <si>
    <t>M07A-351-20217-B</t>
  </si>
  <si>
    <t>351-20218-A</t>
  </si>
  <si>
    <t>M07A-351-20218-A</t>
  </si>
  <si>
    <t>351-20219-A</t>
  </si>
  <si>
    <t>M07A-351-20219-A</t>
  </si>
  <si>
    <t>351-20220-A</t>
  </si>
  <si>
    <t>M07A-351-20220-A</t>
  </si>
  <si>
    <t>351-20221-A</t>
  </si>
  <si>
    <t>M07A-351-20221-A</t>
  </si>
  <si>
    <t>351-30001-A</t>
  </si>
  <si>
    <t>M07A-351-30001-A</t>
  </si>
  <si>
    <t>351-30001-B</t>
  </si>
  <si>
    <t>M07A-351-30001-B</t>
  </si>
  <si>
    <t>351-30001-D</t>
  </si>
  <si>
    <t>M07A-351-30001-D</t>
  </si>
  <si>
    <t>351-30001-F</t>
  </si>
  <si>
    <t>M07A-351-30001-F</t>
  </si>
  <si>
    <t>351-30001-G</t>
  </si>
  <si>
    <t>M07A-351-30001-G</t>
  </si>
  <si>
    <t>351-30001-H</t>
  </si>
  <si>
    <t>M07A-351-30001-H</t>
  </si>
  <si>
    <t>351-30002-A</t>
  </si>
  <si>
    <t>M07A-351-30002-A</t>
  </si>
  <si>
    <t>351-30002-B</t>
  </si>
  <si>
    <t>M07A-351-30002-B</t>
  </si>
  <si>
    <t>351-30002-D</t>
  </si>
  <si>
    <t>M07A-351-30002-D</t>
  </si>
  <si>
    <t>351-30002-F</t>
  </si>
  <si>
    <t>M07A-351-30002-F</t>
  </si>
  <si>
    <t>351-30002-G</t>
  </si>
  <si>
    <t>M07A-351-30002-G</t>
  </si>
  <si>
    <t>351-30002-H</t>
  </si>
  <si>
    <t>M07A-351-30002-H</t>
  </si>
  <si>
    <t>351-30003-A</t>
  </si>
  <si>
    <t>M07A-351-30003-A</t>
  </si>
  <si>
    <t>351-30003-B</t>
  </si>
  <si>
    <t>M07A-351-30003-B</t>
  </si>
  <si>
    <t>351-30003-D</t>
  </si>
  <si>
    <t>M07A-351-30003-D</t>
  </si>
  <si>
    <t>351-30003-F</t>
  </si>
  <si>
    <t>M07A-351-30003-F</t>
  </si>
  <si>
    <t>351-30003-G</t>
  </si>
  <si>
    <t>M07A-351-30003-G</t>
  </si>
  <si>
    <t>351-30003-H</t>
  </si>
  <si>
    <t>M07A-351-30003-H</t>
  </si>
  <si>
    <t>351-30004-A</t>
  </si>
  <si>
    <t>M07A-351-30004-A</t>
  </si>
  <si>
    <t>351-30004-B</t>
  </si>
  <si>
    <t>M07A-351-30004-B</t>
  </si>
  <si>
    <t>351-30004-D</t>
  </si>
  <si>
    <t>M07A-351-30004-D</t>
  </si>
  <si>
    <t>351-30004-E</t>
  </si>
  <si>
    <t>M07A-351-30004-E</t>
  </si>
  <si>
    <t>351-30004-G</t>
  </si>
  <si>
    <t>M07A-351-30004-G</t>
  </si>
  <si>
    <t>351-30005-A</t>
  </si>
  <si>
    <t>M07A-351-30005-A</t>
  </si>
  <si>
    <t>351-30005-C</t>
  </si>
  <si>
    <t>M07A-351-30005-C</t>
  </si>
  <si>
    <t>351-30005-D</t>
  </si>
  <si>
    <t>M07A-351-30005-D</t>
  </si>
  <si>
    <t>351-30005-F</t>
  </si>
  <si>
    <t>M07A-351-30005-F</t>
  </si>
  <si>
    <t>351-30005-G</t>
  </si>
  <si>
    <t>M07A-351-30005-G</t>
  </si>
  <si>
    <t>351-30005-H</t>
  </si>
  <si>
    <t>M07A-351-30005-H</t>
  </si>
  <si>
    <t>351-30006</t>
  </si>
  <si>
    <t>M07A-351-30006-0</t>
  </si>
  <si>
    <t>351-30007</t>
  </si>
  <si>
    <t>M07A-351-30007-0</t>
  </si>
  <si>
    <t>351-30008-A</t>
  </si>
  <si>
    <t>M07A-351-30008-A</t>
  </si>
  <si>
    <t>351-30008-B</t>
  </si>
  <si>
    <t>M07A-351-30008-B</t>
  </si>
  <si>
    <t>351-30008-D</t>
  </si>
  <si>
    <t>M07A-351-30008-D</t>
  </si>
  <si>
    <t>351-30008-F</t>
  </si>
  <si>
    <t>M07A-351-30008-F</t>
  </si>
  <si>
    <t>351-30008-G</t>
  </si>
  <si>
    <t>M07A-351-30008-G</t>
  </si>
  <si>
    <t>351-30008-H</t>
  </si>
  <si>
    <t>M07A-351-30008-H</t>
  </si>
  <si>
    <t>351-30009-A</t>
  </si>
  <si>
    <t>M07A-351-30009-A</t>
  </si>
  <si>
    <t>351-30009-B</t>
  </si>
  <si>
    <t>M07A-351-30009-B</t>
  </si>
  <si>
    <t>351-30009-D</t>
  </si>
  <si>
    <t>M07A-351-30009-D</t>
  </si>
  <si>
    <t>351-30009-F</t>
  </si>
  <si>
    <t>M07A-351-30009-F</t>
  </si>
  <si>
    <t>351-30009-G</t>
  </si>
  <si>
    <t>M07A-351-30009-G</t>
  </si>
  <si>
    <t>351-30009-H</t>
  </si>
  <si>
    <t>M07A-351-30009-H</t>
  </si>
  <si>
    <t>351-30301-A</t>
  </si>
  <si>
    <t>M07A-351-30301-A</t>
  </si>
  <si>
    <t>351-30301-D</t>
  </si>
  <si>
    <t>M07A-351-30301-D</t>
  </si>
  <si>
    <t>351-30301-E</t>
  </si>
  <si>
    <t>M07A-351-30301-E</t>
  </si>
  <si>
    <t>351-30301-F</t>
  </si>
  <si>
    <t>M07A-351-30301-F</t>
  </si>
  <si>
    <t>351-30301-G</t>
  </si>
  <si>
    <t>M07A-351-30301-G</t>
  </si>
  <si>
    <t>351-30301-H</t>
  </si>
  <si>
    <t>M07A-351-30301-H</t>
  </si>
  <si>
    <t>351-30302-A</t>
  </si>
  <si>
    <t>M07A-351-30302-A</t>
  </si>
  <si>
    <t>351-30302-C</t>
  </si>
  <si>
    <t>M07A-351-30302-C</t>
  </si>
  <si>
    <t>351-30302-E</t>
  </si>
  <si>
    <t>M07A-351-30302-E</t>
  </si>
  <si>
    <t>351-30302-G</t>
  </si>
  <si>
    <t>M07A-351-30302-G</t>
  </si>
  <si>
    <t>351-30302-H</t>
  </si>
  <si>
    <t>M07A-351-30302-H</t>
  </si>
  <si>
    <t>351-30302-J</t>
  </si>
  <si>
    <t>M07A-351-30302-J</t>
  </si>
  <si>
    <t>351-30302-K</t>
  </si>
  <si>
    <t>M07A-351-30302-K</t>
  </si>
  <si>
    <t>351-30302-L</t>
  </si>
  <si>
    <t>M07A-351-30302-L</t>
  </si>
  <si>
    <t>351-30302-M</t>
  </si>
  <si>
    <t>M07A-351-30302-M</t>
  </si>
  <si>
    <t>351-30302-N</t>
  </si>
  <si>
    <t>M07A-351-30302-N</t>
  </si>
  <si>
    <t>351-30302-P</t>
  </si>
  <si>
    <t>M07A-351-30302-P</t>
  </si>
  <si>
    <t>351-30302-R</t>
  </si>
  <si>
    <t>M07A-351-30302-R</t>
  </si>
  <si>
    <t>351-30302-S</t>
  </si>
  <si>
    <t>M07A-351-30302-S</t>
  </si>
  <si>
    <t>351-30302-T</t>
  </si>
  <si>
    <t>M07A-351-30302-T</t>
  </si>
  <si>
    <t>351-30302-U</t>
  </si>
  <si>
    <t>M07A-351-30302-U</t>
  </si>
  <si>
    <t>351-40201-A</t>
  </si>
  <si>
    <t>M07A-351-40201-A</t>
  </si>
  <si>
    <t>351-40201-B</t>
  </si>
  <si>
    <t>M07A-351-40201-B</t>
  </si>
  <si>
    <t>351-40201-C</t>
  </si>
  <si>
    <t>M07A-351-40201-C</t>
  </si>
  <si>
    <t>351-40201-F</t>
  </si>
  <si>
    <t>M07A-351-40201-F</t>
  </si>
  <si>
    <t>351-40202-A</t>
  </si>
  <si>
    <t>M07A-351-40202-A</t>
  </si>
  <si>
    <t>351-40202-B</t>
  </si>
  <si>
    <t>M07A-351-40202-B</t>
  </si>
  <si>
    <t>351-40202-D</t>
  </si>
  <si>
    <t>M07A-351-40202-D</t>
  </si>
  <si>
    <t>351-40202-F</t>
  </si>
  <si>
    <t>M07A-351-40202-F</t>
  </si>
  <si>
    <t>351-40202-G</t>
  </si>
  <si>
    <t>M07A-351-40202-G</t>
  </si>
  <si>
    <t>351-40202-H</t>
  </si>
  <si>
    <t>M07A-351-40202-H</t>
  </si>
  <si>
    <t>351-40203-A</t>
  </si>
  <si>
    <t>M07A-351-40203-A</t>
  </si>
  <si>
    <t>351-40203-B</t>
  </si>
  <si>
    <t>M07A-351-40203-B</t>
  </si>
  <si>
    <t>351-40203-D</t>
  </si>
  <si>
    <t>M07A-351-40203-D</t>
  </si>
  <si>
    <t>351-40203-F</t>
  </si>
  <si>
    <t>M07A-351-40203-F</t>
  </si>
  <si>
    <t>351-40203-G</t>
  </si>
  <si>
    <t>M07A-351-40203-G</t>
  </si>
  <si>
    <t>351-40203-H</t>
  </si>
  <si>
    <t>M07A-351-40203-H</t>
  </si>
  <si>
    <t>351-40301-A</t>
  </si>
  <si>
    <t>M07A-351-40301-A</t>
  </si>
  <si>
    <t>351-40301-D</t>
  </si>
  <si>
    <t>M07A-351-40301-D</t>
  </si>
  <si>
    <t>351-40301-E</t>
  </si>
  <si>
    <t>M07A-351-40301-E</t>
  </si>
  <si>
    <t>351-40301-F</t>
  </si>
  <si>
    <t>M07A-351-40301-F</t>
  </si>
  <si>
    <t>351-40301-G</t>
  </si>
  <si>
    <t>M07A-351-40301-G</t>
  </si>
  <si>
    <t>351-40301-H</t>
  </si>
  <si>
    <t>M07A-351-40301-H</t>
  </si>
  <si>
    <t>351-40302-A</t>
  </si>
  <si>
    <t>M07A-351-40302-A</t>
  </si>
  <si>
    <t>351-40302-C</t>
  </si>
  <si>
    <t>M07A-351-40302-C</t>
  </si>
  <si>
    <t>351-40302-E</t>
  </si>
  <si>
    <t>M07A-351-40302-E</t>
  </si>
  <si>
    <t>351-40302-G</t>
  </si>
  <si>
    <t>M07A-351-40302-G</t>
  </si>
  <si>
    <t>351-40302-H</t>
  </si>
  <si>
    <t>M07A-351-40302-H</t>
  </si>
  <si>
    <t>351-40302-J</t>
  </si>
  <si>
    <t>M07A-351-40302-J</t>
  </si>
  <si>
    <t>351-40302-K</t>
  </si>
  <si>
    <t>M07A-351-40302-K</t>
  </si>
  <si>
    <t>351-40302-L</t>
  </si>
  <si>
    <t>M07A-351-40302-L</t>
  </si>
  <si>
    <t>351-40302-M</t>
  </si>
  <si>
    <t>M07A-351-40302-M</t>
  </si>
  <si>
    <t>351-40302-N</t>
  </si>
  <si>
    <t>M07A-351-40302-N</t>
  </si>
  <si>
    <t>351-40302-P</t>
  </si>
  <si>
    <t>M07A-351-40302-P</t>
  </si>
  <si>
    <t>351-40302-R</t>
  </si>
  <si>
    <t>M07A-351-40302-R</t>
  </si>
  <si>
    <t>351-40302-S</t>
  </si>
  <si>
    <t>M07A-351-40302-S</t>
  </si>
  <si>
    <t>351-40302-T</t>
  </si>
  <si>
    <t>M07A-351-40302-T</t>
  </si>
  <si>
    <t>351-40302-U</t>
  </si>
  <si>
    <t>M07A-351-40302-U</t>
  </si>
  <si>
    <t>HO-DF-1417-M07A-353</t>
  </si>
  <si>
    <t>353-10001-C</t>
  </si>
  <si>
    <t>M07A-353-10001-C</t>
  </si>
  <si>
    <t>353-10001-D</t>
  </si>
  <si>
    <t>M07A-353-10001-D</t>
  </si>
  <si>
    <t>353-10001-E</t>
  </si>
  <si>
    <t>M07A-353-10001-E</t>
  </si>
  <si>
    <t>353-10001-F</t>
  </si>
  <si>
    <t>M07A-353-10001-F</t>
  </si>
  <si>
    <t>353-10001-G</t>
  </si>
  <si>
    <t>M07A-353-10001-G</t>
  </si>
  <si>
    <t>353-10001-H</t>
  </si>
  <si>
    <t>M07A-353-10001-H</t>
  </si>
  <si>
    <t>353-10002-C</t>
  </si>
  <si>
    <t>M07A-353-10002-C</t>
  </si>
  <si>
    <t>353-10002-D</t>
  </si>
  <si>
    <t>M07A-353-10002-D</t>
  </si>
  <si>
    <t>353-10002-E</t>
  </si>
  <si>
    <t>M07A-353-10002-E</t>
  </si>
  <si>
    <t>353-10002-F</t>
  </si>
  <si>
    <t>M07A-353-10002-F</t>
  </si>
  <si>
    <t>353-10002-G</t>
  </si>
  <si>
    <t>M07A-353-10002-G</t>
  </si>
  <si>
    <t>353-10002-H</t>
  </si>
  <si>
    <t>M07A-353-10002-H</t>
  </si>
  <si>
    <t>HO-DF-1411-M01-351</t>
  </si>
  <si>
    <t>PLATFORM</t>
  </si>
  <si>
    <t>AP-100</t>
  </si>
  <si>
    <t>M01-351-10002-B</t>
  </si>
  <si>
    <t>M01-351-10002-C</t>
  </si>
  <si>
    <t>M01-351-10003-B</t>
  </si>
  <si>
    <t>M01-351-10003-C</t>
  </si>
  <si>
    <t>M01-351-10004-B</t>
  </si>
  <si>
    <t>M01-351-10004-C</t>
  </si>
  <si>
    <t>M01-351-10004-D</t>
  </si>
  <si>
    <t>M01-351-10004-E</t>
  </si>
  <si>
    <t>M01-351-10005-B</t>
  </si>
  <si>
    <t>M01-351-10005-C</t>
  </si>
  <si>
    <t>M01-351-10006-B</t>
  </si>
  <si>
    <t>M01-351-10006-C</t>
  </si>
  <si>
    <t>M01-351-10007-B</t>
  </si>
  <si>
    <t>M01-351-10007-C</t>
  </si>
  <si>
    <t>M01-351-10008-B</t>
  </si>
  <si>
    <t>M01-351-10008-C</t>
  </si>
  <si>
    <t>M01-351-10009-B</t>
  </si>
  <si>
    <t>M01-351-10009-C</t>
  </si>
  <si>
    <t>GUARDRAIL</t>
  </si>
  <si>
    <t>M01-351-10010-A</t>
  </si>
  <si>
    <t>M01-351-10010-B</t>
  </si>
  <si>
    <t>M01-351-10010-C</t>
  </si>
  <si>
    <t>M01-351-10010-D</t>
  </si>
  <si>
    <t>351-10010-E</t>
  </si>
  <si>
    <t>M01-351-10010-E</t>
  </si>
  <si>
    <t>351-10010-F</t>
  </si>
  <si>
    <t>M01-351-10010-F</t>
  </si>
  <si>
    <t>351-10010-G</t>
  </si>
  <si>
    <t>M01-351-10010-G</t>
  </si>
  <si>
    <t>351-10010-H</t>
  </si>
  <si>
    <t>M01-351-10010-H</t>
  </si>
  <si>
    <t>M01-351-10011-B</t>
  </si>
  <si>
    <t>351-10011-C</t>
  </si>
  <si>
    <t>M01-351-10011-C</t>
  </si>
  <si>
    <t>351-10011-D</t>
  </si>
  <si>
    <t>M01-351-10011-D</t>
  </si>
  <si>
    <t>351-10011-E</t>
  </si>
  <si>
    <t>M01-351-10011-E</t>
  </si>
  <si>
    <t>351-10011-G</t>
  </si>
  <si>
    <t>M01-351-10011-G</t>
  </si>
  <si>
    <t>M01-351-10012-B</t>
  </si>
  <si>
    <t>351-10012-C</t>
  </si>
  <si>
    <t>M01-351-10012-C</t>
  </si>
  <si>
    <t>351-10012-D</t>
  </si>
  <si>
    <t>M01-351-10012-D</t>
  </si>
  <si>
    <t>351-10012-F</t>
  </si>
  <si>
    <t>M01-351-10012-F</t>
  </si>
  <si>
    <t>351-10012-G</t>
  </si>
  <si>
    <t>M01-351-10012-G</t>
  </si>
  <si>
    <t>351-10012-H</t>
  </si>
  <si>
    <t>M01-351-10012-H</t>
  </si>
  <si>
    <t>351-10013-B</t>
  </si>
  <si>
    <t>M01-351-10013-B</t>
  </si>
  <si>
    <t>351-10013-C</t>
  </si>
  <si>
    <t>M01-351-10013-C</t>
  </si>
  <si>
    <t>351-10013-D</t>
  </si>
  <si>
    <t>M01-351-10013-D</t>
  </si>
  <si>
    <t>351-10013-E</t>
  </si>
  <si>
    <t>M01-351-10013-E</t>
  </si>
  <si>
    <t>351-10013-G</t>
  </si>
  <si>
    <t>M01-351-10013-G</t>
  </si>
  <si>
    <t>351-10013-H</t>
  </si>
  <si>
    <t>M01-351-10013-H</t>
  </si>
  <si>
    <t>351-10013-J</t>
  </si>
  <si>
    <t>M01-351-10013-J</t>
  </si>
  <si>
    <t>351-10013-K</t>
  </si>
  <si>
    <t>M01-351-10013-K</t>
  </si>
  <si>
    <t>351-10013-L</t>
  </si>
  <si>
    <t>M01-351-10013-L</t>
  </si>
  <si>
    <t>351-10013-M</t>
  </si>
  <si>
    <t>M01-351-10013-M</t>
  </si>
  <si>
    <t>351-10013-N</t>
  </si>
  <si>
    <t>M01-351-10013-N</t>
  </si>
  <si>
    <t>351-10013-P</t>
  </si>
  <si>
    <t>M01-351-10013-P</t>
  </si>
  <si>
    <t>351-10013-R</t>
  </si>
  <si>
    <t>M01-351-10013-R</t>
  </si>
  <si>
    <t>M01-351-10014-B</t>
  </si>
  <si>
    <t>351-10014-C</t>
  </si>
  <si>
    <t>M01-351-10014-C</t>
  </si>
  <si>
    <t>351-10014-D</t>
  </si>
  <si>
    <t>M01-351-10014-D</t>
  </si>
  <si>
    <t>351-10014-E</t>
  </si>
  <si>
    <t>M01-351-10014-E</t>
  </si>
  <si>
    <t>351-10014-G</t>
  </si>
  <si>
    <t>M01-351-10014-G</t>
  </si>
  <si>
    <t>AP-101</t>
  </si>
  <si>
    <t>M01-351-10101-B</t>
  </si>
  <si>
    <t>M01-351-10101-C</t>
  </si>
  <si>
    <t>BEAM EXTENSION</t>
  </si>
  <si>
    <t>M01-351-10102-B</t>
  </si>
  <si>
    <t>M01-351-10102-C</t>
  </si>
  <si>
    <t>351-10102-D</t>
  </si>
  <si>
    <t>M01-351-10102-D</t>
  </si>
  <si>
    <t>351-10102-E</t>
  </si>
  <si>
    <t>M01-351-10102-E</t>
  </si>
  <si>
    <t>M01-351-10103-B</t>
  </si>
  <si>
    <t>M01-351-10103-C</t>
  </si>
  <si>
    <t>351-10103-D</t>
  </si>
  <si>
    <t>M01-351-10103-D</t>
  </si>
  <si>
    <t>351-10103-E</t>
  </si>
  <si>
    <t>M01-351-10103-E</t>
  </si>
  <si>
    <t>M01-351-10104-B</t>
  </si>
  <si>
    <t>M01-351-10104-C</t>
  </si>
  <si>
    <t>M01-351-10106-B</t>
  </si>
  <si>
    <t>M01-351-10106-C</t>
  </si>
  <si>
    <t>M01-351-10108-B</t>
  </si>
  <si>
    <t>M01-351-10108-C</t>
  </si>
  <si>
    <t>M01-351-10108-D</t>
  </si>
  <si>
    <t>M01-351-10108-E</t>
  </si>
  <si>
    <t>M01-351-10108-F</t>
  </si>
  <si>
    <t>M01-351-10109-B</t>
  </si>
  <si>
    <t>M01-351-10109-C</t>
  </si>
  <si>
    <t>M01-351-10109-D</t>
  </si>
  <si>
    <t>M01-351-10109-E</t>
  </si>
  <si>
    <t>M01-351-10109-F</t>
  </si>
  <si>
    <t>M01-351-10109-G</t>
  </si>
  <si>
    <t>M01-351-10111-B</t>
  </si>
  <si>
    <t>351-10111-C</t>
  </si>
  <si>
    <t>M01-351-10111-C</t>
  </si>
  <si>
    <t>M01-351-10112-B</t>
  </si>
  <si>
    <t>351-10112-C</t>
  </si>
  <si>
    <t>M01-351-10112-C</t>
  </si>
  <si>
    <t>M01-351-10113-B</t>
  </si>
  <si>
    <t>351-10113-C</t>
  </si>
  <si>
    <t>M01-351-10113-C</t>
  </si>
  <si>
    <t>M01-351-10114-B</t>
  </si>
  <si>
    <t>M01-351-10114-C</t>
  </si>
  <si>
    <t>M01-351-10115-B</t>
  </si>
  <si>
    <t>M01-351-10115-C</t>
  </si>
  <si>
    <t>351-10115-D</t>
  </si>
  <si>
    <t>M01-351-10115-D</t>
  </si>
  <si>
    <t>351-10115-E</t>
  </si>
  <si>
    <t>M01-351-10115-E</t>
  </si>
  <si>
    <t>351-10115-F</t>
  </si>
  <si>
    <t>M01-351-10115-F</t>
  </si>
  <si>
    <t>M01-351-10116-A</t>
  </si>
  <si>
    <t>M01-351-10116-B</t>
  </si>
  <si>
    <t>M01-351-10116-C</t>
  </si>
  <si>
    <t>351-10116-F</t>
  </si>
  <si>
    <t>M01-351-10116-F</t>
  </si>
  <si>
    <t>351-10116-G</t>
  </si>
  <si>
    <t>M01-351-10116-G</t>
  </si>
  <si>
    <t>351-10117-A</t>
  </si>
  <si>
    <t>M01-351-10117-A</t>
  </si>
  <si>
    <t>351-10117-B</t>
  </si>
  <si>
    <t>M01-351-10117-B</t>
  </si>
  <si>
    <t>351-10117-C</t>
  </si>
  <si>
    <t>M01-351-10117-C</t>
  </si>
  <si>
    <t>351-10117-D</t>
  </si>
  <si>
    <t>M01-351-10117-D</t>
  </si>
  <si>
    <t>351-10117-E</t>
  </si>
  <si>
    <t>M01-351-10117-E</t>
  </si>
  <si>
    <t>351-10117-F</t>
  </si>
  <si>
    <t>M01-351-10117-F</t>
  </si>
  <si>
    <t>351-10117-G</t>
  </si>
  <si>
    <t>M01-351-10117-G</t>
  </si>
  <si>
    <t>351-10117-H</t>
  </si>
  <si>
    <t>M01-351-10117-H</t>
  </si>
  <si>
    <t>351-10117-J</t>
  </si>
  <si>
    <t>M01-351-10117-J</t>
  </si>
  <si>
    <t>351-10117-K</t>
  </si>
  <si>
    <t>M01-351-10117-K</t>
  </si>
  <si>
    <t>351-10117-L</t>
  </si>
  <si>
    <t>M01-351-10117-L</t>
  </si>
  <si>
    <t>351-10117-M</t>
  </si>
  <si>
    <t>M01-351-10117-M</t>
  </si>
  <si>
    <t>351-10117-N</t>
  </si>
  <si>
    <t>M01-351-10117-N</t>
  </si>
  <si>
    <t>M01-351-10118-A</t>
  </si>
  <si>
    <t>M01-351-10118-B</t>
  </si>
  <si>
    <t>M01-351-10118-C</t>
  </si>
  <si>
    <t>M01-351-10118-D</t>
  </si>
  <si>
    <t>M01-351-10118-E</t>
  </si>
  <si>
    <t>M01-351-10118-F</t>
  </si>
  <si>
    <t>M01-351-10118-G</t>
  </si>
  <si>
    <t>M01-351-10118-H</t>
  </si>
  <si>
    <t>351-10118-J</t>
  </si>
  <si>
    <t>M01-351-10118-J</t>
  </si>
  <si>
    <t>351-10118-K</t>
  </si>
  <si>
    <t>M01-351-10118-K</t>
  </si>
  <si>
    <t>351-10118-L</t>
  </si>
  <si>
    <t>M01-351-10118-L</t>
  </si>
  <si>
    <t>351-10118-M</t>
  </si>
  <si>
    <t>M01-351-10118-M</t>
  </si>
  <si>
    <t>351-10118-N</t>
  </si>
  <si>
    <t>M01-351-10118-N</t>
  </si>
  <si>
    <t>351-10118-P</t>
  </si>
  <si>
    <t>M01-351-10118-P</t>
  </si>
  <si>
    <t>351-10118-R</t>
  </si>
  <si>
    <t>M01-351-10118-R</t>
  </si>
  <si>
    <t>351-10118-S</t>
  </si>
  <si>
    <t>M01-351-10118-S</t>
  </si>
  <si>
    <t>351-10118-T</t>
  </si>
  <si>
    <t>M01-351-10118-T</t>
  </si>
  <si>
    <t>351-10118-U</t>
  </si>
  <si>
    <t>M01-351-10118-U</t>
  </si>
  <si>
    <t>351-10118-V</t>
  </si>
  <si>
    <t>M01-351-10118-V</t>
  </si>
  <si>
    <t>351-10118-W</t>
  </si>
  <si>
    <t>M01-351-10118-W</t>
  </si>
  <si>
    <t>351-10118-Y</t>
  </si>
  <si>
    <t>M01-351-10118-Y</t>
  </si>
  <si>
    <t>M01-351-10119-A</t>
  </si>
  <si>
    <t>M01-351-10119-B</t>
  </si>
  <si>
    <t>M01-351-10119-C</t>
  </si>
  <si>
    <t>M01-351-10119-D</t>
  </si>
  <si>
    <t>M01-351-10119-E</t>
  </si>
  <si>
    <t>M01-351-10119-F</t>
  </si>
  <si>
    <t>M01-351-10119-G</t>
  </si>
  <si>
    <t>M01-351-10120-B</t>
  </si>
  <si>
    <t>M01-351-10120-C</t>
  </si>
  <si>
    <t>M01-351-10120-D</t>
  </si>
  <si>
    <t>M01-351-10120-F</t>
  </si>
  <si>
    <t>M01-351-10120-G</t>
  </si>
  <si>
    <t>M01-351-10120-H</t>
  </si>
  <si>
    <t>M01-351-10121-B</t>
  </si>
  <si>
    <t>M01-351-10121-C</t>
  </si>
  <si>
    <t>351-10121-D</t>
  </si>
  <si>
    <t>M01-351-10121-D</t>
  </si>
  <si>
    <t>351-10121-F</t>
  </si>
  <si>
    <t>M01-351-10121-F</t>
  </si>
  <si>
    <t>351-10121-G</t>
  </si>
  <si>
    <t>M01-351-10121-G</t>
  </si>
  <si>
    <t>351-10121-H</t>
  </si>
  <si>
    <t>M01-351-10121-H</t>
  </si>
  <si>
    <t>M01-351-10201-B</t>
  </si>
  <si>
    <t>M01-351-10201-C</t>
  </si>
  <si>
    <t>M01-351-10201-D</t>
  </si>
  <si>
    <t>M01-351-10201-E</t>
  </si>
  <si>
    <t>AP-102</t>
  </si>
  <si>
    <t>M01-351-10203-B</t>
  </si>
  <si>
    <t>M01-351-10203-C</t>
  </si>
  <si>
    <t>M01-351-10203-D</t>
  </si>
  <si>
    <t>M01-351-10203-E</t>
  </si>
  <si>
    <t>M01-351-10204-B</t>
  </si>
  <si>
    <t>M01-351-10204-C</t>
  </si>
  <si>
    <t>M01-351-10204-D</t>
  </si>
  <si>
    <t>M01-351-10204-E</t>
  </si>
  <si>
    <t>M01-351-10205-B</t>
  </si>
  <si>
    <t>M01-351-10205-C</t>
  </si>
  <si>
    <t>M01-351-10205-D</t>
  </si>
  <si>
    <t>M01-351-10205-E</t>
  </si>
  <si>
    <t>M01-351-10206-B</t>
  </si>
  <si>
    <t>M01-351-10206-C</t>
  </si>
  <si>
    <t>M01-351-10206-D</t>
  </si>
  <si>
    <t>M01-351-10206-E</t>
  </si>
  <si>
    <t>M01-351-10207-B</t>
  </si>
  <si>
    <t>M01-351-10207-C</t>
  </si>
  <si>
    <t>M01-351-10207-D</t>
  </si>
  <si>
    <t>M01-351-10208-B</t>
  </si>
  <si>
    <t>M01-351-10208-C</t>
  </si>
  <si>
    <t>M01-351-10211-B</t>
  </si>
  <si>
    <t>M01-351-10211-C</t>
  </si>
  <si>
    <t>M01-351-10212-B</t>
  </si>
  <si>
    <t>M01-351-10212-C</t>
  </si>
  <si>
    <t>M01-351-10213-B</t>
  </si>
  <si>
    <t>M01-351-10213-C</t>
  </si>
  <si>
    <t>M01-351-10214-B</t>
  </si>
  <si>
    <t>M01-351-10214-C</t>
  </si>
  <si>
    <t>M01-351-10215-B</t>
  </si>
  <si>
    <t>M01-351-10215-C</t>
  </si>
  <si>
    <t>M01-351-10216-B</t>
  </si>
  <si>
    <t>M01-351-10216-C</t>
  </si>
  <si>
    <t>M01-351-10217-B</t>
  </si>
  <si>
    <t>351-10217-C</t>
  </si>
  <si>
    <t>M01-351-10217-C</t>
  </si>
  <si>
    <t>M01-351-10218-B</t>
  </si>
  <si>
    <t>M01-351-10218-C</t>
  </si>
  <si>
    <t>M01-351-10219-B</t>
  </si>
  <si>
    <t>351-10219-D</t>
  </si>
  <si>
    <t>M01-351-10219-D</t>
  </si>
  <si>
    <t>351-10219-E</t>
  </si>
  <si>
    <t>M01-351-10219-E</t>
  </si>
  <si>
    <t>351-10219-G</t>
  </si>
  <si>
    <t>M01-351-10219-G</t>
  </si>
  <si>
    <t>351-10219-H</t>
  </si>
  <si>
    <t>M01-351-10219-H</t>
  </si>
  <si>
    <t>M01-351-10220-A</t>
  </si>
  <si>
    <t>M01-351-10220-B</t>
  </si>
  <si>
    <t>M01-351-10220-C</t>
  </si>
  <si>
    <t>M01-351-10220-D</t>
  </si>
  <si>
    <t>M01-351-10220-E</t>
  </si>
  <si>
    <t>351-10220-G</t>
  </si>
  <si>
    <t>M01-351-10220-G</t>
  </si>
  <si>
    <t>351-10220-H</t>
  </si>
  <si>
    <t>M01-351-10220-H</t>
  </si>
  <si>
    <t>351-10220-J</t>
  </si>
  <si>
    <t>M01-351-10220-J</t>
  </si>
  <si>
    <t>351-10220-K</t>
  </si>
  <si>
    <t>M01-351-10220-K</t>
  </si>
  <si>
    <t>351-10220-L</t>
  </si>
  <si>
    <t>M01-351-10220-L</t>
  </si>
  <si>
    <t>351-10220-M</t>
  </si>
  <si>
    <t>M01-351-10220-M</t>
  </si>
  <si>
    <t>351-10220-N</t>
  </si>
  <si>
    <t>M01-351-10220-N</t>
  </si>
  <si>
    <t>351-10220-P</t>
  </si>
  <si>
    <t>M01-351-10220-P</t>
  </si>
  <si>
    <t>M01-351-10221-A</t>
  </si>
  <si>
    <t>M01-351-10221-B</t>
  </si>
  <si>
    <t>M01-351-10221-C</t>
  </si>
  <si>
    <t>351-10221-D</t>
  </si>
  <si>
    <t>M01-351-10221-D</t>
  </si>
  <si>
    <t>351-10221-E</t>
  </si>
  <si>
    <t>M01-351-10221-E</t>
  </si>
  <si>
    <t>351-10221-F</t>
  </si>
  <si>
    <t>M01-351-10221-F</t>
  </si>
  <si>
    <t>351-10221-G</t>
  </si>
  <si>
    <t>M01-351-10221-G</t>
  </si>
  <si>
    <t>351-10221-H</t>
  </si>
  <si>
    <t>M01-351-10221-H</t>
  </si>
  <si>
    <t>351-10221-J</t>
  </si>
  <si>
    <t>M01-351-10221-J</t>
  </si>
  <si>
    <t>351-10221-K</t>
  </si>
  <si>
    <t>M01-351-10221-K</t>
  </si>
  <si>
    <t>351-10221-L</t>
  </si>
  <si>
    <t>M01-351-10221-L</t>
  </si>
  <si>
    <t>351-10221-M</t>
  </si>
  <si>
    <t>M01-351-10221-M</t>
  </si>
  <si>
    <t>351-10221-N</t>
  </si>
  <si>
    <t>M01-351-10221-N</t>
  </si>
  <si>
    <t>351-10222-A</t>
  </si>
  <si>
    <t>M01-351-10222-A</t>
  </si>
  <si>
    <t>351-10222-B</t>
  </si>
  <si>
    <t>M01-351-10222-B</t>
  </si>
  <si>
    <t>351-10222-C</t>
  </si>
  <si>
    <t>M01-351-10222-C</t>
  </si>
  <si>
    <t>351-10222-D</t>
  </si>
  <si>
    <t>M01-351-10222-D</t>
  </si>
  <si>
    <t>351-10222-E</t>
  </si>
  <si>
    <t>M01-351-10222-E</t>
  </si>
  <si>
    <t>351-10222-G</t>
  </si>
  <si>
    <t>M01-351-10222-G</t>
  </si>
  <si>
    <t>351-10222-H</t>
  </si>
  <si>
    <t>M01-351-10222-H</t>
  </si>
  <si>
    <t>M01-351-10223-A</t>
  </si>
  <si>
    <t>M01-351-10223-B</t>
  </si>
  <si>
    <t>351-10223-C</t>
  </si>
  <si>
    <t>M01-351-10223-C</t>
  </si>
  <si>
    <t>351-10223-E</t>
  </si>
  <si>
    <t>M01-351-10223-E</t>
  </si>
  <si>
    <t>351-10223-F</t>
  </si>
  <si>
    <t>M01-351-10223-F</t>
  </si>
  <si>
    <t>351-10223-G</t>
  </si>
  <si>
    <t>M01-351-10223-G</t>
  </si>
  <si>
    <t>351-10223-H</t>
  </si>
  <si>
    <t>M01-351-10223-H</t>
  </si>
  <si>
    <t>351-10223-J</t>
  </si>
  <si>
    <t>M01-351-10223-J</t>
  </si>
  <si>
    <t>351-10223-K</t>
  </si>
  <si>
    <t>M01-351-10223-K</t>
  </si>
  <si>
    <t>351-10223-L</t>
  </si>
  <si>
    <t>M01-351-10223-L</t>
  </si>
  <si>
    <t>351-10223-M</t>
  </si>
  <si>
    <t>M01-351-10223-M</t>
  </si>
  <si>
    <t>351-10223-N</t>
  </si>
  <si>
    <t>M01-351-10223-N</t>
  </si>
  <si>
    <t>351-10223-P</t>
  </si>
  <si>
    <t>M01-351-10223-P</t>
  </si>
  <si>
    <t>351-10223-R</t>
  </si>
  <si>
    <t>M01-351-10223-R</t>
  </si>
  <si>
    <t>351-10223-S</t>
  </si>
  <si>
    <t>M01-351-10223-S</t>
  </si>
  <si>
    <t>351-10223-T</t>
  </si>
  <si>
    <t>M01-351-10223-T</t>
  </si>
  <si>
    <t>351-10223-U</t>
  </si>
  <si>
    <t>M01-351-10223-U</t>
  </si>
  <si>
    <t>M01-351-10224-A</t>
  </si>
  <si>
    <t>M01-351-10224-B</t>
  </si>
  <si>
    <t>M01-351-10224-C</t>
  </si>
  <si>
    <t>M01-351-10224-E</t>
  </si>
  <si>
    <t>351-10224-F</t>
  </si>
  <si>
    <t>M01-351-10224-F</t>
  </si>
  <si>
    <t>351-10224-G</t>
  </si>
  <si>
    <t>M01-351-10224-G</t>
  </si>
  <si>
    <t>351-10224-H</t>
  </si>
  <si>
    <t>M01-351-10224-H</t>
  </si>
  <si>
    <t>M01-351-10225-A</t>
  </si>
  <si>
    <t>M01-351-10225-B</t>
  </si>
  <si>
    <t>M01-351-10225-C</t>
  </si>
  <si>
    <t>M01-351-10225-E</t>
  </si>
  <si>
    <t>351-10225-F</t>
  </si>
  <si>
    <t>M01-351-10225-F</t>
  </si>
  <si>
    <t>351-10225-G</t>
  </si>
  <si>
    <t>M01-351-10225-G</t>
  </si>
  <si>
    <t>351-10225-H</t>
  </si>
  <si>
    <t>M01-351-10225-H</t>
  </si>
  <si>
    <t>AP-103</t>
  </si>
  <si>
    <t>M01-351-10304-B</t>
  </si>
  <si>
    <t>M01-351-10305-B</t>
  </si>
  <si>
    <t>M01-351-10305-C</t>
  </si>
  <si>
    <t>M01-351-10305-D</t>
  </si>
  <si>
    <t>M01-351-10305-E</t>
  </si>
  <si>
    <t>M01-351-10305-F</t>
  </si>
  <si>
    <t>M01-351-10305-G</t>
  </si>
  <si>
    <t>M01-351-10306-B</t>
  </si>
  <si>
    <t>M01-351-10306-C</t>
  </si>
  <si>
    <t>M01-351-10307-B</t>
  </si>
  <si>
    <t>M01-351-10307-C</t>
  </si>
  <si>
    <t>351-10307-D</t>
  </si>
  <si>
    <t>M01-351-10307-D</t>
  </si>
  <si>
    <t>351-10307-E</t>
  </si>
  <si>
    <t>M01-351-10307-E</t>
  </si>
  <si>
    <t>351-10307-F</t>
  </si>
  <si>
    <t>M01-351-10307-F</t>
  </si>
  <si>
    <t>351-10308-B</t>
  </si>
  <si>
    <t>M01-351-10308-B</t>
  </si>
  <si>
    <t>351-10308-C</t>
  </si>
  <si>
    <t>M01-351-10308-C</t>
  </si>
  <si>
    <t>351-10308-D</t>
  </si>
  <si>
    <t>M01-351-10308-D</t>
  </si>
  <si>
    <t>351-10308-E</t>
  </si>
  <si>
    <t>M01-351-10308-E</t>
  </si>
  <si>
    <t>351-10308-F</t>
  </si>
  <si>
    <t>M01-351-10308-F</t>
  </si>
  <si>
    <t>351-10310-B</t>
  </si>
  <si>
    <t>M01-351-10310-B</t>
  </si>
  <si>
    <t>M01-351-10311-B</t>
  </si>
  <si>
    <t>351-10311-C</t>
  </si>
  <si>
    <t>M01-351-10311-C</t>
  </si>
  <si>
    <t>351-10312-B</t>
  </si>
  <si>
    <t>M01-351-10312-B</t>
  </si>
  <si>
    <t>351-10312-C</t>
  </si>
  <si>
    <t>M01-351-10312-C</t>
  </si>
  <si>
    <t>M01-351-10313-B</t>
  </si>
  <si>
    <t>351-10313-C</t>
  </si>
  <si>
    <t>M01-351-10313-C</t>
  </si>
  <si>
    <t>351-10314-B</t>
  </si>
  <si>
    <t>M01-351-10314-B</t>
  </si>
  <si>
    <t>351-10314-C</t>
  </si>
  <si>
    <t>M01-351-10314-C</t>
  </si>
  <si>
    <t>351-10314-D</t>
  </si>
  <si>
    <t>M01-351-10314-D</t>
  </si>
  <si>
    <t>351-10314-E</t>
  </si>
  <si>
    <t>M01-351-10314-E</t>
  </si>
  <si>
    <t>351-10314-F</t>
  </si>
  <si>
    <t>M01-351-10314-F</t>
  </si>
  <si>
    <t>351-10314-G</t>
  </si>
  <si>
    <t>M01-351-10314-G</t>
  </si>
  <si>
    <t>351-10314-H</t>
  </si>
  <si>
    <t>M01-351-10314-H</t>
  </si>
  <si>
    <t>351-10314-J</t>
  </si>
  <si>
    <t>M01-351-10314-J</t>
  </si>
  <si>
    <t>351-10315-B</t>
  </si>
  <si>
    <t>M01-351-10315-B</t>
  </si>
  <si>
    <t>351-10315-C</t>
  </si>
  <si>
    <t>M01-351-10315-C</t>
  </si>
  <si>
    <t>351-10316-B</t>
  </si>
  <si>
    <t>M01-351-10316-B</t>
  </si>
  <si>
    <t>351-10316-C</t>
  </si>
  <si>
    <t>M01-351-10316-C</t>
  </si>
  <si>
    <t>M01-351-10317-B</t>
  </si>
  <si>
    <t>351-10317-C</t>
  </si>
  <si>
    <t>M01-351-10317-C</t>
  </si>
  <si>
    <t>M01-351-10319-A</t>
  </si>
  <si>
    <t>M01-351-10319-B</t>
  </si>
  <si>
    <t>351-10319-C</t>
  </si>
  <si>
    <t>M01-351-10319-C</t>
  </si>
  <si>
    <t>351-10319-D</t>
  </si>
  <si>
    <t>M01-351-10319-D</t>
  </si>
  <si>
    <t>351-10319-E</t>
  </si>
  <si>
    <t>M01-351-10319-E</t>
  </si>
  <si>
    <t>351-10319-F</t>
  </si>
  <si>
    <t>M01-351-10319-F</t>
  </si>
  <si>
    <t>351-10319-G</t>
  </si>
  <si>
    <t>M01-351-10319-G</t>
  </si>
  <si>
    <t>351-10319-H</t>
  </si>
  <si>
    <t>M01-351-10319-H</t>
  </si>
  <si>
    <t>351-10320-A</t>
  </si>
  <si>
    <t>M01-351-10320-A</t>
  </si>
  <si>
    <t>351-10320-B</t>
  </si>
  <si>
    <t>M01-351-10320-B</t>
  </si>
  <si>
    <t>351-10320-C</t>
  </si>
  <si>
    <t>M01-351-10320-C</t>
  </si>
  <si>
    <t>351-10320-D</t>
  </si>
  <si>
    <t>M01-351-10320-D</t>
  </si>
  <si>
    <t>351-10320-E</t>
  </si>
  <si>
    <t>M01-351-10320-E</t>
  </si>
  <si>
    <t>351-10320-F</t>
  </si>
  <si>
    <t>M01-351-10320-F</t>
  </si>
  <si>
    <t>351-10320-G</t>
  </si>
  <si>
    <t>M01-351-10320-G</t>
  </si>
  <si>
    <t>351-10321-A</t>
  </si>
  <si>
    <t>M01-351-10321-A</t>
  </si>
  <si>
    <t>351-10321-B</t>
  </si>
  <si>
    <t>M01-351-10321-B</t>
  </si>
  <si>
    <t>351-10321-C</t>
  </si>
  <si>
    <t>M01-351-10321-C</t>
  </si>
  <si>
    <t>351-10321-D</t>
  </si>
  <si>
    <t>M01-351-10321-D</t>
  </si>
  <si>
    <t>351-10321-E</t>
  </si>
  <si>
    <t>M01-351-10321-E</t>
  </si>
  <si>
    <t>351-10321-F</t>
  </si>
  <si>
    <t>M01-351-10321-F</t>
  </si>
  <si>
    <t>351-10321-G</t>
  </si>
  <si>
    <t>M01-351-10321-G</t>
  </si>
  <si>
    <t>351-10321-H</t>
  </si>
  <si>
    <t>M01-351-10321-H</t>
  </si>
  <si>
    <t>M01-351-10322-A</t>
  </si>
  <si>
    <t>351-10322-C</t>
  </si>
  <si>
    <t>M01-351-10322-C</t>
  </si>
  <si>
    <t>351-10322-D</t>
  </si>
  <si>
    <t>M01-351-10322-D</t>
  </si>
  <si>
    <t>351-10322-E</t>
  </si>
  <si>
    <t>M01-351-10322-E</t>
  </si>
  <si>
    <t>351-10322-F</t>
  </si>
  <si>
    <t>M01-351-10322-F</t>
  </si>
  <si>
    <t>351-10322-G</t>
  </si>
  <si>
    <t>M01-351-10322-G</t>
  </si>
  <si>
    <t>351-10322-H</t>
  </si>
  <si>
    <t>M01-351-10322-H</t>
  </si>
  <si>
    <t>351-10322-J</t>
  </si>
  <si>
    <t>M01-351-10322-J</t>
  </si>
  <si>
    <t>351-10322-K</t>
  </si>
  <si>
    <t>M01-351-10322-K</t>
  </si>
  <si>
    <t>351-10322-L</t>
  </si>
  <si>
    <t>M01-351-10322-L</t>
  </si>
  <si>
    <t>351-10322-M</t>
  </si>
  <si>
    <t>M01-351-10322-M</t>
  </si>
  <si>
    <t>351-10322-N</t>
  </si>
  <si>
    <t>M01-351-10322-N</t>
  </si>
  <si>
    <t>351-10322-P</t>
  </si>
  <si>
    <t>M01-351-10322-P</t>
  </si>
  <si>
    <t>351-10322-R</t>
  </si>
  <si>
    <t>M01-351-10322-R</t>
  </si>
  <si>
    <t>351-10322-S</t>
  </si>
  <si>
    <t>M01-351-10322-S</t>
  </si>
  <si>
    <t>351-10322-T</t>
  </si>
  <si>
    <t>M01-351-10322-T</t>
  </si>
  <si>
    <t>351-10322-U</t>
  </si>
  <si>
    <t>M01-351-10322-U</t>
  </si>
  <si>
    <t>351-10323-A</t>
  </si>
  <si>
    <t>M01-351-10323-A</t>
  </si>
  <si>
    <t>351-10323-C</t>
  </si>
  <si>
    <t>M01-351-10323-C</t>
  </si>
  <si>
    <t>351-10323-D</t>
  </si>
  <si>
    <t>M01-351-10323-D</t>
  </si>
  <si>
    <t>351-10323-E</t>
  </si>
  <si>
    <t>M01-351-10323-E</t>
  </si>
  <si>
    <t>351-10323-F</t>
  </si>
  <si>
    <t>M01-351-10323-F</t>
  </si>
  <si>
    <t>351-10323-G</t>
  </si>
  <si>
    <t>M01-351-10323-G</t>
  </si>
  <si>
    <t>351-10323-H</t>
  </si>
  <si>
    <t>M01-351-10323-H</t>
  </si>
  <si>
    <t>M01-351-10324-A</t>
  </si>
  <si>
    <t>M01-351-10324-B</t>
  </si>
  <si>
    <t>M01-351-10324-C</t>
  </si>
  <si>
    <t>M01-351-10324-D</t>
  </si>
  <si>
    <t>M01-351-10324-E</t>
  </si>
  <si>
    <t>351-10324-F</t>
  </si>
  <si>
    <t>M01-351-10324-F</t>
  </si>
  <si>
    <t>351-10324-G</t>
  </si>
  <si>
    <t>M01-351-10324-G</t>
  </si>
  <si>
    <t>351-10324-H</t>
  </si>
  <si>
    <t>M01-351-10324-H</t>
  </si>
  <si>
    <t>M01-351-10325-A</t>
  </si>
  <si>
    <t>M01-351-10325-B</t>
  </si>
  <si>
    <t>351-10325-C</t>
  </si>
  <si>
    <t>M01-351-10325-C</t>
  </si>
  <si>
    <t>351-10325-D</t>
  </si>
  <si>
    <t>M01-351-10325-D</t>
  </si>
  <si>
    <t>351-10325-E</t>
  </si>
  <si>
    <t>M01-351-10325-E</t>
  </si>
  <si>
    <t>351-10325-F</t>
  </si>
  <si>
    <t>M01-351-10325-F</t>
  </si>
  <si>
    <t>351-10325-G</t>
  </si>
  <si>
    <t>M01-351-10325-G</t>
  </si>
  <si>
    <t>M01-351-10326-A</t>
  </si>
  <si>
    <t>M01-351-10326-C</t>
  </si>
  <si>
    <t>351-10326-D</t>
  </si>
  <si>
    <t>M01-351-10326-D</t>
  </si>
  <si>
    <t>351-10326-E</t>
  </si>
  <si>
    <t>M01-351-10326-E</t>
  </si>
  <si>
    <t>351-10326-F</t>
  </si>
  <si>
    <t>M01-351-10326-F</t>
  </si>
  <si>
    <t>351-10326-G</t>
  </si>
  <si>
    <t>M01-351-10326-G</t>
  </si>
  <si>
    <t>351-10326-H</t>
  </si>
  <si>
    <t>M01-351-10326-H</t>
  </si>
  <si>
    <t>351-10327-A</t>
  </si>
  <si>
    <t>M01-351-10327-A</t>
  </si>
  <si>
    <t>351-10327-B</t>
  </si>
  <si>
    <t>M01-351-10327-B</t>
  </si>
  <si>
    <t>351-10327-C</t>
  </si>
  <si>
    <t>M01-351-10327-C</t>
  </si>
  <si>
    <t>351-10327-D</t>
  </si>
  <si>
    <t>M01-351-10327-D</t>
  </si>
  <si>
    <t>351-10327-E</t>
  </si>
  <si>
    <t>M01-351-10327-E</t>
  </si>
  <si>
    <t>351-10327-F</t>
  </si>
  <si>
    <t>M01-351-10327-F</t>
  </si>
  <si>
    <t>351-10327-G</t>
  </si>
  <si>
    <t>M01-351-10327-G</t>
  </si>
  <si>
    <t>351-10328-A</t>
  </si>
  <si>
    <t>M01-351-10328-A</t>
  </si>
  <si>
    <t>351-10328-B</t>
  </si>
  <si>
    <t>M01-351-10328-B</t>
  </si>
  <si>
    <t>351-10328-C</t>
  </si>
  <si>
    <t>M01-351-10328-C</t>
  </si>
  <si>
    <t>351-10328-D</t>
  </si>
  <si>
    <t>M01-351-10328-D</t>
  </si>
  <si>
    <t>351-10328-E</t>
  </si>
  <si>
    <t>M01-351-10328-E</t>
  </si>
  <si>
    <t>351-10328-F</t>
  </si>
  <si>
    <t>M01-351-10328-F</t>
  </si>
  <si>
    <t>351-10328-H</t>
  </si>
  <si>
    <t>M01-351-10328-H</t>
  </si>
  <si>
    <t>351-10328-J</t>
  </si>
  <si>
    <t>M01-351-10328-J</t>
  </si>
  <si>
    <t>351-10328-K</t>
  </si>
  <si>
    <t>M01-351-10328-K</t>
  </si>
  <si>
    <t>351-10328-L</t>
  </si>
  <si>
    <t>M01-351-10328-L</t>
  </si>
  <si>
    <t>351-10328-M</t>
  </si>
  <si>
    <t>M01-351-10328-M</t>
  </si>
  <si>
    <t>351-10328-N</t>
  </si>
  <si>
    <t>M01-351-10328-N</t>
  </si>
  <si>
    <t>351-10328-P</t>
  </si>
  <si>
    <t>M01-351-10328-P</t>
  </si>
  <si>
    <t>AP-104</t>
  </si>
  <si>
    <t>M01-351-10401-B</t>
  </si>
  <si>
    <t>M01-351-10401-C</t>
  </si>
  <si>
    <t>M01-351-10402-B</t>
  </si>
  <si>
    <t>M01-351-10402-C</t>
  </si>
  <si>
    <t>M01-351-10402-D</t>
  </si>
  <si>
    <t>M01-351-10402-E</t>
  </si>
  <si>
    <t>351-10402-F</t>
  </si>
  <si>
    <t>M01-351-10402-F</t>
  </si>
  <si>
    <t>351-10402-G</t>
  </si>
  <si>
    <t>M01-351-10402-G</t>
  </si>
  <si>
    <t>M01-351-10403-B</t>
  </si>
  <si>
    <t>M01-351-10403-C</t>
  </si>
  <si>
    <t>M01-351-10403-D</t>
  </si>
  <si>
    <t>M01-351-10403-E</t>
  </si>
  <si>
    <t>351-10403-F</t>
  </si>
  <si>
    <t>M01-351-10403-F</t>
  </si>
  <si>
    <t>351-10403-G</t>
  </si>
  <si>
    <t>M01-351-10403-G</t>
  </si>
  <si>
    <t>M01-351-10404-B</t>
  </si>
  <si>
    <t>M01-351-10404-C</t>
  </si>
  <si>
    <t>351-10404-D</t>
  </si>
  <si>
    <t>M01-351-10404-D</t>
  </si>
  <si>
    <t>351-10404-E</t>
  </si>
  <si>
    <t>M01-351-10404-E</t>
  </si>
  <si>
    <t>M01-351-10405-B</t>
  </si>
  <si>
    <t>M01-351-10406-B</t>
  </si>
  <si>
    <t>M01-351-10406-C</t>
  </si>
  <si>
    <t>351-10406-D</t>
  </si>
  <si>
    <t>M01-351-10406-D</t>
  </si>
  <si>
    <t>351-10406-E</t>
  </si>
  <si>
    <t>M01-351-10406-E</t>
  </si>
  <si>
    <t>M01-351-10408-B</t>
  </si>
  <si>
    <t>M01-351-10410-B</t>
  </si>
  <si>
    <t>M01-351-10410-C</t>
  </si>
  <si>
    <t>M01-351-10410-D</t>
  </si>
  <si>
    <t>M01-351-10410-E</t>
  </si>
  <si>
    <t>M01-351-10411-B</t>
  </si>
  <si>
    <t>M01-351-10411-C</t>
  </si>
  <si>
    <t>M01-351-10412-B</t>
  </si>
  <si>
    <t>M01-351-10416-B</t>
  </si>
  <si>
    <t>351-10416-C</t>
  </si>
  <si>
    <t>M01-351-10416-C</t>
  </si>
  <si>
    <t>M01-351-10417-B</t>
  </si>
  <si>
    <t>M01-351-10417-C</t>
  </si>
  <si>
    <t>M01-351-10418-B</t>
  </si>
  <si>
    <t>M01-351-10418-C</t>
  </si>
  <si>
    <t>M01-351-10419-B</t>
  </si>
  <si>
    <t>M01-351-10419-C</t>
  </si>
  <si>
    <t>M01-351-10420-B</t>
  </si>
  <si>
    <t>M01-351-10420-C</t>
  </si>
  <si>
    <t>M01-351-10421-A</t>
  </si>
  <si>
    <t>M01-351-10421-B</t>
  </si>
  <si>
    <t>351-10421-C</t>
  </si>
  <si>
    <t>M01-351-10421-C</t>
  </si>
  <si>
    <t>351-10421-D</t>
  </si>
  <si>
    <t>M01-351-10421-D</t>
  </si>
  <si>
    <t>351-10421-E</t>
  </si>
  <si>
    <t>M01-351-10421-E</t>
  </si>
  <si>
    <t>351-10421-F</t>
  </si>
  <si>
    <t>M01-351-10421-F</t>
  </si>
  <si>
    <t>351-10421-G</t>
  </si>
  <si>
    <t>M01-351-10421-G</t>
  </si>
  <si>
    <t>351-10421-H</t>
  </si>
  <si>
    <t>M01-351-10421-H</t>
  </si>
  <si>
    <t>M01-351-10422-A</t>
  </si>
  <si>
    <t>M01-351-10422-B</t>
  </si>
  <si>
    <t>351-10422-C</t>
  </si>
  <si>
    <t>M01-351-10422-C</t>
  </si>
  <si>
    <t>351-10422-D</t>
  </si>
  <si>
    <t>M01-351-10422-D</t>
  </si>
  <si>
    <t>351-10422-E</t>
  </si>
  <si>
    <t>M01-351-10422-E</t>
  </si>
  <si>
    <t>351-10422-F</t>
  </si>
  <si>
    <t>M01-351-10422-F</t>
  </si>
  <si>
    <t>351-10422-G</t>
  </si>
  <si>
    <t>M01-351-10422-G</t>
  </si>
  <si>
    <t>351-10422-H</t>
  </si>
  <si>
    <t>M01-351-10422-H</t>
  </si>
  <si>
    <t>M01-351-10423-A</t>
  </si>
  <si>
    <t>M01-351-10423-B</t>
  </si>
  <si>
    <t>351-10423-C</t>
  </si>
  <si>
    <t>M01-351-10423-C</t>
  </si>
  <si>
    <t>351-10423-D</t>
  </si>
  <si>
    <t>M01-351-10423-D</t>
  </si>
  <si>
    <t>351-10423-F</t>
  </si>
  <si>
    <t>M01-351-10423-F</t>
  </si>
  <si>
    <t>351-10423-G</t>
  </si>
  <si>
    <t>M01-351-10423-G</t>
  </si>
  <si>
    <t>351-10423-H</t>
  </si>
  <si>
    <t>M01-351-10423-H</t>
  </si>
  <si>
    <t>351-10423-J</t>
  </si>
  <si>
    <t>M01-351-10423-J</t>
  </si>
  <si>
    <t>351-10423-K</t>
  </si>
  <si>
    <t>M01-351-10423-K</t>
  </si>
  <si>
    <t>351-10423-L</t>
  </si>
  <si>
    <t>M01-351-10423-L</t>
  </si>
  <si>
    <t>351-10423-M</t>
  </si>
  <si>
    <t>M01-351-10423-M</t>
  </si>
  <si>
    <t>351-10423-N</t>
  </si>
  <si>
    <t>M01-351-10423-N</t>
  </si>
  <si>
    <t>351-10423-P</t>
  </si>
  <si>
    <t>M01-351-10423-P</t>
  </si>
  <si>
    <t>M01-351-10424-A</t>
  </si>
  <si>
    <t>351-10424-C</t>
  </si>
  <si>
    <t>M01-351-10424-C</t>
  </si>
  <si>
    <t>351-10424-D</t>
  </si>
  <si>
    <t>M01-351-10424-D</t>
  </si>
  <si>
    <t>351-10424-E</t>
  </si>
  <si>
    <t>M01-351-10424-E</t>
  </si>
  <si>
    <t>351-10424-F</t>
  </si>
  <si>
    <t>M01-351-10424-F</t>
  </si>
  <si>
    <t>351-10424-G</t>
  </si>
  <si>
    <t>M01-351-10424-G</t>
  </si>
  <si>
    <t>351-10424-H</t>
  </si>
  <si>
    <t>M01-351-10424-H</t>
  </si>
  <si>
    <t>351-10424-J</t>
  </si>
  <si>
    <t>M01-351-10424-J</t>
  </si>
  <si>
    <t>351-10424-K</t>
  </si>
  <si>
    <t>M01-351-10424-K</t>
  </si>
  <si>
    <t>351-10424-L</t>
  </si>
  <si>
    <t>M01-351-10424-L</t>
  </si>
  <si>
    <t>351-10424-M</t>
  </si>
  <si>
    <t>M01-351-10424-M</t>
  </si>
  <si>
    <t>351-10424-N</t>
  </si>
  <si>
    <t>M01-351-10424-N</t>
  </si>
  <si>
    <t>351-10424-P</t>
  </si>
  <si>
    <t>M01-351-10424-P</t>
  </si>
  <si>
    <t>351-10424-R</t>
  </si>
  <si>
    <t>M01-351-10424-R</t>
  </si>
  <si>
    <t>351-10424-S</t>
  </si>
  <si>
    <t>M01-351-10424-S</t>
  </si>
  <si>
    <t>351-10424-T</t>
  </si>
  <si>
    <t>M01-351-10424-T</t>
  </si>
  <si>
    <t>351-10424-U</t>
  </si>
  <si>
    <t>M01-351-10424-U</t>
  </si>
  <si>
    <t>351-10424-V</t>
  </si>
  <si>
    <t>M01-351-10424-V</t>
  </si>
  <si>
    <t>351-10424-W</t>
  </si>
  <si>
    <t>M01-351-10424-W</t>
  </si>
  <si>
    <t>M01-351-10425-A</t>
  </si>
  <si>
    <t>M01-351-10425-B</t>
  </si>
  <si>
    <t>351-10425-C</t>
  </si>
  <si>
    <t>M01-351-10425-C</t>
  </si>
  <si>
    <t>351-10425-D</t>
  </si>
  <si>
    <t>M01-351-10425-D</t>
  </si>
  <si>
    <t>351-10425-F</t>
  </si>
  <si>
    <t>M01-351-10425-F</t>
  </si>
  <si>
    <t>351-10425-G</t>
  </si>
  <si>
    <t>M01-351-10425-G</t>
  </si>
  <si>
    <t>351-10425-H</t>
  </si>
  <si>
    <t>M01-351-10425-H</t>
  </si>
  <si>
    <t>351-10425-J</t>
  </si>
  <si>
    <t>M01-351-10425-J</t>
  </si>
  <si>
    <t>351-10425-K</t>
  </si>
  <si>
    <t>M01-351-10425-K</t>
  </si>
  <si>
    <t>351-10425-L</t>
  </si>
  <si>
    <t>M01-351-10425-L</t>
  </si>
  <si>
    <t>351-10425-M</t>
  </si>
  <si>
    <t>M01-351-10425-M</t>
  </si>
  <si>
    <t>351-10425-N</t>
  </si>
  <si>
    <t>M01-351-10425-N</t>
  </si>
  <si>
    <t>351-10425-P</t>
  </si>
  <si>
    <t>M01-351-10425-P</t>
  </si>
  <si>
    <t>M01-351-10426-A</t>
  </si>
  <si>
    <t>M01-351-10426-B</t>
  </si>
  <si>
    <t>351-10426-C</t>
  </si>
  <si>
    <t>M01-351-10426-C</t>
  </si>
  <si>
    <t>351-10426-D</t>
  </si>
  <si>
    <t>M01-351-10426-D</t>
  </si>
  <si>
    <t>351-10426-F</t>
  </si>
  <si>
    <t>M01-351-10426-F</t>
  </si>
  <si>
    <t>351-10426-G</t>
  </si>
  <si>
    <t>M01-351-10426-G</t>
  </si>
  <si>
    <t>351-10426-H</t>
  </si>
  <si>
    <t>M01-351-10426-H</t>
  </si>
  <si>
    <t>351-10426-J</t>
  </si>
  <si>
    <t>M01-351-10426-J</t>
  </si>
  <si>
    <t>351-10426-K</t>
  </si>
  <si>
    <t>M01-351-10426-K</t>
  </si>
  <si>
    <t>351-10426-L</t>
  </si>
  <si>
    <t>M01-351-10426-L</t>
  </si>
  <si>
    <t>351-10426-M</t>
  </si>
  <si>
    <t>M01-351-10426-M</t>
  </si>
  <si>
    <t>351-10426-N</t>
  </si>
  <si>
    <t>M01-351-10426-N</t>
  </si>
  <si>
    <t>351-10426-P</t>
  </si>
  <si>
    <t>M01-351-10426-P</t>
  </si>
  <si>
    <t>M01-351-10427-A</t>
  </si>
  <si>
    <t>M01-351-10427-B</t>
  </si>
  <si>
    <t>M01-351-10427-C</t>
  </si>
  <si>
    <t>351-10427-D</t>
  </si>
  <si>
    <t>M01-351-10427-D</t>
  </si>
  <si>
    <t>351-10427-E</t>
  </si>
  <si>
    <t>M01-351-10427-E</t>
  </si>
  <si>
    <t>351-10427-F</t>
  </si>
  <si>
    <t>M01-351-10427-F</t>
  </si>
  <si>
    <t>351-10427-G</t>
  </si>
  <si>
    <t>M01-351-10427-G</t>
  </si>
  <si>
    <t>351-10427-H</t>
  </si>
  <si>
    <t>M01-351-10427-H</t>
  </si>
  <si>
    <t>M01-351-10428-A</t>
  </si>
  <si>
    <t>M01-351-10428-B</t>
  </si>
  <si>
    <t>351-10428-C</t>
  </si>
  <si>
    <t>M01-351-10428-C</t>
  </si>
  <si>
    <t>351-10428-D</t>
  </si>
  <si>
    <t>M01-351-10428-D</t>
  </si>
  <si>
    <t>351-10428-E</t>
  </si>
  <si>
    <t>M01-351-10428-E</t>
  </si>
  <si>
    <t>351-10428-F</t>
  </si>
  <si>
    <t>M01-351-10428-F</t>
  </si>
  <si>
    <t>351-10428-G</t>
  </si>
  <si>
    <t>M01-351-10428-G</t>
  </si>
  <si>
    <t>351-10428-H</t>
  </si>
  <si>
    <t>M01-351-10428-H</t>
  </si>
  <si>
    <t>M01-351-10429-A</t>
  </si>
  <si>
    <t>M01-351-10429-B</t>
  </si>
  <si>
    <t>351-10429-C</t>
  </si>
  <si>
    <t>M01-351-10429-C</t>
  </si>
  <si>
    <t>351-10429-D</t>
  </si>
  <si>
    <t>M01-351-10429-D</t>
  </si>
  <si>
    <t>351-10429-E</t>
  </si>
  <si>
    <t>M01-351-10429-E</t>
  </si>
  <si>
    <t>351-10429-F</t>
  </si>
  <si>
    <t>M01-351-10429-F</t>
  </si>
  <si>
    <t>351-10429-G</t>
  </si>
  <si>
    <t>M01-351-10429-G</t>
  </si>
  <si>
    <t>351-10429-J</t>
  </si>
  <si>
    <t>M01-351-10429-J</t>
  </si>
  <si>
    <t>351-10429-K</t>
  </si>
  <si>
    <t>M01-351-10429-K</t>
  </si>
  <si>
    <t>M01-351-10430-A</t>
  </si>
  <si>
    <t>M01-351-10430-B</t>
  </si>
  <si>
    <t>M01-351-10430-C</t>
  </si>
  <si>
    <t>351-10430-E</t>
  </si>
  <si>
    <t>M01-351-10430-E</t>
  </si>
  <si>
    <t>351-10430-F</t>
  </si>
  <si>
    <t>M01-351-10430-F</t>
  </si>
  <si>
    <t>351-10430-G</t>
  </si>
  <si>
    <t>M01-351-10430-G</t>
  </si>
  <si>
    <t>AP-105</t>
  </si>
  <si>
    <t>M01-351-10501-B</t>
  </si>
  <si>
    <t>M01-351-10501-C</t>
  </si>
  <si>
    <t>M01-351-10501-D</t>
  </si>
  <si>
    <t>M01-351-10501-E</t>
  </si>
  <si>
    <t>M01-351-10502-B</t>
  </si>
  <si>
    <t>M01-351-10502-C</t>
  </si>
  <si>
    <t>M01-351-10503-B</t>
  </si>
  <si>
    <t>M01-351-10503-C</t>
  </si>
  <si>
    <t>M01-351-10504-B</t>
  </si>
  <si>
    <t>M01-351-10504-C</t>
  </si>
  <si>
    <t>351-10505-B</t>
  </si>
  <si>
    <t>M01-351-10505-B</t>
  </si>
  <si>
    <t>351-10505-C</t>
  </si>
  <si>
    <t>M01-351-10505-C</t>
  </si>
  <si>
    <t>351-10507-B</t>
  </si>
  <si>
    <t>M01-351-10507-B</t>
  </si>
  <si>
    <t>M01-351-10508-B</t>
  </si>
  <si>
    <t>351-10509-B</t>
  </si>
  <si>
    <t>M01-351-10509-B</t>
  </si>
  <si>
    <t>M01-351-10510-B</t>
  </si>
  <si>
    <t>M01-351-10510-C</t>
  </si>
  <si>
    <t>351-10511-B</t>
  </si>
  <si>
    <t>M01-351-10511-B</t>
  </si>
  <si>
    <t>351-10511-C</t>
  </si>
  <si>
    <t>M01-351-10511-C</t>
  </si>
  <si>
    <t>351-10512-B</t>
  </si>
  <si>
    <t>M01-351-10512-B</t>
  </si>
  <si>
    <t>351-10512-C</t>
  </si>
  <si>
    <t>M01-351-10512-C</t>
  </si>
  <si>
    <t>351-10512-D</t>
  </si>
  <si>
    <t>M01-351-10512-D</t>
  </si>
  <si>
    <t>351-10512-E</t>
  </si>
  <si>
    <t>M01-351-10512-E</t>
  </si>
  <si>
    <t>351-10512-F</t>
  </si>
  <si>
    <t>M01-351-10512-F</t>
  </si>
  <si>
    <t>351-10512-G</t>
  </si>
  <si>
    <t>M01-351-10512-G</t>
  </si>
  <si>
    <t>351-10515-B</t>
  </si>
  <si>
    <t>M01-351-10515-B</t>
  </si>
  <si>
    <t>351-10515-C</t>
  </si>
  <si>
    <t>M01-351-10515-C</t>
  </si>
  <si>
    <t>351-10516-B</t>
  </si>
  <si>
    <t>M01-351-10516-B</t>
  </si>
  <si>
    <t>351-10516-C</t>
  </si>
  <si>
    <t>M01-351-10516-C</t>
  </si>
  <si>
    <t>M01-351-10517-A</t>
  </si>
  <si>
    <t>M01-351-10517-B</t>
  </si>
  <si>
    <t>M01-351-10517-C</t>
  </si>
  <si>
    <t>351-10517-D</t>
  </si>
  <si>
    <t>M01-351-10517-D</t>
  </si>
  <si>
    <t>351-10517-E</t>
  </si>
  <si>
    <t>M01-351-10517-E</t>
  </si>
  <si>
    <t>351-10517-G</t>
  </si>
  <si>
    <t>M01-351-10517-G</t>
  </si>
  <si>
    <t>351-10517-H</t>
  </si>
  <si>
    <t>M01-351-10517-H</t>
  </si>
  <si>
    <t>351-10517-J</t>
  </si>
  <si>
    <t>M01-351-10517-J</t>
  </si>
  <si>
    <t>351-10517-K</t>
  </si>
  <si>
    <t>M01-351-10517-K</t>
  </si>
  <si>
    <t>351-10517-L</t>
  </si>
  <si>
    <t>M01-351-10517-L</t>
  </si>
  <si>
    <t>M01-351-10518-A</t>
  </si>
  <si>
    <t>M01-351-10518-B</t>
  </si>
  <si>
    <t>351-10518-D</t>
  </si>
  <si>
    <t>M01-351-10518-D</t>
  </si>
  <si>
    <t>351-10518-E</t>
  </si>
  <si>
    <t>M01-351-10518-E</t>
  </si>
  <si>
    <t>351-10518-F</t>
  </si>
  <si>
    <t>M01-351-10518-F</t>
  </si>
  <si>
    <t>351-10518-G</t>
  </si>
  <si>
    <t>M01-351-10518-G</t>
  </si>
  <si>
    <t>351-10518-H</t>
  </si>
  <si>
    <t>M01-351-10518-H</t>
  </si>
  <si>
    <t>351-10518-J</t>
  </si>
  <si>
    <t>M01-351-10518-J</t>
  </si>
  <si>
    <t>351-10518-K</t>
  </si>
  <si>
    <t>M01-351-10518-K</t>
  </si>
  <si>
    <t>M01-351-10519-A</t>
  </si>
  <si>
    <t>M01-351-10519-B</t>
  </si>
  <si>
    <t>351-10519-D</t>
  </si>
  <si>
    <t>M01-351-10519-D</t>
  </si>
  <si>
    <t>351-10519-E</t>
  </si>
  <si>
    <t>M01-351-10519-E</t>
  </si>
  <si>
    <t>351-10519-F</t>
  </si>
  <si>
    <t>M01-351-10519-F</t>
  </si>
  <si>
    <t>351-10519-G</t>
  </si>
  <si>
    <t>M01-351-10519-G</t>
  </si>
  <si>
    <t>351-10519-H</t>
  </si>
  <si>
    <t>M01-351-10519-H</t>
  </si>
  <si>
    <t>351-10519-J</t>
  </si>
  <si>
    <t>M01-351-10519-J</t>
  </si>
  <si>
    <t>351-10519-K</t>
  </si>
  <si>
    <t>M01-351-10519-K</t>
  </si>
  <si>
    <t>351-10519-L</t>
  </si>
  <si>
    <t>M01-351-10519-L</t>
  </si>
  <si>
    <t>351-10519-M</t>
  </si>
  <si>
    <t>M01-351-10519-M</t>
  </si>
  <si>
    <t>351-10519-N</t>
  </si>
  <si>
    <t>M01-351-10519-N</t>
  </si>
  <si>
    <t>351-10520-A</t>
  </si>
  <si>
    <t>M01-351-10520-A</t>
  </si>
  <si>
    <t>351-10520-B</t>
  </si>
  <si>
    <t>M01-351-10520-B</t>
  </si>
  <si>
    <t>351-10520-C</t>
  </si>
  <si>
    <t>M01-351-10520-C</t>
  </si>
  <si>
    <t>351-10520-D</t>
  </si>
  <si>
    <t>M01-351-10520-D</t>
  </si>
  <si>
    <t>351-10520-E</t>
  </si>
  <si>
    <t>M01-351-10520-E</t>
  </si>
  <si>
    <t>351-10520-F</t>
  </si>
  <si>
    <t>M01-351-10520-F</t>
  </si>
  <si>
    <t>351-10520-G</t>
  </si>
  <si>
    <t>M01-351-10520-G</t>
  </si>
  <si>
    <t>351-10520-H</t>
  </si>
  <si>
    <t>M01-351-10520-H</t>
  </si>
  <si>
    <t>M01-351-10521-A</t>
  </si>
  <si>
    <t>351-10521-C</t>
  </si>
  <si>
    <t>M01-351-10521-C</t>
  </si>
  <si>
    <t>351-10521-D</t>
  </si>
  <si>
    <t>M01-351-10521-D</t>
  </si>
  <si>
    <t>351-10521-E</t>
  </si>
  <si>
    <t>M01-351-10521-E</t>
  </si>
  <si>
    <t>351-10521-F</t>
  </si>
  <si>
    <t>M01-351-10521-F</t>
  </si>
  <si>
    <t>351-10521-G</t>
  </si>
  <si>
    <t>M01-351-10521-G</t>
  </si>
  <si>
    <t>351-10521-H</t>
  </si>
  <si>
    <t>M01-351-10521-H</t>
  </si>
  <si>
    <t>351-10522-A</t>
  </si>
  <si>
    <t>M01-351-10522-A</t>
  </si>
  <si>
    <t>351-10522-C</t>
  </si>
  <si>
    <t>M01-351-10522-C</t>
  </si>
  <si>
    <t>351-10522-D</t>
  </si>
  <si>
    <t>M01-351-10522-D</t>
  </si>
  <si>
    <t>351-10522-E</t>
  </si>
  <si>
    <t>M01-351-10522-E</t>
  </si>
  <si>
    <t>351-10522-F</t>
  </si>
  <si>
    <t>M01-351-10522-F</t>
  </si>
  <si>
    <t>351-10522-G</t>
  </si>
  <si>
    <t>M01-351-10522-G</t>
  </si>
  <si>
    <t>351-10522-H</t>
  </si>
  <si>
    <t>M01-351-10522-H</t>
  </si>
  <si>
    <t>351-10523-A</t>
  </si>
  <si>
    <t>M01-351-10523-A</t>
  </si>
  <si>
    <t>351-10523-B</t>
  </si>
  <si>
    <t>M01-351-10523-B</t>
  </si>
  <si>
    <t>351-10523-C</t>
  </si>
  <si>
    <t>M01-351-10523-C</t>
  </si>
  <si>
    <t>351-10523-D</t>
  </si>
  <si>
    <t>M01-351-10523-D</t>
  </si>
  <si>
    <t>351-10523-E</t>
  </si>
  <si>
    <t>M01-351-10523-E</t>
  </si>
  <si>
    <t>351-10523-G</t>
  </si>
  <si>
    <t>M01-351-10523-G</t>
  </si>
  <si>
    <t>351-10523-H</t>
  </si>
  <si>
    <t>M01-351-10523-H</t>
  </si>
  <si>
    <t>351-10523-J</t>
  </si>
  <si>
    <t>M01-351-10523-J</t>
  </si>
  <si>
    <t>351-10523-K</t>
  </si>
  <si>
    <t>M01-351-10523-K</t>
  </si>
  <si>
    <t>351-10523-L</t>
  </si>
  <si>
    <t>M01-351-10523-L</t>
  </si>
  <si>
    <t>351-10523-M</t>
  </si>
  <si>
    <t>M01-351-10523-M</t>
  </si>
  <si>
    <t>351-10523-N</t>
  </si>
  <si>
    <t>M01-351-10523-N</t>
  </si>
  <si>
    <t>351-10523-P</t>
  </si>
  <si>
    <t>M01-351-10523-P</t>
  </si>
  <si>
    <t>351-10523-R</t>
  </si>
  <si>
    <t>M01-351-10523-R</t>
  </si>
  <si>
    <t>351-10523-S</t>
  </si>
  <si>
    <t>M01-351-10523-S</t>
  </si>
  <si>
    <t>351-10523-T</t>
  </si>
  <si>
    <t>M01-351-10523-T</t>
  </si>
  <si>
    <t>351-10524-A</t>
  </si>
  <si>
    <t>M01-351-10524-A</t>
  </si>
  <si>
    <t>351-10524-B</t>
  </si>
  <si>
    <t>M01-351-10524-B</t>
  </si>
  <si>
    <t>351-10524-C</t>
  </si>
  <si>
    <t>M01-351-10524-C</t>
  </si>
  <si>
    <t>351-10524-D</t>
  </si>
  <si>
    <t>M01-351-10524-D</t>
  </si>
  <si>
    <t>351-10524-E</t>
  </si>
  <si>
    <t>M01-351-10524-E</t>
  </si>
  <si>
    <t>351-10524-F</t>
  </si>
  <si>
    <t>M01-351-10524-F</t>
  </si>
  <si>
    <t>351-10524-G</t>
  </si>
  <si>
    <t>M01-351-10524-G</t>
  </si>
  <si>
    <t>351-10524-H</t>
  </si>
  <si>
    <t>M01-351-10524-H</t>
  </si>
  <si>
    <t>351-10524-J</t>
  </si>
  <si>
    <t>M01-351-10524-J</t>
  </si>
  <si>
    <t>351-10524-K</t>
  </si>
  <si>
    <t>M01-351-10524-K</t>
  </si>
  <si>
    <t>351-10524-L</t>
  </si>
  <si>
    <t>M01-351-10524-L</t>
  </si>
  <si>
    <t>351-10524-M</t>
  </si>
  <si>
    <t>M01-351-10524-M</t>
  </si>
  <si>
    <t>351-10525</t>
  </si>
  <si>
    <t>M01-351-10525-0</t>
  </si>
  <si>
    <t>351-10526-A</t>
  </si>
  <si>
    <t>M01-351-10526-A</t>
  </si>
  <si>
    <t>351-10526-C</t>
  </si>
  <si>
    <t>M01-351-10526-C</t>
  </si>
  <si>
    <t>351-10526-D</t>
  </si>
  <si>
    <t>M01-351-10526-D</t>
  </si>
  <si>
    <t>351-10526-E</t>
  </si>
  <si>
    <t>M01-351-10526-E</t>
  </si>
  <si>
    <t>351-10526-F</t>
  </si>
  <si>
    <t>M01-351-10526-F</t>
  </si>
  <si>
    <t>351-10526-G</t>
  </si>
  <si>
    <t>M01-351-10526-G</t>
  </si>
  <si>
    <t>351-10526-H</t>
  </si>
  <si>
    <t>M01-351-10526-H</t>
  </si>
  <si>
    <t>M01-351-10527-A</t>
  </si>
  <si>
    <t>351-10527-C</t>
  </si>
  <si>
    <t>M01-351-10527-C</t>
  </si>
  <si>
    <t>351-10527-D</t>
  </si>
  <si>
    <t>M01-351-10527-D</t>
  </si>
  <si>
    <t>351-10527-E</t>
  </si>
  <si>
    <t>M01-351-10527-E</t>
  </si>
  <si>
    <t>351-10527-F</t>
  </si>
  <si>
    <t>M01-351-10527-F</t>
  </si>
  <si>
    <t>351-10528</t>
  </si>
  <si>
    <t>M01-351-10528-0</t>
  </si>
  <si>
    <t>314-12401-A</t>
  </si>
  <si>
    <t>M05B-314-12401-A</t>
  </si>
  <si>
    <t>HO-DF-1412-M02-351</t>
  </si>
  <si>
    <t>AP-05</t>
  </si>
  <si>
    <t>351-10001-A</t>
  </si>
  <si>
    <t>M02-351-10001-A</t>
  </si>
  <si>
    <t>351-10001-B</t>
  </si>
  <si>
    <t>M02-351-10001-B</t>
  </si>
  <si>
    <t>351-10001-C</t>
  </si>
  <si>
    <t>M02-351-10001-C</t>
  </si>
  <si>
    <t>351-10001-D</t>
  </si>
  <si>
    <t>M02-351-10001-D</t>
  </si>
  <si>
    <t>351-10001-E</t>
  </si>
  <si>
    <t>M02-351-10001-E</t>
  </si>
  <si>
    <t>351-10001-F</t>
  </si>
  <si>
    <t>M02-351-10001-F</t>
  </si>
  <si>
    <t>351-10001-G</t>
  </si>
  <si>
    <t>M02-351-10001-G</t>
  </si>
  <si>
    <t>M02-351-10002-A</t>
  </si>
  <si>
    <t>M02-351-10002-B</t>
  </si>
  <si>
    <t>M02-351-10002-C</t>
  </si>
  <si>
    <t>M02-351-10002-D</t>
  </si>
  <si>
    <t>M02-351-10002-E</t>
  </si>
  <si>
    <t>351-10002-F</t>
  </si>
  <si>
    <t>M02-351-10002-F</t>
  </si>
  <si>
    <t>M02-351-10003-A</t>
  </si>
  <si>
    <t>M02-351-10003-B</t>
  </si>
  <si>
    <t>M02-351-10003-C</t>
  </si>
  <si>
    <t>M02-351-10003-D</t>
  </si>
  <si>
    <t>M02-351-10003-E</t>
  </si>
  <si>
    <t>351-10003-F</t>
  </si>
  <si>
    <t>M02-351-10003-F</t>
  </si>
  <si>
    <t>351-10003-G</t>
  </si>
  <si>
    <t>M02-351-10003-G</t>
  </si>
  <si>
    <t>M02-351-10004-A</t>
  </si>
  <si>
    <t>M02-351-10004-B</t>
  </si>
  <si>
    <t>M02-351-10004-C</t>
  </si>
  <si>
    <t>M02-351-10004-D</t>
  </si>
  <si>
    <t>M02-351-10004-E</t>
  </si>
  <si>
    <t>351-10004-F</t>
  </si>
  <si>
    <t>M02-351-10004-F</t>
  </si>
  <si>
    <t>351-10004-G</t>
  </si>
  <si>
    <t>M02-351-10004-G</t>
  </si>
  <si>
    <t>M02-351-10005-A</t>
  </si>
  <si>
    <t>M02-351-10005-B</t>
  </si>
  <si>
    <t>M02-351-10005-C</t>
  </si>
  <si>
    <t>M02-351-10005-D</t>
  </si>
  <si>
    <t>M02-351-10005-E</t>
  </si>
  <si>
    <t>351-10005-F</t>
  </si>
  <si>
    <t>M02-351-10005-F</t>
  </si>
  <si>
    <t>351-10005-G</t>
  </si>
  <si>
    <t>M02-351-10005-G</t>
  </si>
  <si>
    <t>M02-351-10007-A</t>
  </si>
  <si>
    <t>M02-351-10007-C</t>
  </si>
  <si>
    <t>M02-351-10007-D</t>
  </si>
  <si>
    <t>M02-351-10007-E</t>
  </si>
  <si>
    <t>351-10007-F</t>
  </si>
  <si>
    <t>M02-351-10007-F</t>
  </si>
  <si>
    <t>M02-351-10010-A</t>
  </si>
  <si>
    <t>M02-351-10010-B</t>
  </si>
  <si>
    <t>M02-351-10010-C</t>
  </si>
  <si>
    <t>M02-351-10010-D</t>
  </si>
  <si>
    <t>M02-351-10010-E</t>
  </si>
  <si>
    <t>M02-351-10010-F</t>
  </si>
  <si>
    <t>M02-351-10011-B</t>
  </si>
  <si>
    <t>M02-351-10011-C</t>
  </si>
  <si>
    <t>M02-351-10011-D</t>
  </si>
  <si>
    <t>M02-351-10011-E</t>
  </si>
  <si>
    <t>351-10011-F</t>
  </si>
  <si>
    <t>M02-351-10011-F</t>
  </si>
  <si>
    <t>M02-351-10011-G</t>
  </si>
  <si>
    <t>M02-351-10012-B</t>
  </si>
  <si>
    <t>M02-351-10012-C</t>
  </si>
  <si>
    <t>M02-351-10013-B</t>
  </si>
  <si>
    <t>M02-351-10013-C</t>
  </si>
  <si>
    <t>M02-351-10016-A</t>
  </si>
  <si>
    <t>351-10016-C</t>
  </si>
  <si>
    <t>M02-351-10016-C</t>
  </si>
  <si>
    <t>351-10016-D</t>
  </si>
  <si>
    <t>M02-351-10016-D</t>
  </si>
  <si>
    <t>351-10016-E</t>
  </si>
  <si>
    <t>M02-351-10016-E</t>
  </si>
  <si>
    <t>351-10016-F</t>
  </si>
  <si>
    <t>M02-351-10016-F</t>
  </si>
  <si>
    <t>M02-351-10017-A</t>
  </si>
  <si>
    <t>351-10017-C</t>
  </si>
  <si>
    <t>M02-351-10017-C</t>
  </si>
  <si>
    <t>351-10017-D</t>
  </si>
  <si>
    <t>M02-351-10017-D</t>
  </si>
  <si>
    <t>351-10017-E</t>
  </si>
  <si>
    <t>M02-351-10017-E</t>
  </si>
  <si>
    <t>351-10017-F</t>
  </si>
  <si>
    <t>M02-351-10017-F</t>
  </si>
  <si>
    <t>351-10018-A</t>
  </si>
  <si>
    <t>M02-351-10018-A</t>
  </si>
  <si>
    <t>351-10018-C</t>
  </si>
  <si>
    <t>M02-351-10018-C</t>
  </si>
  <si>
    <t>351-10018-D</t>
  </si>
  <si>
    <t>M02-351-10018-D</t>
  </si>
  <si>
    <t>351-10018-E</t>
  </si>
  <si>
    <t>M02-351-10018-E</t>
  </si>
  <si>
    <t>351-10018-F</t>
  </si>
  <si>
    <t>M02-351-10018-F</t>
  </si>
  <si>
    <t>AP-02</t>
  </si>
  <si>
    <t>M02-351-10101-A</t>
  </si>
  <si>
    <t>M02-351-10101-B</t>
  </si>
  <si>
    <t>M02-351-10101-C</t>
  </si>
  <si>
    <t>M02-351-10101-D</t>
  </si>
  <si>
    <t>M02-351-10101-E</t>
  </si>
  <si>
    <t>M02-351-10101-G</t>
  </si>
  <si>
    <t>351-10101-H</t>
  </si>
  <si>
    <t>M02-351-10101-H</t>
  </si>
  <si>
    <t>M02-351-10102-A</t>
  </si>
  <si>
    <t>M02-351-10102-B</t>
  </si>
  <si>
    <t>M02-351-10102-C</t>
  </si>
  <si>
    <t>M02-351-10102-D</t>
  </si>
  <si>
    <t>M02-351-10102-E</t>
  </si>
  <si>
    <t>351-10102-G</t>
  </si>
  <si>
    <t>M02-351-10102-G</t>
  </si>
  <si>
    <t>351-10102-H</t>
  </si>
  <si>
    <t>M02-351-10102-H</t>
  </si>
  <si>
    <t>351-10103-A</t>
  </si>
  <si>
    <t>M02-351-10103-A</t>
  </si>
  <si>
    <t>M02-351-10103-C</t>
  </si>
  <si>
    <t>M02-351-10103-D</t>
  </si>
  <si>
    <t>351-10107-A</t>
  </si>
  <si>
    <t>M02-351-10107-A</t>
  </si>
  <si>
    <t>M02-351-10107-C</t>
  </si>
  <si>
    <t>351-10107-D</t>
  </si>
  <si>
    <t>M02-351-10107-D</t>
  </si>
  <si>
    <t>M02-351-10108-B</t>
  </si>
  <si>
    <t>M02-351-10108-C</t>
  </si>
  <si>
    <t>M02-351-10109-B</t>
  </si>
  <si>
    <t>M02-351-10109-C</t>
  </si>
  <si>
    <t>M02-351-10110-B</t>
  </si>
  <si>
    <t>351-10110-C</t>
  </si>
  <si>
    <t>M02-351-10110-C</t>
  </si>
  <si>
    <t>M02-351-10111-B</t>
  </si>
  <si>
    <t>M02-351-10111-C</t>
  </si>
  <si>
    <t>M02-351-10112-B</t>
  </si>
  <si>
    <t>M02-351-10112-C</t>
  </si>
  <si>
    <t>M02-351-10113-B</t>
  </si>
  <si>
    <t>M02-351-10113-C</t>
  </si>
  <si>
    <t>351-10113-D</t>
  </si>
  <si>
    <t>M02-351-10113-D</t>
  </si>
  <si>
    <t>351-10113-E</t>
  </si>
  <si>
    <t>M02-351-10113-E</t>
  </si>
  <si>
    <t>351-10113-F</t>
  </si>
  <si>
    <t>M02-351-10113-F</t>
  </si>
  <si>
    <t>M02-351-10114-B</t>
  </si>
  <si>
    <t>M02-351-10114-C</t>
  </si>
  <si>
    <t>351-10114-D</t>
  </si>
  <si>
    <t>M02-351-10114-D</t>
  </si>
  <si>
    <t>351-10114-E</t>
  </si>
  <si>
    <t>M02-351-10114-E</t>
  </si>
  <si>
    <t>351-10114-F</t>
  </si>
  <si>
    <t>M02-351-10114-F</t>
  </si>
  <si>
    <t>M02-351-10115-B</t>
  </si>
  <si>
    <t>M02-351-10115-C</t>
  </si>
  <si>
    <t>M02-351-10116-A</t>
  </si>
  <si>
    <t>M02-351-10118-B</t>
  </si>
  <si>
    <t>M02-351-10118-C</t>
  </si>
  <si>
    <t>M02-351-10120-A</t>
  </si>
  <si>
    <t>M02-351-10121-B</t>
  </si>
  <si>
    <t>M02-351-10122-B</t>
  </si>
  <si>
    <t>M02-351-10123-B</t>
  </si>
  <si>
    <t>AP-01</t>
  </si>
  <si>
    <t>M02-351-10301-A</t>
  </si>
  <si>
    <t>M02-351-10301-C</t>
  </si>
  <si>
    <t>M02-351-10301-D</t>
  </si>
  <si>
    <t>351-10302-A</t>
  </si>
  <si>
    <t>M02-351-10302-A</t>
  </si>
  <si>
    <t>351-10302-C</t>
  </si>
  <si>
    <t>M02-351-10302-C</t>
  </si>
  <si>
    <t>351-10302-D</t>
  </si>
  <si>
    <t>M02-351-10302-D</t>
  </si>
  <si>
    <t>351-10303-A</t>
  </si>
  <si>
    <t>M02-351-10303-A</t>
  </si>
  <si>
    <t>M02-351-10303-C</t>
  </si>
  <si>
    <t>351-10303-D</t>
  </si>
  <si>
    <t>M02-351-10303-D</t>
  </si>
  <si>
    <t>351-10304-A</t>
  </si>
  <si>
    <t>M02-351-10304-A</t>
  </si>
  <si>
    <t>M02-351-10304-C</t>
  </si>
  <si>
    <t>351-10304-D</t>
  </si>
  <si>
    <t>M02-351-10304-D</t>
  </si>
  <si>
    <t>M02-351-10309-B</t>
  </si>
  <si>
    <t>351-10309-C</t>
  </si>
  <si>
    <t>M02-351-10309-C</t>
  </si>
  <si>
    <t>351-10309-D</t>
  </si>
  <si>
    <t>M02-351-10309-D</t>
  </si>
  <si>
    <t>351-10309-E</t>
  </si>
  <si>
    <t>M02-351-10309-E</t>
  </si>
  <si>
    <t>351-10309-F</t>
  </si>
  <si>
    <t>M02-351-10309-F</t>
  </si>
  <si>
    <t>M02-351-10310-B</t>
  </si>
  <si>
    <t>351-10310-C</t>
  </si>
  <si>
    <t>M02-351-10310-C</t>
  </si>
  <si>
    <t>351-10310-D</t>
  </si>
  <si>
    <t>M02-351-10310-D</t>
  </si>
  <si>
    <t>351-10310-E</t>
  </si>
  <si>
    <t>M02-351-10310-E</t>
  </si>
  <si>
    <t>351-10310-F</t>
  </si>
  <si>
    <t>M02-351-10310-F</t>
  </si>
  <si>
    <t>M02-351-10311-B</t>
  </si>
  <si>
    <t>M02-351-10311-C</t>
  </si>
  <si>
    <t>M02-351-10312-B</t>
  </si>
  <si>
    <t>M02-351-10312-C</t>
  </si>
  <si>
    <t>M02-351-10314-B</t>
  </si>
  <si>
    <t>M02-351-10314-C</t>
  </si>
  <si>
    <t>M02-351-10315-B</t>
  </si>
  <si>
    <t>M02-351-10315-C</t>
  </si>
  <si>
    <t>M02-351-10316-B</t>
  </si>
  <si>
    <t>M02-351-10316-C</t>
  </si>
  <si>
    <t>M02-351-10317-B</t>
  </si>
  <si>
    <t>M02-351-10317-C</t>
  </si>
  <si>
    <t>M02-351-10318-B</t>
  </si>
  <si>
    <t>M02-351-10319-B</t>
  </si>
  <si>
    <t>M02-351-10320-B</t>
  </si>
  <si>
    <t>M02-351-10321-A</t>
  </si>
  <si>
    <t>M02-351-10321-B</t>
  </si>
  <si>
    <t>M02-351-10321-C</t>
  </si>
  <si>
    <t>M02-351-10321-D</t>
  </si>
  <si>
    <t>M02-351-10321-E</t>
  </si>
  <si>
    <t>M02-351-10321-F</t>
  </si>
  <si>
    <t>M02-351-10321-G</t>
  </si>
  <si>
    <t>M02-351-10322-A</t>
  </si>
  <si>
    <t>M02-351-10322-B</t>
  </si>
  <si>
    <t>M02-351-10322-C</t>
  </si>
  <si>
    <t>M02-351-10322-D</t>
  </si>
  <si>
    <t>M02-351-10322-E</t>
  </si>
  <si>
    <t>M02-351-10322-F</t>
  </si>
  <si>
    <t>M02-351-10322-G</t>
  </si>
  <si>
    <t>AP-03</t>
  </si>
  <si>
    <t>M02-351-10401-A</t>
  </si>
  <si>
    <t>M02-351-10401-B</t>
  </si>
  <si>
    <t>M02-351-10401-C</t>
  </si>
  <si>
    <t>M02-351-10401-E</t>
  </si>
  <si>
    <t>351-10401-F</t>
  </si>
  <si>
    <t>M02-351-10401-F</t>
  </si>
  <si>
    <t>351-10401-G</t>
  </si>
  <si>
    <t>M02-351-10401-G</t>
  </si>
  <si>
    <t>351-10401-H</t>
  </si>
  <si>
    <t>M02-351-10401-H</t>
  </si>
  <si>
    <t>351-10402-A</t>
  </si>
  <si>
    <t>M02-351-10402-A</t>
  </si>
  <si>
    <t>M02-351-10402-B</t>
  </si>
  <si>
    <t>M02-351-10402-C</t>
  </si>
  <si>
    <t>M02-351-10402-D</t>
  </si>
  <si>
    <t>M02-351-10402-E</t>
  </si>
  <si>
    <t>M02-351-10402-F</t>
  </si>
  <si>
    <t>M02-351-10402-G</t>
  </si>
  <si>
    <t>351-10403-A</t>
  </si>
  <si>
    <t>M02-351-10403-A</t>
  </si>
  <si>
    <t>M02-351-10403-B</t>
  </si>
  <si>
    <t>M02-351-10403-C</t>
  </si>
  <si>
    <t>M02-351-10403-D</t>
  </si>
  <si>
    <t>M02-351-10403-E</t>
  </si>
  <si>
    <t>M02-351-10403-F</t>
  </si>
  <si>
    <t>M02-351-10403-G</t>
  </si>
  <si>
    <t>351-10403-H</t>
  </si>
  <si>
    <t>M02-351-10403-H</t>
  </si>
  <si>
    <t>351-10403-J</t>
  </si>
  <si>
    <t>M02-351-10403-J</t>
  </si>
  <si>
    <t>351-10403-K</t>
  </si>
  <si>
    <t>M02-351-10403-K</t>
  </si>
  <si>
    <t>351-10403-L</t>
  </si>
  <si>
    <t>M02-351-10403-L</t>
  </si>
  <si>
    <t>351-10403-M</t>
  </si>
  <si>
    <t>M02-351-10403-M</t>
  </si>
  <si>
    <t>351-10403-N</t>
  </si>
  <si>
    <t>M02-351-10403-N</t>
  </si>
  <si>
    <t>351-10403-P</t>
  </si>
  <si>
    <t>M02-351-10403-P</t>
  </si>
  <si>
    <t>351-10403-R</t>
  </si>
  <si>
    <t>M02-351-10403-R</t>
  </si>
  <si>
    <t>351-10403-S</t>
  </si>
  <si>
    <t>M02-351-10403-S</t>
  </si>
  <si>
    <t>351-10403-T</t>
  </si>
  <si>
    <t>M02-351-10403-T</t>
  </si>
  <si>
    <t>351-10404-A</t>
  </si>
  <si>
    <t>M02-351-10404-A</t>
  </si>
  <si>
    <t>M02-351-10404-B</t>
  </si>
  <si>
    <t>M02-351-10404-C</t>
  </si>
  <si>
    <t>M02-351-10404-D</t>
  </si>
  <si>
    <t>M02-351-10404-E</t>
  </si>
  <si>
    <t>351-10404-F</t>
  </si>
  <si>
    <t>M02-351-10404-F</t>
  </si>
  <si>
    <t>351-10404-G</t>
  </si>
  <si>
    <t>M02-351-10404-G</t>
  </si>
  <si>
    <t>351-10404-H</t>
  </si>
  <si>
    <t>M02-351-10404-H</t>
  </si>
  <si>
    <t>351-10404-J</t>
  </si>
  <si>
    <t>M02-351-10404-J</t>
  </si>
  <si>
    <t>351-10405-A</t>
  </si>
  <si>
    <t>M02-351-10405-A</t>
  </si>
  <si>
    <t>M02-351-10405-C</t>
  </si>
  <si>
    <t>351-10405-D</t>
  </si>
  <si>
    <t>M02-351-10405-D</t>
  </si>
  <si>
    <t>351-10406-A</t>
  </si>
  <si>
    <t>M02-351-10406-A</t>
  </si>
  <si>
    <t>351-10407-A</t>
  </si>
  <si>
    <t>M02-351-10407-A</t>
  </si>
  <si>
    <t>351-10408-A</t>
  </si>
  <si>
    <t>M02-351-10408-A</t>
  </si>
  <si>
    <t>351-10409-A</t>
  </si>
  <si>
    <t>M02-351-10409-A</t>
  </si>
  <si>
    <t>M02-351-10409-C</t>
  </si>
  <si>
    <t>M02-351-10409-D</t>
  </si>
  <si>
    <t>M02-351-10409-E</t>
  </si>
  <si>
    <t>351-10409-F</t>
  </si>
  <si>
    <t>M02-351-10409-F</t>
  </si>
  <si>
    <t>M02-351-10412-B</t>
  </si>
  <si>
    <t>M02-351-10412-C</t>
  </si>
  <si>
    <t>M02-351-10413-B</t>
  </si>
  <si>
    <t>M02-351-10413-C</t>
  </si>
  <si>
    <t>M02-351-10414-B</t>
  </si>
  <si>
    <t>M02-351-10414-C</t>
  </si>
  <si>
    <t>351-10414-D</t>
  </si>
  <si>
    <t>M02-351-10414-D</t>
  </si>
  <si>
    <t>351-10414-E</t>
  </si>
  <si>
    <t>M02-351-10414-E</t>
  </si>
  <si>
    <t>351-10414-F</t>
  </si>
  <si>
    <t>M02-351-10414-F</t>
  </si>
  <si>
    <t>351-10414-G</t>
  </si>
  <si>
    <t>M02-351-10414-G</t>
  </si>
  <si>
    <t>M02-351-10415-B</t>
  </si>
  <si>
    <t>M02-351-10415-C</t>
  </si>
  <si>
    <t>M02-351-10419-B</t>
  </si>
  <si>
    <t>M02-351-10419-C</t>
  </si>
  <si>
    <t>M02-351-10420-B</t>
  </si>
  <si>
    <t>AP-06</t>
  </si>
  <si>
    <t>M02-351-10501-A</t>
  </si>
  <si>
    <t>M02-351-10501-B</t>
  </si>
  <si>
    <t>M02-351-10501-C</t>
  </si>
  <si>
    <t>M02-351-10501-D</t>
  </si>
  <si>
    <t>M02-351-10501-E</t>
  </si>
  <si>
    <t>351-10501-F</t>
  </si>
  <si>
    <t>M02-351-10501-F</t>
  </si>
  <si>
    <t>351-10501-G</t>
  </si>
  <si>
    <t>M02-351-10501-G</t>
  </si>
  <si>
    <t>351-10502-A</t>
  </si>
  <si>
    <t>M02-351-10502-A</t>
  </si>
  <si>
    <t>M02-351-10502-B</t>
  </si>
  <si>
    <t>M02-351-10502-C</t>
  </si>
  <si>
    <t>M02-351-10502-D</t>
  </si>
  <si>
    <t>M02-351-10502-E</t>
  </si>
  <si>
    <t>351-10502-F</t>
  </si>
  <si>
    <t>M02-351-10502-F</t>
  </si>
  <si>
    <t>351-10502-G</t>
  </si>
  <si>
    <t>M02-351-10502-G</t>
  </si>
  <si>
    <t>351-10502-H</t>
  </si>
  <si>
    <t>M02-351-10502-H</t>
  </si>
  <si>
    <t>351-10502-J</t>
  </si>
  <si>
    <t>M02-351-10502-J</t>
  </si>
  <si>
    <t>351-10502-L</t>
  </si>
  <si>
    <t>M02-351-10502-L</t>
  </si>
  <si>
    <t>351-10506-A</t>
  </si>
  <si>
    <t>M02-351-10506-A</t>
  </si>
  <si>
    <t>M02-351-10506-B</t>
  </si>
  <si>
    <t>M02-351-10506-C</t>
  </si>
  <si>
    <t>M02-351-10506-D</t>
  </si>
  <si>
    <t>351-10506-E</t>
  </si>
  <si>
    <t>M02-351-10506-E</t>
  </si>
  <si>
    <t>351-10506-F</t>
  </si>
  <si>
    <t>M02-351-10506-F</t>
  </si>
  <si>
    <t>351-10506-G</t>
  </si>
  <si>
    <t>M02-351-10506-G</t>
  </si>
  <si>
    <t>351-10506-H</t>
  </si>
  <si>
    <t>M02-351-10506-H</t>
  </si>
  <si>
    <t>351-10506-J</t>
  </si>
  <si>
    <t>M02-351-10506-J</t>
  </si>
  <si>
    <t>351-10506-K</t>
  </si>
  <si>
    <t>M02-351-10506-K</t>
  </si>
  <si>
    <t>351-10506-L</t>
  </si>
  <si>
    <t>M02-351-10506-L</t>
  </si>
  <si>
    <t>351-10506-M</t>
  </si>
  <si>
    <t>M02-351-10506-M</t>
  </si>
  <si>
    <t>351-10506-N</t>
  </si>
  <si>
    <t>M02-351-10506-N</t>
  </si>
  <si>
    <t>351-10507-A</t>
  </si>
  <si>
    <t>M02-351-10507-A</t>
  </si>
  <si>
    <t>M02-351-10507-B</t>
  </si>
  <si>
    <t>351-10507-C</t>
  </si>
  <si>
    <t>M02-351-10507-C</t>
  </si>
  <si>
    <t>351-10507-D</t>
  </si>
  <si>
    <t>M02-351-10507-D</t>
  </si>
  <si>
    <t>351-10507-E</t>
  </si>
  <si>
    <t>M02-351-10507-E</t>
  </si>
  <si>
    <t>351-10507-F</t>
  </si>
  <si>
    <t>M02-351-10507-F</t>
  </si>
  <si>
    <t>351-10507-G</t>
  </si>
  <si>
    <t>M02-351-10507-G</t>
  </si>
  <si>
    <t>351-10509-A</t>
  </si>
  <si>
    <t>M02-351-10509-A</t>
  </si>
  <si>
    <t>351-10509-C</t>
  </si>
  <si>
    <t>M02-351-10509-C</t>
  </si>
  <si>
    <t>351-10509-D</t>
  </si>
  <si>
    <t>M02-351-10509-D</t>
  </si>
  <si>
    <t>351-10510-A</t>
  </si>
  <si>
    <t>M02-351-10510-A</t>
  </si>
  <si>
    <t>M02-351-10510-C</t>
  </si>
  <si>
    <t>M02-351-10510-D</t>
  </si>
  <si>
    <t>351-10511-A</t>
  </si>
  <si>
    <t>M02-351-10511-A</t>
  </si>
  <si>
    <t>M02-351-10511-C</t>
  </si>
  <si>
    <t>351-10511-D</t>
  </si>
  <si>
    <t>M02-351-10511-D</t>
  </si>
  <si>
    <t>351-10512-A</t>
  </si>
  <si>
    <t>M02-351-10512-A</t>
  </si>
  <si>
    <t>M02-351-10512-C</t>
  </si>
  <si>
    <t>M02-351-10512-D</t>
  </si>
  <si>
    <t>M02-351-10513-A</t>
  </si>
  <si>
    <t>351-10513-C</t>
  </si>
  <si>
    <t>M02-351-10513-C</t>
  </si>
  <si>
    <t>351-10513-D</t>
  </si>
  <si>
    <t>M02-351-10513-D</t>
  </si>
  <si>
    <t>M02-351-10514-A</t>
  </si>
  <si>
    <t>M02-351-10514-C</t>
  </si>
  <si>
    <t>M02-351-10514-D</t>
  </si>
  <si>
    <t>351-10515-A</t>
  </si>
  <si>
    <t>M02-351-10515-A</t>
  </si>
  <si>
    <t>351-10516-A</t>
  </si>
  <si>
    <t>M02-351-10516-A</t>
  </si>
  <si>
    <t>M02-351-10517-A</t>
  </si>
  <si>
    <t>M02-351-10517-B</t>
  </si>
  <si>
    <t>M02-351-10518-A</t>
  </si>
  <si>
    <t>M02-351-10518-B</t>
  </si>
  <si>
    <t>M02-351-10519-A</t>
  </si>
  <si>
    <t>M02-351-10519-B</t>
  </si>
  <si>
    <t>M02-351-10520-A</t>
  </si>
  <si>
    <t>M02-351-10520-B</t>
  </si>
  <si>
    <t>M02-351-10523-B</t>
  </si>
  <si>
    <t>M02-351-10523-C</t>
  </si>
  <si>
    <t>M02-351-10523-D</t>
  </si>
  <si>
    <t>M02-351-10523-E</t>
  </si>
  <si>
    <t>351-10523-F</t>
  </si>
  <si>
    <t>M02-351-10523-F</t>
  </si>
  <si>
    <t>M02-351-10523-G</t>
  </si>
  <si>
    <t>M02-351-10524-A</t>
  </si>
  <si>
    <t>M02-351-10524-B</t>
  </si>
  <si>
    <t>M02-351-10524-D</t>
  </si>
  <si>
    <t>M02-351-10524-E</t>
  </si>
  <si>
    <t>M02-351-10524-F</t>
  </si>
  <si>
    <t>M02-351-10524-G</t>
  </si>
  <si>
    <t>351-10525-B</t>
  </si>
  <si>
    <t>M02-351-10525-B</t>
  </si>
  <si>
    <t>351-10526-B</t>
  </si>
  <si>
    <t>M02-351-10526-B</t>
  </si>
  <si>
    <t>M02-351-10528-B</t>
  </si>
  <si>
    <t>M02-351-10529-B</t>
  </si>
  <si>
    <t>M02-351-10530-B</t>
  </si>
  <si>
    <t>351-10530-C</t>
  </si>
  <si>
    <t>M02-351-10530-C</t>
  </si>
  <si>
    <t>M02-351-10531-B</t>
  </si>
  <si>
    <t>M02-351-10531-C</t>
  </si>
  <si>
    <t>M02-351-10532-B</t>
  </si>
  <si>
    <t>M02-351-10532-C</t>
  </si>
  <si>
    <t>M02-351-10532-D</t>
  </si>
  <si>
    <t>351-10535-A</t>
  </si>
  <si>
    <t>M02-351-10535-A</t>
  </si>
  <si>
    <t>351-10535-B</t>
  </si>
  <si>
    <t>M02-351-10535-B</t>
  </si>
  <si>
    <t>AP-07</t>
  </si>
  <si>
    <t>351-10601-A</t>
  </si>
  <si>
    <t>M02-351-10601-A</t>
  </si>
  <si>
    <t>351-10601-B</t>
  </si>
  <si>
    <t>M02-351-10601-B</t>
  </si>
  <si>
    <t>351-10601-C</t>
  </si>
  <si>
    <t>M02-351-10601-C</t>
  </si>
  <si>
    <t>351-10601-D</t>
  </si>
  <si>
    <t>M02-351-10601-D</t>
  </si>
  <si>
    <t>351-10601-E</t>
  </si>
  <si>
    <t>M02-351-10601-E</t>
  </si>
  <si>
    <t>351-10601-F</t>
  </si>
  <si>
    <t>M02-351-10601-F</t>
  </si>
  <si>
    <t>351-10601-G</t>
  </si>
  <si>
    <t>M02-351-10601-G</t>
  </si>
  <si>
    <t>351-10601-H</t>
  </si>
  <si>
    <t>M02-351-10601-H</t>
  </si>
  <si>
    <t>351-10601-J</t>
  </si>
  <si>
    <t>M02-351-10601-J</t>
  </si>
  <si>
    <t>351-10601-K</t>
  </si>
  <si>
    <t>M02-351-10601-K</t>
  </si>
  <si>
    <t>351-10601-L</t>
  </si>
  <si>
    <t>M02-351-10601-L</t>
  </si>
  <si>
    <t>351-10601-M</t>
  </si>
  <si>
    <t>M02-351-10601-M</t>
  </si>
  <si>
    <t>351-10601-N</t>
  </si>
  <si>
    <t>M02-351-10601-N</t>
  </si>
  <si>
    <t>351-10601-P</t>
  </si>
  <si>
    <t>M02-351-10601-P</t>
  </si>
  <si>
    <t>351-10602-A</t>
  </si>
  <si>
    <t>M02-351-10602-A</t>
  </si>
  <si>
    <t>M02-351-10602-B</t>
  </si>
  <si>
    <t>351-10602-C</t>
  </si>
  <si>
    <t>M02-351-10602-C</t>
  </si>
  <si>
    <t>351-10602-D</t>
  </si>
  <si>
    <t>M02-351-10602-D</t>
  </si>
  <si>
    <t>351-10602-E</t>
  </si>
  <si>
    <t>M02-351-10602-E</t>
  </si>
  <si>
    <t>351-10602-F</t>
  </si>
  <si>
    <t>M02-351-10602-F</t>
  </si>
  <si>
    <t>351-10602-G</t>
  </si>
  <si>
    <t>M02-351-10602-G</t>
  </si>
  <si>
    <t>351-10603-A</t>
  </si>
  <si>
    <t>M02-351-10603-A</t>
  </si>
  <si>
    <t>M02-351-10603-B</t>
  </si>
  <si>
    <t>351-10603-C</t>
  </si>
  <si>
    <t>M02-351-10603-C</t>
  </si>
  <si>
    <t>351-10603-D</t>
  </si>
  <si>
    <t>M02-351-10603-D</t>
  </si>
  <si>
    <t>351-10603-E</t>
  </si>
  <si>
    <t>M02-351-10603-E</t>
  </si>
  <si>
    <t>351-10603-F</t>
  </si>
  <si>
    <t>M02-351-10603-F</t>
  </si>
  <si>
    <t>351-10603-H</t>
  </si>
  <si>
    <t>M02-351-10603-H</t>
  </si>
  <si>
    <t>351-10603-J</t>
  </si>
  <si>
    <t>M02-351-10603-J</t>
  </si>
  <si>
    <t>351-10603-K</t>
  </si>
  <si>
    <t>M02-351-10603-K</t>
  </si>
  <si>
    <t>351-10604-A</t>
  </si>
  <si>
    <t>M02-351-10604-A</t>
  </si>
  <si>
    <t>M02-351-10604-B</t>
  </si>
  <si>
    <t>351-10604-C</t>
  </si>
  <si>
    <t>M02-351-10604-C</t>
  </si>
  <si>
    <t>351-10604-D</t>
  </si>
  <si>
    <t>M02-351-10604-D</t>
  </si>
  <si>
    <t>351-10604-E</t>
  </si>
  <si>
    <t>M02-351-10604-E</t>
  </si>
  <si>
    <t>351-10604-F</t>
  </si>
  <si>
    <t>M02-351-10604-F</t>
  </si>
  <si>
    <t>351-10604-G</t>
  </si>
  <si>
    <t>M02-351-10604-G</t>
  </si>
  <si>
    <t>351-10605-A</t>
  </si>
  <si>
    <t>M02-351-10605-A</t>
  </si>
  <si>
    <t>M02-351-10605-B</t>
  </si>
  <si>
    <t>351-10605-C</t>
  </si>
  <si>
    <t>M02-351-10605-C</t>
  </si>
  <si>
    <t>351-10605-D</t>
  </si>
  <si>
    <t>M02-351-10605-D</t>
  </si>
  <si>
    <t>351-10605-E</t>
  </si>
  <si>
    <t>M02-351-10605-E</t>
  </si>
  <si>
    <t>351-10605-F</t>
  </si>
  <si>
    <t>M02-351-10605-F</t>
  </si>
  <si>
    <t>351-10605-G</t>
  </si>
  <si>
    <t>M02-351-10605-G</t>
  </si>
  <si>
    <t>351-10606-A</t>
  </si>
  <si>
    <t>M02-351-10606-A</t>
  </si>
  <si>
    <t>351-10606-B</t>
  </si>
  <si>
    <t>M02-351-10606-B</t>
  </si>
  <si>
    <t>351-10606-C</t>
  </si>
  <si>
    <t>M02-351-10606-C</t>
  </si>
  <si>
    <t>351-10606-D</t>
  </si>
  <si>
    <t>M02-351-10606-D</t>
  </si>
  <si>
    <t>351-10606-E</t>
  </si>
  <si>
    <t>M02-351-10606-E</t>
  </si>
  <si>
    <t>351-10606-F</t>
  </si>
  <si>
    <t>M02-351-10606-F</t>
  </si>
  <si>
    <t>351-10606-G</t>
  </si>
  <si>
    <t>M02-351-10606-G</t>
  </si>
  <si>
    <t>351-10606-H</t>
  </si>
  <si>
    <t>M02-351-10606-H</t>
  </si>
  <si>
    <t>351-10606-J</t>
  </si>
  <si>
    <t>M02-351-10606-J</t>
  </si>
  <si>
    <t>351-10606-K</t>
  </si>
  <si>
    <t>M02-351-10606-K</t>
  </si>
  <si>
    <t>351-10606-L</t>
  </si>
  <si>
    <t>M02-351-10606-L</t>
  </si>
  <si>
    <t>351-10606-M</t>
  </si>
  <si>
    <t>M02-351-10606-M</t>
  </si>
  <si>
    <t>351-10607-A</t>
  </si>
  <si>
    <t>M02-351-10607-A</t>
  </si>
  <si>
    <t>351-10607-B</t>
  </si>
  <si>
    <t>M02-351-10607-B</t>
  </si>
  <si>
    <t>351-10607-C</t>
  </si>
  <si>
    <t>M02-351-10607-C</t>
  </si>
  <si>
    <t>351-10607-D</t>
  </si>
  <si>
    <t>M02-351-10607-D</t>
  </si>
  <si>
    <t>351-10607-E</t>
  </si>
  <si>
    <t>M02-351-10607-E</t>
  </si>
  <si>
    <t>351-10607-F</t>
  </si>
  <si>
    <t>M02-351-10607-F</t>
  </si>
  <si>
    <t>351-10607-G</t>
  </si>
  <si>
    <t>M02-351-10607-G</t>
  </si>
  <si>
    <t>351-10608-A</t>
  </si>
  <si>
    <t>M02-351-10608-A</t>
  </si>
  <si>
    <t>351-10608-B</t>
  </si>
  <si>
    <t>M02-351-10608-B</t>
  </si>
  <si>
    <t>351-10608-C</t>
  </si>
  <si>
    <t>M02-351-10608-C</t>
  </si>
  <si>
    <t>351-10608-D</t>
  </si>
  <si>
    <t>M02-351-10608-D</t>
  </si>
  <si>
    <t>351-10608-E</t>
  </si>
  <si>
    <t>M02-351-10608-E</t>
  </si>
  <si>
    <t>351-10608-F</t>
  </si>
  <si>
    <t>M02-351-10608-F</t>
  </si>
  <si>
    <t>351-10609-A</t>
  </si>
  <si>
    <t>M02-351-10609-A</t>
  </si>
  <si>
    <t>351-10609-B</t>
  </si>
  <si>
    <t>M02-351-10609-B</t>
  </si>
  <si>
    <t>351-10609-C</t>
  </si>
  <si>
    <t>M02-351-10609-C</t>
  </si>
  <si>
    <t>351-10609-D</t>
  </si>
  <si>
    <t>M02-351-10609-D</t>
  </si>
  <si>
    <t>351-10609-E</t>
  </si>
  <si>
    <t>M02-351-10609-E</t>
  </si>
  <si>
    <t>351-10609-F</t>
  </si>
  <si>
    <t>M02-351-10609-F</t>
  </si>
  <si>
    <t>351-10609-G</t>
  </si>
  <si>
    <t>M02-351-10609-G</t>
  </si>
  <si>
    <t>M02-351-10610-A</t>
  </si>
  <si>
    <t>M02-351-10610-C</t>
  </si>
  <si>
    <t>M02-351-10610-D</t>
  </si>
  <si>
    <t>M02-351-10611-A</t>
  </si>
  <si>
    <t>351-10612-A</t>
  </si>
  <si>
    <t>M02-351-10612-A</t>
  </si>
  <si>
    <t>351-10612-C</t>
  </si>
  <si>
    <t>M02-351-10612-C</t>
  </si>
  <si>
    <t>351-10612-D</t>
  </si>
  <si>
    <t>M02-351-10612-D</t>
  </si>
  <si>
    <t>351-10613-A</t>
  </si>
  <si>
    <t>M02-351-10613-A</t>
  </si>
  <si>
    <t>351-10613-E</t>
  </si>
  <si>
    <t>M02-351-10613-E</t>
  </si>
  <si>
    <t>351-10613-F</t>
  </si>
  <si>
    <t>M02-351-10613-F</t>
  </si>
  <si>
    <t>351-10614-A</t>
  </si>
  <si>
    <t>M02-351-10614-A</t>
  </si>
  <si>
    <t>351-10614-C</t>
  </si>
  <si>
    <t>M02-351-10614-C</t>
  </si>
  <si>
    <t>351-10614-D</t>
  </si>
  <si>
    <t>M02-351-10614-D</t>
  </si>
  <si>
    <t>351-10615-A</t>
  </si>
  <si>
    <t>M02-351-10615-A</t>
  </si>
  <si>
    <t>351-10615-C</t>
  </si>
  <si>
    <t>M02-351-10615-C</t>
  </si>
  <si>
    <t>351-10615-D</t>
  </si>
  <si>
    <t>M02-351-10615-D</t>
  </si>
  <si>
    <t>351-10616-A</t>
  </si>
  <si>
    <t>M02-351-10616-A</t>
  </si>
  <si>
    <t>351-10616-C</t>
  </si>
  <si>
    <t>M02-351-10616-C</t>
  </si>
  <si>
    <t>351-10616-D</t>
  </si>
  <si>
    <t>M02-351-10616-D</t>
  </si>
  <si>
    <t>351-10617-A</t>
  </si>
  <si>
    <t>M02-351-10617-A</t>
  </si>
  <si>
    <t>351-10617-C</t>
  </si>
  <si>
    <t>M02-351-10617-C</t>
  </si>
  <si>
    <t>351-10617-D</t>
  </si>
  <si>
    <t>M02-351-10617-D</t>
  </si>
  <si>
    <t>351-10618-A</t>
  </si>
  <si>
    <t>M02-351-10618-A</t>
  </si>
  <si>
    <t>351-10618-C</t>
  </si>
  <si>
    <t>M02-351-10618-C</t>
  </si>
  <si>
    <t>351-10618-D</t>
  </si>
  <si>
    <t>M02-351-10618-D</t>
  </si>
  <si>
    <t>351-10619-A</t>
  </si>
  <si>
    <t>M02-351-10619-A</t>
  </si>
  <si>
    <t>351-10619-C</t>
  </si>
  <si>
    <t>M02-351-10619-C</t>
  </si>
  <si>
    <t>351-10619-D</t>
  </si>
  <si>
    <t>M02-351-10619-D</t>
  </si>
  <si>
    <t>351-10620-A</t>
  </si>
  <si>
    <t>M02-351-10620-A</t>
  </si>
  <si>
    <t>351-10620-C</t>
  </si>
  <si>
    <t>M02-351-10620-C</t>
  </si>
  <si>
    <t>351-10620-D</t>
  </si>
  <si>
    <t>M02-351-10620-D</t>
  </si>
  <si>
    <t>351-10621-A</t>
  </si>
  <si>
    <t>M02-351-10621-A</t>
  </si>
  <si>
    <t>351-10621-B</t>
  </si>
  <si>
    <t>M02-351-10621-B</t>
  </si>
  <si>
    <t>351-10622-A</t>
  </si>
  <si>
    <t>M02-351-10622-A</t>
  </si>
  <si>
    <t>351-10622-B</t>
  </si>
  <si>
    <t>M02-351-10622-B</t>
  </si>
  <si>
    <t>351-10623-A</t>
  </si>
  <si>
    <t>M02-351-10623-A</t>
  </si>
  <si>
    <t>351-10623-C</t>
  </si>
  <si>
    <t>M02-351-10623-C</t>
  </si>
  <si>
    <t>351-10623-D</t>
  </si>
  <si>
    <t>M02-351-10623-D</t>
  </si>
  <si>
    <t>351-10624-A</t>
  </si>
  <si>
    <t>M02-351-10624-A</t>
  </si>
  <si>
    <t>351-10624-B</t>
  </si>
  <si>
    <t>M02-351-10624-B</t>
  </si>
  <si>
    <t>351-10625-A</t>
  </si>
  <si>
    <t>M02-351-10625-A</t>
  </si>
  <si>
    <t>351-10625-B</t>
  </si>
  <si>
    <t>M02-351-10625-B</t>
  </si>
  <si>
    <t>351-10626-A</t>
  </si>
  <si>
    <t>M02-351-10626-A</t>
  </si>
  <si>
    <t>351-10626-B</t>
  </si>
  <si>
    <t>M02-351-10626-B</t>
  </si>
  <si>
    <t>351-10627-A</t>
  </si>
  <si>
    <t>M02-351-10627-A</t>
  </si>
  <si>
    <t>351-10627-B</t>
  </si>
  <si>
    <t>M02-351-10627-B</t>
  </si>
  <si>
    <t>351-10628-A</t>
  </si>
  <si>
    <t>M02-351-10628-A</t>
  </si>
  <si>
    <t>351-10628-B</t>
  </si>
  <si>
    <t>M02-351-10628-B</t>
  </si>
  <si>
    <t>351-10629-A</t>
  </si>
  <si>
    <t>M02-351-10629-A</t>
  </si>
  <si>
    <t>351-10629-B</t>
  </si>
  <si>
    <t>M02-351-10629-B</t>
  </si>
  <si>
    <t>351-10630-B</t>
  </si>
  <si>
    <t>M02-351-10630-B</t>
  </si>
  <si>
    <t>351-10630-C</t>
  </si>
  <si>
    <t>M02-351-10630-C</t>
  </si>
  <si>
    <t>351-10630-D</t>
  </si>
  <si>
    <t>M02-351-10630-D</t>
  </si>
  <si>
    <t>351-10630-E</t>
  </si>
  <si>
    <t>M02-351-10630-E</t>
  </si>
  <si>
    <t>351-10630-F</t>
  </si>
  <si>
    <t>M02-351-10630-F</t>
  </si>
  <si>
    <t>351-10631-B</t>
  </si>
  <si>
    <t>M02-351-10631-B</t>
  </si>
  <si>
    <t>351-10631-C</t>
  </si>
  <si>
    <t>M02-351-10631-C</t>
  </si>
  <si>
    <t>351-10632-B</t>
  </si>
  <si>
    <t>M02-351-10632-B</t>
  </si>
  <si>
    <t>351-10632-C</t>
  </si>
  <si>
    <t>M02-351-10632-C</t>
  </si>
  <si>
    <t>351-10635-B</t>
  </si>
  <si>
    <t>M02-351-10635-B</t>
  </si>
  <si>
    <t>351-10635-C</t>
  </si>
  <si>
    <t>M02-351-10635-C</t>
  </si>
  <si>
    <t>351-10636-B</t>
  </si>
  <si>
    <t>M02-351-10636-B</t>
  </si>
  <si>
    <t>351-10637-B</t>
  </si>
  <si>
    <t>M02-351-10637-B</t>
  </si>
  <si>
    <t>351-10637-C</t>
  </si>
  <si>
    <t>M02-351-10637-C</t>
  </si>
  <si>
    <t>351-10638-B</t>
  </si>
  <si>
    <t>M02-351-10638-B</t>
  </si>
  <si>
    <t>351-10640-B</t>
  </si>
  <si>
    <t>M02-351-10640-B</t>
  </si>
  <si>
    <t>351-10641-B</t>
  </si>
  <si>
    <t>M02-351-10641-B</t>
  </si>
  <si>
    <t>351-10642-B</t>
  </si>
  <si>
    <t>M02-351-10642-B</t>
  </si>
  <si>
    <t>351-10642-C</t>
  </si>
  <si>
    <t>M02-351-10642-C</t>
  </si>
  <si>
    <t>351-10643-B</t>
  </si>
  <si>
    <t>M02-351-10643-B</t>
  </si>
  <si>
    <t>351-10643-C</t>
  </si>
  <si>
    <t>M02-351-10643-C</t>
  </si>
  <si>
    <t>351-10643-D</t>
  </si>
  <si>
    <t>M02-351-10643-D</t>
  </si>
  <si>
    <t>351-10643-E</t>
  </si>
  <si>
    <t>M02-351-10643-E</t>
  </si>
  <si>
    <t>351-10643-F</t>
  </si>
  <si>
    <t>M02-351-10643-F</t>
  </si>
  <si>
    <t>351-10643-G</t>
  </si>
  <si>
    <t>M02-351-10643-G</t>
  </si>
  <si>
    <t>351-10644-B</t>
  </si>
  <si>
    <t>M02-351-10644-B</t>
  </si>
  <si>
    <t>351-10644-C</t>
  </si>
  <si>
    <t>M02-351-10644-C</t>
  </si>
  <si>
    <t>351-10644-D</t>
  </si>
  <si>
    <t>M02-351-10644-D</t>
  </si>
  <si>
    <t>351-10644-E</t>
  </si>
  <si>
    <t>M02-351-10644-E</t>
  </si>
  <si>
    <t>351-10644-F</t>
  </si>
  <si>
    <t>M02-351-10644-F</t>
  </si>
  <si>
    <t>351-10644-G</t>
  </si>
  <si>
    <t>M02-351-10644-G</t>
  </si>
  <si>
    <t>351-10647-B</t>
  </si>
  <si>
    <t>M02-351-10647-B</t>
  </si>
  <si>
    <t>351-10647-C</t>
  </si>
  <si>
    <t>M02-351-10647-C</t>
  </si>
  <si>
    <t>351-10647-D</t>
  </si>
  <si>
    <t>M02-351-10647-D</t>
  </si>
  <si>
    <t>351-10647-E</t>
  </si>
  <si>
    <t>M02-351-10647-E</t>
  </si>
  <si>
    <t>351-10647-F</t>
  </si>
  <si>
    <t>M02-351-10647-F</t>
  </si>
  <si>
    <t>351-10647-G</t>
  </si>
  <si>
    <t>M02-351-10647-G</t>
  </si>
  <si>
    <t>351-10650-B</t>
  </si>
  <si>
    <t>M02-351-10650-B</t>
  </si>
  <si>
    <t>351-10650-C</t>
  </si>
  <si>
    <t>M02-351-10650-C</t>
  </si>
  <si>
    <t>351-10651-B</t>
  </si>
  <si>
    <t>M02-351-10651-B</t>
  </si>
  <si>
    <t>351-10651-C</t>
  </si>
  <si>
    <t>M02-351-10651-C</t>
  </si>
  <si>
    <t>351-10652-B</t>
  </si>
  <si>
    <t>M02-351-10652-B</t>
  </si>
  <si>
    <t>351-10652-C</t>
  </si>
  <si>
    <t>M02-351-10652-C</t>
  </si>
  <si>
    <t>351-10653-B</t>
  </si>
  <si>
    <t>M02-351-10653-B</t>
  </si>
  <si>
    <t>351-10655-B</t>
  </si>
  <si>
    <t>M02-351-10655-B</t>
  </si>
  <si>
    <t>351-10655-C</t>
  </si>
  <si>
    <t>M02-351-10655-C</t>
  </si>
  <si>
    <t>351-10656-B</t>
  </si>
  <si>
    <t>M02-351-10656-B</t>
  </si>
  <si>
    <t>351-10656-C</t>
  </si>
  <si>
    <t>M02-351-10656-C</t>
  </si>
  <si>
    <t>AP-08</t>
  </si>
  <si>
    <t>351-10701-A</t>
  </si>
  <si>
    <t>M02-351-10701-A</t>
  </si>
  <si>
    <t>351-10701-B</t>
  </si>
  <si>
    <t>M02-351-10701-B</t>
  </si>
  <si>
    <t>351-10701-C</t>
  </si>
  <si>
    <t>M02-351-10701-C</t>
  </si>
  <si>
    <t>351-10701-D</t>
  </si>
  <si>
    <t>M02-351-10701-D</t>
  </si>
  <si>
    <t>351-10701-E</t>
  </si>
  <si>
    <t>M02-351-10701-E</t>
  </si>
  <si>
    <t>351-10701-F</t>
  </si>
  <si>
    <t>M02-351-10701-F</t>
  </si>
  <si>
    <t>351-10701-G</t>
  </si>
  <si>
    <t>M02-351-10701-G</t>
  </si>
  <si>
    <t>351-10702-A</t>
  </si>
  <si>
    <t>M02-351-10702-A</t>
  </si>
  <si>
    <t>M02-351-10702-B</t>
  </si>
  <si>
    <t>351-10702-C</t>
  </si>
  <si>
    <t>M02-351-10702-C</t>
  </si>
  <si>
    <t>351-10702-D</t>
  </si>
  <si>
    <t>M02-351-10702-D</t>
  </si>
  <si>
    <t>351-10702-E</t>
  </si>
  <si>
    <t>M02-351-10702-E</t>
  </si>
  <si>
    <t>351-10702-F</t>
  </si>
  <si>
    <t>M02-351-10702-F</t>
  </si>
  <si>
    <t>351-10702-G</t>
  </si>
  <si>
    <t>M02-351-10702-G</t>
  </si>
  <si>
    <t>351-10702-H</t>
  </si>
  <si>
    <t>M02-351-10702-H</t>
  </si>
  <si>
    <t>351-10702-J</t>
  </si>
  <si>
    <t>M02-351-10702-J</t>
  </si>
  <si>
    <t>351-10702-K</t>
  </si>
  <si>
    <t>M02-351-10702-K</t>
  </si>
  <si>
    <t>351-10702-L</t>
  </si>
  <si>
    <t>M02-351-10702-L</t>
  </si>
  <si>
    <t>351-10702-M</t>
  </si>
  <si>
    <t>M02-351-10702-M</t>
  </si>
  <si>
    <t>351-10702-N</t>
  </si>
  <si>
    <t>M02-351-10702-N</t>
  </si>
  <si>
    <t>351-10702-R</t>
  </si>
  <si>
    <t>M02-351-10702-R</t>
  </si>
  <si>
    <t>351-10702-S</t>
  </si>
  <si>
    <t>M02-351-10702-S</t>
  </si>
  <si>
    <t>351-10703-A</t>
  </si>
  <si>
    <t>M02-351-10703-A</t>
  </si>
  <si>
    <t>M02-351-10703-B</t>
  </si>
  <si>
    <t>351-10703-C</t>
  </si>
  <si>
    <t>M02-351-10703-C</t>
  </si>
  <si>
    <t>351-10703-D</t>
  </si>
  <si>
    <t>M02-351-10703-D</t>
  </si>
  <si>
    <t>351-10703-E</t>
  </si>
  <si>
    <t>M02-351-10703-E</t>
  </si>
  <si>
    <t>351-10703-F</t>
  </si>
  <si>
    <t>M02-351-10703-F</t>
  </si>
  <si>
    <t>351-10703-G</t>
  </si>
  <si>
    <t>M02-351-10703-G</t>
  </si>
  <si>
    <t>351-10704-A</t>
  </si>
  <si>
    <t>M02-351-10704-A</t>
  </si>
  <si>
    <t>M02-351-10704-B</t>
  </si>
  <si>
    <t>351-10704-C</t>
  </si>
  <si>
    <t>M02-351-10704-C</t>
  </si>
  <si>
    <t>351-10704-D</t>
  </si>
  <si>
    <t>M02-351-10704-D</t>
  </si>
  <si>
    <t>351-10704-E</t>
  </si>
  <si>
    <t>M02-351-10704-E</t>
  </si>
  <si>
    <t>351-10704-F</t>
  </si>
  <si>
    <t>M02-351-10704-F</t>
  </si>
  <si>
    <t>351-10704-G</t>
  </si>
  <si>
    <t>M02-351-10704-G</t>
  </si>
  <si>
    <t>351-10705-A</t>
  </si>
  <si>
    <t>M02-351-10705-A</t>
  </si>
  <si>
    <t>M02-351-10705-B</t>
  </si>
  <si>
    <t>351-10705-C</t>
  </si>
  <si>
    <t>M02-351-10705-C</t>
  </si>
  <si>
    <t>351-10705-D</t>
  </si>
  <si>
    <t>M02-351-10705-D</t>
  </si>
  <si>
    <t>351-10705-E</t>
  </si>
  <si>
    <t>M02-351-10705-E</t>
  </si>
  <si>
    <t>351-10705-F</t>
  </si>
  <si>
    <t>M02-351-10705-F</t>
  </si>
  <si>
    <t>351-10705-G</t>
  </si>
  <si>
    <t>M02-351-10705-G</t>
  </si>
  <si>
    <t>351-10706-A</t>
  </si>
  <si>
    <t>M02-351-10706-A</t>
  </si>
  <si>
    <t>351-10706-B</t>
  </si>
  <si>
    <t>M02-351-10706-B</t>
  </si>
  <si>
    <t>351-10706-C</t>
  </si>
  <si>
    <t>M02-351-10706-C</t>
  </si>
  <si>
    <t>351-10706-D</t>
  </si>
  <si>
    <t>M02-351-10706-D</t>
  </si>
  <si>
    <t>351-10706-E</t>
  </si>
  <si>
    <t>M02-351-10706-E</t>
  </si>
  <si>
    <t>351-10706-G</t>
  </si>
  <si>
    <t>M02-351-10706-G</t>
  </si>
  <si>
    <t>351-10707-A</t>
  </si>
  <si>
    <t>M02-351-10707-A</t>
  </si>
  <si>
    <t>351-10707-B</t>
  </si>
  <si>
    <t>M02-351-10707-B</t>
  </si>
  <si>
    <t>351-10707-C</t>
  </si>
  <si>
    <t>M02-351-10707-C</t>
  </si>
  <si>
    <t>351-10707-D</t>
  </si>
  <si>
    <t>M02-351-10707-D</t>
  </si>
  <si>
    <t>351-10707-E</t>
  </si>
  <si>
    <t>M02-351-10707-E</t>
  </si>
  <si>
    <t>351-10707-F</t>
  </si>
  <si>
    <t>M02-351-10707-F</t>
  </si>
  <si>
    <t>351-10707-G</t>
  </si>
  <si>
    <t>M02-351-10707-G</t>
  </si>
  <si>
    <t>351-10708-A</t>
  </si>
  <si>
    <t>M02-351-10708-A</t>
  </si>
  <si>
    <t>351-10708-B</t>
  </si>
  <si>
    <t>M02-351-10708-B</t>
  </si>
  <si>
    <t>351-10708-C</t>
  </si>
  <si>
    <t>M02-351-10708-C</t>
  </si>
  <si>
    <t>351-10708-D</t>
  </si>
  <si>
    <t>M02-351-10708-D</t>
  </si>
  <si>
    <t>351-10708-E</t>
  </si>
  <si>
    <t>M02-351-10708-E</t>
  </si>
  <si>
    <t>351-10708-F</t>
  </si>
  <si>
    <t>M02-351-10708-F</t>
  </si>
  <si>
    <t>351-10708-G</t>
  </si>
  <si>
    <t>M02-351-10708-G</t>
  </si>
  <si>
    <t>351-10709-A</t>
  </si>
  <si>
    <t>M02-351-10709-A</t>
  </si>
  <si>
    <t>351-10709-B</t>
  </si>
  <si>
    <t>M02-351-10709-B</t>
  </si>
  <si>
    <t>351-10709-C</t>
  </si>
  <si>
    <t>M02-351-10709-C</t>
  </si>
  <si>
    <t>351-10709-D</t>
  </si>
  <si>
    <t>M02-351-10709-D</t>
  </si>
  <si>
    <t>351-10709-E</t>
  </si>
  <si>
    <t>M02-351-10709-E</t>
  </si>
  <si>
    <t>351-10709-F</t>
  </si>
  <si>
    <t>M02-351-10709-F</t>
  </si>
  <si>
    <t>351-10709-G</t>
  </si>
  <si>
    <t>M02-351-10709-G</t>
  </si>
  <si>
    <t>M02-351-10710-A</t>
  </si>
  <si>
    <t>M02-351-10710-B</t>
  </si>
  <si>
    <t>M02-351-10710-C</t>
  </si>
  <si>
    <t>M02-351-10710-D</t>
  </si>
  <si>
    <t>M02-351-10710-E</t>
  </si>
  <si>
    <t>M02-351-10710-F</t>
  </si>
  <si>
    <t>M02-351-10710-G</t>
  </si>
  <si>
    <t>M02-351-10710-H</t>
  </si>
  <si>
    <t>M02-351-10710-J</t>
  </si>
  <si>
    <t>M02-351-10710-K</t>
  </si>
  <si>
    <t>M02-351-10710-L</t>
  </si>
  <si>
    <t>M02-351-10710-M</t>
  </si>
  <si>
    <t>M02-351-10710-N</t>
  </si>
  <si>
    <t>M02-351-10711-A</t>
  </si>
  <si>
    <t>M02-351-10711-B</t>
  </si>
  <si>
    <t>M02-351-10711-C</t>
  </si>
  <si>
    <t>M02-351-10711-D</t>
  </si>
  <si>
    <t>M02-351-10711-F</t>
  </si>
  <si>
    <t>M02-351-10711-G</t>
  </si>
  <si>
    <t>351-10712-A</t>
  </si>
  <si>
    <t>M02-351-10712-A</t>
  </si>
  <si>
    <t>351-10712-B</t>
  </si>
  <si>
    <t>M02-351-10712-B</t>
  </si>
  <si>
    <t>351-10712-D</t>
  </si>
  <si>
    <t>M02-351-10712-D</t>
  </si>
  <si>
    <t>351-10712-E</t>
  </si>
  <si>
    <t>M02-351-10712-E</t>
  </si>
  <si>
    <t>351-10712-F</t>
  </si>
  <si>
    <t>M02-351-10712-F</t>
  </si>
  <si>
    <t>351-10712-G</t>
  </si>
  <si>
    <t>M02-351-10712-G</t>
  </si>
  <si>
    <t>351-10712-H</t>
  </si>
  <si>
    <t>M02-351-10712-H</t>
  </si>
  <si>
    <t>351-10713-B</t>
  </si>
  <si>
    <t>M02-351-10713-B</t>
  </si>
  <si>
    <t>351-10713-C</t>
  </si>
  <si>
    <t>M02-351-10713-C</t>
  </si>
  <si>
    <t>351-10713-D</t>
  </si>
  <si>
    <t>M02-351-10713-D</t>
  </si>
  <si>
    <t>351-10714-B</t>
  </si>
  <si>
    <t>M02-351-10714-B</t>
  </si>
  <si>
    <t>351-10714-C</t>
  </si>
  <si>
    <t>M02-351-10714-C</t>
  </si>
  <si>
    <t>351-10715-A</t>
  </si>
  <si>
    <t>M02-351-10715-A</t>
  </si>
  <si>
    <t>351-10715-C</t>
  </si>
  <si>
    <t>M02-351-10715-C</t>
  </si>
  <si>
    <t>351-10715-D</t>
  </si>
  <si>
    <t>M02-351-10715-D</t>
  </si>
  <si>
    <t>351-10716-A</t>
  </si>
  <si>
    <t>M02-351-10716-A</t>
  </si>
  <si>
    <t>351-10716-C</t>
  </si>
  <si>
    <t>M02-351-10716-C</t>
  </si>
  <si>
    <t>351-10716-D</t>
  </si>
  <si>
    <t>M02-351-10716-D</t>
  </si>
  <si>
    <t>351-10717-A</t>
  </si>
  <si>
    <t>M02-351-10717-A</t>
  </si>
  <si>
    <t>351-10717-C</t>
  </si>
  <si>
    <t>M02-351-10717-C</t>
  </si>
  <si>
    <t>351-10717-D</t>
  </si>
  <si>
    <t>M02-351-10717-D</t>
  </si>
  <si>
    <t>351-10718-A</t>
  </si>
  <si>
    <t>M02-351-10718-A</t>
  </si>
  <si>
    <t>351-10718-C</t>
  </si>
  <si>
    <t>M02-351-10718-C</t>
  </si>
  <si>
    <t>351-10718-D</t>
  </si>
  <si>
    <t>M02-351-10718-D</t>
  </si>
  <si>
    <t>351-10718-E</t>
  </si>
  <si>
    <t>M02-351-10718-E</t>
  </si>
  <si>
    <t>351-10718-F</t>
  </si>
  <si>
    <t>M02-351-10718-F</t>
  </si>
  <si>
    <t>351-10719-A</t>
  </si>
  <si>
    <t>M02-351-10719-A</t>
  </si>
  <si>
    <t>351-10719-C</t>
  </si>
  <si>
    <t>M02-351-10719-C</t>
  </si>
  <si>
    <t>351-10719-D</t>
  </si>
  <si>
    <t>M02-351-10719-D</t>
  </si>
  <si>
    <t>351-10720-B</t>
  </si>
  <si>
    <t>M02-351-10720-B</t>
  </si>
  <si>
    <t>351-10720-C</t>
  </si>
  <si>
    <t>M02-351-10720-C</t>
  </si>
  <si>
    <t>351-10720-D</t>
  </si>
  <si>
    <t>M02-351-10720-D</t>
  </si>
  <si>
    <t>351-10721-A</t>
  </si>
  <si>
    <t>M02-351-10721-A</t>
  </si>
  <si>
    <t>351-10721-C</t>
  </si>
  <si>
    <t>M02-351-10721-C</t>
  </si>
  <si>
    <t>351-10721-D</t>
  </si>
  <si>
    <t>M02-351-10721-D</t>
  </si>
  <si>
    <t>351-10722-B</t>
  </si>
  <si>
    <t>M02-351-10722-B</t>
  </si>
  <si>
    <t>351-10722-C</t>
  </si>
  <si>
    <t>M02-351-10722-C</t>
  </si>
  <si>
    <t>351-10722-D</t>
  </si>
  <si>
    <t>M02-351-10722-D</t>
  </si>
  <si>
    <t>351-10723-A</t>
  </si>
  <si>
    <t>M02-351-10723-A</t>
  </si>
  <si>
    <t>351-10723-C</t>
  </si>
  <si>
    <t>M02-351-10723-C</t>
  </si>
  <si>
    <t>351-10723-D</t>
  </si>
  <si>
    <t>M02-351-10723-D</t>
  </si>
  <si>
    <t>351-10724-A</t>
  </si>
  <si>
    <t>M02-351-10724-A</t>
  </si>
  <si>
    <t>351-10724-C</t>
  </si>
  <si>
    <t>M02-351-10724-C</t>
  </si>
  <si>
    <t>351-10724-D</t>
  </si>
  <si>
    <t>M02-351-10724-D</t>
  </si>
  <si>
    <t>351-10725-A</t>
  </si>
  <si>
    <t>M02-351-10725-A</t>
  </si>
  <si>
    <t>351-10725-C</t>
  </si>
  <si>
    <t>M02-351-10725-C</t>
  </si>
  <si>
    <t>351-10725-D</t>
  </si>
  <si>
    <t>M02-351-10725-D</t>
  </si>
  <si>
    <t>351-10726-A</t>
  </si>
  <si>
    <t>M02-351-10726-A</t>
  </si>
  <si>
    <t>351-10726-C</t>
  </si>
  <si>
    <t>M02-351-10726-C</t>
  </si>
  <si>
    <t>351-10726-D</t>
  </si>
  <si>
    <t>M02-351-10726-D</t>
  </si>
  <si>
    <t>351-10727-A</t>
  </si>
  <si>
    <t>M02-351-10727-A</t>
  </si>
  <si>
    <t>351-10727-B</t>
  </si>
  <si>
    <t>M02-351-10727-B</t>
  </si>
  <si>
    <t>351-10728-A</t>
  </si>
  <si>
    <t>M02-351-10728-A</t>
  </si>
  <si>
    <t>351-10728-B</t>
  </si>
  <si>
    <t>M02-351-10728-B</t>
  </si>
  <si>
    <t>351-10729-B</t>
  </si>
  <si>
    <t>M02-351-10729-B</t>
  </si>
  <si>
    <t>351-10729-C</t>
  </si>
  <si>
    <t>M02-351-10729-C</t>
  </si>
  <si>
    <t>351-10729-D</t>
  </si>
  <si>
    <t>M02-351-10729-D</t>
  </si>
  <si>
    <t>351-10730-A</t>
  </si>
  <si>
    <t>M02-351-10730-A</t>
  </si>
  <si>
    <t>351-10730-B</t>
  </si>
  <si>
    <t>M02-351-10730-B</t>
  </si>
  <si>
    <t>351-10731-A</t>
  </si>
  <si>
    <t>M02-351-10731-A</t>
  </si>
  <si>
    <t>351-10731-B</t>
  </si>
  <si>
    <t>M02-351-10731-B</t>
  </si>
  <si>
    <t>351-10732-B</t>
  </si>
  <si>
    <t>M02-351-10732-B</t>
  </si>
  <si>
    <t>351-10732-C</t>
  </si>
  <si>
    <t>M02-351-10732-C</t>
  </si>
  <si>
    <t>351-10733-A</t>
  </si>
  <si>
    <t>M02-351-10733-A</t>
  </si>
  <si>
    <t>351-10733-B</t>
  </si>
  <si>
    <t>M02-351-10733-B</t>
  </si>
  <si>
    <t>351-10734-A</t>
  </si>
  <si>
    <t>M02-351-10734-A</t>
  </si>
  <si>
    <t>351-10734-B</t>
  </si>
  <si>
    <t>M02-351-10734-B</t>
  </si>
  <si>
    <t>351-10735-A</t>
  </si>
  <si>
    <t>M02-351-10735-A</t>
  </si>
  <si>
    <t>351-10735-B</t>
  </si>
  <si>
    <t>M02-351-10735-B</t>
  </si>
  <si>
    <t>351-10736-A</t>
  </si>
  <si>
    <t>M02-351-10736-A</t>
  </si>
  <si>
    <t>351-10736-B</t>
  </si>
  <si>
    <t>M02-351-10736-B</t>
  </si>
  <si>
    <t>351-10737-B</t>
  </si>
  <si>
    <t>M02-351-10737-B</t>
  </si>
  <si>
    <t>351-10737-C</t>
  </si>
  <si>
    <t>M02-351-10737-C</t>
  </si>
  <si>
    <t>351-10737-D</t>
  </si>
  <si>
    <t>M02-351-10737-D</t>
  </si>
  <si>
    <t>351-10737-E</t>
  </si>
  <si>
    <t>M02-351-10737-E</t>
  </si>
  <si>
    <t>351-10737-F</t>
  </si>
  <si>
    <t>M02-351-10737-F</t>
  </si>
  <si>
    <t>351-10738-B</t>
  </si>
  <si>
    <t>M02-351-10738-B</t>
  </si>
  <si>
    <t>351-10738-C</t>
  </si>
  <si>
    <t>M02-351-10738-C</t>
  </si>
  <si>
    <t>351-10739-B</t>
  </si>
  <si>
    <t>M02-351-10739-B</t>
  </si>
  <si>
    <t>351-10739-C</t>
  </si>
  <si>
    <t>M02-351-10739-C</t>
  </si>
  <si>
    <t>351-10742-A</t>
  </si>
  <si>
    <t>M02-351-10742-A</t>
  </si>
  <si>
    <t>351-10742-C</t>
  </si>
  <si>
    <t>M02-351-10742-C</t>
  </si>
  <si>
    <t>351-10744-B</t>
  </si>
  <si>
    <t>M02-351-10744-B</t>
  </si>
  <si>
    <t>351-10745-B</t>
  </si>
  <si>
    <t>M02-351-10745-B</t>
  </si>
  <si>
    <t>351-10745-C</t>
  </si>
  <si>
    <t>M02-351-10745-C</t>
  </si>
  <si>
    <t>351-10746-B</t>
  </si>
  <si>
    <t>M02-351-10746-B</t>
  </si>
  <si>
    <t>351-10749-B</t>
  </si>
  <si>
    <t>M02-351-10749-B</t>
  </si>
  <si>
    <t>351-10750-B</t>
  </si>
  <si>
    <t>M02-351-10750-B</t>
  </si>
  <si>
    <t>351-10751-B</t>
  </si>
  <si>
    <t>M02-351-10751-B</t>
  </si>
  <si>
    <t>351-10752-B</t>
  </si>
  <si>
    <t>M02-351-10752-B</t>
  </si>
  <si>
    <t>351-10752-C</t>
  </si>
  <si>
    <t>M02-351-10752-C</t>
  </si>
  <si>
    <t>351-10754-B</t>
  </si>
  <si>
    <t>M02-351-10754-B</t>
  </si>
  <si>
    <t>351-10754-C</t>
  </si>
  <si>
    <t>M02-351-10754-C</t>
  </si>
  <si>
    <t>351-10754-D</t>
  </si>
  <si>
    <t>M02-351-10754-D</t>
  </si>
  <si>
    <t>351-10756-B</t>
  </si>
  <si>
    <t>M02-351-10756-B</t>
  </si>
  <si>
    <t>351-10758-B</t>
  </si>
  <si>
    <t>M02-351-10758-B</t>
  </si>
  <si>
    <t>351-10758-C</t>
  </si>
  <si>
    <t>M02-351-10758-C</t>
  </si>
  <si>
    <t>351-10758-D</t>
  </si>
  <si>
    <t>M02-351-10758-D</t>
  </si>
  <si>
    <t>351-10758-E</t>
  </si>
  <si>
    <t>M02-351-10758-E</t>
  </si>
  <si>
    <t>351-10758-F</t>
  </si>
  <si>
    <t>M02-351-10758-F</t>
  </si>
  <si>
    <t>351-10758-G</t>
  </si>
  <si>
    <t>M02-351-10758-G</t>
  </si>
  <si>
    <t>351-10759-B</t>
  </si>
  <si>
    <t>M02-351-10759-B</t>
  </si>
  <si>
    <t>351-10759-C</t>
  </si>
  <si>
    <t>M02-351-10759-C</t>
  </si>
  <si>
    <t>351-10759-D</t>
  </si>
  <si>
    <t>M02-351-10759-D</t>
  </si>
  <si>
    <t>351-10759-E</t>
  </si>
  <si>
    <t>M02-351-10759-E</t>
  </si>
  <si>
    <t>351-10759-F</t>
  </si>
  <si>
    <t>M02-351-10759-F</t>
  </si>
  <si>
    <t>351-10759-G</t>
  </si>
  <si>
    <t>M02-351-10759-G</t>
  </si>
  <si>
    <t>351-10760-B</t>
  </si>
  <si>
    <t>M02-351-10760-B</t>
  </si>
  <si>
    <t>351-10760-C</t>
  </si>
  <si>
    <t>M02-351-10760-C</t>
  </si>
  <si>
    <t>351-10760-D</t>
  </si>
  <si>
    <t>M02-351-10760-D</t>
  </si>
  <si>
    <t>351-10760-E</t>
  </si>
  <si>
    <t>M02-351-10760-E</t>
  </si>
  <si>
    <t>351-10760-F</t>
  </si>
  <si>
    <t>M02-351-10760-F</t>
  </si>
  <si>
    <t>351-10760-G</t>
  </si>
  <si>
    <t>M02-351-10760-G</t>
  </si>
  <si>
    <t>351-10764-B</t>
  </si>
  <si>
    <t>M02-351-10764-B</t>
  </si>
  <si>
    <t>351-10764-C</t>
  </si>
  <si>
    <t>M02-351-10764-C</t>
  </si>
  <si>
    <t>351-10764-D</t>
  </si>
  <si>
    <t>M02-351-10764-D</t>
  </si>
  <si>
    <t>351-10764-E</t>
  </si>
  <si>
    <t>M02-351-10764-E</t>
  </si>
  <si>
    <t>351-10764-F</t>
  </si>
  <si>
    <t>M02-351-10764-F</t>
  </si>
  <si>
    <t>351-10764-G</t>
  </si>
  <si>
    <t>M02-351-10764-G</t>
  </si>
  <si>
    <t>351-10767-B</t>
  </si>
  <si>
    <t>M02-351-10767-B</t>
  </si>
  <si>
    <t>351-10767-C</t>
  </si>
  <si>
    <t>M02-351-10767-C</t>
  </si>
  <si>
    <t>351-10768-B</t>
  </si>
  <si>
    <t>M02-351-10768-B</t>
  </si>
  <si>
    <t>351-10768-C</t>
  </si>
  <si>
    <t>M02-351-10768-C</t>
  </si>
  <si>
    <t>351-10769-B</t>
  </si>
  <si>
    <t>M02-351-10769-B</t>
  </si>
  <si>
    <t>351-10769-C</t>
  </si>
  <si>
    <t>M02-351-10769-C</t>
  </si>
  <si>
    <t>351-10770-B</t>
  </si>
  <si>
    <t>M02-351-10770-B</t>
  </si>
  <si>
    <t>351-10772-B</t>
  </si>
  <si>
    <t>M02-351-10772-B</t>
  </si>
  <si>
    <t>351-10772-C</t>
  </si>
  <si>
    <t>M02-351-10772-C</t>
  </si>
  <si>
    <t>351-10773-B</t>
  </si>
  <si>
    <t>M02-351-10773-B</t>
  </si>
  <si>
    <t>351-10773-C</t>
  </si>
  <si>
    <t>M02-351-10773-C</t>
  </si>
  <si>
    <t>MR-PR-1001 25MT SWL</t>
  </si>
  <si>
    <t>332-10604-A</t>
  </si>
  <si>
    <t>M02-332-10604-A</t>
  </si>
  <si>
    <t>332-10604-B</t>
  </si>
  <si>
    <t>M02-332-10604-B</t>
  </si>
  <si>
    <t>332-10604-C</t>
  </si>
  <si>
    <t>M02-332-10604-C</t>
  </si>
  <si>
    <t>332-10607-A</t>
  </si>
  <si>
    <t>M02-332-10607-A</t>
  </si>
  <si>
    <t>332-10607-B</t>
  </si>
  <si>
    <t>M02-332-10607-B</t>
  </si>
  <si>
    <t>332-10607-C</t>
  </si>
  <si>
    <t>M02-332-10607-C</t>
  </si>
  <si>
    <t>332-10609-A</t>
  </si>
  <si>
    <t>M02-332-10609-A</t>
  </si>
  <si>
    <t>332-10609-B</t>
  </si>
  <si>
    <t>M02-332-10609-B</t>
  </si>
  <si>
    <t>332-10609-C</t>
  </si>
  <si>
    <t>M02-332-10609-C</t>
  </si>
  <si>
    <t>332-10611-A</t>
  </si>
  <si>
    <t>M02-332-10611-A</t>
  </si>
  <si>
    <t>332-10611-B</t>
  </si>
  <si>
    <t>M02-332-10611-B</t>
  </si>
  <si>
    <t>332-10611-C</t>
  </si>
  <si>
    <t>M02-332-10611-C</t>
  </si>
  <si>
    <t>332-10614-A</t>
  </si>
  <si>
    <t>M02-332-10614-A</t>
  </si>
  <si>
    <t>332-10614-B</t>
  </si>
  <si>
    <t>M02-332-10614-B</t>
  </si>
  <si>
    <t>332-10614-C</t>
  </si>
  <si>
    <t>M02-332-10614-C</t>
  </si>
  <si>
    <t>332-10616-A</t>
  </si>
  <si>
    <t>M02-332-10616-A</t>
  </si>
  <si>
    <t>332-10616-B</t>
  </si>
  <si>
    <t>M02-332-10616-B</t>
  </si>
  <si>
    <t>332-10616-C</t>
  </si>
  <si>
    <t>M02-332-10616-C</t>
  </si>
  <si>
    <t>OFBM-M02-1001</t>
  </si>
  <si>
    <t>332-10701-A</t>
  </si>
  <si>
    <t>M02-332-10701-A</t>
  </si>
  <si>
    <t>332-10702-A</t>
  </si>
  <si>
    <t>M02-332-10702-A</t>
  </si>
  <si>
    <t>332-10703-A</t>
  </si>
  <si>
    <t>M02-332-10703-A</t>
  </si>
  <si>
    <t>332-10704-A</t>
  </si>
  <si>
    <t>M02-332-10704-A</t>
  </si>
  <si>
    <t>OFBM-M02-1004</t>
  </si>
  <si>
    <t>332-10801-A</t>
  </si>
  <si>
    <t>M02-332-10801-A</t>
  </si>
  <si>
    <t>332-10803-A</t>
  </si>
  <si>
    <t>M02-332-10803-A</t>
  </si>
  <si>
    <t>M02-332-10804-A</t>
  </si>
  <si>
    <t>332-10806-A</t>
  </si>
  <si>
    <t>M02-332-10806-A</t>
  </si>
  <si>
    <t>332-10807-A</t>
  </si>
  <si>
    <t>M02-332-10807-A</t>
  </si>
  <si>
    <t>OFBM-M02-1002</t>
  </si>
  <si>
    <t>M02-332-10901-A</t>
  </si>
  <si>
    <t>M02-332-10902-A</t>
  </si>
  <si>
    <t>332-10903-A</t>
  </si>
  <si>
    <t>M02-332-10903-A</t>
  </si>
  <si>
    <t>332-10904-A</t>
  </si>
  <si>
    <t>M02-332-10904-A</t>
  </si>
  <si>
    <t>OFBM-M02-1005</t>
  </si>
  <si>
    <t>332-11001-A</t>
  </si>
  <si>
    <t>M02-332-11001-A</t>
  </si>
  <si>
    <t>332-11003-A</t>
  </si>
  <si>
    <t>M02-332-11003-A</t>
  </si>
  <si>
    <t>332-11004-A</t>
  </si>
  <si>
    <t>M02-332-11004-A</t>
  </si>
  <si>
    <t>332-11006-A</t>
  </si>
  <si>
    <t>M02-332-11006-A</t>
  </si>
  <si>
    <t>332-11007-A</t>
  </si>
  <si>
    <t>M02-332-11007-A</t>
  </si>
  <si>
    <t>OFBM-M02-1003</t>
  </si>
  <si>
    <t>332-11101-A</t>
  </si>
  <si>
    <t>M02-332-11101-A</t>
  </si>
  <si>
    <t>332-11102</t>
  </si>
  <si>
    <t>M02-332-11102-0</t>
  </si>
  <si>
    <t>332-11103-A</t>
  </si>
  <si>
    <t>M02-332-11103-A</t>
  </si>
  <si>
    <t>332-11104-A</t>
  </si>
  <si>
    <t>M02-332-11104-A</t>
  </si>
  <si>
    <t>HO-DF-1411-M01-301</t>
  </si>
  <si>
    <t>36 205</t>
  </si>
  <si>
    <t>LANDING</t>
  </si>
  <si>
    <t>PATAMAR 1</t>
  </si>
  <si>
    <t>301−10001−A</t>
  </si>
  <si>
    <t>M01-301−10001−A</t>
  </si>
  <si>
    <t>301−10002</t>
  </si>
  <si>
    <t>M01-301−10002-0</t>
  </si>
  <si>
    <t>301−10003−A</t>
  </si>
  <si>
    <t>M01-301−10003−A</t>
  </si>
  <si>
    <t>301−10004−A</t>
  </si>
  <si>
    <t>M01-301−10004−A</t>
  </si>
  <si>
    <t>301−10005</t>
  </si>
  <si>
    <t>M01-301−10005-0</t>
  </si>
  <si>
    <t>301−10007−A</t>
  </si>
  <si>
    <t>M01-301−10007−A</t>
  </si>
  <si>
    <t>301−10007−B</t>
  </si>
  <si>
    <t>M01-301−10007−B</t>
  </si>
  <si>
    <t>301−10007−C</t>
  </si>
  <si>
    <t>M01-301−10007−C</t>
  </si>
  <si>
    <t>301−10007−D</t>
  </si>
  <si>
    <t>M01-301−10007−D</t>
  </si>
  <si>
    <t>301−10007−E</t>
  </si>
  <si>
    <t>M01-301−10007−E</t>
  </si>
  <si>
    <t>301−10007−H</t>
  </si>
  <si>
    <t>M01-301−10007−H</t>
  </si>
  <si>
    <t>301−10007−J</t>
  </si>
  <si>
    <t>M01-301−10007−J</t>
  </si>
  <si>
    <t>301−10008−A</t>
  </si>
  <si>
    <t>M01-301−10008−A</t>
  </si>
  <si>
    <t>301−10008−B</t>
  </si>
  <si>
    <t>M01-301−10008−B</t>
  </si>
  <si>
    <t>301−10008−C</t>
  </si>
  <si>
    <t>M01-301−10008−C</t>
  </si>
  <si>
    <t>301−10008−D</t>
  </si>
  <si>
    <t>M01-301−10008−D</t>
  </si>
  <si>
    <t>301−10008−E</t>
  </si>
  <si>
    <t>M01-301−10008−E</t>
  </si>
  <si>
    <t>301−10008−H</t>
  </si>
  <si>
    <t>M01-301−10008−H</t>
  </si>
  <si>
    <t>301−10008−J</t>
  </si>
  <si>
    <t>M01-301−10008−J</t>
  </si>
  <si>
    <t>301−10009−A</t>
  </si>
  <si>
    <t>M01-301−10009−A</t>
  </si>
  <si>
    <t>301−10009−B</t>
  </si>
  <si>
    <t>M01-301−10009−B</t>
  </si>
  <si>
    <t>301−10009−C</t>
  </si>
  <si>
    <t>M01-301−10009−C</t>
  </si>
  <si>
    <t>301−10009−D</t>
  </si>
  <si>
    <t>M01-301−10009−D</t>
  </si>
  <si>
    <t>301−10009−E</t>
  </si>
  <si>
    <t>M01-301−10009−E</t>
  </si>
  <si>
    <t>301−10009−H</t>
  </si>
  <si>
    <t>M01-301−10009−H</t>
  </si>
  <si>
    <t>301−10009−J</t>
  </si>
  <si>
    <t>M01-301−10009−J</t>
  </si>
  <si>
    <t>301−10009−K</t>
  </si>
  <si>
    <t>M01-301−10009−K</t>
  </si>
  <si>
    <t>301−10009−L</t>
  </si>
  <si>
    <t>M01-301−10009−L</t>
  </si>
  <si>
    <t>301−10009−M</t>
  </si>
  <si>
    <t>M01-301−10009−M</t>
  </si>
  <si>
    <t>301−10010−A</t>
  </si>
  <si>
    <t>M01-301−10010−A</t>
  </si>
  <si>
    <t>301−10011−A</t>
  </si>
  <si>
    <t>M01-301−10011−A</t>
  </si>
  <si>
    <t>301−10012−A</t>
  </si>
  <si>
    <t>M01-301−10012−A</t>
  </si>
  <si>
    <t>301−10013−A</t>
  </si>
  <si>
    <t>M01-301−10013−A</t>
  </si>
  <si>
    <t>301−10013−C</t>
  </si>
  <si>
    <t>M01-301−10013−C</t>
  </si>
  <si>
    <t>301−10013−E</t>
  </si>
  <si>
    <t>M01-301−10013−E</t>
  </si>
  <si>
    <t>301−10013−F</t>
  </si>
  <si>
    <t>M01-301−10013−F</t>
  </si>
  <si>
    <t>301−10013−G</t>
  </si>
  <si>
    <t>M01-301−10013−G</t>
  </si>
  <si>
    <t>301−10013−H</t>
  </si>
  <si>
    <t>M01-301−10013−H</t>
  </si>
  <si>
    <t>301−10013−J</t>
  </si>
  <si>
    <t>M01-301−10013−J</t>
  </si>
  <si>
    <t>301−10014−A</t>
  </si>
  <si>
    <t>M01-301−10014−A</t>
  </si>
  <si>
    <t>301−10014−B</t>
  </si>
  <si>
    <t>M01-301−10014−B</t>
  </si>
  <si>
    <t>301−10014−C</t>
  </si>
  <si>
    <t>M01-301−10014−C</t>
  </si>
  <si>
    <t>301−10014−D</t>
  </si>
  <si>
    <t>M01-301−10014−D</t>
  </si>
  <si>
    <t>301−10014−E</t>
  </si>
  <si>
    <t>M01-301−10014−E</t>
  </si>
  <si>
    <t>301−10014−H</t>
  </si>
  <si>
    <t>M01-301−10014−H</t>
  </si>
  <si>
    <t>301−10015−A</t>
  </si>
  <si>
    <t>M01-301−10015−A</t>
  </si>
  <si>
    <t>STAIR</t>
  </si>
  <si>
    <t xml:space="preserve">ESCADA 1 </t>
  </si>
  <si>
    <t>301−10101−A</t>
  </si>
  <si>
    <t>M01-301−10101−A</t>
  </si>
  <si>
    <t>301−10101−B</t>
  </si>
  <si>
    <t>M01-301−10101−B</t>
  </si>
  <si>
    <t>301−10101−G</t>
  </si>
  <si>
    <t>M01-301−10101−G</t>
  </si>
  <si>
    <t>301−10102−A</t>
  </si>
  <si>
    <t>M01-301−10102−A</t>
  </si>
  <si>
    <t>301−10102−C</t>
  </si>
  <si>
    <t>M01-301−10102−C</t>
  </si>
  <si>
    <t>301−10102−E</t>
  </si>
  <si>
    <t>M01-301−10102−E</t>
  </si>
  <si>
    <t>301−10102−G</t>
  </si>
  <si>
    <t>M01-301−10102−G</t>
  </si>
  <si>
    <t>301−10102−H</t>
  </si>
  <si>
    <t>M01-301−10102−H</t>
  </si>
  <si>
    <t>301−10102−J</t>
  </si>
  <si>
    <t>M01-301−10102−J</t>
  </si>
  <si>
    <t>301−10102−K</t>
  </si>
  <si>
    <t>M01-301−10102−K</t>
  </si>
  <si>
    <t>301−10102−L</t>
  </si>
  <si>
    <t>M01-301−10102−L</t>
  </si>
  <si>
    <t>301−10102−M</t>
  </si>
  <si>
    <t>M01-301−10102−M</t>
  </si>
  <si>
    <t>301−10102−N</t>
  </si>
  <si>
    <t>M01-301−10102−N</t>
  </si>
  <si>
    <t>301−10102−P</t>
  </si>
  <si>
    <t>M01-301−10102−P</t>
  </si>
  <si>
    <t>301−10102−R</t>
  </si>
  <si>
    <t>M01-301−10102−R</t>
  </si>
  <si>
    <t>301−10102−S</t>
  </si>
  <si>
    <t>M01-301−10102−S</t>
  </si>
  <si>
    <t>301−10102−T</t>
  </si>
  <si>
    <t>M01-301−10102−T</t>
  </si>
  <si>
    <t>301−10103−A</t>
  </si>
  <si>
    <t>M01-301−10103−A</t>
  </si>
  <si>
    <t>301−10103−B</t>
  </si>
  <si>
    <t>M01-301−10103−B</t>
  </si>
  <si>
    <t>301−10103−D</t>
  </si>
  <si>
    <t>M01-301−10103−D</t>
  </si>
  <si>
    <t>301−10103−F</t>
  </si>
  <si>
    <t>M01-301−10103−F</t>
  </si>
  <si>
    <t>301−10103−H</t>
  </si>
  <si>
    <t>M01-301−10103−H</t>
  </si>
  <si>
    <t>301−10103−J</t>
  </si>
  <si>
    <t>M01-301−10103−J</t>
  </si>
  <si>
    <t>301−10103−K</t>
  </si>
  <si>
    <t>M01-301−10103−K</t>
  </si>
  <si>
    <t>301−10103−L</t>
  </si>
  <si>
    <t>M01-301−10103−L</t>
  </si>
  <si>
    <t>301−10103−M</t>
  </si>
  <si>
    <t>M01-301−10103−M</t>
  </si>
  <si>
    <t>301−10103−N</t>
  </si>
  <si>
    <t>M01-301−10103−N</t>
  </si>
  <si>
    <t>301−10103−P</t>
  </si>
  <si>
    <t>M01-301−10103−P</t>
  </si>
  <si>
    <t>301−10103−R</t>
  </si>
  <si>
    <t>M01-301−10103−R</t>
  </si>
  <si>
    <t>301−10103−S</t>
  </si>
  <si>
    <t>M01-301−10103−S</t>
  </si>
  <si>
    <t>301−10103−T</t>
  </si>
  <si>
    <t>M01-301−10103−T</t>
  </si>
  <si>
    <t>301−10104</t>
  </si>
  <si>
    <t>M01-301−10104-0</t>
  </si>
  <si>
    <t>301−10105−A</t>
  </si>
  <si>
    <t>M01-301−10105−A</t>
  </si>
  <si>
    <t>301−10105−B</t>
  </si>
  <si>
    <t>M01-301−10105−B</t>
  </si>
  <si>
    <t>301−10105−H</t>
  </si>
  <si>
    <t>M01-301−10105−H</t>
  </si>
  <si>
    <t>301−10106</t>
  </si>
  <si>
    <t>M01-301−10106-0</t>
  </si>
  <si>
    <t>301−10107</t>
  </si>
  <si>
    <t>M01-301−10107-0</t>
  </si>
  <si>
    <t xml:space="preserve">ESCADA 2 </t>
  </si>
  <si>
    <t>301−10201−A</t>
  </si>
  <si>
    <t>M01-301−10201−A</t>
  </si>
  <si>
    <t>301−10201−B</t>
  </si>
  <si>
    <t>M01-301−10201−B</t>
  </si>
  <si>
    <t>301−10201−D</t>
  </si>
  <si>
    <t>M01-301−10201−D</t>
  </si>
  <si>
    <t>301−10203</t>
  </si>
  <si>
    <t>M01-301−10203-0</t>
  </si>
  <si>
    <t>301−10204</t>
  </si>
  <si>
    <t>M01-301−10204-0</t>
  </si>
  <si>
    <t>301−10205</t>
  </si>
  <si>
    <t>M01-301−10205-0</t>
  </si>
  <si>
    <t>301−10206</t>
  </si>
  <si>
    <t>M01-301−10206-0</t>
  </si>
  <si>
    <t>301−10207</t>
  </si>
  <si>
    <t>M01-301−10207-0</t>
  </si>
  <si>
    <t>301−10208−A</t>
  </si>
  <si>
    <t>M01-301−10208−A</t>
  </si>
  <si>
    <t>301−10208−B</t>
  </si>
  <si>
    <t>M01-301−10208−B</t>
  </si>
  <si>
    <t>301−10208−C</t>
  </si>
  <si>
    <t>M01-301−10208−C</t>
  </si>
  <si>
    <t>301−10209</t>
  </si>
  <si>
    <t>M01-301−10209-0</t>
  </si>
  <si>
    <t>301−10210−A</t>
  </si>
  <si>
    <t>M01-301−10210−A</t>
  </si>
  <si>
    <t>301−10210−C</t>
  </si>
  <si>
    <t>M01-301−10210−C</t>
  </si>
  <si>
    <t>301−10210−E</t>
  </si>
  <si>
    <t>M01-301−10210−E</t>
  </si>
  <si>
    <t>301−10210−G</t>
  </si>
  <si>
    <t>M01-301−10210−G</t>
  </si>
  <si>
    <t>301−10210−K</t>
  </si>
  <si>
    <t>M01-301−10210−K</t>
  </si>
  <si>
    <t>301−10210−L</t>
  </si>
  <si>
    <t>M01-301−10210−L</t>
  </si>
  <si>
    <t>301−10210−M</t>
  </si>
  <si>
    <t>M01-301−10210−M</t>
  </si>
  <si>
    <t>301−10210−N</t>
  </si>
  <si>
    <t>M01-301−10210−N</t>
  </si>
  <si>
    <t>301−10210−P</t>
  </si>
  <si>
    <t>M01-301−10210−P</t>
  </si>
  <si>
    <t>301−10210−R</t>
  </si>
  <si>
    <t>M01-301−10210−R</t>
  </si>
  <si>
    <t>301−10210−S</t>
  </si>
  <si>
    <t>M01-301−10210−S</t>
  </si>
  <si>
    <t>301−10210−T</t>
  </si>
  <si>
    <t>M01-301−10210−T</t>
  </si>
  <si>
    <t>301−10210−U</t>
  </si>
  <si>
    <t>M01-301−10210−U</t>
  </si>
  <si>
    <t>301−10210−V</t>
  </si>
  <si>
    <t>M01-301−10210−V</t>
  </si>
  <si>
    <t>301−10210−W</t>
  </si>
  <si>
    <t>M01-301−10210−W</t>
  </si>
  <si>
    <t>301−10210−X</t>
  </si>
  <si>
    <t>M01-301−10210−X</t>
  </si>
  <si>
    <t>301−10211−A</t>
  </si>
  <si>
    <t>M01-301−10211−A</t>
  </si>
  <si>
    <t>301−10211−B</t>
  </si>
  <si>
    <t>M01-301−10211−B</t>
  </si>
  <si>
    <t>301−10211−D</t>
  </si>
  <si>
    <t>M01-301−10211−D</t>
  </si>
  <si>
    <t>301−10211−F</t>
  </si>
  <si>
    <t>M01-301−10211−F</t>
  </si>
  <si>
    <t>301−10211−H</t>
  </si>
  <si>
    <t>M01-301−10211−H</t>
  </si>
  <si>
    <t>301−10211−L</t>
  </si>
  <si>
    <t>M01-301−10211−L</t>
  </si>
  <si>
    <t>301−10211−M</t>
  </si>
  <si>
    <t>M01-301−10211−M</t>
  </si>
  <si>
    <t>301−10211−N</t>
  </si>
  <si>
    <t>M01-301−10211−N</t>
  </si>
  <si>
    <t>301−10211−P</t>
  </si>
  <si>
    <t>M01-301−10211−P</t>
  </si>
  <si>
    <t>301−10211−R</t>
  </si>
  <si>
    <t>M01-301−10211−R</t>
  </si>
  <si>
    <t>301−10211−S</t>
  </si>
  <si>
    <t>M01-301−10211−S</t>
  </si>
  <si>
    <t>301−10211−T</t>
  </si>
  <si>
    <t>M01-301−10211−T</t>
  </si>
  <si>
    <t>301−10211−U</t>
  </si>
  <si>
    <t>M01-301−10211−U</t>
  </si>
  <si>
    <t>301−10211−V</t>
  </si>
  <si>
    <t>M01-301−10211−V</t>
  </si>
  <si>
    <t>301−10211−W</t>
  </si>
  <si>
    <t>M01-301−10211−W</t>
  </si>
  <si>
    <t>301−10211−X</t>
  </si>
  <si>
    <t>M01-301−10211−X</t>
  </si>
  <si>
    <t>301−10212</t>
  </si>
  <si>
    <t>M01-301−10212-0</t>
  </si>
  <si>
    <t>301−10213</t>
  </si>
  <si>
    <t>M01-301−10213-0</t>
  </si>
  <si>
    <t>PATAMAR 2</t>
  </si>
  <si>
    <t>301−10307</t>
  </si>
  <si>
    <t>M01-301−10307-0</t>
  </si>
  <si>
    <t>301−10308</t>
  </si>
  <si>
    <t>M01-301−10308-0</t>
  </si>
  <si>
    <t>ESCADA 3</t>
  </si>
  <si>
    <t>301−10309</t>
  </si>
  <si>
    <t>M01-301−10309-0</t>
  </si>
  <si>
    <t>ESCADA 4</t>
  </si>
  <si>
    <t>301−10310</t>
  </si>
  <si>
    <t>M01-301−10310-0</t>
  </si>
  <si>
    <t>301−10314−A</t>
  </si>
  <si>
    <t>M01-301−10314−A</t>
  </si>
  <si>
    <t>301−10314−B</t>
  </si>
  <si>
    <t>M01-301−10314−B</t>
  </si>
  <si>
    <t>301−10315−A</t>
  </si>
  <si>
    <t>M01-301−10315−A</t>
  </si>
  <si>
    <t>301−10315−B</t>
  </si>
  <si>
    <t>M01-301−10315−B</t>
  </si>
  <si>
    <t>301−10316−A</t>
  </si>
  <si>
    <t>M01-301−10316−A</t>
  </si>
  <si>
    <t>301−10316−B</t>
  </si>
  <si>
    <t>M01-301−10316−B</t>
  </si>
  <si>
    <t>301−10317−A</t>
  </si>
  <si>
    <t>M01-301−10317−A</t>
  </si>
  <si>
    <t>301−10317−B</t>
  </si>
  <si>
    <t>M01-301−10317−B</t>
  </si>
  <si>
    <t>301−10318−A</t>
  </si>
  <si>
    <t>M01-301−10318−A</t>
  </si>
  <si>
    <t>301−10318−B</t>
  </si>
  <si>
    <t>M01-301−10318−B</t>
  </si>
  <si>
    <t>301−10318−C</t>
  </si>
  <si>
    <t>M01-301−10318−C</t>
  </si>
  <si>
    <t>301−10318−D</t>
  </si>
  <si>
    <t>M01-301−10318−D</t>
  </si>
  <si>
    <t>301−10318−E</t>
  </si>
  <si>
    <t>M01-301−10318−E</t>
  </si>
  <si>
    <t>301−10318−F</t>
  </si>
  <si>
    <t>M01-301−10318−F</t>
  </si>
  <si>
    <t>301−10318−G</t>
  </si>
  <si>
    <t>M01-301−10318−G</t>
  </si>
  <si>
    <t>301−10318−H</t>
  </si>
  <si>
    <t>M01-301−10318−H</t>
  </si>
  <si>
    <t>301−10318−J</t>
  </si>
  <si>
    <t>M01-301−10318−J</t>
  </si>
  <si>
    <t>301−10318−K</t>
  </si>
  <si>
    <t>M01-301−10318−K</t>
  </si>
  <si>
    <t>301−10318−L</t>
  </si>
  <si>
    <t>M01-301−10318−L</t>
  </si>
  <si>
    <t>301−10318−M</t>
  </si>
  <si>
    <t>M01-301−10318−M</t>
  </si>
  <si>
    <t>301−10318−R</t>
  </si>
  <si>
    <t>M01-301−10318−R</t>
  </si>
  <si>
    <t>301−10319−A</t>
  </si>
  <si>
    <t>M01-301−10319−A</t>
  </si>
  <si>
    <t>301−10319−B</t>
  </si>
  <si>
    <t>M01-301−10319−B</t>
  </si>
  <si>
    <t>301−10319−C</t>
  </si>
  <si>
    <t>M01-301−10319−C</t>
  </si>
  <si>
    <t>301−10319−D</t>
  </si>
  <si>
    <t>M01-301−10319−D</t>
  </si>
  <si>
    <t>301−10319−E</t>
  </si>
  <si>
    <t>M01-301−10319−E</t>
  </si>
  <si>
    <t>301−10319−F</t>
  </si>
  <si>
    <t>M01-301−10319−F</t>
  </si>
  <si>
    <t>301−10319−G</t>
  </si>
  <si>
    <t>M01-301−10319−G</t>
  </si>
  <si>
    <t>301−10319−H</t>
  </si>
  <si>
    <t>M01-301−10319−H</t>
  </si>
  <si>
    <t>301−10319−J</t>
  </si>
  <si>
    <t>M01-301−10319−J</t>
  </si>
  <si>
    <t>301−10319−K</t>
  </si>
  <si>
    <t>M01-301−10319−K</t>
  </si>
  <si>
    <t>301−10319−L</t>
  </si>
  <si>
    <t>M01-301−10319−L</t>
  </si>
  <si>
    <t>301−10319−M</t>
  </si>
  <si>
    <t>M01-301−10319−M</t>
  </si>
  <si>
    <t>301−10320−A</t>
  </si>
  <si>
    <t>M01-301−10320−A</t>
  </si>
  <si>
    <t>301−10320−B</t>
  </si>
  <si>
    <t>M01-301−10320−B</t>
  </si>
  <si>
    <t>301−10320−C</t>
  </si>
  <si>
    <t>M01-301−10320−C</t>
  </si>
  <si>
    <t>301−10320−D</t>
  </si>
  <si>
    <t>M01-301−10320−D</t>
  </si>
  <si>
    <t>301−10320−E</t>
  </si>
  <si>
    <t>M01-301−10320−E</t>
  </si>
  <si>
    <t>301−10320−F</t>
  </si>
  <si>
    <t>M01-301−10320−F</t>
  </si>
  <si>
    <t>301−10320−G</t>
  </si>
  <si>
    <t>M01-301−10320−G</t>
  </si>
  <si>
    <t>301−10320−H</t>
  </si>
  <si>
    <t>M01-301−10320−H</t>
  </si>
  <si>
    <t>301−10320−J</t>
  </si>
  <si>
    <t>M01-301−10320−J</t>
  </si>
  <si>
    <t>301−10320−K</t>
  </si>
  <si>
    <t>M01-301−10320−K</t>
  </si>
  <si>
    <t>301−10320−L</t>
  </si>
  <si>
    <t>M01-301−10320−L</t>
  </si>
  <si>
    <t>301−10320−M</t>
  </si>
  <si>
    <t>M01-301−10320−M</t>
  </si>
  <si>
    <t>301−10320−R</t>
  </si>
  <si>
    <t>M01-301−10320−R</t>
  </si>
  <si>
    <t>301−10321−A</t>
  </si>
  <si>
    <t>M01-301−10321−A</t>
  </si>
  <si>
    <t>301−10321−B</t>
  </si>
  <si>
    <t>M01-301−10321−B</t>
  </si>
  <si>
    <t>301−10321−C</t>
  </si>
  <si>
    <t>M01-301−10321−C</t>
  </si>
  <si>
    <t>301−10321−D</t>
  </si>
  <si>
    <t>M01-301−10321−D</t>
  </si>
  <si>
    <t>301−10321−E</t>
  </si>
  <si>
    <t>M01-301−10321−E</t>
  </si>
  <si>
    <t>301−10321−F</t>
  </si>
  <si>
    <t>M01-301−10321−F</t>
  </si>
  <si>
    <t>301−10321−G</t>
  </si>
  <si>
    <t>M01-301−10321−G</t>
  </si>
  <si>
    <t>301−10321−H</t>
  </si>
  <si>
    <t>M01-301−10321−H</t>
  </si>
  <si>
    <t>301−10321−J</t>
  </si>
  <si>
    <t>M01-301−10321−J</t>
  </si>
  <si>
    <t>301−10321−K</t>
  </si>
  <si>
    <t>M01-301−10321−K</t>
  </si>
  <si>
    <t>301−10321−L</t>
  </si>
  <si>
    <t>M01-301−10321−L</t>
  </si>
  <si>
    <t>301−10321−M</t>
  </si>
  <si>
    <t>M01-301−10321−M</t>
  </si>
  <si>
    <t>301−10324</t>
  </si>
  <si>
    <t>M01-301−10324-0</t>
  </si>
  <si>
    <t>301−10325</t>
  </si>
  <si>
    <t>M01-301−10325-0</t>
  </si>
  <si>
    <t>301−10332−A</t>
  </si>
  <si>
    <t>M01-301−10332−A</t>
  </si>
  <si>
    <t>301−10332−B</t>
  </si>
  <si>
    <t>M01-301−10332−B</t>
  </si>
  <si>
    <t>301−10332−D</t>
  </si>
  <si>
    <t>M01-301−10332−D</t>
  </si>
  <si>
    <t>301−10332−F</t>
  </si>
  <si>
    <t>M01-301−10332−F</t>
  </si>
  <si>
    <t>301−10332−G</t>
  </si>
  <si>
    <t>M01-301−10332−G</t>
  </si>
  <si>
    <t>301−10332−H</t>
  </si>
  <si>
    <t>M01-301−10332−H</t>
  </si>
  <si>
    <t>301−10332−J</t>
  </si>
  <si>
    <t>M01-301−10332−J</t>
  </si>
  <si>
    <t>301−10332−K</t>
  </si>
  <si>
    <t>M01-301−10332−K</t>
  </si>
  <si>
    <t>301−10333−A</t>
  </si>
  <si>
    <t>M01-301−10333−A</t>
  </si>
  <si>
    <t>301−10333−C</t>
  </si>
  <si>
    <t>M01-301−10333−C</t>
  </si>
  <si>
    <t>301−10333−E</t>
  </si>
  <si>
    <t>M01-301−10333−E</t>
  </si>
  <si>
    <t>301−10333−F</t>
  </si>
  <si>
    <t>M01-301−10333−F</t>
  </si>
  <si>
    <t>301−10333−G</t>
  </si>
  <si>
    <t>M01-301−10333−G</t>
  </si>
  <si>
    <t>301−10333−H</t>
  </si>
  <si>
    <t>M01-301−10333−H</t>
  </si>
  <si>
    <t>301−10333−J</t>
  </si>
  <si>
    <t>M01-301−10333−J</t>
  </si>
  <si>
    <t>301−10333−K</t>
  </si>
  <si>
    <t>M01-301−10333−K</t>
  </si>
  <si>
    <t>HO-DF-1412-M02-301</t>
  </si>
  <si>
    <t>ESCADA 1</t>
  </si>
  <si>
    <t>301-10001-A</t>
  </si>
  <si>
    <t>M02-301-10001-A</t>
  </si>
  <si>
    <t>301-10002</t>
  </si>
  <si>
    <t>M02-301-10002-0</t>
  </si>
  <si>
    <t>301-10003</t>
  </si>
  <si>
    <t>M02-301-10003-0</t>
  </si>
  <si>
    <t>301-10004</t>
  </si>
  <si>
    <t>M02-301-10004-0</t>
  </si>
  <si>
    <t>301-10005-A</t>
  </si>
  <si>
    <t>M02-301-10005-A</t>
  </si>
  <si>
    <t>301-10006</t>
  </si>
  <si>
    <t>M02-301-10006-0</t>
  </si>
  <si>
    <t>301-10007</t>
  </si>
  <si>
    <t>M02-301-10007-0</t>
  </si>
  <si>
    <t>301-10008-A</t>
  </si>
  <si>
    <t>M02-301-10008-A</t>
  </si>
  <si>
    <t>301-10008-AA</t>
  </si>
  <si>
    <t>M02-301-10008-AA</t>
  </si>
  <si>
    <t>301-10008-B</t>
  </si>
  <si>
    <t>M02-301-10008-B</t>
  </si>
  <si>
    <t>301-10008-C</t>
  </si>
  <si>
    <t>M02-301-10008-C</t>
  </si>
  <si>
    <t>301-10008-D</t>
  </si>
  <si>
    <t>M02-301-10008-D</t>
  </si>
  <si>
    <t>301-10008-E</t>
  </si>
  <si>
    <t>M02-301-10008-E</t>
  </si>
  <si>
    <t>301-10008-F</t>
  </si>
  <si>
    <t>M02-301-10008-F</t>
  </si>
  <si>
    <t>301-10008-G</t>
  </si>
  <si>
    <t>M02-301-10008-G</t>
  </si>
  <si>
    <t>301-10008-H</t>
  </si>
  <si>
    <t>M02-301-10008-H</t>
  </si>
  <si>
    <t>301-10008-J</t>
  </si>
  <si>
    <t>M02-301-10008-J</t>
  </si>
  <si>
    <t>301-10008-K</t>
  </si>
  <si>
    <t>M02-301-10008-K</t>
  </si>
  <si>
    <t>301-10008-L</t>
  </si>
  <si>
    <t>M02-301-10008-L</t>
  </si>
  <si>
    <t>301-10008-M</t>
  </si>
  <si>
    <t>M02-301-10008-M</t>
  </si>
  <si>
    <t>301-10008-N</t>
  </si>
  <si>
    <t>M02-301-10008-N</t>
  </si>
  <si>
    <t>301-10008-P</t>
  </si>
  <si>
    <t>M02-301-10008-P</t>
  </si>
  <si>
    <t>301-10008-R</t>
  </si>
  <si>
    <t>M02-301-10008-R</t>
  </si>
  <si>
    <t>301-10008-S</t>
  </si>
  <si>
    <t>M02-301-10008-S</t>
  </si>
  <si>
    <t>301-10008-T</t>
  </si>
  <si>
    <t>M02-301-10008-T</t>
  </si>
  <si>
    <t>301-10008-U</t>
  </si>
  <si>
    <t>M02-301-10008-U</t>
  </si>
  <si>
    <t>301-10008-V</t>
  </si>
  <si>
    <t>M02-301-10008-V</t>
  </si>
  <si>
    <t>301-10008-W</t>
  </si>
  <si>
    <t>M02-301-10008-W</t>
  </si>
  <si>
    <t>301-10008-X</t>
  </si>
  <si>
    <t>M02-301-10008-X</t>
  </si>
  <si>
    <t>301-10008-Y</t>
  </si>
  <si>
    <t>M02-301-10008-Y</t>
  </si>
  <si>
    <t>301-10008-Z</t>
  </si>
  <si>
    <t>M02-301-10008-Z</t>
  </si>
  <si>
    <t>301-10009-A</t>
  </si>
  <si>
    <t>M02-301-10009-A</t>
  </si>
  <si>
    <t>301-10009-AA</t>
  </si>
  <si>
    <t>M02-301-10009-AA</t>
  </si>
  <si>
    <t>301-10009-B</t>
  </si>
  <si>
    <t>M02-301-10009-B</t>
  </si>
  <si>
    <t>301-10009-C</t>
  </si>
  <si>
    <t>M02-301-10009-C</t>
  </si>
  <si>
    <t>301-10009-D</t>
  </si>
  <si>
    <t>M02-301-10009-D</t>
  </si>
  <si>
    <t>301-10009-E</t>
  </si>
  <si>
    <t>M02-301-10009-E</t>
  </si>
  <si>
    <t>301-10009-F</t>
  </si>
  <si>
    <t>M02-301-10009-F</t>
  </si>
  <si>
    <t>301-10009-G</t>
  </si>
  <si>
    <t>M02-301-10009-G</t>
  </si>
  <si>
    <t>301-10009-H</t>
  </si>
  <si>
    <t>M02-301-10009-H</t>
  </si>
  <si>
    <t>301-10009-J</t>
  </si>
  <si>
    <t>M02-301-10009-J</t>
  </si>
  <si>
    <t>301-10009-K</t>
  </si>
  <si>
    <t>M02-301-10009-K</t>
  </si>
  <si>
    <t>301-10009-L</t>
  </si>
  <si>
    <t>M02-301-10009-L</t>
  </si>
  <si>
    <t>301-10009-M</t>
  </si>
  <si>
    <t>M02-301-10009-M</t>
  </si>
  <si>
    <t>301-10009-N</t>
  </si>
  <si>
    <t>M02-301-10009-N</t>
  </si>
  <si>
    <t>301-10009-P</t>
  </si>
  <si>
    <t>M02-301-10009-P</t>
  </si>
  <si>
    <t>301-10009-R</t>
  </si>
  <si>
    <t>M02-301-10009-R</t>
  </si>
  <si>
    <t>301-10009-S</t>
  </si>
  <si>
    <t>M02-301-10009-S</t>
  </si>
  <si>
    <t>301-10009-T</t>
  </si>
  <si>
    <t>M02-301-10009-T</t>
  </si>
  <si>
    <t>301-10009-U</t>
  </si>
  <si>
    <t>M02-301-10009-U</t>
  </si>
  <si>
    <t>301-10009-V</t>
  </si>
  <si>
    <t>M02-301-10009-V</t>
  </si>
  <si>
    <t>301-10009-W</t>
  </si>
  <si>
    <t>M02-301-10009-W</t>
  </si>
  <si>
    <t>301-10009-X</t>
  </si>
  <si>
    <t>M02-301-10009-X</t>
  </si>
  <si>
    <t>301-10009-Y</t>
  </si>
  <si>
    <t>M02-301-10009-Y</t>
  </si>
  <si>
    <t>301-10009-Z</t>
  </si>
  <si>
    <t>M02-301-10009-Z</t>
  </si>
  <si>
    <t>301-10011</t>
  </si>
  <si>
    <t>M02-301-10011-0</t>
  </si>
  <si>
    <t>301-10012</t>
  </si>
  <si>
    <t>M02-301-10012-0</t>
  </si>
  <si>
    <t>301-10013-A</t>
  </si>
  <si>
    <t>M02-301-10013-A</t>
  </si>
  <si>
    <t>301-10014-A</t>
  </si>
  <si>
    <t>M02-301-10014-A</t>
  </si>
  <si>
    <t>301-10015</t>
  </si>
  <si>
    <t>M02-301-10015-0</t>
  </si>
  <si>
    <t>301-10016-B</t>
  </si>
  <si>
    <t>M02-301-10016-B</t>
  </si>
  <si>
    <t>301-10017-A</t>
  </si>
  <si>
    <t>M02-301-10017-A</t>
  </si>
  <si>
    <t>301-10018-A</t>
  </si>
  <si>
    <t>M02-301-10018-A</t>
  </si>
  <si>
    <t>301-10019-A</t>
  </si>
  <si>
    <t>M02-301-10019-A</t>
  </si>
  <si>
    <t>301-10020</t>
  </si>
  <si>
    <t>M02-301-10020-0</t>
  </si>
  <si>
    <t>ESCADA 2</t>
  </si>
  <si>
    <t>301-10021</t>
  </si>
  <si>
    <t>M02-301-10021-0</t>
  </si>
  <si>
    <t>301-10022</t>
  </si>
  <si>
    <t>M02-301-10022-0</t>
  </si>
  <si>
    <t>301-10023-A</t>
  </si>
  <si>
    <t>M02-301-10023-A</t>
  </si>
  <si>
    <t>301-10023-C</t>
  </si>
  <si>
    <t>M02-301-10023-C</t>
  </si>
  <si>
    <t>301-10023-E</t>
  </si>
  <si>
    <t>M02-301-10023-E</t>
  </si>
  <si>
    <t>301-10023-F</t>
  </si>
  <si>
    <t>M02-301-10023-F</t>
  </si>
  <si>
    <t>301-10023-G</t>
  </si>
  <si>
    <t>M02-301-10023-G</t>
  </si>
  <si>
    <t>301-10023-H</t>
  </si>
  <si>
    <t>M02-301-10023-H</t>
  </si>
  <si>
    <t>301-10023-J</t>
  </si>
  <si>
    <t>M02-301-10023-J</t>
  </si>
  <si>
    <t>301-10023-K</t>
  </si>
  <si>
    <t>M02-301-10023-K</t>
  </si>
  <si>
    <t>301-10023-L</t>
  </si>
  <si>
    <t>M02-301-10023-L</t>
  </si>
  <si>
    <t>301-10023-M</t>
  </si>
  <si>
    <t>M02-301-10023-M</t>
  </si>
  <si>
    <t>301-10023-N</t>
  </si>
  <si>
    <t>M02-301-10023-N</t>
  </si>
  <si>
    <t>301-10023-P</t>
  </si>
  <si>
    <t>M02-301-10023-P</t>
  </si>
  <si>
    <t>301-10023-R</t>
  </si>
  <si>
    <t>M02-301-10023-R</t>
  </si>
  <si>
    <t>301-10023-S</t>
  </si>
  <si>
    <t>M02-301-10023-S</t>
  </si>
  <si>
    <t>301-10023-T</t>
  </si>
  <si>
    <t>M02-301-10023-T</t>
  </si>
  <si>
    <t>301-10023-U</t>
  </si>
  <si>
    <t>M02-301-10023-U</t>
  </si>
  <si>
    <t>301-10024-A</t>
  </si>
  <si>
    <t>M02-301-10024-A</t>
  </si>
  <si>
    <t>301-10024-C</t>
  </si>
  <si>
    <t>M02-301-10024-C</t>
  </si>
  <si>
    <t>301-10024-E</t>
  </si>
  <si>
    <t>M02-301-10024-E</t>
  </si>
  <si>
    <t>301-10024-F</t>
  </si>
  <si>
    <t>M02-301-10024-F</t>
  </si>
  <si>
    <t>301-10024-G</t>
  </si>
  <si>
    <t>M02-301-10024-G</t>
  </si>
  <si>
    <t>301-10024-H</t>
  </si>
  <si>
    <t>M02-301-10024-H</t>
  </si>
  <si>
    <t>301-10024-J</t>
  </si>
  <si>
    <t>M02-301-10024-J</t>
  </si>
  <si>
    <t>301-10024-K</t>
  </si>
  <si>
    <t>M02-301-10024-K</t>
  </si>
  <si>
    <t>301-10024-L</t>
  </si>
  <si>
    <t>M02-301-10024-L</t>
  </si>
  <si>
    <t>301-10024-M</t>
  </si>
  <si>
    <t>M02-301-10024-M</t>
  </si>
  <si>
    <t>301-10024-N</t>
  </si>
  <si>
    <t>M02-301-10024-N</t>
  </si>
  <si>
    <t>301-10024-P</t>
  </si>
  <si>
    <t>M02-301-10024-P</t>
  </si>
  <si>
    <t>301-10024-R</t>
  </si>
  <si>
    <t>M02-301-10024-R</t>
  </si>
  <si>
    <t>301-10024-S</t>
  </si>
  <si>
    <t>M02-301-10024-S</t>
  </si>
  <si>
    <t>301-10024-T</t>
  </si>
  <si>
    <t>M02-301-10024-T</t>
  </si>
  <si>
    <t>301-10024-U</t>
  </si>
  <si>
    <t>M02-301-10024-U</t>
  </si>
  <si>
    <t>301-10025</t>
  </si>
  <si>
    <t>M02-301-10025-0</t>
  </si>
  <si>
    <t>301-10026</t>
  </si>
  <si>
    <t>M02-301-10026-0</t>
  </si>
  <si>
    <t>301-10027-A</t>
  </si>
  <si>
    <t>M02-301-10027-A</t>
  </si>
  <si>
    <t>301-10027-B</t>
  </si>
  <si>
    <t>M02-301-10027-B</t>
  </si>
  <si>
    <t>301-10028-A</t>
  </si>
  <si>
    <t>M02-301-10028-A</t>
  </si>
  <si>
    <t>301-10028-B</t>
  </si>
  <si>
    <t>M02-301-10028-B</t>
  </si>
  <si>
    <t>301-10029</t>
  </si>
  <si>
    <t>M02-301-10029-0</t>
  </si>
  <si>
    <t>301-10030-A</t>
  </si>
  <si>
    <t>M02-301-10030-A</t>
  </si>
  <si>
    <t>301-10030-AA</t>
  </si>
  <si>
    <t>M02-301-10030-AA</t>
  </si>
  <si>
    <t>301-10030-B</t>
  </si>
  <si>
    <t>M02-301-10030-B</t>
  </si>
  <si>
    <t>301-10030-C</t>
  </si>
  <si>
    <t>M02-301-10030-C</t>
  </si>
  <si>
    <t>301-10030-D</t>
  </si>
  <si>
    <t>M02-301-10030-D</t>
  </si>
  <si>
    <t>301-10030-E</t>
  </si>
  <si>
    <t>M02-301-10030-E</t>
  </si>
  <si>
    <t>301-10030-F</t>
  </si>
  <si>
    <t>M02-301-10030-F</t>
  </si>
  <si>
    <t>301-10030-G</t>
  </si>
  <si>
    <t>M02-301-10030-G</t>
  </si>
  <si>
    <t>301-10030-H</t>
  </si>
  <si>
    <t>M02-301-10030-H</t>
  </si>
  <si>
    <t>301-10030-J</t>
  </si>
  <si>
    <t>M02-301-10030-J</t>
  </si>
  <si>
    <t>301-10030-K</t>
  </si>
  <si>
    <t>M02-301-10030-K</t>
  </si>
  <si>
    <t>301-10030-L</t>
  </si>
  <si>
    <t>M02-301-10030-L</t>
  </si>
  <si>
    <t>301-10030-M</t>
  </si>
  <si>
    <t>M02-301-10030-M</t>
  </si>
  <si>
    <t>301-10030-N</t>
  </si>
  <si>
    <t>M02-301-10030-N</t>
  </si>
  <si>
    <t>301-10030-P</t>
  </si>
  <si>
    <t>M02-301-10030-P</t>
  </si>
  <si>
    <t>301-10030-R</t>
  </si>
  <si>
    <t>M02-301-10030-R</t>
  </si>
  <si>
    <t>301-10030-S</t>
  </si>
  <si>
    <t>M02-301-10030-S</t>
  </si>
  <si>
    <t>301-10030-T</t>
  </si>
  <si>
    <t>M02-301-10030-T</t>
  </si>
  <si>
    <t>301-10030-U</t>
  </si>
  <si>
    <t>M02-301-10030-U</t>
  </si>
  <si>
    <t>301-10030-V</t>
  </si>
  <si>
    <t>M02-301-10030-V</t>
  </si>
  <si>
    <t>301-10030-W</t>
  </si>
  <si>
    <t>M02-301-10030-W</t>
  </si>
  <si>
    <t>301-10030-X</t>
  </si>
  <si>
    <t>M02-301-10030-X</t>
  </si>
  <si>
    <t>301-10030-Y</t>
  </si>
  <si>
    <t>M02-301-10030-Y</t>
  </si>
  <si>
    <t>301-10030-Z</t>
  </si>
  <si>
    <t>M02-301-10030-Z</t>
  </si>
  <si>
    <t>301-10031</t>
  </si>
  <si>
    <t>M02-301-10031-0</t>
  </si>
  <si>
    <t>301-10032-A</t>
  </si>
  <si>
    <t>M02-301-10032-A</t>
  </si>
  <si>
    <t>301-10032-AA</t>
  </si>
  <si>
    <t>M02-301-10032-AA</t>
  </si>
  <si>
    <t>301-10032-B</t>
  </si>
  <si>
    <t>M02-301-10032-B</t>
  </si>
  <si>
    <t>301-10032-C</t>
  </si>
  <si>
    <t>M02-301-10032-C</t>
  </si>
  <si>
    <t>301-10032-D</t>
  </si>
  <si>
    <t>M02-301-10032-D</t>
  </si>
  <si>
    <t>301-10032-E</t>
  </si>
  <si>
    <t>M02-301-10032-E</t>
  </si>
  <si>
    <t>301-10032-F</t>
  </si>
  <si>
    <t>M02-301-10032-F</t>
  </si>
  <si>
    <t>301-10032-G</t>
  </si>
  <si>
    <t>M02-301-10032-G</t>
  </si>
  <si>
    <t>301-10032-H</t>
  </si>
  <si>
    <t>M02-301-10032-H</t>
  </si>
  <si>
    <t>301-10032-J</t>
  </si>
  <si>
    <t>M02-301-10032-J</t>
  </si>
  <si>
    <t>301-10032-K</t>
  </si>
  <si>
    <t>M02-301-10032-K</t>
  </si>
  <si>
    <t>301-10032-L</t>
  </si>
  <si>
    <t>M02-301-10032-L</t>
  </si>
  <si>
    <t>301-10032-M</t>
  </si>
  <si>
    <t>M02-301-10032-M</t>
  </si>
  <si>
    <t>301-10032-N</t>
  </si>
  <si>
    <t>M02-301-10032-N</t>
  </si>
  <si>
    <t>301-10032-P</t>
  </si>
  <si>
    <t>M02-301-10032-P</t>
  </si>
  <si>
    <t>301-10032-R</t>
  </si>
  <si>
    <t>M02-301-10032-R</t>
  </si>
  <si>
    <t>301-10032-S</t>
  </si>
  <si>
    <t>M02-301-10032-S</t>
  </si>
  <si>
    <t>301-10032-T</t>
  </si>
  <si>
    <t>M02-301-10032-T</t>
  </si>
  <si>
    <t>301-10032-U</t>
  </si>
  <si>
    <t>M02-301-10032-U</t>
  </si>
  <si>
    <t>301-10032-V</t>
  </si>
  <si>
    <t>M02-301-10032-V</t>
  </si>
  <si>
    <t>301-10032-W</t>
  </si>
  <si>
    <t>M02-301-10032-W</t>
  </si>
  <si>
    <t>301-10032-X</t>
  </si>
  <si>
    <t>M02-301-10032-X</t>
  </si>
  <si>
    <t>301-10032-Y</t>
  </si>
  <si>
    <t>M02-301-10032-Y</t>
  </si>
  <si>
    <t>301-10032-Z</t>
  </si>
  <si>
    <t>M02-301-10032-Z</t>
  </si>
  <si>
    <t>301-10035</t>
  </si>
  <si>
    <t>M02-301-10035-0</t>
  </si>
  <si>
    <t>301-10036</t>
  </si>
  <si>
    <t>M02-301-10036-0</t>
  </si>
  <si>
    <t>301-10037-A</t>
  </si>
  <si>
    <t>M02-301-10037-A</t>
  </si>
  <si>
    <t>301-10038-A</t>
  </si>
  <si>
    <t>M02-301-10038-A</t>
  </si>
  <si>
    <t xml:space="preserve"> PATAMAR 2</t>
  </si>
  <si>
    <t>301-10039</t>
  </si>
  <si>
    <t>M02-301-10039-0</t>
  </si>
  <si>
    <t>301-10040-A</t>
  </si>
  <si>
    <t>M02-301-10040-A</t>
  </si>
  <si>
    <t>301-10041-A</t>
  </si>
  <si>
    <t>M02-301-10041-A</t>
  </si>
  <si>
    <t>301-10042-A</t>
  </si>
  <si>
    <t>M02-301-10042-A</t>
  </si>
  <si>
    <t>301-10043-A</t>
  </si>
  <si>
    <t>M02-301-10043-A</t>
  </si>
  <si>
    <t>301-10044</t>
  </si>
  <si>
    <t>M02-301-10044-0</t>
  </si>
  <si>
    <t>301-10045</t>
  </si>
  <si>
    <t>M02-301-10045-0</t>
  </si>
  <si>
    <t>301-10046</t>
  </si>
  <si>
    <t>M02-301-10046-0</t>
  </si>
  <si>
    <t>301-10047-A</t>
  </si>
  <si>
    <t>M02-301-10047-A</t>
  </si>
  <si>
    <t>301-10047-C</t>
  </si>
  <si>
    <t>M02-301-10047-C</t>
  </si>
  <si>
    <t>301-10047-E</t>
  </si>
  <si>
    <t>M02-301-10047-E</t>
  </si>
  <si>
    <t>301-10047-F</t>
  </si>
  <si>
    <t>M02-301-10047-F</t>
  </si>
  <si>
    <t>301-10047-G</t>
  </si>
  <si>
    <t>M02-301-10047-G</t>
  </si>
  <si>
    <t>301-10047-H</t>
  </si>
  <si>
    <t>M02-301-10047-H</t>
  </si>
  <si>
    <t>301-10047-J</t>
  </si>
  <si>
    <t>M02-301-10047-J</t>
  </si>
  <si>
    <t>301-10047-K</t>
  </si>
  <si>
    <t>M02-301-10047-K</t>
  </si>
  <si>
    <t>301-10047-L</t>
  </si>
  <si>
    <t>M02-301-10047-L</t>
  </si>
  <si>
    <t>301-10047-M</t>
  </si>
  <si>
    <t>M02-301-10047-M</t>
  </si>
  <si>
    <t>301-10047-N</t>
  </si>
  <si>
    <t>M02-301-10047-N</t>
  </si>
  <si>
    <t>301-10047-P</t>
  </si>
  <si>
    <t>M02-301-10047-P</t>
  </si>
  <si>
    <t>301-10047-R</t>
  </si>
  <si>
    <t>M02-301-10047-R</t>
  </si>
  <si>
    <t>301-10047-S</t>
  </si>
  <si>
    <t>M02-301-10047-S</t>
  </si>
  <si>
    <t>301-10047-T</t>
  </si>
  <si>
    <t>M02-301-10047-T</t>
  </si>
  <si>
    <t>301-10047-W</t>
  </si>
  <si>
    <t>M02-301-10047-W</t>
  </si>
  <si>
    <t>301-10048-A</t>
  </si>
  <si>
    <t>M02-301-10048-A</t>
  </si>
  <si>
    <t>301-10048-C</t>
  </si>
  <si>
    <t>M02-301-10048-C</t>
  </si>
  <si>
    <t>301-10048-E</t>
  </si>
  <si>
    <t>M02-301-10048-E</t>
  </si>
  <si>
    <t>301-10048-F</t>
  </si>
  <si>
    <t>M02-301-10048-F</t>
  </si>
  <si>
    <t>301-10048-G</t>
  </si>
  <si>
    <t>M02-301-10048-G</t>
  </si>
  <si>
    <t>301-10048-H</t>
  </si>
  <si>
    <t>M02-301-10048-H</t>
  </si>
  <si>
    <t>301-10048-J</t>
  </si>
  <si>
    <t>M02-301-10048-J</t>
  </si>
  <si>
    <t>301-10048-K</t>
  </si>
  <si>
    <t>M02-301-10048-K</t>
  </si>
  <si>
    <t>301-10048-L</t>
  </si>
  <si>
    <t>M02-301-10048-L</t>
  </si>
  <si>
    <t>301-10048-M</t>
  </si>
  <si>
    <t>M02-301-10048-M</t>
  </si>
  <si>
    <t>301-10048-N</t>
  </si>
  <si>
    <t>M02-301-10048-N</t>
  </si>
  <si>
    <t>301-10048-P</t>
  </si>
  <si>
    <t>M02-301-10048-P</t>
  </si>
  <si>
    <t>301-10048-R</t>
  </si>
  <si>
    <t>M02-301-10048-R</t>
  </si>
  <si>
    <t>301-10048-S</t>
  </si>
  <si>
    <t>M02-301-10048-S</t>
  </si>
  <si>
    <t>301-10048-T</t>
  </si>
  <si>
    <t>M02-301-10048-T</t>
  </si>
  <si>
    <t>301-10048-W</t>
  </si>
  <si>
    <t>M02-301-10048-W</t>
  </si>
  <si>
    <t>301-10049</t>
  </si>
  <si>
    <t>M02-301-10049-0</t>
  </si>
  <si>
    <t>301-10050</t>
  </si>
  <si>
    <t>M02-301-10050-0</t>
  </si>
  <si>
    <t>301-10051-A</t>
  </si>
  <si>
    <t>M02-301-10051-A</t>
  </si>
  <si>
    <t>301-10051-B</t>
  </si>
  <si>
    <t>M02-301-10051-B</t>
  </si>
  <si>
    <t>301-10052-A</t>
  </si>
  <si>
    <t>M02-301-10052-A</t>
  </si>
  <si>
    <t>301-10052-B</t>
  </si>
  <si>
    <t>M02-301-10052-B</t>
  </si>
  <si>
    <t>301-10053</t>
  </si>
  <si>
    <t>M02-301-10053-0</t>
  </si>
  <si>
    <t>301-10054</t>
  </si>
  <si>
    <t>M02-301-10054-0</t>
  </si>
  <si>
    <t>301-10055-A</t>
  </si>
  <si>
    <t>M02-301-10055-A</t>
  </si>
  <si>
    <t>301-10055-AA</t>
  </si>
  <si>
    <t>M02-301-10055-AA</t>
  </si>
  <si>
    <t>301-10055-B</t>
  </si>
  <si>
    <t>M02-301-10055-B</t>
  </si>
  <si>
    <t>301-10055-C</t>
  </si>
  <si>
    <t>M02-301-10055-C</t>
  </si>
  <si>
    <t>301-10055-D</t>
  </si>
  <si>
    <t>M02-301-10055-D</t>
  </si>
  <si>
    <t>301-10055-E</t>
  </si>
  <si>
    <t>M02-301-10055-E</t>
  </si>
  <si>
    <t>301-10055-F</t>
  </si>
  <si>
    <t>M02-301-10055-F</t>
  </si>
  <si>
    <t>301-10055-G</t>
  </si>
  <si>
    <t>M02-301-10055-G</t>
  </si>
  <si>
    <t>301-10055-H</t>
  </si>
  <si>
    <t>M02-301-10055-H</t>
  </si>
  <si>
    <t>301-10055-J</t>
  </si>
  <si>
    <t>M02-301-10055-J</t>
  </si>
  <si>
    <t>301-10055-K</t>
  </si>
  <si>
    <t>M02-301-10055-K</t>
  </si>
  <si>
    <t>301-10055-L</t>
  </si>
  <si>
    <t>M02-301-10055-L</t>
  </si>
  <si>
    <t>301-10055-M</t>
  </si>
  <si>
    <t>M02-301-10055-M</t>
  </si>
  <si>
    <t>301-10055-N</t>
  </si>
  <si>
    <t>M02-301-10055-N</t>
  </si>
  <si>
    <t>301-10055-P</t>
  </si>
  <si>
    <t>M02-301-10055-P</t>
  </si>
  <si>
    <t>301-10055-R</t>
  </si>
  <si>
    <t>M02-301-10055-R</t>
  </si>
  <si>
    <t>301-10055-S</t>
  </si>
  <si>
    <t>M02-301-10055-S</t>
  </si>
  <si>
    <t>301-10055-T</t>
  </si>
  <si>
    <t>M02-301-10055-T</t>
  </si>
  <si>
    <t>301-10055-U</t>
  </si>
  <si>
    <t>M02-301-10055-U</t>
  </si>
  <si>
    <t>301-10055-V</t>
  </si>
  <si>
    <t>M02-301-10055-V</t>
  </si>
  <si>
    <t>301-10055-W</t>
  </si>
  <si>
    <t>M02-301-10055-W</t>
  </si>
  <si>
    <t>301-10055-X</t>
  </si>
  <si>
    <t>M02-301-10055-X</t>
  </si>
  <si>
    <t>301-10055-Y</t>
  </si>
  <si>
    <t>M02-301-10055-Y</t>
  </si>
  <si>
    <t>301-10055-Z</t>
  </si>
  <si>
    <t>M02-301-10055-Z</t>
  </si>
  <si>
    <t>301-10056-A</t>
  </si>
  <si>
    <t>M02-301-10056-A</t>
  </si>
  <si>
    <t>301-10056-AF</t>
  </si>
  <si>
    <t>M02-301-10056-AF</t>
  </si>
  <si>
    <t>301-10056-B</t>
  </si>
  <si>
    <t>M02-301-10056-B</t>
  </si>
  <si>
    <t>301-10056-C</t>
  </si>
  <si>
    <t>M02-301-10056-C</t>
  </si>
  <si>
    <t>301-10056-D</t>
  </si>
  <si>
    <t>M02-301-10056-D</t>
  </si>
  <si>
    <t>301-10056-E</t>
  </si>
  <si>
    <t>M02-301-10056-E</t>
  </si>
  <si>
    <t>301-10056-F</t>
  </si>
  <si>
    <t>M02-301-10056-F</t>
  </si>
  <si>
    <t>301-10056-G</t>
  </si>
  <si>
    <t>M02-301-10056-G</t>
  </si>
  <si>
    <t>301-10056-H</t>
  </si>
  <si>
    <t>M02-301-10056-H</t>
  </si>
  <si>
    <t>301-10056-J</t>
  </si>
  <si>
    <t>M02-301-10056-J</t>
  </si>
  <si>
    <t>301-10056-K</t>
  </si>
  <si>
    <t>M02-301-10056-K</t>
  </si>
  <si>
    <t>301-10056-L</t>
  </si>
  <si>
    <t>M02-301-10056-L</t>
  </si>
  <si>
    <t>301-10056-M</t>
  </si>
  <si>
    <t>M02-301-10056-M</t>
  </si>
  <si>
    <t>301-10056-N</t>
  </si>
  <si>
    <t>M02-301-10056-N</t>
  </si>
  <si>
    <t>301-10056-P</t>
  </si>
  <si>
    <t>M02-301-10056-P</t>
  </si>
  <si>
    <t>301-10056-R</t>
  </si>
  <si>
    <t>M02-301-10056-R</t>
  </si>
  <si>
    <t>301-10056-S</t>
  </si>
  <si>
    <t>M02-301-10056-S</t>
  </si>
  <si>
    <t>301-10056-T</t>
  </si>
  <si>
    <t>M02-301-10056-T</t>
  </si>
  <si>
    <t>301-10056-U</t>
  </si>
  <si>
    <t>M02-301-10056-U</t>
  </si>
  <si>
    <t>301-10056-V</t>
  </si>
  <si>
    <t>M02-301-10056-V</t>
  </si>
  <si>
    <t>301-10056-W</t>
  </si>
  <si>
    <t>M02-301-10056-W</t>
  </si>
  <si>
    <t>301-10056-X</t>
  </si>
  <si>
    <t>M02-301-10056-X</t>
  </si>
  <si>
    <t>301-10056-Y</t>
  </si>
  <si>
    <t>M02-301-10056-Y</t>
  </si>
  <si>
    <t>301-10056-Z</t>
  </si>
  <si>
    <t>M02-301-10056-Z</t>
  </si>
  <si>
    <t>301-10057</t>
  </si>
  <si>
    <t>M02-301-10057-0</t>
  </si>
  <si>
    <t>301-10058-A</t>
  </si>
  <si>
    <t>M02-301-10058-A</t>
  </si>
  <si>
    <t>301-10058-C</t>
  </si>
  <si>
    <t>M02-301-10058-C</t>
  </si>
  <si>
    <t>301-10059-A</t>
  </si>
  <si>
    <t>M02-301-10059-A</t>
  </si>
  <si>
    <t>301-10059-C</t>
  </si>
  <si>
    <t>M02-301-10059-C</t>
  </si>
  <si>
    <t>HO-DF-1417-M07B-354</t>
  </si>
  <si>
    <t>61 792</t>
  </si>
  <si>
    <t>GUARD RAIL WITH COAMING</t>
  </si>
  <si>
    <t>354-10003-P</t>
  </si>
  <si>
    <t>M07B-354-10003-P</t>
  </si>
  <si>
    <t>354-10008-P</t>
  </si>
  <si>
    <t>M07B-354-10008-P</t>
  </si>
  <si>
    <t>354-10101-A</t>
  </si>
  <si>
    <t>M07B-354-10101-A</t>
  </si>
  <si>
    <t>354-10102-A</t>
  </si>
  <si>
    <t>M07B-354-10102-A</t>
  </si>
  <si>
    <t>354-10103-AC</t>
  </si>
  <si>
    <t>M07B-354-10103-AC</t>
  </si>
  <si>
    <t>354-10104-B</t>
  </si>
  <si>
    <t>M07B-354-10104-B</t>
  </si>
  <si>
    <t>354-10105-H</t>
  </si>
  <si>
    <t>M07B-354-10105-H</t>
  </si>
  <si>
    <t>354-10107-A</t>
  </si>
  <si>
    <t>M07B-354-10107-A</t>
  </si>
  <si>
    <t>354-10108-A</t>
  </si>
  <si>
    <t>M07B-354-10108-A</t>
  </si>
  <si>
    <t>354-10110-H</t>
  </si>
  <si>
    <t>M07B-354-10110-H</t>
  </si>
  <si>
    <t>354-10111-A</t>
  </si>
  <si>
    <t>M07B-354-10111-A</t>
  </si>
  <si>
    <t>354-10112-A</t>
  </si>
  <si>
    <t>M07B-354-10112-A</t>
  </si>
  <si>
    <t>354-10113-A</t>
  </si>
  <si>
    <t>M07B-354-10113-A</t>
  </si>
  <si>
    <t>354-10114-A</t>
  </si>
  <si>
    <t>M07B-354-10114-A</t>
  </si>
  <si>
    <t>354-10115-A</t>
  </si>
  <si>
    <t>M07B-354-10115-A</t>
  </si>
  <si>
    <t>354-10116-A</t>
  </si>
  <si>
    <t>M07B-354-10116-A</t>
  </si>
  <si>
    <t>354-10117-A</t>
  </si>
  <si>
    <t>M07B-354-10117-A</t>
  </si>
  <si>
    <t>354-10118-A</t>
  </si>
  <si>
    <t>M07B-354-10118-A</t>
  </si>
  <si>
    <t>354-10119-A</t>
  </si>
  <si>
    <t>M07B-354-10119-A</t>
  </si>
  <si>
    <t>354-10120</t>
  </si>
  <si>
    <t>M07B-354-10120-0</t>
  </si>
  <si>
    <t>354-10121-A</t>
  </si>
  <si>
    <t>M07B-354-10121-A</t>
  </si>
  <si>
    <t>354-10122-A</t>
  </si>
  <si>
    <t>M07B-354-10122-A</t>
  </si>
  <si>
    <t>354-10123-A</t>
  </si>
  <si>
    <t>M07B-354-10123-A</t>
  </si>
  <si>
    <t>354-10124-L</t>
  </si>
  <si>
    <t>M07B-354-10124-L</t>
  </si>
  <si>
    <t>354-10125</t>
  </si>
  <si>
    <t>M07B-354-10125-0</t>
  </si>
  <si>
    <t>354-10126-A</t>
  </si>
  <si>
    <t>M07B-354-10126-A</t>
  </si>
  <si>
    <t>354-10128-A</t>
  </si>
  <si>
    <t>M07B-354-10128-A</t>
  </si>
  <si>
    <t>354-10129-E</t>
  </si>
  <si>
    <t>M07B-354-10129-E</t>
  </si>
  <si>
    <t>354-10130</t>
  </si>
  <si>
    <t>M07B-354-10130-0</t>
  </si>
  <si>
    <t>354-10131-H</t>
  </si>
  <si>
    <t>M07B-354-10131-H</t>
  </si>
  <si>
    <t>354-10132-A</t>
  </si>
  <si>
    <t>M07B-354-10132-A</t>
  </si>
  <si>
    <t>354-10133-E</t>
  </si>
  <si>
    <t>M07B-354-10133-E</t>
  </si>
  <si>
    <t>354-10134-C</t>
  </si>
  <si>
    <t>M07B-354-10134-C</t>
  </si>
  <si>
    <t>354-10135-Y</t>
  </si>
  <si>
    <t>M07B-354-10135-Y</t>
  </si>
  <si>
    <t>354-10136-A</t>
  </si>
  <si>
    <t>M07B-354-10136-A</t>
  </si>
  <si>
    <t>354-10137-C</t>
  </si>
  <si>
    <t>M07B-354-10137-C</t>
  </si>
  <si>
    <t>354-10138-G</t>
  </si>
  <si>
    <t>M07B-354-10138-G</t>
  </si>
  <si>
    <t>HO-DF-1415-M05B-351</t>
  </si>
  <si>
    <t>AP 01</t>
  </si>
  <si>
    <t>M05B-351-10001-A</t>
  </si>
  <si>
    <t>M05B-351-10001-B</t>
  </si>
  <si>
    <t>M05B-351-10002-D</t>
  </si>
  <si>
    <t>M05B-351-10002-E</t>
  </si>
  <si>
    <t>351-10002-H</t>
  </si>
  <si>
    <t>M05B-351-10002-H</t>
  </si>
  <si>
    <t>M05B-351-10003-A</t>
  </si>
  <si>
    <t>M05B-351-10003-B</t>
  </si>
  <si>
    <t>M05B-351-10004-0</t>
  </si>
  <si>
    <t>M05B-351-10005-A</t>
  </si>
  <si>
    <t>M05B-351-10005-B</t>
  </si>
  <si>
    <t>M05B-351-10005-C</t>
  </si>
  <si>
    <t>M05B-351-10005-D</t>
  </si>
  <si>
    <t>M05B-351-10006-A</t>
  </si>
  <si>
    <t>M05B-351-10006-B</t>
  </si>
  <si>
    <t>M05B-351-10006-C</t>
  </si>
  <si>
    <t>M05B-351-10007-A</t>
  </si>
  <si>
    <t>M05B-351-10007-B</t>
  </si>
  <si>
    <t>351-10008-G</t>
  </si>
  <si>
    <t>M05B-351-10008-G</t>
  </si>
  <si>
    <t>351-10008-N</t>
  </si>
  <si>
    <t>M05B-351-10008-N</t>
  </si>
  <si>
    <t>351-10008-P</t>
  </si>
  <si>
    <t>M05B-351-10008-P</t>
  </si>
  <si>
    <t>M05B-351-10009-A</t>
  </si>
  <si>
    <t>M05B-351-10009-B</t>
  </si>
  <si>
    <t>M05B-351-10009-C</t>
  </si>
  <si>
    <t>M05B-351-10010-G</t>
  </si>
  <si>
    <t>351-10010-N</t>
  </si>
  <si>
    <t>M05B-351-10010-N</t>
  </si>
  <si>
    <t>351-10010-P</t>
  </si>
  <si>
    <t>M05B-351-10010-P</t>
  </si>
  <si>
    <t>351-10010-R</t>
  </si>
  <si>
    <t>M05B-351-10010-R</t>
  </si>
  <si>
    <t>M05B-351-10011-A</t>
  </si>
  <si>
    <t>M05B-351-10011-B</t>
  </si>
  <si>
    <t>M05B-351-10011-C</t>
  </si>
  <si>
    <t>M05B-351-10012-A</t>
  </si>
  <si>
    <t>M05B-351-10012-B</t>
  </si>
  <si>
    <t>REMOVABLE GUARDRAIL</t>
  </si>
  <si>
    <t>M05B-351-10013-E</t>
  </si>
  <si>
    <t>M05B-351-10013-H</t>
  </si>
  <si>
    <t>M05B-351-10013-L</t>
  </si>
  <si>
    <t>M05B-351-10014-A</t>
  </si>
  <si>
    <t>M05B-351-10014-B</t>
  </si>
  <si>
    <t>M05B-351-10015-A</t>
  </si>
  <si>
    <t>M05B-351-10015-B</t>
  </si>
  <si>
    <t>351-10015-C</t>
  </si>
  <si>
    <t>M05B-351-10015-C</t>
  </si>
  <si>
    <t>351-10016</t>
  </si>
  <si>
    <t>M05B-351-10016-0</t>
  </si>
  <si>
    <t>351-10017</t>
  </si>
  <si>
    <t>M05B-351-10017-0</t>
  </si>
  <si>
    <t>M05B-351-10018-A</t>
  </si>
  <si>
    <t>351-10018-B</t>
  </si>
  <si>
    <t>M05B-351-10018-B</t>
  </si>
  <si>
    <t>351-10019-A</t>
  </si>
  <si>
    <t>M05B-351-10019-A</t>
  </si>
  <si>
    <t>351-10019-B</t>
  </si>
  <si>
    <t>M05B-351-10019-B</t>
  </si>
  <si>
    <t>M05B-351-10020-A</t>
  </si>
  <si>
    <t>M05B-351-10020-B</t>
  </si>
  <si>
    <t>M05B-351-10021-A</t>
  </si>
  <si>
    <t>M05B-351-10021-B</t>
  </si>
  <si>
    <t>M05B-351-10022-0</t>
  </si>
  <si>
    <t>351-10023-E</t>
  </si>
  <si>
    <t>M05B-351-10023-E</t>
  </si>
  <si>
    <t>351-10023-F</t>
  </si>
  <si>
    <t>M05B-351-10023-F</t>
  </si>
  <si>
    <t>M05B-351-10024-A</t>
  </si>
  <si>
    <t>M05B-351-10024-B</t>
  </si>
  <si>
    <t>M05B-351-10025-A</t>
  </si>
  <si>
    <t>M05B-351-10025-B</t>
  </si>
  <si>
    <t>M05B-351-10026-A</t>
  </si>
  <si>
    <t>M05B-351-10026-B</t>
  </si>
  <si>
    <t>M05B-351-10027-A</t>
  </si>
  <si>
    <t>M05B-351-10027-B</t>
  </si>
  <si>
    <t>351-10028</t>
  </si>
  <si>
    <t>M05B-351-10028-0</t>
  </si>
  <si>
    <t>351-10029</t>
  </si>
  <si>
    <t>M05B-351-10029-0</t>
  </si>
  <si>
    <t>M05B-351-10030-C</t>
  </si>
  <si>
    <t>M05B-351-10030-F</t>
  </si>
  <si>
    <t>351-10030-M</t>
  </si>
  <si>
    <t>M05B-351-10030-M</t>
  </si>
  <si>
    <t>M05B-351-10031-A</t>
  </si>
  <si>
    <t>M05B-351-10031-B</t>
  </si>
  <si>
    <t>M05B-351-10031-C</t>
  </si>
  <si>
    <t>M05B-351-10031-D</t>
  </si>
  <si>
    <t>M05B-351-10032-A</t>
  </si>
  <si>
    <t>M05B-351-10032-B</t>
  </si>
  <si>
    <t>M05B-351-10033-A</t>
  </si>
  <si>
    <t>M05B-351-10033-B</t>
  </si>
  <si>
    <t>M05B-351-10034-A</t>
  </si>
  <si>
    <t>M05B-351-10034-D</t>
  </si>
  <si>
    <t>351-10034-R</t>
  </si>
  <si>
    <t>M05B-351-10034-R</t>
  </si>
  <si>
    <t>351-10035</t>
  </si>
  <si>
    <t>M05B-351-10035-0</t>
  </si>
  <si>
    <t>351-10036-G</t>
  </si>
  <si>
    <t>M05B-351-10036-G</t>
  </si>
  <si>
    <t>351-10036-K</t>
  </si>
  <si>
    <t>M05B-351-10036-K</t>
  </si>
  <si>
    <t>351-10036-N</t>
  </si>
  <si>
    <t>M05B-351-10036-N</t>
  </si>
  <si>
    <t>351-10037-B</t>
  </si>
  <si>
    <t>M05B-351-10037-B</t>
  </si>
  <si>
    <t>351-10037-C</t>
  </si>
  <si>
    <t>M05B-351-10037-C</t>
  </si>
  <si>
    <t>351-10037-E</t>
  </si>
  <si>
    <t>M05B-351-10037-E</t>
  </si>
  <si>
    <t>351-10037-F</t>
  </si>
  <si>
    <t>M05B-351-10037-F</t>
  </si>
  <si>
    <t>351-10039-D</t>
  </si>
  <si>
    <t>M05B-351-10039-D</t>
  </si>
  <si>
    <t>351-10039-E</t>
  </si>
  <si>
    <t>M05B-351-10039-E</t>
  </si>
  <si>
    <t>351-10039-H</t>
  </si>
  <si>
    <t>M05B-351-10039-H</t>
  </si>
  <si>
    <t>351-10040</t>
  </si>
  <si>
    <t>M05B-351-10040-0</t>
  </si>
  <si>
    <t>351-10042</t>
  </si>
  <si>
    <t>M05B-351-10042-0</t>
  </si>
  <si>
    <t>351-10043-A</t>
  </si>
  <si>
    <t>M05B-351-10043-A</t>
  </si>
  <si>
    <t>351-10043-B</t>
  </si>
  <si>
    <t>M05B-351-10043-B</t>
  </si>
  <si>
    <t>351-10044-E</t>
  </si>
  <si>
    <t>M05B-351-10044-E</t>
  </si>
  <si>
    <t>351-10044-K</t>
  </si>
  <si>
    <t>M05B-351-10044-K</t>
  </si>
  <si>
    <t>351-10044-L</t>
  </si>
  <si>
    <t>M05B-351-10044-L</t>
  </si>
  <si>
    <t>351-10044-M</t>
  </si>
  <si>
    <t>M05B-351-10044-M</t>
  </si>
  <si>
    <t>351-10044-V</t>
  </si>
  <si>
    <t>M05B-351-10044-V</t>
  </si>
  <si>
    <t>351-10045-A</t>
  </si>
  <si>
    <t>M05B-351-10045-A</t>
  </si>
  <si>
    <t>351-10045-B</t>
  </si>
  <si>
    <t>M05B-351-10045-B</t>
  </si>
  <si>
    <t>351-10046-A</t>
  </si>
  <si>
    <t>M05B-351-10046-A</t>
  </si>
  <si>
    <t>351-10046-B</t>
  </si>
  <si>
    <t>M05B-351-10046-B</t>
  </si>
  <si>
    <t>351-10047</t>
  </si>
  <si>
    <t>M05B-351-10047-0</t>
  </si>
  <si>
    <t>351-10048-A</t>
  </si>
  <si>
    <t>M05B-351-10048-A</t>
  </si>
  <si>
    <t>351-10048-B</t>
  </si>
  <si>
    <t>M05B-351-10048-B</t>
  </si>
  <si>
    <t>351-10048-C</t>
  </si>
  <si>
    <t>M05B-351-10048-C</t>
  </si>
  <si>
    <t>351-10048-D</t>
  </si>
  <si>
    <t>M05B-351-10048-D</t>
  </si>
  <si>
    <t>351-10049-D</t>
  </si>
  <si>
    <t>M05B-351-10049-D</t>
  </si>
  <si>
    <t>351-10049-G</t>
  </si>
  <si>
    <t>M05B-351-10049-G</t>
  </si>
  <si>
    <t>351-10049-H</t>
  </si>
  <si>
    <t>M05B-351-10049-H</t>
  </si>
  <si>
    <t>351-10049-J</t>
  </si>
  <si>
    <t>M05B-351-10049-J</t>
  </si>
  <si>
    <t>351-10049-R</t>
  </si>
  <si>
    <t>M05B-351-10049-R</t>
  </si>
  <si>
    <t>351-10050</t>
  </si>
  <si>
    <t>M05B-351-10050-0</t>
  </si>
  <si>
    <t>351-10051</t>
  </si>
  <si>
    <t>M05B-351-10051-0</t>
  </si>
  <si>
    <t>351-10052-A</t>
  </si>
  <si>
    <t>M05B-351-10052-A</t>
  </si>
  <si>
    <t>351-10052-B</t>
  </si>
  <si>
    <t>M05B-351-10052-B</t>
  </si>
  <si>
    <t>351-10053</t>
  </si>
  <si>
    <t>M05B-351-10053-0</t>
  </si>
  <si>
    <t>351-10054-A</t>
  </si>
  <si>
    <t>M05B-351-10054-A</t>
  </si>
  <si>
    <t>351-10054-B</t>
  </si>
  <si>
    <t>M05B-351-10054-B</t>
  </si>
  <si>
    <t>351-10054-C</t>
  </si>
  <si>
    <t>M05B-351-10054-C</t>
  </si>
  <si>
    <t>351-10054-D</t>
  </si>
  <si>
    <t>M05B-351-10054-D</t>
  </si>
  <si>
    <t>351-10055-A</t>
  </si>
  <si>
    <t>M05B-351-10055-A</t>
  </si>
  <si>
    <t>351-10055-B</t>
  </si>
  <si>
    <t>M05B-351-10055-B</t>
  </si>
  <si>
    <t>351-10056-A</t>
  </si>
  <si>
    <t>M05B-351-10056-A</t>
  </si>
  <si>
    <t>351-10056-B</t>
  </si>
  <si>
    <t>M05B-351-10056-B</t>
  </si>
  <si>
    <t>351-10057</t>
  </si>
  <si>
    <t>M05B-351-10057-0</t>
  </si>
  <si>
    <t>AP 05</t>
  </si>
  <si>
    <t>351-10058-A</t>
  </si>
  <si>
    <t>M05B-351-10058-A</t>
  </si>
  <si>
    <t>351-10058-B</t>
  </si>
  <si>
    <t>M05B-351-10058-B</t>
  </si>
  <si>
    <t>351-10058-C</t>
  </si>
  <si>
    <t>M05B-351-10058-C</t>
  </si>
  <si>
    <t>351-10058-E</t>
  </si>
  <si>
    <t>M05B-351-10058-E</t>
  </si>
  <si>
    <t>351-10059-A</t>
  </si>
  <si>
    <t>M05B-351-10059-A</t>
  </si>
  <si>
    <t>351-10059-C</t>
  </si>
  <si>
    <t>M05B-351-10059-C</t>
  </si>
  <si>
    <t>351-10060</t>
  </si>
  <si>
    <t>M05B-351-10060-0</t>
  </si>
  <si>
    <t>351-10061-A</t>
  </si>
  <si>
    <t>M05B-351-10061-A</t>
  </si>
  <si>
    <t>351-10061-B</t>
  </si>
  <si>
    <t>M05B-351-10061-B</t>
  </si>
  <si>
    <t>351-10061-C</t>
  </si>
  <si>
    <t>M05B-351-10061-C</t>
  </si>
  <si>
    <t>351-10062</t>
  </si>
  <si>
    <t>M05B-351-10062-0</t>
  </si>
  <si>
    <t>351-10063</t>
  </si>
  <si>
    <t>M05B-351-10063-0</t>
  </si>
  <si>
    <t>351-10064-A</t>
  </si>
  <si>
    <t>M05B-351-10064-A</t>
  </si>
  <si>
    <t>351-10064-B</t>
  </si>
  <si>
    <t>M05B-351-10064-B</t>
  </si>
  <si>
    <t>351-10064-C</t>
  </si>
  <si>
    <t>M05B-351-10064-C</t>
  </si>
  <si>
    <t>351-10065</t>
  </si>
  <si>
    <t>M05B-351-10065-0</t>
  </si>
  <si>
    <t>351-10066-A</t>
  </si>
  <si>
    <t>M05B-351-10066-A</t>
  </si>
  <si>
    <t>351-10066-B</t>
  </si>
  <si>
    <t>M05B-351-10066-B</t>
  </si>
  <si>
    <t>351-10067-B</t>
  </si>
  <si>
    <t>M05B-351-10067-B</t>
  </si>
  <si>
    <t>351-10067-D</t>
  </si>
  <si>
    <t>M05B-351-10067-D</t>
  </si>
  <si>
    <t>351-10067-H</t>
  </si>
  <si>
    <t>M05B-351-10067-H</t>
  </si>
  <si>
    <t>351-10068-G</t>
  </si>
  <si>
    <t>M05B-351-10068-G</t>
  </si>
  <si>
    <t>351-10068-N</t>
  </si>
  <si>
    <t>M05B-351-10068-N</t>
  </si>
  <si>
    <t>351-10068-P</t>
  </si>
  <si>
    <t>M05B-351-10068-P</t>
  </si>
  <si>
    <t>351-10068-R</t>
  </si>
  <si>
    <t>M05B-351-10068-R</t>
  </si>
  <si>
    <t>351-10069</t>
  </si>
  <si>
    <t>M05B-351-10069-0</t>
  </si>
  <si>
    <t>351-10070-A</t>
  </si>
  <si>
    <t>M05B-351-10070-A</t>
  </si>
  <si>
    <t>351-10070-B</t>
  </si>
  <si>
    <t>M05B-351-10070-B</t>
  </si>
  <si>
    <t>351-10070-C</t>
  </si>
  <si>
    <t>M05B-351-10070-C</t>
  </si>
  <si>
    <t>351-10070-E</t>
  </si>
  <si>
    <t>M05B-351-10070-E</t>
  </si>
  <si>
    <t>351-10071</t>
  </si>
  <si>
    <t>M05B-351-10071-0</t>
  </si>
  <si>
    <t>351-10072-C</t>
  </si>
  <si>
    <t>M05B-351-10072-C</t>
  </si>
  <si>
    <t>351-10072-E</t>
  </si>
  <si>
    <t>M05B-351-10072-E</t>
  </si>
  <si>
    <t>351-10073-A</t>
  </si>
  <si>
    <t>M05B-351-10073-A</t>
  </si>
  <si>
    <t>351-10073-B</t>
  </si>
  <si>
    <t>M05B-351-10073-B</t>
  </si>
  <si>
    <t>351-10074</t>
  </si>
  <si>
    <t>M05B-351-10074-0</t>
  </si>
  <si>
    <t>351-10075</t>
  </si>
  <si>
    <t>M05B-351-10075-0</t>
  </si>
  <si>
    <t>351-10076-A</t>
  </si>
  <si>
    <t>M05B-351-10076-A</t>
  </si>
  <si>
    <t>351-10076-C</t>
  </si>
  <si>
    <t>M05B-351-10076-C</t>
  </si>
  <si>
    <t>351-10077</t>
  </si>
  <si>
    <t>M05B-351-10077-0</t>
  </si>
  <si>
    <t>351-10078-A</t>
  </si>
  <si>
    <t>M05B-351-10078-A</t>
  </si>
  <si>
    <t>351-10078-C</t>
  </si>
  <si>
    <t>M05B-351-10078-C</t>
  </si>
  <si>
    <t>351-10079-A</t>
  </si>
  <si>
    <t>M05B-351-10079-A</t>
  </si>
  <si>
    <t>351-10079-B</t>
  </si>
  <si>
    <t>M05B-351-10079-B</t>
  </si>
  <si>
    <t>351-10080</t>
  </si>
  <si>
    <t>M05B-351-10080-0</t>
  </si>
  <si>
    <t>351-10081-A</t>
  </si>
  <si>
    <t>M05B-351-10081-A</t>
  </si>
  <si>
    <t>351-10081-B</t>
  </si>
  <si>
    <t>M05B-351-10081-B</t>
  </si>
  <si>
    <t>351-10082-D</t>
  </si>
  <si>
    <t>M05B-351-10082-D</t>
  </si>
  <si>
    <t>351-10082-E</t>
  </si>
  <si>
    <t>M05B-351-10082-E</t>
  </si>
  <si>
    <t>351-10082-H</t>
  </si>
  <si>
    <t>M05B-351-10082-H</t>
  </si>
  <si>
    <t>351-10083</t>
  </si>
  <si>
    <t>M05B-351-10083-0</t>
  </si>
  <si>
    <t>351-10084-A</t>
  </si>
  <si>
    <t>M05B-351-10084-A</t>
  </si>
  <si>
    <t>351-10084-B</t>
  </si>
  <si>
    <t>M05B-351-10084-B</t>
  </si>
  <si>
    <t>351-10085</t>
  </si>
  <si>
    <t>M05B-351-10085-0</t>
  </si>
  <si>
    <t>351-10086</t>
  </si>
  <si>
    <t>M05B-351-10086-0</t>
  </si>
  <si>
    <t>351-10087</t>
  </si>
  <si>
    <t>M05B-351-10087-0</t>
  </si>
  <si>
    <t>351-10088-A</t>
  </si>
  <si>
    <t>M05B-351-10088-A</t>
  </si>
  <si>
    <t>351-10088-B</t>
  </si>
  <si>
    <t>M05B-351-10088-B</t>
  </si>
  <si>
    <t>351-10089</t>
  </si>
  <si>
    <t>M05B-351-10089-0</t>
  </si>
  <si>
    <t>351-10090</t>
  </si>
  <si>
    <t>M05B-351-10090-0</t>
  </si>
  <si>
    <t>351-10091-G</t>
  </si>
  <si>
    <t>M05B-351-10091-G</t>
  </si>
  <si>
    <t>351-10091-N</t>
  </si>
  <si>
    <t>M05B-351-10091-N</t>
  </si>
  <si>
    <t>351-10091-P</t>
  </si>
  <si>
    <t>M05B-351-10091-P</t>
  </si>
  <si>
    <t>351-10092-A</t>
  </si>
  <si>
    <t>M05B-351-10092-A</t>
  </si>
  <si>
    <t>351-10092-C</t>
  </si>
  <si>
    <t>M05B-351-10092-C</t>
  </si>
  <si>
    <t>351-10093</t>
  </si>
  <si>
    <t>M05B-351-10093-0</t>
  </si>
  <si>
    <t>351-10094-A</t>
  </si>
  <si>
    <t>M05B-351-10094-A</t>
  </si>
  <si>
    <t>351-10094-C</t>
  </si>
  <si>
    <t>M05B-351-10094-C</t>
  </si>
  <si>
    <t>351-10095-A</t>
  </si>
  <si>
    <t>M05B-351-10095-A</t>
  </si>
  <si>
    <t>351-10095-B</t>
  </si>
  <si>
    <t>M05B-351-10095-B</t>
  </si>
  <si>
    <t>351-10096</t>
  </si>
  <si>
    <t>M05B-351-10096-0</t>
  </si>
  <si>
    <t>351-10097-A</t>
  </si>
  <si>
    <t>M05B-351-10097-A</t>
  </si>
  <si>
    <t>351-10097-B</t>
  </si>
  <si>
    <t>M05B-351-10097-B</t>
  </si>
  <si>
    <t>351-10098</t>
  </si>
  <si>
    <t>M05B-351-10098-0</t>
  </si>
  <si>
    <t>351-10099-D</t>
  </si>
  <si>
    <t>M05B-351-10099-D</t>
  </si>
  <si>
    <t>351-10099-E</t>
  </si>
  <si>
    <t>M05B-351-10099-E</t>
  </si>
  <si>
    <t>351-10099-H</t>
  </si>
  <si>
    <t>M05B-351-10099-H</t>
  </si>
  <si>
    <t>M05B-351-10101-A</t>
  </si>
  <si>
    <t>M05B-351-10101-B</t>
  </si>
  <si>
    <t>351-10102</t>
  </si>
  <si>
    <t>M05B-351-10102-0</t>
  </si>
  <si>
    <t>M05B-351-10103-0</t>
  </si>
  <si>
    <t>M05B-351-10104-A</t>
  </si>
  <si>
    <t>M05B-351-10104-B</t>
  </si>
  <si>
    <t>M05B-351-10104-C</t>
  </si>
  <si>
    <t>351-10104-E</t>
  </si>
  <si>
    <t>M05B-351-10104-E</t>
  </si>
  <si>
    <t>351-10105</t>
  </si>
  <si>
    <t>M05B-351-10105-0</t>
  </si>
  <si>
    <t>M05B-351-10106-A</t>
  </si>
  <si>
    <t>M05B-351-10106-C</t>
  </si>
  <si>
    <t>M05B-351-10107-0</t>
  </si>
  <si>
    <t>351-10108</t>
  </si>
  <si>
    <t>M05B-351-10108-0</t>
  </si>
  <si>
    <t>M05B-351-10109-A</t>
  </si>
  <si>
    <t>M05B-351-10109-B</t>
  </si>
  <si>
    <t>351-10110-G</t>
  </si>
  <si>
    <t>M05B-351-10110-G</t>
  </si>
  <si>
    <t>351-10110-N</t>
  </si>
  <si>
    <t>M05B-351-10110-N</t>
  </si>
  <si>
    <t>351-10110-P</t>
  </si>
  <si>
    <t>M05B-351-10110-P</t>
  </si>
  <si>
    <t>351-10110-R</t>
  </si>
  <si>
    <t>M05B-351-10110-R</t>
  </si>
  <si>
    <t>351-10110-V</t>
  </si>
  <si>
    <t>M05B-351-10110-V</t>
  </si>
  <si>
    <t>351-10110-X</t>
  </si>
  <si>
    <t>M05B-351-10110-X</t>
  </si>
  <si>
    <t>M05B-351-10111-A</t>
  </si>
  <si>
    <t>M05B-351-10111-B</t>
  </si>
  <si>
    <t>M05B-351-10111-C</t>
  </si>
  <si>
    <t>351-10111-E</t>
  </si>
  <si>
    <t>M05B-351-10111-E</t>
  </si>
  <si>
    <t>351-10112</t>
  </si>
  <si>
    <t>M05B-351-10112-0</t>
  </si>
  <si>
    <t>M05B-351-10113-A</t>
  </si>
  <si>
    <t>M05B-351-10113-C</t>
  </si>
  <si>
    <t>M05B-351-10114-A</t>
  </si>
  <si>
    <t>M05B-351-10114-B</t>
  </si>
  <si>
    <t>M05B-351-10114-C</t>
  </si>
  <si>
    <t>M05B-351-10115-0</t>
  </si>
  <si>
    <t>M05B-351-10116-A</t>
  </si>
  <si>
    <t>M05B-351-10116-B</t>
  </si>
  <si>
    <t>351-10118</t>
  </si>
  <si>
    <t>M05B-351-10118-0</t>
  </si>
  <si>
    <t>M05B-351-10119-A</t>
  </si>
  <si>
    <t>M05B-351-10119-B</t>
  </si>
  <si>
    <t>M05B-351-10119-C</t>
  </si>
  <si>
    <t>351-10120</t>
  </si>
  <si>
    <t>M05B-351-10120-0</t>
  </si>
  <si>
    <t>M05B-351-10121-A</t>
  </si>
  <si>
    <t>M05B-351-10121-C</t>
  </si>
  <si>
    <t>M05B-351-10122-0</t>
  </si>
  <si>
    <t>M05B-351-10123-A</t>
  </si>
  <si>
    <t>351-10123-C</t>
  </si>
  <si>
    <t>M05B-351-10123-C</t>
  </si>
  <si>
    <t>351-10124-A</t>
  </si>
  <si>
    <t>M05B-351-10124-A</t>
  </si>
  <si>
    <t>351-10124-B</t>
  </si>
  <si>
    <t>M05B-351-10124-B</t>
  </si>
  <si>
    <t>M05B-351-10125-0</t>
  </si>
  <si>
    <t>M05B-351-10126-0</t>
  </si>
  <si>
    <t>M05B-351-10128-B</t>
  </si>
  <si>
    <t>M05B-351-10128-C</t>
  </si>
  <si>
    <t>351-10128-D</t>
  </si>
  <si>
    <t>M05B-351-10128-D</t>
  </si>
  <si>
    <t>351-10128-E</t>
  </si>
  <si>
    <t>M05B-351-10128-E</t>
  </si>
  <si>
    <t>351-10129</t>
  </si>
  <si>
    <t>M05B-351-10129-0</t>
  </si>
  <si>
    <t>M05B-351-10130-A</t>
  </si>
  <si>
    <t>M05B-351-10130-C</t>
  </si>
  <si>
    <t>351-10131-G</t>
  </si>
  <si>
    <t>M05B-351-10131-G</t>
  </si>
  <si>
    <t>351-10131-N</t>
  </si>
  <si>
    <t>M05B-351-10131-N</t>
  </si>
  <si>
    <t>351-10131-P</t>
  </si>
  <si>
    <t>M05B-351-10131-P</t>
  </si>
  <si>
    <t>351-10132</t>
  </si>
  <si>
    <t>M05B-351-10132-0</t>
  </si>
  <si>
    <t>M05B-351-10133-A</t>
  </si>
  <si>
    <t>M05B-351-10133-B</t>
  </si>
  <si>
    <t>M05B-351-10134-A</t>
  </si>
  <si>
    <t>M05B-351-10134-B</t>
  </si>
  <si>
    <t>M05B-351-10135-A</t>
  </si>
  <si>
    <t>M05B-351-10135-B</t>
  </si>
  <si>
    <t>M05B-351-10135-C</t>
  </si>
  <si>
    <t>M05B-351-10135-E</t>
  </si>
  <si>
    <t>M05B-351-10136-A</t>
  </si>
  <si>
    <t>M05B-351-10136-C</t>
  </si>
  <si>
    <t>351-10137</t>
  </si>
  <si>
    <t>M05B-351-10137-0</t>
  </si>
  <si>
    <t>AP 04</t>
  </si>
  <si>
    <t>M05B-351-10139-B</t>
  </si>
  <si>
    <t>M05B-351-10139-D</t>
  </si>
  <si>
    <t>M05B-351-10139-E</t>
  </si>
  <si>
    <t>351-10139-F</t>
  </si>
  <si>
    <t>M05B-351-10139-F</t>
  </si>
  <si>
    <t>M05B-351-10140-0</t>
  </si>
  <si>
    <t>351-10141-B</t>
  </si>
  <si>
    <t>M05B-351-10141-B</t>
  </si>
  <si>
    <t>351-10141-C</t>
  </si>
  <si>
    <t>M05B-351-10141-C</t>
  </si>
  <si>
    <t>351-10141-E</t>
  </si>
  <si>
    <t>M05B-351-10141-E</t>
  </si>
  <si>
    <t>351-10141-F</t>
  </si>
  <si>
    <t>M05B-351-10141-F</t>
  </si>
  <si>
    <t>351-10142-A</t>
  </si>
  <si>
    <t>M05B-351-10142-A</t>
  </si>
  <si>
    <t>351-10142-B</t>
  </si>
  <si>
    <t>M05B-351-10142-B</t>
  </si>
  <si>
    <t>351-10142-C</t>
  </si>
  <si>
    <t>M05B-351-10142-C</t>
  </si>
  <si>
    <t>351-10143</t>
  </si>
  <si>
    <t>M05B-351-10143-0</t>
  </si>
  <si>
    <t>351-10144-A</t>
  </si>
  <si>
    <t>M05B-351-10144-A</t>
  </si>
  <si>
    <t>351-10144-B</t>
  </si>
  <si>
    <t>M05B-351-10144-B</t>
  </si>
  <si>
    <t>351-10145-A</t>
  </si>
  <si>
    <t>M05B-351-10145-A</t>
  </si>
  <si>
    <t>351-10145-B</t>
  </si>
  <si>
    <t>M05B-351-10145-B</t>
  </si>
  <si>
    <t>351-10145-C</t>
  </si>
  <si>
    <t>M05B-351-10145-C</t>
  </si>
  <si>
    <t>351-10146-A</t>
  </si>
  <si>
    <t>M05B-351-10146-A</t>
  </si>
  <si>
    <t>351-10146-E</t>
  </si>
  <si>
    <t>M05B-351-10146-E</t>
  </si>
  <si>
    <t>351-10146-N</t>
  </si>
  <si>
    <t>M05B-351-10146-N</t>
  </si>
  <si>
    <t>351-10147</t>
  </si>
  <si>
    <t>M05B-351-10147-0</t>
  </si>
  <si>
    <t>351-10148</t>
  </si>
  <si>
    <t>M05B-351-10148-0</t>
  </si>
  <si>
    <t>351-10149-A</t>
  </si>
  <si>
    <t>M05B-351-10149-A</t>
  </si>
  <si>
    <t>351-10149-B</t>
  </si>
  <si>
    <t>M05B-351-10149-B</t>
  </si>
  <si>
    <t>351-10149-C</t>
  </si>
  <si>
    <t>M05B-351-10149-C</t>
  </si>
  <si>
    <t>351-10149-D</t>
  </si>
  <si>
    <t>M05B-351-10149-D</t>
  </si>
  <si>
    <t>351-10150-A</t>
  </si>
  <si>
    <t>M05B-351-10150-A</t>
  </si>
  <si>
    <t>351-10150-B</t>
  </si>
  <si>
    <t>M05B-351-10150-B</t>
  </si>
  <si>
    <t>351-10151</t>
  </si>
  <si>
    <t>M05B-351-10151-0</t>
  </si>
  <si>
    <t>351-10152</t>
  </si>
  <si>
    <t>M05B-351-10152-0</t>
  </si>
  <si>
    <t>351-10153</t>
  </si>
  <si>
    <t>M05B-351-10153-0</t>
  </si>
  <si>
    <t>351-10154</t>
  </si>
  <si>
    <t>M05B-351-10154-0</t>
  </si>
  <si>
    <t>351-10155-A</t>
  </si>
  <si>
    <t>M05B-351-10155-A</t>
  </si>
  <si>
    <t>351-10155-B</t>
  </si>
  <si>
    <t>M05B-351-10155-B</t>
  </si>
  <si>
    <t>351-10156-A</t>
  </si>
  <si>
    <t>M05B-351-10156-A</t>
  </si>
  <si>
    <t>351-10156-B</t>
  </si>
  <si>
    <t>M05B-351-10156-B</t>
  </si>
  <si>
    <t>351-10157-A</t>
  </si>
  <si>
    <t>M05B-351-10157-A</t>
  </si>
  <si>
    <t>351-10157-B</t>
  </si>
  <si>
    <t>M05B-351-10157-B</t>
  </si>
  <si>
    <t>351-10157-C</t>
  </si>
  <si>
    <t>M05B-351-10157-C</t>
  </si>
  <si>
    <t>351-10157-D</t>
  </si>
  <si>
    <t>M05B-351-10157-D</t>
  </si>
  <si>
    <t>351-10158-A</t>
  </si>
  <si>
    <t>M05B-351-10158-A</t>
  </si>
  <si>
    <t>351-10158-B</t>
  </si>
  <si>
    <t>M05B-351-10158-B</t>
  </si>
  <si>
    <t>351-10158-C</t>
  </si>
  <si>
    <t>M05B-351-10158-C</t>
  </si>
  <si>
    <t>351-10159</t>
  </si>
  <si>
    <t>M05B-351-10159-0</t>
  </si>
  <si>
    <t>351-10160-B</t>
  </si>
  <si>
    <t>M05B-351-10160-B</t>
  </si>
  <si>
    <t>351-10160-F</t>
  </si>
  <si>
    <t>M05B-351-10160-F</t>
  </si>
  <si>
    <t>351-10160-M</t>
  </si>
  <si>
    <t>M05B-351-10160-M</t>
  </si>
  <si>
    <t>351-10161</t>
  </si>
  <si>
    <t>M05B-351-10161-0</t>
  </si>
  <si>
    <t>351-10162</t>
  </si>
  <si>
    <t>M05B-351-10162-0</t>
  </si>
  <si>
    <t>351-10163</t>
  </si>
  <si>
    <t>M05B-351-10163-0</t>
  </si>
  <si>
    <t>351-10165-A</t>
  </si>
  <si>
    <t>M05B-351-10165-A</t>
  </si>
  <si>
    <t>351-10165-B</t>
  </si>
  <si>
    <t>M05B-351-10165-B</t>
  </si>
  <si>
    <t>351-10165-C</t>
  </si>
  <si>
    <t>M05B-351-10165-C</t>
  </si>
  <si>
    <t>351-10166</t>
  </si>
  <si>
    <t>M05B-351-10166-0</t>
  </si>
  <si>
    <t>351-10167-A</t>
  </si>
  <si>
    <t>M05B-351-10167-A</t>
  </si>
  <si>
    <t>351-10167-E</t>
  </si>
  <si>
    <t>M05B-351-10167-E</t>
  </si>
  <si>
    <t>351-10168-A</t>
  </si>
  <si>
    <t>M05B-351-10168-A</t>
  </si>
  <si>
    <t>351-10168-B</t>
  </si>
  <si>
    <t>M05B-351-10168-B</t>
  </si>
  <si>
    <t>351-10168-C</t>
  </si>
  <si>
    <t>M05B-351-10168-C</t>
  </si>
  <si>
    <t>351-10168-D</t>
  </si>
  <si>
    <t>M05B-351-10168-D</t>
  </si>
  <si>
    <t>351-10169-A</t>
  </si>
  <si>
    <t>M05B-351-10169-A</t>
  </si>
  <si>
    <t>351-10169-B</t>
  </si>
  <si>
    <t>M05B-351-10169-B</t>
  </si>
  <si>
    <t>351-10170-A</t>
  </si>
  <si>
    <t>M05B-351-10170-A</t>
  </si>
  <si>
    <t>351-10170-B</t>
  </si>
  <si>
    <t>M05B-351-10170-B</t>
  </si>
  <si>
    <t>351-10170-C</t>
  </si>
  <si>
    <t>M05B-351-10170-C</t>
  </si>
  <si>
    <t>351-10171-A</t>
  </si>
  <si>
    <t>M05B-351-10171-A</t>
  </si>
  <si>
    <t>351-10171-E</t>
  </si>
  <si>
    <t>M05B-351-10171-E</t>
  </si>
  <si>
    <t>351-10171-N</t>
  </si>
  <si>
    <t>M05B-351-10171-N</t>
  </si>
  <si>
    <t>351-10172</t>
  </si>
  <si>
    <t>M05B-351-10172-0</t>
  </si>
  <si>
    <t>351-10173-C</t>
  </si>
  <si>
    <t>M05B-351-10173-C</t>
  </si>
  <si>
    <t>351-10173-F</t>
  </si>
  <si>
    <t>M05B-351-10173-F</t>
  </si>
  <si>
    <t>351-10173-M</t>
  </si>
  <si>
    <t>M05B-351-10173-M</t>
  </si>
  <si>
    <t>351-10174-A</t>
  </si>
  <si>
    <t>M05B-351-10174-A</t>
  </si>
  <si>
    <t>351-10174-E</t>
  </si>
  <si>
    <t>M05B-351-10174-E</t>
  </si>
  <si>
    <t>351-10175</t>
  </si>
  <si>
    <t>M05B-351-10175-0</t>
  </si>
  <si>
    <t>351-10176-A</t>
  </si>
  <si>
    <t>M05B-351-10176-A</t>
  </si>
  <si>
    <t>351-10176-E</t>
  </si>
  <si>
    <t>M05B-351-10176-E</t>
  </si>
  <si>
    <t xml:space="preserve">PLATFORM </t>
  </si>
  <si>
    <t>351-10177-A</t>
  </si>
  <si>
    <t>M05B-351-10177-A</t>
  </si>
  <si>
    <t>351-10177-B</t>
  </si>
  <si>
    <t>M05B-351-10177-B</t>
  </si>
  <si>
    <t>351-10177-C</t>
  </si>
  <si>
    <t>M05B-351-10177-C</t>
  </si>
  <si>
    <t>351-10177-D</t>
  </si>
  <si>
    <t>M05B-351-10177-D</t>
  </si>
  <si>
    <t>351-10178-A</t>
  </si>
  <si>
    <t>M05B-351-10178-A</t>
  </si>
  <si>
    <t>351-10178-B</t>
  </si>
  <si>
    <t>M05B-351-10178-B</t>
  </si>
  <si>
    <t>351-10179-A</t>
  </si>
  <si>
    <t>M05B-351-10179-A</t>
  </si>
  <si>
    <t>351-10179-E</t>
  </si>
  <si>
    <t>M05B-351-10179-E</t>
  </si>
  <si>
    <t>351-10180</t>
  </si>
  <si>
    <t>M05B-351-10180-0</t>
  </si>
  <si>
    <t>351-10181-A</t>
  </si>
  <si>
    <t>M05B-351-10181-A</t>
  </si>
  <si>
    <t>351-10181-E</t>
  </si>
  <si>
    <t>M05B-351-10181-E</t>
  </si>
  <si>
    <t>351-10182</t>
  </si>
  <si>
    <t>M05B-351-10182-0</t>
  </si>
  <si>
    <t>351-10183-C</t>
  </si>
  <si>
    <t>M05B-351-10183-C</t>
  </si>
  <si>
    <t>351-10183-F</t>
  </si>
  <si>
    <t>M05B-351-10183-F</t>
  </si>
  <si>
    <t>351-10183-M</t>
  </si>
  <si>
    <t>M05B-351-10183-M</t>
  </si>
  <si>
    <t>351-10184-A</t>
  </si>
  <si>
    <t>M05B-351-10184-A</t>
  </si>
  <si>
    <t>351-10184-B</t>
  </si>
  <si>
    <t>M05B-351-10184-B</t>
  </si>
  <si>
    <t>351-10184-C</t>
  </si>
  <si>
    <t>M05B-351-10184-C</t>
  </si>
  <si>
    <t>351-10184-D</t>
  </si>
  <si>
    <t>M05B-351-10184-D</t>
  </si>
  <si>
    <t>351-10185</t>
  </si>
  <si>
    <t>M05B-351-10185-0</t>
  </si>
  <si>
    <t>351-10186-A</t>
  </si>
  <si>
    <t>M05B-351-10186-A</t>
  </si>
  <si>
    <t>351-10186-B</t>
  </si>
  <si>
    <t>M05B-351-10186-B</t>
  </si>
  <si>
    <t>351-10187-A</t>
  </si>
  <si>
    <t>M05B-351-10187-A</t>
  </si>
  <si>
    <t>351-10187-B</t>
  </si>
  <si>
    <t>M05B-351-10187-B</t>
  </si>
  <si>
    <t>351-10188</t>
  </si>
  <si>
    <t>M05B-351-10188-0</t>
  </si>
  <si>
    <t>351-10189</t>
  </si>
  <si>
    <t>M05B-351-10189-0</t>
  </si>
  <si>
    <t>351-10190-A</t>
  </si>
  <si>
    <t>M05B-351-10190-A</t>
  </si>
  <si>
    <t>351-10190-B</t>
  </si>
  <si>
    <t>M05B-351-10190-B</t>
  </si>
  <si>
    <t>351-10191-A</t>
  </si>
  <si>
    <t>M05B-351-10191-A</t>
  </si>
  <si>
    <t>351-10191-D</t>
  </si>
  <si>
    <t>M05B-351-10191-D</t>
  </si>
  <si>
    <t>351-10191-R</t>
  </si>
  <si>
    <t>M05B-351-10191-R</t>
  </si>
  <si>
    <t>351-10192</t>
  </si>
  <si>
    <t>M05B-351-10192-0</t>
  </si>
  <si>
    <t>351-10193-A</t>
  </si>
  <si>
    <t>M05B-351-10193-A</t>
  </si>
  <si>
    <t>351-10193-E</t>
  </si>
  <si>
    <t>M05B-351-10193-E</t>
  </si>
  <si>
    <t>351-10194-G</t>
  </si>
  <si>
    <t>M05B-351-10194-G</t>
  </si>
  <si>
    <t>351-10194-K</t>
  </si>
  <si>
    <t>M05B-351-10194-K</t>
  </si>
  <si>
    <t>351-10194-N</t>
  </si>
  <si>
    <t>M05B-351-10194-N</t>
  </si>
  <si>
    <t>351-10195</t>
  </si>
  <si>
    <t>M05B-351-10195-0</t>
  </si>
  <si>
    <t>351-10196</t>
  </si>
  <si>
    <t>M05B-351-10196-0</t>
  </si>
  <si>
    <t>351-10197</t>
  </si>
  <si>
    <t>M05B-351-10197-0</t>
  </si>
  <si>
    <t>351-10198-A</t>
  </si>
  <si>
    <t>M05B-351-10198-A</t>
  </si>
  <si>
    <t>351-10198-B</t>
  </si>
  <si>
    <t>M05B-351-10198-B</t>
  </si>
  <si>
    <t>351-10199-A</t>
  </si>
  <si>
    <t>M05B-351-10199-A</t>
  </si>
  <si>
    <t>351-10199-B</t>
  </si>
  <si>
    <t>M05B-351-10199-B</t>
  </si>
  <si>
    <t>351-10201</t>
  </si>
  <si>
    <t>M05B-351-10201-0</t>
  </si>
  <si>
    <t>M05B-351-10202-A</t>
  </si>
  <si>
    <t>M05B-351-10202-E</t>
  </si>
  <si>
    <t>351-10203</t>
  </si>
  <si>
    <t>M05B-351-10203-0</t>
  </si>
  <si>
    <t>M05B-351-10204-A</t>
  </si>
  <si>
    <t>M05B-351-10204-E</t>
  </si>
  <si>
    <t>351-10205</t>
  </si>
  <si>
    <t>M05B-351-10205-0</t>
  </si>
  <si>
    <t>M05B-351-10206-A</t>
  </si>
  <si>
    <t>M05B-351-10206-B</t>
  </si>
  <si>
    <t>351-10207-A</t>
  </si>
  <si>
    <t>M05B-351-10207-A</t>
  </si>
  <si>
    <t>M05B-351-10207-B</t>
  </si>
  <si>
    <t>351-10208</t>
  </si>
  <si>
    <t>M05B-351-10208-0</t>
  </si>
  <si>
    <t>351-10209</t>
  </si>
  <si>
    <t>M05B-351-10209-0</t>
  </si>
  <si>
    <t>351-10210</t>
  </si>
  <si>
    <t>M05B-351-10210-0</t>
  </si>
  <si>
    <t>M05B-351-10211-A</t>
  </si>
  <si>
    <t>M05B-351-10211-B</t>
  </si>
  <si>
    <t>M05B-351-10212-A</t>
  </si>
  <si>
    <t>M05B-351-10212-B</t>
  </si>
  <si>
    <t>351-10213</t>
  </si>
  <si>
    <t>M05B-351-10213-0</t>
  </si>
  <si>
    <t>M05B-351-10214-B</t>
  </si>
  <si>
    <t>M05B-351-10214-C</t>
  </si>
  <si>
    <t>M05B-351-10214-E</t>
  </si>
  <si>
    <t>351-10214-F</t>
  </si>
  <si>
    <t>M05B-351-10214-F</t>
  </si>
  <si>
    <t>351-10215</t>
  </si>
  <si>
    <t>M05B-351-10215-0</t>
  </si>
  <si>
    <t>M05B-351-10216-B</t>
  </si>
  <si>
    <t>M05B-351-10216-C</t>
  </si>
  <si>
    <t>351-10216-E</t>
  </si>
  <si>
    <t>M05B-351-10216-E</t>
  </si>
  <si>
    <t>351-10216-F</t>
  </si>
  <si>
    <t>M05B-351-10216-F</t>
  </si>
  <si>
    <t>351-10217</t>
  </si>
  <si>
    <t>M05B-351-10217-0</t>
  </si>
  <si>
    <t>M05B-351-10218-A</t>
  </si>
  <si>
    <t>M05B-351-10218-B</t>
  </si>
  <si>
    <t>M05B-351-10219-A</t>
  </si>
  <si>
    <t>M05B-351-10219-B</t>
  </si>
  <si>
    <t>351-10220</t>
  </si>
  <si>
    <t>M05B-351-10220-0</t>
  </si>
  <si>
    <t>351-10221</t>
  </si>
  <si>
    <t>M05B-351-10221-0</t>
  </si>
  <si>
    <t>M05B-351-10222-0</t>
  </si>
  <si>
    <t>M05B-351-10223-B</t>
  </si>
  <si>
    <t>M05B-351-10223-C</t>
  </si>
  <si>
    <t>M05B-351-10223-E</t>
  </si>
  <si>
    <t>M05B-351-10223-F</t>
  </si>
  <si>
    <t>M05B-351-10224-B</t>
  </si>
  <si>
    <t>M05B-351-10224-C</t>
  </si>
  <si>
    <t>M05B-351-10224-E</t>
  </si>
  <si>
    <t>M05B-351-10224-F</t>
  </si>
  <si>
    <t>M05B-351-10225-A</t>
  </si>
  <si>
    <t>M05B-351-10225-B</t>
  </si>
  <si>
    <t>M05B-351-10226-0</t>
  </si>
  <si>
    <t>M05B-351-10227-A</t>
  </si>
  <si>
    <t>M05B-351-10227-B</t>
  </si>
  <si>
    <t>M05B-351-10227-C</t>
  </si>
  <si>
    <t>351-10228</t>
  </si>
  <si>
    <t>M05B-351-10228-0</t>
  </si>
  <si>
    <t>M05B-351-10229-A</t>
  </si>
  <si>
    <t>M05B-351-10229-B</t>
  </si>
  <si>
    <t>M05B-351-10229-C</t>
  </si>
  <si>
    <t>M05B-351-10230-A</t>
  </si>
  <si>
    <t>M05B-351-10230-E</t>
  </si>
  <si>
    <t>351-10230-N</t>
  </si>
  <si>
    <t>M05B-351-10230-N</t>
  </si>
  <si>
    <t>M05B-351-10231-A</t>
  </si>
  <si>
    <t>M05B-351-10231-B</t>
  </si>
  <si>
    <t>M05B-351-10231-C</t>
  </si>
  <si>
    <t>M05B-351-10231-D</t>
  </si>
  <si>
    <t>M05B-351-10232-A</t>
  </si>
  <si>
    <t>M05B-351-10232-B</t>
  </si>
  <si>
    <t>M05B-351-10232-C</t>
  </si>
  <si>
    <t>M05B-351-10233-0</t>
  </si>
  <si>
    <t>AP 02</t>
  </si>
  <si>
    <t>M05B-351-10234-A</t>
  </si>
  <si>
    <t>M05B-351-10234-B</t>
  </si>
  <si>
    <t>M05B-351-10235-A</t>
  </si>
  <si>
    <t>M05B-351-10235-B</t>
  </si>
  <si>
    <t>M05B-351-10235-C</t>
  </si>
  <si>
    <t>M05B-351-10235-D</t>
  </si>
  <si>
    <t>351-10236-A</t>
  </si>
  <si>
    <t>M05B-351-10236-A</t>
  </si>
  <si>
    <t>351-10236-B</t>
  </si>
  <si>
    <t>M05B-351-10236-B</t>
  </si>
  <si>
    <t>351-10236-C</t>
  </si>
  <si>
    <t>M05B-351-10236-C</t>
  </si>
  <si>
    <t>351-10236-D</t>
  </si>
  <si>
    <t>M05B-351-10236-D</t>
  </si>
  <si>
    <t>351-10236-E</t>
  </si>
  <si>
    <t>M05B-351-10236-E</t>
  </si>
  <si>
    <t>351-10237-A</t>
  </si>
  <si>
    <t>M05B-351-10237-A</t>
  </si>
  <si>
    <t>351-10237-B</t>
  </si>
  <si>
    <t>M05B-351-10237-B</t>
  </si>
  <si>
    <t>351-10237-C</t>
  </si>
  <si>
    <t>M05B-351-10237-C</t>
  </si>
  <si>
    <t>351-10237-D</t>
  </si>
  <si>
    <t>M05B-351-10237-D</t>
  </si>
  <si>
    <t>351-10237-E</t>
  </si>
  <si>
    <t>M05B-351-10237-E</t>
  </si>
  <si>
    <t>M05B-351-10238-B</t>
  </si>
  <si>
    <t>351-10238-F</t>
  </si>
  <si>
    <t>M05B-351-10238-F</t>
  </si>
  <si>
    <t>351-10238-M</t>
  </si>
  <si>
    <t>M05B-351-10238-M</t>
  </si>
  <si>
    <t>M05B-351-10239-B</t>
  </si>
  <si>
    <t>M05B-351-10239-C</t>
  </si>
  <si>
    <t>M05B-351-10239-D</t>
  </si>
  <si>
    <t>M05B-351-10239-F</t>
  </si>
  <si>
    <t>351-10240</t>
  </si>
  <si>
    <t>M05B-351-10240-0</t>
  </si>
  <si>
    <t>M05B-351-10241-D</t>
  </si>
  <si>
    <t>M05B-351-10241-G</t>
  </si>
  <si>
    <t>351-10241-K</t>
  </si>
  <si>
    <t>M05B-351-10241-K</t>
  </si>
  <si>
    <t>M05B-351-10242-A</t>
  </si>
  <si>
    <t>M05B-351-10242-B</t>
  </si>
  <si>
    <t>M05B-351-10242-D</t>
  </si>
  <si>
    <t>351-10243</t>
  </si>
  <si>
    <t>M05B-351-10243-0</t>
  </si>
  <si>
    <t>351-10244-A</t>
  </si>
  <si>
    <t>M05B-351-10244-A</t>
  </si>
  <si>
    <t>M05B-351-10244-B</t>
  </si>
  <si>
    <t>M05B-351-10244-C</t>
  </si>
  <si>
    <t>M05B-351-10244-D</t>
  </si>
  <si>
    <t>M05B-351-10244-E</t>
  </si>
  <si>
    <t>M05B-351-10245-0</t>
  </si>
  <si>
    <t>351-10246-A</t>
  </si>
  <si>
    <t>M05B-351-10246-A</t>
  </si>
  <si>
    <t>351-10246-E</t>
  </si>
  <si>
    <t>M05B-351-10246-E</t>
  </si>
  <si>
    <t>351-10246-N</t>
  </si>
  <si>
    <t>M05B-351-10246-N</t>
  </si>
  <si>
    <t>351-10247-A</t>
  </si>
  <si>
    <t>M05B-351-10247-A</t>
  </si>
  <si>
    <t>351-10247-B</t>
  </si>
  <si>
    <t>M05B-351-10247-B</t>
  </si>
  <si>
    <t>351-10247-C</t>
  </si>
  <si>
    <t>M05B-351-10247-C</t>
  </si>
  <si>
    <t>351-10248-A</t>
  </si>
  <si>
    <t>M05B-351-10248-A</t>
  </si>
  <si>
    <t>351-10248-D</t>
  </si>
  <si>
    <t>M05B-351-10248-D</t>
  </si>
  <si>
    <t>351-10249</t>
  </si>
  <si>
    <t>M05B-351-10249-0</t>
  </si>
  <si>
    <t>351-10250-A</t>
  </si>
  <si>
    <t>M05B-351-10250-A</t>
  </si>
  <si>
    <t>351-10250-D</t>
  </si>
  <si>
    <t>M05B-351-10250-D</t>
  </si>
  <si>
    <t>351-10251</t>
  </si>
  <si>
    <t>M05B-351-10251-0</t>
  </si>
  <si>
    <t>351-10252-A</t>
  </si>
  <si>
    <t>M05B-351-10252-A</t>
  </si>
  <si>
    <t>351-10252-B</t>
  </si>
  <si>
    <t>M05B-351-10252-B</t>
  </si>
  <si>
    <t>351-10252-C</t>
  </si>
  <si>
    <t>M05B-351-10252-C</t>
  </si>
  <si>
    <t>351-10253-A</t>
  </si>
  <si>
    <t>M05B-351-10253-A</t>
  </si>
  <si>
    <t>351-10253-B</t>
  </si>
  <si>
    <t>M05B-351-10253-B</t>
  </si>
  <si>
    <t>351-10254-B</t>
  </si>
  <si>
    <t>M05B-351-10254-B</t>
  </si>
  <si>
    <t>351-10254-F</t>
  </si>
  <si>
    <t>M05B-351-10254-F</t>
  </si>
  <si>
    <t>351-10254-M</t>
  </si>
  <si>
    <t>M05B-351-10254-M</t>
  </si>
  <si>
    <t>351-10255</t>
  </si>
  <si>
    <t>M05B-351-10255-0</t>
  </si>
  <si>
    <t>351-10256</t>
  </si>
  <si>
    <t>M05B-351-10256-0</t>
  </si>
  <si>
    <t>351-10257</t>
  </si>
  <si>
    <t>M05B-351-10257-0</t>
  </si>
  <si>
    <t>351-10258-A</t>
  </si>
  <si>
    <t>M05B-351-10258-A</t>
  </si>
  <si>
    <t>351-10258-B</t>
  </si>
  <si>
    <t>M05B-351-10258-B</t>
  </si>
  <si>
    <t>351-10258-C</t>
  </si>
  <si>
    <t>M05B-351-10258-C</t>
  </si>
  <si>
    <t>351-10259-A</t>
  </si>
  <si>
    <t>M05B-351-10259-A</t>
  </si>
  <si>
    <t>351-10259-B</t>
  </si>
  <si>
    <t>M05B-351-10259-B</t>
  </si>
  <si>
    <t>351-10260</t>
  </si>
  <si>
    <t>M05B-351-10260-0</t>
  </si>
  <si>
    <t>351-10261-A</t>
  </si>
  <si>
    <t>M05B-351-10261-A</t>
  </si>
  <si>
    <t>351-10261-D</t>
  </si>
  <si>
    <t>M05B-351-10261-D</t>
  </si>
  <si>
    <t>351-10262</t>
  </si>
  <si>
    <t>M05B-351-10262-0</t>
  </si>
  <si>
    <t>351-10263-A</t>
  </si>
  <si>
    <t>M05B-351-10263-A</t>
  </si>
  <si>
    <t>351-10263-D</t>
  </si>
  <si>
    <t>M05B-351-10263-D</t>
  </si>
  <si>
    <t>351-10264</t>
  </si>
  <si>
    <t>M05B-351-10264-0</t>
  </si>
  <si>
    <t>351-10265-A</t>
  </si>
  <si>
    <t>M05B-351-10265-A</t>
  </si>
  <si>
    <t>351-10265-B</t>
  </si>
  <si>
    <t>M05B-351-10265-B</t>
  </si>
  <si>
    <t>351-10266-A</t>
  </si>
  <si>
    <t>M05B-351-10266-A</t>
  </si>
  <si>
    <t>351-10266-B</t>
  </si>
  <si>
    <t>M05B-351-10266-B</t>
  </si>
  <si>
    <t>351-10267-B</t>
  </si>
  <si>
    <t>M05B-351-10267-B</t>
  </si>
  <si>
    <t>351-10267-F</t>
  </si>
  <si>
    <t>M05B-351-10267-F</t>
  </si>
  <si>
    <t>351-10267-M</t>
  </si>
  <si>
    <t>M05B-351-10267-M</t>
  </si>
  <si>
    <t>351-10268</t>
  </si>
  <si>
    <t>M05B-351-10268-0</t>
  </si>
  <si>
    <t>351-10269</t>
  </si>
  <si>
    <t>M05B-351-10269-0</t>
  </si>
  <si>
    <t>351-10270</t>
  </si>
  <si>
    <t>M05B-351-10270-0</t>
  </si>
  <si>
    <t>351-10271-B</t>
  </si>
  <si>
    <t>M05B-351-10271-B</t>
  </si>
  <si>
    <t>351-10271-F</t>
  </si>
  <si>
    <t>M05B-351-10271-F</t>
  </si>
  <si>
    <t>351-10271-M</t>
  </si>
  <si>
    <t>M05B-351-10271-M</t>
  </si>
  <si>
    <t>351-10272-A</t>
  </si>
  <si>
    <t>M05B-351-10272-A</t>
  </si>
  <si>
    <t>351-10272-B</t>
  </si>
  <si>
    <t>M05B-351-10272-B</t>
  </si>
  <si>
    <t>351-10273-A</t>
  </si>
  <si>
    <t>M05B-351-10273-A</t>
  </si>
  <si>
    <t>351-10273-B</t>
  </si>
  <si>
    <t>M05B-351-10273-B</t>
  </si>
  <si>
    <t>351-10274</t>
  </si>
  <si>
    <t>M05B-351-10274-0</t>
  </si>
  <si>
    <t>351-10275-B</t>
  </si>
  <si>
    <t>M05B-351-10275-B</t>
  </si>
  <si>
    <t>351-10275-C</t>
  </si>
  <si>
    <t>M05B-351-10275-C</t>
  </si>
  <si>
    <t>351-10275-D</t>
  </si>
  <si>
    <t>M05B-351-10275-D</t>
  </si>
  <si>
    <t>351-10275-E</t>
  </si>
  <si>
    <t>M05B-351-10275-E</t>
  </si>
  <si>
    <t>351-10276</t>
  </si>
  <si>
    <t>M05B-351-10276-0</t>
  </si>
  <si>
    <t>351-10277-A</t>
  </si>
  <si>
    <t>M05B-351-10277-A</t>
  </si>
  <si>
    <t>351-10277-B</t>
  </si>
  <si>
    <t>M05B-351-10277-B</t>
  </si>
  <si>
    <t>351-10277-D</t>
  </si>
  <si>
    <t>M05B-351-10277-D</t>
  </si>
  <si>
    <t>351-10278</t>
  </si>
  <si>
    <t>M05B-351-10278-0</t>
  </si>
  <si>
    <t>351-10279-A</t>
  </si>
  <si>
    <t>M05B-351-10279-A</t>
  </si>
  <si>
    <t>351-10279-B</t>
  </si>
  <si>
    <t>M05B-351-10279-B</t>
  </si>
  <si>
    <t>351-10280-A</t>
  </si>
  <si>
    <t>M05B-351-10280-A</t>
  </si>
  <si>
    <t>351-10280-B</t>
  </si>
  <si>
    <t>M05B-351-10280-B</t>
  </si>
  <si>
    <t>351-10281</t>
  </si>
  <si>
    <t>M05B-351-10281-0</t>
  </si>
  <si>
    <t>351-10282</t>
  </si>
  <si>
    <t>M05B-351-10282-0</t>
  </si>
  <si>
    <t>351-10283</t>
  </si>
  <si>
    <t>M05B-351-10283-0</t>
  </si>
  <si>
    <t>351-10284-B</t>
  </si>
  <si>
    <t>M05B-351-10284-B</t>
  </si>
  <si>
    <t>351-10284-F</t>
  </si>
  <si>
    <t>M05B-351-10284-F</t>
  </si>
  <si>
    <t>351-10284-M</t>
  </si>
  <si>
    <t>M05B-351-10284-M</t>
  </si>
  <si>
    <t>351-10285-A</t>
  </si>
  <si>
    <t>M05B-351-10285-A</t>
  </si>
  <si>
    <t>351-10285-B</t>
  </si>
  <si>
    <t>M05B-351-10285-B</t>
  </si>
  <si>
    <t>351-10285-C</t>
  </si>
  <si>
    <t>M05B-351-10285-C</t>
  </si>
  <si>
    <t>351-10286-A</t>
  </si>
  <si>
    <t>M05B-351-10286-A</t>
  </si>
  <si>
    <t>351-10286-B</t>
  </si>
  <si>
    <t>M05B-351-10286-B</t>
  </si>
  <si>
    <t>351-10287</t>
  </si>
  <si>
    <t>M05B-351-10287-0</t>
  </si>
  <si>
    <t>351-10288-B</t>
  </si>
  <si>
    <t>M05B-351-10288-B</t>
  </si>
  <si>
    <t>351-10288-C</t>
  </si>
  <si>
    <t>M05B-351-10288-C</t>
  </si>
  <si>
    <t>351-10288-D</t>
  </si>
  <si>
    <t>M05B-351-10288-D</t>
  </si>
  <si>
    <t>351-10288-E</t>
  </si>
  <si>
    <t>M05B-351-10288-E</t>
  </si>
  <si>
    <t>351-10289</t>
  </si>
  <si>
    <t>M05B-351-10289-0</t>
  </si>
  <si>
    <t>351-10290-A</t>
  </si>
  <si>
    <t>M05B-351-10290-A</t>
  </si>
  <si>
    <t>351-10290-B</t>
  </si>
  <si>
    <t>M05B-351-10290-B</t>
  </si>
  <si>
    <t>351-10290-D</t>
  </si>
  <si>
    <t>M05B-351-10290-D</t>
  </si>
  <si>
    <t>351-10292-A</t>
  </si>
  <si>
    <t>M05B-351-10292-A</t>
  </si>
  <si>
    <t>351-10292-B</t>
  </si>
  <si>
    <t>M05B-351-10292-B</t>
  </si>
  <si>
    <t>351-10292-C</t>
  </si>
  <si>
    <t>M05B-351-10292-C</t>
  </si>
  <si>
    <t>351-10293</t>
  </si>
  <si>
    <t>M05B-351-10293-0</t>
  </si>
  <si>
    <t>351-10294-A</t>
  </si>
  <si>
    <t>M05B-351-10294-A</t>
  </si>
  <si>
    <t>351-10294-B</t>
  </si>
  <si>
    <t>M05B-351-10294-B</t>
  </si>
  <si>
    <t>351-10295</t>
  </si>
  <si>
    <t>M05B-351-10295-0</t>
  </si>
  <si>
    <t>351-10296</t>
  </si>
  <si>
    <t>M05B-351-10296-0</t>
  </si>
  <si>
    <t>351-10297-B</t>
  </si>
  <si>
    <t>M05B-351-10297-B</t>
  </si>
  <si>
    <t>351-10297-F</t>
  </si>
  <si>
    <t>M05B-351-10297-F</t>
  </si>
  <si>
    <t>351-10297-M</t>
  </si>
  <si>
    <t>M05B-351-10297-M</t>
  </si>
  <si>
    <t>351-10298-A</t>
  </si>
  <si>
    <t>M05B-351-10298-A</t>
  </si>
  <si>
    <t>351-10298-B</t>
  </si>
  <si>
    <t>M05B-351-10298-B</t>
  </si>
  <si>
    <t>351-10299</t>
  </si>
  <si>
    <t>M05B-351-10299-0</t>
  </si>
  <si>
    <t>M05B-351-10301-A</t>
  </si>
  <si>
    <t>M05B-351-10301-B</t>
  </si>
  <si>
    <t>M05B-351-10301-C</t>
  </si>
  <si>
    <t>351-10302</t>
  </si>
  <si>
    <t>M05B-351-10302-0</t>
  </si>
  <si>
    <t>351-10303</t>
  </si>
  <si>
    <t>M05B-351-10303-0</t>
  </si>
  <si>
    <t>M05B-351-10304-A</t>
  </si>
  <si>
    <t>M05B-351-10304-B</t>
  </si>
  <si>
    <t>351-10305-A</t>
  </si>
  <si>
    <t>M05B-351-10305-A</t>
  </si>
  <si>
    <t>M05B-351-10305-B</t>
  </si>
  <si>
    <t>M05B-351-10305-C</t>
  </si>
  <si>
    <t>M05B-351-10305-D</t>
  </si>
  <si>
    <t>M05B-351-10305-E</t>
  </si>
  <si>
    <t>M05B-351-10306-E</t>
  </si>
  <si>
    <t>351-10306-X</t>
  </si>
  <si>
    <t>M05B-351-10306-X</t>
  </si>
  <si>
    <t>351-10306-Y</t>
  </si>
  <si>
    <t>M05B-351-10306-Y</t>
  </si>
  <si>
    <t>351-10307</t>
  </si>
  <si>
    <t>M05B-351-10307-0</t>
  </si>
  <si>
    <t>351-10308-A</t>
  </si>
  <si>
    <t>M05B-351-10308-A</t>
  </si>
  <si>
    <t>M05B-351-10308-B</t>
  </si>
  <si>
    <t>351-10309</t>
  </si>
  <si>
    <t>M05B-351-10309-0</t>
  </si>
  <si>
    <t>351-10310-A</t>
  </si>
  <si>
    <t>M05B-351-10310-A</t>
  </si>
  <si>
    <t>M05B-351-10310-C</t>
  </si>
  <si>
    <t>351-10311</t>
  </si>
  <si>
    <t>M05B-351-10311-0</t>
  </si>
  <si>
    <t>351-10312-A</t>
  </si>
  <si>
    <t>M05B-351-10312-A</t>
  </si>
  <si>
    <t>M05B-351-10312-C</t>
  </si>
  <si>
    <t>351-10313-A</t>
  </si>
  <si>
    <t>M05B-351-10313-A</t>
  </si>
  <si>
    <t>M05B-351-10313-B</t>
  </si>
  <si>
    <t>M05B-351-10313-C</t>
  </si>
  <si>
    <t>351-10314</t>
  </si>
  <si>
    <t>M05B-351-10314-0</t>
  </si>
  <si>
    <t>351-10315-A</t>
  </si>
  <si>
    <t>M05B-351-10315-A</t>
  </si>
  <si>
    <t>M05B-351-10315-B</t>
  </si>
  <si>
    <t>351-10316-E</t>
  </si>
  <si>
    <t>M05B-351-10316-E</t>
  </si>
  <si>
    <t>351-10316-X</t>
  </si>
  <si>
    <t>M05B-351-10316-X</t>
  </si>
  <si>
    <t>351-10316-Y</t>
  </si>
  <si>
    <t>M05B-351-10316-Y</t>
  </si>
  <si>
    <t>351-10317</t>
  </si>
  <si>
    <t>M05B-351-10317-0</t>
  </si>
  <si>
    <t>351-10318</t>
  </si>
  <si>
    <t>M05B-351-10318-0</t>
  </si>
  <si>
    <t>M05B-351-10319-E</t>
  </si>
  <si>
    <t>351-10319-X</t>
  </si>
  <si>
    <t>M05B-351-10319-X</t>
  </si>
  <si>
    <t>351-10319-Y</t>
  </si>
  <si>
    <t>M05B-351-10319-Y</t>
  </si>
  <si>
    <t>M05B-351-10320-0</t>
  </si>
  <si>
    <t>M05B-351-10321-A</t>
  </si>
  <si>
    <t>M05B-351-10321-B</t>
  </si>
  <si>
    <t>M05B-351-10321-C</t>
  </si>
  <si>
    <t>M05B-351-10322-A</t>
  </si>
  <si>
    <t>M05B-351-10322-B</t>
  </si>
  <si>
    <t>M05B-351-10322-C</t>
  </si>
  <si>
    <t>351-10323-B</t>
  </si>
  <si>
    <t>M05B-351-10323-B</t>
  </si>
  <si>
    <t>M05B-351-10323-C</t>
  </si>
  <si>
    <t>M05B-351-10323-D</t>
  </si>
  <si>
    <t>M05B-351-10323-E</t>
  </si>
  <si>
    <t>351-10324</t>
  </si>
  <si>
    <t>M05B-351-10324-0</t>
  </si>
  <si>
    <t>M05B-351-10325-A</t>
  </si>
  <si>
    <t>M05B-351-10325-B</t>
  </si>
  <si>
    <t>M05B-351-10325-D</t>
  </si>
  <si>
    <t>351-10326</t>
  </si>
  <si>
    <t>M05B-351-10326-0</t>
  </si>
  <si>
    <t>M05B-351-10327-B</t>
  </si>
  <si>
    <t>M05B-351-10327-F</t>
  </si>
  <si>
    <t>351-10327-M</t>
  </si>
  <si>
    <t>M05B-351-10327-M</t>
  </si>
  <si>
    <t>351-10328</t>
  </si>
  <si>
    <t>M05B-351-10328-0</t>
  </si>
  <si>
    <t>351-10329</t>
  </si>
  <si>
    <t>M05B-351-10329-0</t>
  </si>
  <si>
    <t>351-10330</t>
  </si>
  <si>
    <t>M05B-351-10330-0</t>
  </si>
  <si>
    <t>10331</t>
  </si>
  <si>
    <t>10332</t>
  </si>
  <si>
    <t>10333</t>
  </si>
  <si>
    <t>10334</t>
  </si>
  <si>
    <t>10335</t>
  </si>
  <si>
    <t>10336</t>
  </si>
  <si>
    <t>10337</t>
  </si>
  <si>
    <t>M05B-351-10338-B</t>
  </si>
  <si>
    <t>M05B-351-10338-F</t>
  </si>
  <si>
    <t>351-10338-M</t>
  </si>
  <si>
    <t>M05B-351-10338-M</t>
  </si>
  <si>
    <t>10339</t>
  </si>
  <si>
    <t>351-10340-A</t>
  </si>
  <si>
    <t>M05B-351-10340-A</t>
  </si>
  <si>
    <t>351-10340-B</t>
  </si>
  <si>
    <t>M05B-351-10340-B</t>
  </si>
  <si>
    <t>351-10341-A</t>
  </si>
  <si>
    <t>M05B-351-10341-A</t>
  </si>
  <si>
    <t>351-10341-B</t>
  </si>
  <si>
    <t>M05B-351-10341-B</t>
  </si>
  <si>
    <t>10342</t>
  </si>
  <si>
    <t>10343</t>
  </si>
  <si>
    <t>10344</t>
  </si>
  <si>
    <t>10345</t>
  </si>
  <si>
    <t>10346</t>
  </si>
  <si>
    <t>10347</t>
  </si>
  <si>
    <t>10348</t>
  </si>
  <si>
    <t>351-10349-B</t>
  </si>
  <si>
    <t>M05B-351-10349-B</t>
  </si>
  <si>
    <t>351-10349-F</t>
  </si>
  <si>
    <t>M05B-351-10349-F</t>
  </si>
  <si>
    <t>351-10349-M</t>
  </si>
  <si>
    <t>M05B-351-10349-M</t>
  </si>
  <si>
    <t>351-10350-B</t>
  </si>
  <si>
    <t>M05B-351-10350-B</t>
  </si>
  <si>
    <t>351-10350-F</t>
  </si>
  <si>
    <t>M05B-351-10350-F</t>
  </si>
  <si>
    <t>351-10350-M</t>
  </si>
  <si>
    <t>M05B-351-10350-M</t>
  </si>
  <si>
    <t>351-10351-B</t>
  </si>
  <si>
    <t>M05B-351-10351-B</t>
  </si>
  <si>
    <t>351-10351-F</t>
  </si>
  <si>
    <t>M05B-351-10351-F</t>
  </si>
  <si>
    <t>351-10351-M</t>
  </si>
  <si>
    <t>M05B-351-10351-M</t>
  </si>
  <si>
    <t>351-10352-B</t>
  </si>
  <si>
    <t>M05B-351-10352-B</t>
  </si>
  <si>
    <t>351-10352-F</t>
  </si>
  <si>
    <t>M05B-351-10352-F</t>
  </si>
  <si>
    <t>351-10352-M</t>
  </si>
  <si>
    <t>M05B-351-10352-M</t>
  </si>
  <si>
    <t>10353</t>
  </si>
  <si>
    <t>10354</t>
  </si>
  <si>
    <t>10355</t>
  </si>
  <si>
    <t>10356</t>
  </si>
  <si>
    <t>10357</t>
  </si>
  <si>
    <t>10358</t>
  </si>
  <si>
    <t>10359</t>
  </si>
  <si>
    <t>351-10360</t>
  </si>
  <si>
    <t>M05B-351-10360-0</t>
  </si>
  <si>
    <t>351-10361</t>
  </si>
  <si>
    <t>M05B-351-10361-0</t>
  </si>
  <si>
    <t>10362</t>
  </si>
  <si>
    <t>10363</t>
  </si>
  <si>
    <t>10364</t>
  </si>
  <si>
    <t>351-10365</t>
  </si>
  <si>
    <t>M05B-351-10365-0</t>
  </si>
  <si>
    <t>10368</t>
  </si>
  <si>
    <t>10369</t>
  </si>
  <si>
    <t>10370</t>
  </si>
  <si>
    <t>AP 03</t>
  </si>
  <si>
    <t>351-10371-A</t>
  </si>
  <si>
    <t>M05B-351-10371-A</t>
  </si>
  <si>
    <t>351-10371-B</t>
  </si>
  <si>
    <t>M05B-351-10371-B</t>
  </si>
  <si>
    <t>351-10372-A</t>
  </si>
  <si>
    <t>M05B-351-10372-A</t>
  </si>
  <si>
    <t>351-10372-B</t>
  </si>
  <si>
    <t>M05B-351-10372-B</t>
  </si>
  <si>
    <t>351-10373-A</t>
  </si>
  <si>
    <t>M05B-351-10373-A</t>
  </si>
  <si>
    <t>351-10373-B</t>
  </si>
  <si>
    <t>M05B-351-10373-B</t>
  </si>
  <si>
    <t>351-10374-A</t>
  </si>
  <si>
    <t>M05B-351-10374-A</t>
  </si>
  <si>
    <t>351-10374-B</t>
  </si>
  <si>
    <t>M05B-351-10374-B</t>
  </si>
  <si>
    <t>351-10375-A</t>
  </si>
  <si>
    <t>M05B-351-10375-A</t>
  </si>
  <si>
    <t>351-10375-B</t>
  </si>
  <si>
    <t>M05B-351-10375-B</t>
  </si>
  <si>
    <t>351-10376-A</t>
  </si>
  <si>
    <t>M05B-351-10376-A</t>
  </si>
  <si>
    <t>351-10376-B</t>
  </si>
  <si>
    <t>M05B-351-10376-B</t>
  </si>
  <si>
    <t>351-10376-F</t>
  </si>
  <si>
    <t>M05B-351-10376-F</t>
  </si>
  <si>
    <t>351-10377</t>
  </si>
  <si>
    <t>M05B-351-10377-0</t>
  </si>
  <si>
    <t>351-10378</t>
  </si>
  <si>
    <t>M05B-351-10378-0</t>
  </si>
  <si>
    <t>351-10379</t>
  </si>
  <si>
    <t>M05B-351-10379-0</t>
  </si>
  <si>
    <t>351-10380-A</t>
  </si>
  <si>
    <t>M05B-351-10380-A</t>
  </si>
  <si>
    <t>351-10380-B</t>
  </si>
  <si>
    <t>M05B-351-10380-B</t>
  </si>
  <si>
    <t>351-10380-F</t>
  </si>
  <si>
    <t>M05B-351-10380-F</t>
  </si>
  <si>
    <t>351-10381-A</t>
  </si>
  <si>
    <t>M05B-351-10381-A</t>
  </si>
  <si>
    <t>351-10381-B</t>
  </si>
  <si>
    <t>M05B-351-10381-B</t>
  </si>
  <si>
    <t>351-10381-C</t>
  </si>
  <si>
    <t>M05B-351-10381-C</t>
  </si>
  <si>
    <t>351-10381-D</t>
  </si>
  <si>
    <t>M05B-351-10381-D</t>
  </si>
  <si>
    <t>351-10382-A</t>
  </si>
  <si>
    <t>M05B-351-10382-A</t>
  </si>
  <si>
    <t>351-10382-B</t>
  </si>
  <si>
    <t>M05B-351-10382-B</t>
  </si>
  <si>
    <t>351-10382-C</t>
  </si>
  <si>
    <t>M05B-351-10382-C</t>
  </si>
  <si>
    <t>351-10382-D</t>
  </si>
  <si>
    <t>M05B-351-10382-D</t>
  </si>
  <si>
    <t>351-10383-A</t>
  </si>
  <si>
    <t>M05B-351-10383-A</t>
  </si>
  <si>
    <t>351-10383-B</t>
  </si>
  <si>
    <t>M05B-351-10383-B</t>
  </si>
  <si>
    <t>351-10383-C</t>
  </si>
  <si>
    <t>M05B-351-10383-C</t>
  </si>
  <si>
    <t>351-10383-D</t>
  </si>
  <si>
    <t>M05B-351-10383-D</t>
  </si>
  <si>
    <t>351-10384-A</t>
  </si>
  <si>
    <t>M05B-351-10384-A</t>
  </si>
  <si>
    <t>351-10384-B</t>
  </si>
  <si>
    <t>M05B-351-10384-B</t>
  </si>
  <si>
    <t>351-10385-A</t>
  </si>
  <si>
    <t>M05B-351-10385-A</t>
  </si>
  <si>
    <t>351-10385-B</t>
  </si>
  <si>
    <t>M05B-351-10385-B</t>
  </si>
  <si>
    <t>351-10386-B</t>
  </si>
  <si>
    <t>M05B-351-10386-B</t>
  </si>
  <si>
    <t>351-10386-C</t>
  </si>
  <si>
    <t>M05B-351-10386-C</t>
  </si>
  <si>
    <t>351-10386-E</t>
  </si>
  <si>
    <t>M05B-351-10386-E</t>
  </si>
  <si>
    <t>351-10387-C</t>
  </si>
  <si>
    <t>M05B-351-10387-C</t>
  </si>
  <si>
    <t>351-10387-E</t>
  </si>
  <si>
    <t>M05B-351-10387-E</t>
  </si>
  <si>
    <t>351-10387-J</t>
  </si>
  <si>
    <t>M05B-351-10387-J</t>
  </si>
  <si>
    <t>351-10388-A</t>
  </si>
  <si>
    <t>M05B-351-10388-A</t>
  </si>
  <si>
    <t>351-10388-B</t>
  </si>
  <si>
    <t>M05B-351-10388-B</t>
  </si>
  <si>
    <t>351-10388-H</t>
  </si>
  <si>
    <t>M05B-351-10388-H</t>
  </si>
  <si>
    <t>351-10389-A</t>
  </si>
  <si>
    <t>M05B-351-10389-A</t>
  </si>
  <si>
    <t>351-10389-B</t>
  </si>
  <si>
    <t>M05B-351-10389-B</t>
  </si>
  <si>
    <t>351-10389-H</t>
  </si>
  <si>
    <t>M05B-351-10389-H</t>
  </si>
  <si>
    <t>AP 06</t>
  </si>
  <si>
    <t>351-10390-A</t>
  </si>
  <si>
    <t>M05B-351-10390-A</t>
  </si>
  <si>
    <t>351-10390-B</t>
  </si>
  <si>
    <t>M05B-351-10390-B</t>
  </si>
  <si>
    <t>351-10391-A</t>
  </si>
  <si>
    <t>M05B-351-10391-A</t>
  </si>
  <si>
    <t>351-10391-B</t>
  </si>
  <si>
    <t>M05B-351-10391-B</t>
  </si>
  <si>
    <t>351-10392-A</t>
  </si>
  <si>
    <t>M05B-351-10392-A</t>
  </si>
  <si>
    <t>351-10392-B</t>
  </si>
  <si>
    <t>M05B-351-10392-B</t>
  </si>
  <si>
    <t>351-10393-A</t>
  </si>
  <si>
    <t>M05B-351-10393-A</t>
  </si>
  <si>
    <t>351-10393-B</t>
  </si>
  <si>
    <t>M05B-351-10393-B</t>
  </si>
  <si>
    <t>351-10394-A</t>
  </si>
  <si>
    <t>M05B-351-10394-A</t>
  </si>
  <si>
    <t>351-10394-B</t>
  </si>
  <si>
    <t>M05B-351-10394-B</t>
  </si>
  <si>
    <t>351-10395-A</t>
  </si>
  <si>
    <t>M05B-351-10395-A</t>
  </si>
  <si>
    <t>351-10395-B</t>
  </si>
  <si>
    <t>M05B-351-10395-B</t>
  </si>
  <si>
    <t>351-10395-F</t>
  </si>
  <si>
    <t>M05B-351-10395-F</t>
  </si>
  <si>
    <t>351-10396</t>
  </si>
  <si>
    <t>M05B-351-10396-0</t>
  </si>
  <si>
    <t>351-10397</t>
  </si>
  <si>
    <t>M05B-351-10397-0</t>
  </si>
  <si>
    <t>351-10398</t>
  </si>
  <si>
    <t>M05B-351-10398-0</t>
  </si>
  <si>
    <t>351-10399-A</t>
  </si>
  <si>
    <t>M05B-351-10399-A</t>
  </si>
  <si>
    <t>351-10399-B</t>
  </si>
  <si>
    <t>M05B-351-10399-B</t>
  </si>
  <si>
    <t>351-10399-F</t>
  </si>
  <si>
    <t>M05B-351-10399-F</t>
  </si>
  <si>
    <t>M05B-351-10401-A</t>
  </si>
  <si>
    <t>M05B-351-10401-B</t>
  </si>
  <si>
    <t>M05B-351-10401-C</t>
  </si>
  <si>
    <t>M05B-351-10401-D</t>
  </si>
  <si>
    <t>M05B-351-10402-A</t>
  </si>
  <si>
    <t>M05B-351-10402-B</t>
  </si>
  <si>
    <t>M05B-351-10402-C</t>
  </si>
  <si>
    <t>M05B-351-10402-D</t>
  </si>
  <si>
    <t>M05B-351-10403-A</t>
  </si>
  <si>
    <t>M05B-351-10403-B</t>
  </si>
  <si>
    <t>M05B-351-10403-C</t>
  </si>
  <si>
    <t>M05B-351-10403-D</t>
  </si>
  <si>
    <t>M05B-351-10404-A</t>
  </si>
  <si>
    <t>M05B-351-10404-B</t>
  </si>
  <si>
    <t>M05B-351-10405-A</t>
  </si>
  <si>
    <t>M05B-351-10405-B</t>
  </si>
  <si>
    <t>M05B-351-10406-B</t>
  </si>
  <si>
    <t>M05B-351-10406-C</t>
  </si>
  <si>
    <t>M05B-351-10406-E</t>
  </si>
  <si>
    <t>M05B-351-10407-C</t>
  </si>
  <si>
    <t>351-10407-E</t>
  </si>
  <si>
    <t>M05B-351-10407-E</t>
  </si>
  <si>
    <t>351-10407-J</t>
  </si>
  <si>
    <t>M05B-351-10407-J</t>
  </si>
  <si>
    <t>M05B-351-10408-A</t>
  </si>
  <si>
    <t>M05B-351-10408-B</t>
  </si>
  <si>
    <t>351-10408-H</t>
  </si>
  <si>
    <t>M05B-351-10408-H</t>
  </si>
  <si>
    <t>M05B-351-10409-A</t>
  </si>
  <si>
    <t>M05B-351-10409-B</t>
  </si>
  <si>
    <t>351-10409-H</t>
  </si>
  <si>
    <t>M05B-351-10409-H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</si>
  <si>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</si>
  <si>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</si>
  <si>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</si>
  <si>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</si>
  <si>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</si>
  <si>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</si>
  <si>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</si>
  <si>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</si>
  <si>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</si>
  <si>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</si>
  <si>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</si>
  <si>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</si>
  <si>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</si>
  <si>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</si>
  <si>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</si>
  <si>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</si>
  <si>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</si>
  <si>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</si>
  <si>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</si>
  <si>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</si>
  <si>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</si>
  <si>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</si>
  <si>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351-10432-A</t>
  </si>
  <si>
    <t>M05B-351-10432-A</t>
  </si>
  <si>
    <t>351-10432-B</t>
  </si>
  <si>
    <t>M05B-351-10432-B</t>
  </si>
  <si>
    <t>351-10432-C</t>
  </si>
  <si>
    <t>M05B-351-10432-C</t>
  </si>
  <si>
    <t>351-10433-A</t>
  </si>
  <si>
    <t>M05B-351-10433-A</t>
  </si>
  <si>
    <t>351-10433-B</t>
  </si>
  <si>
    <t>M05B-351-10433-B</t>
  </si>
  <si>
    <t>351-10434</t>
  </si>
  <si>
    <t>M05B-351-10434-0</t>
  </si>
  <si>
    <t>M05B-351-10435-A</t>
  </si>
  <si>
    <t>M05B-351-10435-B</t>
  </si>
  <si>
    <t>M05B-351-10436-A</t>
  </si>
  <si>
    <t>M05B-351-10436-B</t>
  </si>
  <si>
    <t>351-10437</t>
  </si>
  <si>
    <t>M05B-351-10437-0</t>
  </si>
  <si>
    <t>M05B-351-10438-A</t>
  </si>
  <si>
    <t>M05B-351-10438-B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</si>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</sst>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0.000000"/>
    <numFmt numFmtId="165" formatCode="0.0000000"/>
    <numFmt numFmtId="166" formatCode="000"/>
    <numFmt numFmtId="167" formatCode="_-&quot;$&quot;* #,##0_-;\-&quot;$&quot;* #,##0_-;_-&quot;$&quot;* &quot;-&quot;_-;_-@_-"/>
    <numFmt numFmtId="168" formatCode="_-&quot;$&quot;* #,##0.00_-;\-&quot;$&quot;* #,##0.00_-;_-&quot;$&quot;* &quot;-&quot;??_-;_-@_-"/>
    <numFmt numFmtId="169" formatCode="_([$€-2]* #,##0.00_);_([$€-2]* \(#,##0.00\);_([$€-2]* &quot;-&quot;??_)"/>
    <numFmt numFmtId="170" formatCode="_([$€]* #,##0.00_);_([$€]* \(#,##0.00\);_([$€]* &quot;-&quot;??_);_(@_)"/>
    <numFmt numFmtId="171" formatCode="_(&quot;R$ &quot;* #,##0.00_);_(&quot;R$ &quot;* \(#,##0.00\);_(&quot;R$ &quot;* &quot;-&quot;??_);_(@_)"/>
    <numFmt numFmtId="172" formatCode="_(* #,##0.00_);_(* \(#,##0.00\);_(* &quot;-&quot;??_);_(@_)"/>
    <numFmt numFmtId="173" formatCode="&quot;€&quot;#,##0.00;[Red]\-&quot;€&quot;#,##0.00"/>
    <numFmt numFmtId="174" formatCode="0.000"/>
    <numFmt numFmtId="175" formatCode="#,##0.000"/>
    <numFmt numFmtId="176" formatCode="_-* #,##0_-;\-* #,##0_-;_-* &quot;-&quot;??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1"/>
      <color indexed="63"/>
      <name val="Calibri"/>
      <family val="2"/>
    </font>
    <font>
      <sz val="9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Helv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name val="Arial"/>
      <family val="2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3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9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9" fillId="21" borderId="2" applyNumberFormat="0" applyAlignment="0" applyProtection="0"/>
    <xf numFmtId="4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11" fillId="7" borderId="1" applyNumberFormat="0" applyAlignment="0" applyProtection="0"/>
    <xf numFmtId="0" fontId="11" fillId="7" borderId="1" applyNumberFormat="0" applyAlignment="0" applyProtection="0"/>
    <xf numFmtId="0" fontId="11" fillId="7" borderId="1" applyNumberFormat="0" applyAlignment="0" applyProtection="0"/>
    <xf numFmtId="0" fontId="12" fillId="0" borderId="0"/>
    <xf numFmtId="0" fontId="2" fillId="0" borderId="0"/>
    <xf numFmtId="169" fontId="2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11" fillId="7" borderId="1" applyNumberFormat="0" applyAlignment="0" applyProtection="0"/>
    <xf numFmtId="0" fontId="10" fillId="0" borderId="3" applyNumberFormat="0" applyFill="0" applyAlignment="0" applyProtection="0"/>
    <xf numFmtId="49" fontId="13" fillId="0" borderId="7" applyNumberFormat="0" applyProtection="0">
      <alignment horizontal="center" vertical="center"/>
    </xf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4" fillId="0" borderId="0"/>
    <xf numFmtId="0" fontId="2" fillId="0" borderId="0"/>
    <xf numFmtId="0" fontId="20" fillId="0" borderId="0"/>
    <xf numFmtId="0" fontId="28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23" borderId="8" applyNumberFormat="0" applyFont="0" applyAlignment="0" applyProtection="0"/>
    <xf numFmtId="0" fontId="2" fillId="23" borderId="8" applyNumberFormat="0" applyFont="0" applyAlignment="0" applyProtection="0"/>
    <xf numFmtId="0" fontId="2" fillId="23" borderId="8" applyNumberFormat="0" applyFont="0" applyAlignment="0" applyProtection="0"/>
    <xf numFmtId="0" fontId="2" fillId="23" borderId="8" applyNumberFormat="0" applyFont="0" applyAlignment="0" applyProtection="0"/>
    <xf numFmtId="0" fontId="21" fillId="20" borderId="9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20" borderId="9" applyNumberFormat="0" applyAlignment="0" applyProtection="0"/>
    <xf numFmtId="0" fontId="21" fillId="20" borderId="9" applyNumberFormat="0" applyAlignment="0" applyProtection="0"/>
    <xf numFmtId="0" fontId="21" fillId="20" borderId="9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2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4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2">
    <xf numFmtId="0" fontId="0" fillId="0" borderId="0" xfId="0"/>
    <xf numFmtId="0" fontId="27" fillId="0" borderId="11" xfId="1" applyFont="1" applyBorder="1" applyAlignment="1">
      <alignment horizontal="center" vertical="center" wrapText="1"/>
    </xf>
    <xf numFmtId="0" fontId="33" fillId="0" borderId="25" xfId="0" applyFont="1" applyBorder="1" applyAlignment="1">
      <alignment vertical="center"/>
    </xf>
    <xf numFmtId="0" fontId="27" fillId="0" borderId="29" xfId="1" applyFont="1" applyBorder="1" applyAlignment="1">
      <alignment horizontal="center" vertical="center" wrapText="1"/>
    </xf>
    <xf numFmtId="0" fontId="0" fillId="0" borderId="16" xfId="0" applyBorder="1"/>
    <xf numFmtId="0" fontId="0" fillId="0" borderId="20" xfId="0" applyBorder="1"/>
    <xf numFmtId="0" fontId="35" fillId="0" borderId="20" xfId="0" applyFont="1" applyBorder="1" applyAlignment="1">
      <alignment vertical="center"/>
    </xf>
    <xf numFmtId="0" fontId="33" fillId="0" borderId="19" xfId="0" applyFont="1" applyBorder="1" applyAlignment="1">
      <alignment vertical="center"/>
    </xf>
    <xf numFmtId="0" fontId="35" fillId="0" borderId="26" xfId="0" applyFont="1" applyBorder="1" applyAlignment="1">
      <alignment vertical="center"/>
    </xf>
    <xf numFmtId="0" fontId="29" fillId="24" borderId="18" xfId="286" applyFont="1" applyFill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32" fillId="0" borderId="0" xfId="0" applyFont="1"/>
    <xf numFmtId="0" fontId="29" fillId="24" borderId="11" xfId="286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5" fillId="0" borderId="13" xfId="0" applyFont="1" applyBorder="1" applyAlignment="1">
      <alignment vertical="center"/>
    </xf>
    <xf numFmtId="0" fontId="35" fillId="0" borderId="14" xfId="0" applyFont="1" applyBorder="1" applyAlignment="1">
      <alignment vertical="center"/>
    </xf>
    <xf numFmtId="0" fontId="30" fillId="0" borderId="25" xfId="382" applyFont="1" applyBorder="1" applyAlignment="1">
      <alignment vertical="center"/>
    </xf>
    <xf numFmtId="0" fontId="30" fillId="0" borderId="27" xfId="382" applyFont="1" applyBorder="1" applyAlignment="1">
      <alignment vertical="center"/>
    </xf>
    <xf numFmtId="0" fontId="34" fillId="25" borderId="0" xfId="0" applyFont="1" applyFill="1" applyAlignment="1">
      <alignment vertical="center"/>
    </xf>
    <xf numFmtId="0" fontId="30" fillId="0" borderId="15" xfId="382" applyFont="1" applyBorder="1" applyAlignment="1">
      <alignment vertical="center"/>
    </xf>
    <xf numFmtId="0" fontId="30" fillId="0" borderId="16" xfId="382" applyFont="1" applyBorder="1" applyAlignment="1">
      <alignment vertical="center"/>
    </xf>
    <xf numFmtId="0" fontId="30" fillId="0" borderId="0" xfId="382" applyFont="1" applyAlignment="1">
      <alignment vertical="center"/>
    </xf>
    <xf numFmtId="0" fontId="34" fillId="0" borderId="16" xfId="0" applyFont="1" applyBorder="1"/>
    <xf numFmtId="14" fontId="27" fillId="0" borderId="29" xfId="1" applyNumberFormat="1" applyFont="1" applyBorder="1" applyAlignment="1">
      <alignment horizontal="center" vertical="center" wrapText="1"/>
    </xf>
    <xf numFmtId="3" fontId="27" fillId="0" borderId="29" xfId="1" applyNumberFormat="1" applyFont="1" applyBorder="1" applyAlignment="1">
      <alignment horizontal="center" vertical="center" wrapText="1"/>
    </xf>
    <xf numFmtId="0" fontId="3" fillId="0" borderId="18" xfId="384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7" fillId="25" borderId="11" xfId="1" quotePrefix="1" applyFont="1" applyFill="1" applyBorder="1" applyAlignment="1">
      <alignment horizontal="center" vertical="center" wrapText="1"/>
    </xf>
    <xf numFmtId="0" fontId="27" fillId="25" borderId="29" xfId="1" quotePrefix="1" applyFont="1" applyFill="1" applyBorder="1" applyAlignment="1">
      <alignment horizontal="center" vertical="center" wrapText="1"/>
    </xf>
    <xf numFmtId="0" fontId="30" fillId="0" borderId="26" xfId="382" applyFont="1" applyBorder="1" applyAlignment="1">
      <alignment vertical="center"/>
    </xf>
    <xf numFmtId="0" fontId="0" fillId="0" borderId="0" xfId="0" applyAlignment="1">
      <alignment wrapText="1"/>
    </xf>
    <xf numFmtId="14" fontId="27" fillId="0" borderId="24" xfId="1" applyNumberFormat="1" applyFont="1" applyBorder="1" applyAlignment="1">
      <alignment horizontal="center" vertical="center" wrapText="1"/>
    </xf>
    <xf numFmtId="0" fontId="27" fillId="0" borderId="24" xfId="1" applyFont="1" applyBorder="1" applyAlignment="1">
      <alignment horizontal="center" vertical="center" wrapText="1"/>
    </xf>
    <xf numFmtId="3" fontId="27" fillId="0" borderId="24" xfId="1" applyNumberFormat="1" applyFont="1" applyBorder="1" applyAlignment="1">
      <alignment horizontal="center" vertical="center" wrapText="1"/>
    </xf>
    <xf numFmtId="0" fontId="27" fillId="25" borderId="11" xfId="1" applyFont="1" applyFill="1" applyBorder="1" applyAlignment="1">
      <alignment horizontal="center" vertical="center" wrapText="1"/>
    </xf>
    <xf numFmtId="2" fontId="27" fillId="25" borderId="22" xfId="1" applyNumberFormat="1" applyFont="1" applyFill="1" applyBorder="1" applyAlignment="1">
      <alignment horizontal="center" vertical="center" wrapText="1"/>
    </xf>
    <xf numFmtId="14" fontId="27" fillId="25" borderId="22" xfId="1" applyNumberFormat="1" applyFont="1" applyFill="1" applyBorder="1" applyAlignment="1">
      <alignment horizontal="center" vertical="center" wrapText="1"/>
    </xf>
    <xf numFmtId="14" fontId="27" fillId="0" borderId="31" xfId="1" applyNumberFormat="1" applyFont="1" applyBorder="1" applyAlignment="1">
      <alignment horizontal="center" vertical="center" wrapText="1"/>
    </xf>
    <xf numFmtId="2" fontId="27" fillId="0" borderId="31" xfId="1" applyNumberFormat="1" applyFont="1" applyBorder="1" applyAlignment="1">
      <alignment horizontal="center" vertical="center" wrapText="1"/>
    </xf>
    <xf numFmtId="2" fontId="27" fillId="0" borderId="24" xfId="1" applyNumberFormat="1" applyFont="1" applyBorder="1" applyAlignment="1">
      <alignment horizontal="center" vertical="center" wrapText="1"/>
    </xf>
    <xf numFmtId="2" fontId="27" fillId="0" borderId="32" xfId="1" applyNumberFormat="1" applyFont="1" applyBorder="1" applyAlignment="1">
      <alignment horizontal="center" vertical="center" wrapText="1"/>
    </xf>
    <xf numFmtId="0" fontId="27" fillId="0" borderId="24" xfId="384" applyNumberFormat="1" applyFont="1" applyBorder="1" applyAlignment="1">
      <alignment horizontal="center" vertical="center" wrapText="1"/>
    </xf>
    <xf numFmtId="0" fontId="27" fillId="0" borderId="33" xfId="384" applyNumberFormat="1" applyFont="1" applyBorder="1" applyAlignment="1">
      <alignment horizontal="center" vertical="center" wrapText="1"/>
    </xf>
    <xf numFmtId="0" fontId="3" fillId="0" borderId="29" xfId="384" applyNumberFormat="1" applyFont="1" applyBorder="1" applyAlignment="1">
      <alignment horizontal="center" vertical="center"/>
    </xf>
    <xf numFmtId="0" fontId="3" fillId="0" borderId="30" xfId="384" applyNumberFormat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7" fillId="0" borderId="28" xfId="1" applyFont="1" applyBorder="1" applyAlignment="1">
      <alignment horizontal="center" vertical="center" wrapText="1"/>
    </xf>
    <xf numFmtId="2" fontId="0" fillId="0" borderId="0" xfId="0" applyNumberFormat="1"/>
    <xf numFmtId="9" fontId="27" fillId="0" borderId="1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4" fontId="0" fillId="0" borderId="0" xfId="0" applyNumberFormat="1"/>
    <xf numFmtId="174" fontId="35" fillId="0" borderId="13" xfId="0" applyNumberFormat="1" applyFont="1" applyBorder="1" applyAlignment="1">
      <alignment vertical="center"/>
    </xf>
    <xf numFmtId="174" fontId="0" fillId="0" borderId="20" xfId="0" applyNumberFormat="1" applyBorder="1"/>
    <xf numFmtId="0" fontId="42" fillId="0" borderId="0" xfId="0" applyFont="1"/>
    <xf numFmtId="174" fontId="42" fillId="0" borderId="0" xfId="0" applyNumberFormat="1" applyFont="1"/>
    <xf numFmtId="174" fontId="32" fillId="0" borderId="0" xfId="0" applyNumberFormat="1" applyFont="1"/>
    <xf numFmtId="2" fontId="32" fillId="0" borderId="0" xfId="0" applyNumberFormat="1" applyFont="1"/>
    <xf numFmtId="174" fontId="32" fillId="0" borderId="0" xfId="0" applyNumberFormat="1" applyFont="1" applyAlignment="1">
      <alignment vertical="center"/>
    </xf>
    <xf numFmtId="1" fontId="32" fillId="0" borderId="0" xfId="0" applyNumberFormat="1" applyFont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43" fillId="0" borderId="30" xfId="384" applyNumberFormat="1" applyFont="1" applyFill="1" applyBorder="1" applyAlignment="1">
      <alignment horizontal="center" vertical="center" wrapText="1"/>
    </xf>
    <xf numFmtId="0" fontId="36" fillId="24" borderId="13" xfId="382" applyFont="1" applyFill="1" applyBorder="1" applyAlignment="1">
      <alignment vertical="center"/>
    </xf>
    <xf numFmtId="0" fontId="36" fillId="24" borderId="14" xfId="382" applyFont="1" applyFill="1" applyBorder="1" applyAlignment="1">
      <alignment vertical="center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right"/>
    </xf>
    <xf numFmtId="0" fontId="31" fillId="24" borderId="23" xfId="286" applyFont="1" applyFill="1" applyBorder="1" applyAlignment="1">
      <alignment horizontal="center" vertical="center" wrapText="1"/>
    </xf>
    <xf numFmtId="0" fontId="30" fillId="0" borderId="47" xfId="382" applyFont="1" applyBorder="1" applyAlignment="1">
      <alignment horizontal="center" vertical="center"/>
    </xf>
    <xf numFmtId="174" fontId="40" fillId="0" borderId="48" xfId="0" applyNumberFormat="1" applyFont="1" applyBorder="1" applyAlignment="1">
      <alignment horizontal="center" vertical="center"/>
    </xf>
    <xf numFmtId="0" fontId="0" fillId="24" borderId="13" xfId="0" applyFill="1" applyBorder="1" applyAlignment="1">
      <alignment horizontal="center"/>
    </xf>
    <xf numFmtId="2" fontId="40" fillId="0" borderId="48" xfId="0" applyNumberFormat="1" applyFont="1" applyBorder="1" applyAlignment="1">
      <alignment horizontal="center" vertical="center"/>
    </xf>
    <xf numFmtId="2" fontId="27" fillId="25" borderId="11" xfId="1" applyNumberFormat="1" applyFont="1" applyFill="1" applyBorder="1" applyAlignment="1">
      <alignment horizontal="center" vertical="center" wrapText="1"/>
    </xf>
    <xf numFmtId="2" fontId="27" fillId="0" borderId="24" xfId="384" applyNumberFormat="1" applyFont="1" applyBorder="1" applyAlignment="1">
      <alignment horizontal="center" vertical="center" wrapText="1"/>
    </xf>
    <xf numFmtId="2" fontId="27" fillId="0" borderId="29" xfId="1" applyNumberFormat="1" applyFont="1" applyBorder="1" applyAlignment="1">
      <alignment horizontal="center" vertical="center" wrapText="1"/>
    </xf>
    <xf numFmtId="0" fontId="27" fillId="25" borderId="11" xfId="384" applyNumberFormat="1" applyFont="1" applyFill="1" applyBorder="1" applyAlignment="1">
      <alignment horizontal="center" vertical="center"/>
    </xf>
    <xf numFmtId="0" fontId="27" fillId="25" borderId="44" xfId="1" applyFont="1" applyFill="1" applyBorder="1" applyAlignment="1">
      <alignment horizontal="center" vertical="center" wrapText="1"/>
    </xf>
    <xf numFmtId="0" fontId="27" fillId="25" borderId="44" xfId="1" quotePrefix="1" applyFont="1" applyFill="1" applyBorder="1" applyAlignment="1">
      <alignment horizontal="center" vertical="center" wrapText="1"/>
    </xf>
    <xf numFmtId="14" fontId="27" fillId="25" borderId="46" xfId="1" applyNumberFormat="1" applyFont="1" applyFill="1" applyBorder="1" applyAlignment="1">
      <alignment horizontal="center" vertical="center" wrapText="1"/>
    </xf>
    <xf numFmtId="2" fontId="27" fillId="25" borderId="44" xfId="1" applyNumberFormat="1" applyFont="1" applyFill="1" applyBorder="1" applyAlignment="1">
      <alignment horizontal="center" vertical="center" wrapText="1"/>
    </xf>
    <xf numFmtId="9" fontId="27" fillId="0" borderId="43" xfId="1" applyNumberFormat="1" applyFont="1" applyBorder="1" applyAlignment="1">
      <alignment horizontal="center" vertical="center" wrapText="1"/>
    </xf>
    <xf numFmtId="0" fontId="27" fillId="0" borderId="43" xfId="1" applyFont="1" applyBorder="1" applyAlignment="1">
      <alignment horizontal="center" vertical="center" wrapText="1"/>
    </xf>
    <xf numFmtId="0" fontId="3" fillId="0" borderId="45" xfId="384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384" applyFont="1"/>
    <xf numFmtId="0" fontId="31" fillId="24" borderId="50" xfId="286" applyFont="1" applyFill="1" applyBorder="1" applyAlignment="1">
      <alignment horizontal="center" vertical="center" wrapText="1"/>
    </xf>
    <xf numFmtId="2" fontId="27" fillId="0" borderId="52" xfId="1" applyNumberFormat="1" applyFont="1" applyBorder="1" applyAlignment="1">
      <alignment horizontal="center" vertical="center" wrapText="1"/>
    </xf>
    <xf numFmtId="9" fontId="27" fillId="25" borderId="53" xfId="384" applyFont="1" applyFill="1" applyBorder="1" applyAlignment="1">
      <alignment horizontal="center" vertical="center" wrapText="1"/>
    </xf>
    <xf numFmtId="9" fontId="27" fillId="25" borderId="52" xfId="384" applyFont="1" applyFill="1" applyBorder="1" applyAlignment="1">
      <alignment horizontal="center" vertical="center" wrapText="1"/>
    </xf>
    <xf numFmtId="9" fontId="27" fillId="0" borderId="52" xfId="384" applyFont="1" applyBorder="1" applyAlignment="1">
      <alignment horizontal="center" vertical="center" wrapText="1"/>
    </xf>
    <xf numFmtId="0" fontId="27" fillId="25" borderId="50" xfId="1" applyFont="1" applyFill="1" applyBorder="1" applyAlignment="1">
      <alignment horizontal="center" vertical="center" wrapText="1"/>
    </xf>
    <xf numFmtId="0" fontId="27" fillId="25" borderId="50" xfId="1" quotePrefix="1" applyFont="1" applyFill="1" applyBorder="1" applyAlignment="1">
      <alignment horizontal="center" vertical="center" wrapText="1"/>
    </xf>
    <xf numFmtId="14" fontId="27" fillId="0" borderId="50" xfId="1" applyNumberFormat="1" applyFont="1" applyBorder="1" applyAlignment="1">
      <alignment horizontal="center" vertical="center" wrapText="1"/>
    </xf>
    <xf numFmtId="0" fontId="27" fillId="0" borderId="50" xfId="1" applyFont="1" applyBorder="1" applyAlignment="1">
      <alignment horizontal="center" vertical="center" wrapText="1"/>
    </xf>
    <xf numFmtId="9" fontId="27" fillId="0" borderId="49" xfId="1" applyNumberFormat="1" applyFont="1" applyBorder="1" applyAlignment="1">
      <alignment horizontal="center" vertical="center" wrapText="1"/>
    </xf>
    <xf numFmtId="0" fontId="27" fillId="0" borderId="49" xfId="1" applyFont="1" applyBorder="1" applyAlignment="1">
      <alignment horizontal="center" vertical="center" wrapText="1"/>
    </xf>
    <xf numFmtId="0" fontId="3" fillId="0" borderId="51" xfId="384" applyNumberFormat="1" applyFont="1" applyBorder="1" applyAlignment="1">
      <alignment horizontal="center" vertical="center"/>
    </xf>
    <xf numFmtId="0" fontId="30" fillId="0" borderId="19" xfId="382" applyFont="1" applyBorder="1" applyAlignment="1">
      <alignment horizontal="center" vertical="center"/>
    </xf>
    <xf numFmtId="174" fontId="44" fillId="0" borderId="0" xfId="0" applyNumberFormat="1" applyFont="1" applyAlignment="1">
      <alignment horizontal="center"/>
    </xf>
    <xf numFmtId="0" fontId="30" fillId="0" borderId="0" xfId="382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74" fontId="4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44" fillId="0" borderId="0" xfId="0" applyFont="1"/>
    <xf numFmtId="2" fontId="0" fillId="0" borderId="0" xfId="0" applyNumberFormat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0" fillId="0" borderId="31" xfId="0" applyBorder="1"/>
    <xf numFmtId="174" fontId="0" fillId="0" borderId="29" xfId="0" applyNumberFormat="1" applyBorder="1" applyAlignment="1">
      <alignment horizontal="center"/>
    </xf>
    <xf numFmtId="2" fontId="0" fillId="0" borderId="29" xfId="0" applyNumberFormat="1" applyBorder="1"/>
    <xf numFmtId="1" fontId="0" fillId="0" borderId="30" xfId="0" applyNumberFormat="1" applyBorder="1" applyAlignment="1">
      <alignment horizontal="center"/>
    </xf>
    <xf numFmtId="0" fontId="46" fillId="24" borderId="55" xfId="0" applyFont="1" applyFill="1" applyBorder="1" applyAlignment="1">
      <alignment horizontal="center"/>
    </xf>
    <xf numFmtId="0" fontId="46" fillId="24" borderId="56" xfId="0" applyFont="1" applyFill="1" applyBorder="1" applyAlignment="1">
      <alignment horizontal="center"/>
    </xf>
    <xf numFmtId="0" fontId="46" fillId="24" borderId="57" xfId="0" applyFont="1" applyFill="1" applyBorder="1"/>
    <xf numFmtId="0" fontId="46" fillId="24" borderId="13" xfId="0" applyFont="1" applyFill="1" applyBorder="1"/>
    <xf numFmtId="0" fontId="46" fillId="24" borderId="58" xfId="0" applyFont="1" applyFill="1" applyBorder="1"/>
    <xf numFmtId="0" fontId="46" fillId="24" borderId="59" xfId="0" applyFont="1" applyFill="1" applyBorder="1"/>
    <xf numFmtId="1" fontId="0" fillId="0" borderId="0" xfId="0" applyNumberFormat="1" applyAlignment="1">
      <alignment horizontal="left"/>
    </xf>
    <xf numFmtId="2" fontId="0" fillId="0" borderId="29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62" xfId="0" applyNumberFormat="1" applyBorder="1"/>
    <xf numFmtId="0" fontId="46" fillId="0" borderId="0" xfId="0" applyFont="1" applyAlignment="1">
      <alignment horizontal="left"/>
    </xf>
    <xf numFmtId="0" fontId="0" fillId="0" borderId="63" xfId="0" applyBorder="1"/>
    <xf numFmtId="0" fontId="0" fillId="0" borderId="64" xfId="0" applyBorder="1"/>
    <xf numFmtId="0" fontId="0" fillId="0" borderId="65" xfId="0" applyBorder="1"/>
    <xf numFmtId="174" fontId="0" fillId="0" borderId="62" xfId="0" applyNumberFormat="1" applyBorder="1" applyAlignment="1">
      <alignment horizontal="center"/>
    </xf>
    <xf numFmtId="174" fontId="0" fillId="0" borderId="0" xfId="0" applyNumberFormat="1" applyAlignment="1">
      <alignment horizontal="center"/>
    </xf>
    <xf numFmtId="1" fontId="0" fillId="0" borderId="34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0" fontId="0" fillId="0" borderId="0" xfId="0" applyAlignment="1">
      <alignment vertical="center"/>
    </xf>
    <xf numFmtId="0" fontId="42" fillId="0" borderId="0" xfId="0" applyFont="1" applyAlignment="1">
      <alignment horizontal="center" vertical="center"/>
    </xf>
    <xf numFmtId="176" fontId="0" fillId="0" borderId="0" xfId="389" applyNumberFormat="1" applyFont="1"/>
    <xf numFmtId="1" fontId="0" fillId="0" borderId="66" xfId="0" applyNumberFormat="1" applyBorder="1" applyAlignment="1">
      <alignment horizontal="center"/>
    </xf>
    <xf numFmtId="0" fontId="0" fillId="0" borderId="68" xfId="0" applyBorder="1"/>
    <xf numFmtId="0" fontId="0" fillId="0" borderId="69" xfId="0" applyBorder="1"/>
    <xf numFmtId="0" fontId="0" fillId="0" borderId="67" xfId="0" applyBorder="1"/>
    <xf numFmtId="174" fontId="0" fillId="0" borderId="66" xfId="0" applyNumberFormat="1" applyBorder="1" applyAlignment="1">
      <alignment horizontal="center"/>
    </xf>
    <xf numFmtId="2" fontId="0" fillId="0" borderId="66" xfId="0" applyNumberFormat="1" applyBorder="1"/>
    <xf numFmtId="0" fontId="44" fillId="0" borderId="0" xfId="0" applyFont="1" applyAlignment="1">
      <alignment horizontal="left"/>
    </xf>
    <xf numFmtId="174" fontId="42" fillId="0" borderId="0" xfId="0" applyNumberFormat="1" applyFont="1" applyAlignment="1">
      <alignment horizontal="left"/>
    </xf>
    <xf numFmtId="0" fontId="45" fillId="0" borderId="0" xfId="0" applyFont="1" applyAlignment="1">
      <alignment horizontal="left"/>
    </xf>
    <xf numFmtId="2" fontId="0" fillId="0" borderId="66" xfId="0" applyNumberFormat="1" applyBorder="1" applyAlignment="1">
      <alignment horizontal="center"/>
    </xf>
    <xf numFmtId="174" fontId="32" fillId="0" borderId="0" xfId="0" applyNumberFormat="1" applyFont="1" applyAlignment="1">
      <alignment horizontal="left"/>
    </xf>
    <xf numFmtId="174" fontId="40" fillId="0" borderId="48" xfId="0" applyNumberFormat="1" applyFont="1" applyBorder="1" applyAlignment="1">
      <alignment horizontal="center"/>
    </xf>
    <xf numFmtId="0" fontId="30" fillId="0" borderId="19" xfId="382" applyFont="1" applyBorder="1" applyAlignment="1">
      <alignment horizontal="center"/>
    </xf>
    <xf numFmtId="1" fontId="0" fillId="0" borderId="70" xfId="0" applyNumberFormat="1" applyBorder="1" applyAlignment="1">
      <alignment horizontal="center"/>
    </xf>
    <xf numFmtId="0" fontId="0" fillId="0" borderId="72" xfId="0" applyBorder="1"/>
    <xf numFmtId="0" fontId="0" fillId="0" borderId="73" xfId="0" applyBorder="1"/>
    <xf numFmtId="0" fontId="0" fillId="0" borderId="71" xfId="0" applyBorder="1"/>
    <xf numFmtId="2" fontId="0" fillId="0" borderId="70" xfId="0" applyNumberFormat="1" applyBorder="1" applyAlignment="1">
      <alignment horizontal="center"/>
    </xf>
    <xf numFmtId="2" fontId="0" fillId="0" borderId="70" xfId="0" applyNumberFormat="1" applyBorder="1"/>
    <xf numFmtId="176" fontId="0" fillId="0" borderId="0" xfId="389" applyNumberFormat="1" applyFont="1" applyAlignment="1">
      <alignment horizontal="center"/>
    </xf>
    <xf numFmtId="0" fontId="43" fillId="0" borderId="28" xfId="1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174" fontId="32" fillId="0" borderId="0" xfId="0" applyNumberFormat="1" applyFont="1" applyAlignment="1">
      <alignment horizontal="center"/>
    </xf>
    <xf numFmtId="174" fontId="42" fillId="0" borderId="0" xfId="0" applyNumberFormat="1" applyFont="1" applyAlignment="1">
      <alignment horizontal="center"/>
    </xf>
    <xf numFmtId="174" fontId="0" fillId="0" borderId="70" xfId="0" applyNumberFormat="1" applyBorder="1" applyAlignment="1">
      <alignment horizontal="center"/>
    </xf>
    <xf numFmtId="0" fontId="42" fillId="0" borderId="0" xfId="0" applyFont="1" applyAlignment="1">
      <alignment vertical="center"/>
    </xf>
    <xf numFmtId="174" fontId="48" fillId="0" borderId="48" xfId="0" applyNumberFormat="1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43" fillId="0" borderId="76" xfId="384" applyNumberFormat="1" applyFont="1" applyFill="1" applyBorder="1" applyAlignment="1">
      <alignment horizontal="center" vertical="center" wrapText="1"/>
    </xf>
    <xf numFmtId="14" fontId="43" fillId="0" borderId="77" xfId="1" quotePrefix="1" applyNumberFormat="1" applyFont="1" applyBorder="1" applyAlignment="1">
      <alignment horizontal="center" vertical="center" wrapText="1"/>
    </xf>
    <xf numFmtId="0" fontId="43" fillId="0" borderId="77" xfId="1" applyFont="1" applyBorder="1" applyAlignment="1">
      <alignment horizontal="center" vertical="center" wrapText="1"/>
    </xf>
    <xf numFmtId="174" fontId="43" fillId="0" borderId="77" xfId="1" applyNumberFormat="1" applyFont="1" applyBorder="1" applyAlignment="1">
      <alignment horizontal="center" vertical="center" wrapText="1"/>
    </xf>
    <xf numFmtId="14" fontId="43" fillId="0" borderId="77" xfId="1" applyNumberFormat="1" applyFont="1" applyBorder="1" applyAlignment="1">
      <alignment horizontal="center" vertical="center" wrapText="1"/>
    </xf>
    <xf numFmtId="175" fontId="43" fillId="0" borderId="77" xfId="1" applyNumberFormat="1" applyFont="1" applyBorder="1" applyAlignment="1">
      <alignment horizontal="center" vertical="center" wrapText="1"/>
    </xf>
    <xf numFmtId="0" fontId="43" fillId="0" borderId="77" xfId="384" applyNumberFormat="1" applyFont="1" applyFill="1" applyBorder="1" applyAlignment="1">
      <alignment horizontal="center" vertical="center" wrapText="1"/>
    </xf>
    <xf numFmtId="0" fontId="0" fillId="0" borderId="80" xfId="0" applyBorder="1"/>
    <xf numFmtId="1" fontId="0" fillId="0" borderId="78" xfId="0" applyNumberFormat="1" applyBorder="1" applyAlignment="1">
      <alignment horizontal="center"/>
    </xf>
    <xf numFmtId="2" fontId="0" fillId="0" borderId="78" xfId="0" applyNumberFormat="1" applyBorder="1" applyAlignment="1">
      <alignment horizontal="center"/>
    </xf>
    <xf numFmtId="2" fontId="0" fillId="0" borderId="78" xfId="0" applyNumberFormat="1" applyBorder="1"/>
    <xf numFmtId="1" fontId="0" fillId="0" borderId="76" xfId="0" applyNumberFormat="1" applyBorder="1" applyAlignment="1">
      <alignment horizontal="center"/>
    </xf>
    <xf numFmtId="0" fontId="0" fillId="0" borderId="78" xfId="0" applyBorder="1"/>
    <xf numFmtId="0" fontId="0" fillId="0" borderId="79" xfId="0" applyBorder="1"/>
    <xf numFmtId="0" fontId="0" fillId="0" borderId="53" xfId="0" applyBorder="1"/>
    <xf numFmtId="1" fontId="0" fillId="0" borderId="77" xfId="0" applyNumberFormat="1" applyBorder="1" applyAlignment="1">
      <alignment horizontal="center"/>
    </xf>
    <xf numFmtId="0" fontId="0" fillId="0" borderId="77" xfId="0" applyBorder="1"/>
    <xf numFmtId="2" fontId="0" fillId="0" borderId="77" xfId="0" applyNumberFormat="1" applyBorder="1" applyAlignment="1">
      <alignment horizontal="center"/>
    </xf>
    <xf numFmtId="2" fontId="0" fillId="0" borderId="77" xfId="0" applyNumberFormat="1" applyBorder="1"/>
    <xf numFmtId="0" fontId="43" fillId="0" borderId="81" xfId="1" applyFont="1" applyBorder="1" applyAlignment="1">
      <alignment horizontal="center" vertical="center" wrapText="1"/>
    </xf>
    <xf numFmtId="0" fontId="43" fillId="0" borderId="82" xfId="389" applyNumberFormat="1" applyFont="1" applyFill="1" applyBorder="1" applyAlignment="1">
      <alignment horizontal="center" vertical="center" wrapText="1"/>
    </xf>
    <xf numFmtId="0" fontId="43" fillId="0" borderId="81" xfId="1" quotePrefix="1" applyFont="1" applyBorder="1" applyAlignment="1">
      <alignment horizontal="center" vertical="center" wrapText="1"/>
    </xf>
    <xf numFmtId="14" fontId="43" fillId="0" borderId="82" xfId="1" quotePrefix="1" applyNumberFormat="1" applyFont="1" applyBorder="1" applyAlignment="1">
      <alignment horizontal="center" vertical="center" wrapText="1"/>
    </xf>
    <xf numFmtId="9" fontId="47" fillId="24" borderId="81" xfId="384" applyFont="1" applyFill="1" applyBorder="1" applyAlignment="1">
      <alignment horizontal="center" vertical="center" wrapText="1"/>
    </xf>
    <xf numFmtId="9" fontId="47" fillId="24" borderId="83" xfId="384" applyFont="1" applyFill="1" applyBorder="1" applyAlignment="1">
      <alignment horizontal="center" vertical="center" wrapText="1"/>
    </xf>
    <xf numFmtId="174" fontId="43" fillId="0" borderId="83" xfId="1" applyNumberFormat="1" applyFont="1" applyBorder="1" applyAlignment="1">
      <alignment horizontal="center" vertical="center" wrapText="1"/>
    </xf>
    <xf numFmtId="14" fontId="43" fillId="0" borderId="82" xfId="1" applyNumberFormat="1" applyFont="1" applyBorder="1" applyAlignment="1">
      <alignment horizontal="center" vertical="center" wrapText="1"/>
    </xf>
    <xf numFmtId="0" fontId="43" fillId="0" borderId="82" xfId="1" applyFont="1" applyBorder="1" applyAlignment="1">
      <alignment horizontal="center" vertical="center" wrapText="1"/>
    </xf>
    <xf numFmtId="175" fontId="43" fillId="0" borderId="82" xfId="1" applyNumberFormat="1" applyFont="1" applyBorder="1" applyAlignment="1">
      <alignment horizontal="center" vertical="center" wrapText="1"/>
    </xf>
    <xf numFmtId="174" fontId="43" fillId="0" borderId="82" xfId="384" applyNumberFormat="1" applyFont="1" applyFill="1" applyBorder="1" applyAlignment="1">
      <alignment horizontal="center" vertical="center" wrapText="1"/>
    </xf>
    <xf numFmtId="0" fontId="43" fillId="0" borderId="82" xfId="384" applyNumberFormat="1" applyFont="1" applyFill="1" applyBorder="1" applyAlignment="1">
      <alignment horizontal="center" vertical="center" wrapText="1"/>
    </xf>
    <xf numFmtId="0" fontId="43" fillId="0" borderId="77" xfId="389" applyNumberFormat="1" applyFont="1" applyFill="1" applyBorder="1" applyAlignment="1">
      <alignment horizontal="center" vertical="center" wrapText="1"/>
    </xf>
    <xf numFmtId="0" fontId="43" fillId="0" borderId="77" xfId="1" quotePrefix="1" applyFont="1" applyBorder="1" applyAlignment="1">
      <alignment horizontal="center" vertical="center" wrapText="1"/>
    </xf>
    <xf numFmtId="9" fontId="47" fillId="24" borderId="77" xfId="384" applyFont="1" applyFill="1" applyBorder="1" applyAlignment="1">
      <alignment horizontal="center" vertical="center" wrapText="1"/>
    </xf>
    <xf numFmtId="174" fontId="43" fillId="0" borderId="77" xfId="384" applyNumberFormat="1" applyFont="1" applyFill="1" applyBorder="1" applyAlignment="1">
      <alignment horizontal="center" vertical="center" wrapText="1"/>
    </xf>
    <xf numFmtId="0" fontId="29" fillId="24" borderId="82" xfId="286" applyFont="1" applyFill="1" applyBorder="1" applyAlignment="1">
      <alignment horizontal="center" vertical="center"/>
    </xf>
    <xf numFmtId="0" fontId="29" fillId="24" borderId="76" xfId="286" applyFont="1" applyFill="1" applyBorder="1" applyAlignment="1">
      <alignment horizontal="center" vertical="center"/>
    </xf>
    <xf numFmtId="0" fontId="43" fillId="0" borderId="82" xfId="1" quotePrefix="1" applyFont="1" applyBorder="1" applyAlignment="1">
      <alignment horizontal="center" vertical="center" wrapText="1"/>
    </xf>
    <xf numFmtId="0" fontId="43" fillId="0" borderId="85" xfId="384" applyNumberFormat="1" applyFont="1" applyFill="1" applyBorder="1" applyAlignment="1">
      <alignment horizontal="center" vertical="center" wrapText="1"/>
    </xf>
    <xf numFmtId="9" fontId="47" fillId="24" borderId="82" xfId="1" applyNumberFormat="1" applyFont="1" applyFill="1" applyBorder="1" applyAlignment="1">
      <alignment horizontal="center" vertical="center" wrapText="1"/>
    </xf>
    <xf numFmtId="0" fontId="29" fillId="24" borderId="81" xfId="286" applyFont="1" applyFill="1" applyBorder="1" applyAlignment="1">
      <alignment horizontal="center" vertical="center"/>
    </xf>
    <xf numFmtId="0" fontId="29" fillId="24" borderId="85" xfId="286" applyFont="1" applyFill="1" applyBorder="1" applyAlignment="1">
      <alignment horizontal="center" vertical="center"/>
    </xf>
    <xf numFmtId="174" fontId="43" fillId="0" borderId="82" xfId="1" applyNumberFormat="1" applyFont="1" applyBorder="1" applyAlignment="1">
      <alignment horizontal="center" vertical="center" wrapText="1"/>
    </xf>
    <xf numFmtId="9" fontId="43" fillId="24" borderId="82" xfId="384" applyFont="1" applyFill="1" applyBorder="1" applyAlignment="1">
      <alignment horizontal="center" vertical="center" wrapText="1"/>
    </xf>
    <xf numFmtId="9" fontId="47" fillId="24" borderId="82" xfId="384" applyFont="1" applyFill="1" applyBorder="1" applyAlignment="1">
      <alignment horizontal="center" vertical="center" wrapText="1"/>
    </xf>
    <xf numFmtId="3" fontId="43" fillId="0" borderId="82" xfId="1" applyNumberFormat="1" applyFont="1" applyBorder="1" applyAlignment="1">
      <alignment horizontal="center" vertical="center" wrapText="1"/>
    </xf>
    <xf numFmtId="3" fontId="43" fillId="0" borderId="77" xfId="1" applyNumberFormat="1" applyFont="1" applyBorder="1" applyAlignment="1">
      <alignment horizontal="center" vertical="center" wrapText="1"/>
    </xf>
    <xf numFmtId="2" fontId="32" fillId="0" borderId="0" xfId="0" applyNumberFormat="1" applyFont="1" applyAlignment="1">
      <alignment horizontal="center"/>
    </xf>
    <xf numFmtId="2" fontId="32" fillId="0" borderId="0" xfId="0" applyNumberFormat="1" applyFont="1" applyAlignment="1">
      <alignment horizontal="left"/>
    </xf>
    <xf numFmtId="2" fontId="42" fillId="0" borderId="0" xfId="0" applyNumberFormat="1" applyFont="1" applyAlignment="1">
      <alignment horizontal="center"/>
    </xf>
    <xf numFmtId="2" fontId="42" fillId="0" borderId="0" xfId="0" applyNumberFormat="1" applyFont="1"/>
    <xf numFmtId="2" fontId="42" fillId="0" borderId="0" xfId="0" applyNumberFormat="1" applyFont="1" applyAlignment="1">
      <alignment horizontal="left"/>
    </xf>
    <xf numFmtId="1" fontId="0" fillId="0" borderId="82" xfId="0" applyNumberFormat="1" applyBorder="1" applyAlignment="1">
      <alignment horizontal="center"/>
    </xf>
    <xf numFmtId="0" fontId="0" fillId="0" borderId="87" xfId="0" applyBorder="1"/>
    <xf numFmtId="0" fontId="0" fillId="0" borderId="84" xfId="0" applyBorder="1"/>
    <xf numFmtId="0" fontId="0" fillId="0" borderId="88" xfId="0" applyBorder="1"/>
    <xf numFmtId="174" fontId="0" fillId="0" borderId="82" xfId="0" applyNumberFormat="1" applyBorder="1" applyAlignment="1">
      <alignment horizontal="center"/>
    </xf>
    <xf numFmtId="2" fontId="0" fillId="0" borderId="82" xfId="0" applyNumberFormat="1" applyBorder="1"/>
    <xf numFmtId="0" fontId="0" fillId="0" borderId="82" xfId="0" applyBorder="1"/>
    <xf numFmtId="174" fontId="0" fillId="0" borderId="77" xfId="0" applyNumberFormat="1" applyBorder="1" applyAlignment="1">
      <alignment horizontal="center"/>
    </xf>
    <xf numFmtId="0" fontId="46" fillId="24" borderId="37" xfId="0" applyFont="1" applyFill="1" applyBorder="1" applyAlignment="1">
      <alignment horizontal="center"/>
    </xf>
    <xf numFmtId="0" fontId="46" fillId="24" borderId="38" xfId="0" applyFont="1" applyFill="1" applyBorder="1" applyAlignment="1">
      <alignment horizontal="center"/>
    </xf>
    <xf numFmtId="0" fontId="46" fillId="24" borderId="39" xfId="0" applyFont="1" applyFill="1" applyBorder="1"/>
    <xf numFmtId="1" fontId="0" fillId="0" borderId="55" xfId="0" applyNumberFormat="1" applyBorder="1" applyAlignment="1">
      <alignment horizontal="center"/>
    </xf>
    <xf numFmtId="1" fontId="0" fillId="0" borderId="56" xfId="0" applyNumberFormat="1" applyBorder="1" applyAlignment="1">
      <alignment horizontal="center"/>
    </xf>
    <xf numFmtId="0" fontId="0" fillId="0" borderId="57" xfId="0" applyBorder="1"/>
    <xf numFmtId="0" fontId="0" fillId="0" borderId="41" xfId="0" applyBorder="1"/>
    <xf numFmtId="0" fontId="0" fillId="0" borderId="42" xfId="0" applyBorder="1"/>
    <xf numFmtId="2" fontId="0" fillId="0" borderId="56" xfId="0" applyNumberFormat="1" applyBorder="1" applyAlignment="1">
      <alignment horizontal="center"/>
    </xf>
    <xf numFmtId="2" fontId="0" fillId="0" borderId="56" xfId="0" applyNumberFormat="1" applyBorder="1"/>
    <xf numFmtId="1" fontId="0" fillId="0" borderId="59" xfId="0" applyNumberFormat="1" applyBorder="1" applyAlignment="1">
      <alignment horizontal="center"/>
    </xf>
    <xf numFmtId="2" fontId="0" fillId="0" borderId="82" xfId="0" applyNumberFormat="1" applyBorder="1" applyAlignment="1">
      <alignment horizontal="center"/>
    </xf>
    <xf numFmtId="2" fontId="0" fillId="0" borderId="81" xfId="0" applyNumberFormat="1" applyBorder="1"/>
    <xf numFmtId="1" fontId="0" fillId="0" borderId="85" xfId="0" applyNumberFormat="1" applyBorder="1" applyAlignment="1">
      <alignment horizontal="center"/>
    </xf>
    <xf numFmtId="0" fontId="49" fillId="24" borderId="38" xfId="286" applyFont="1" applyFill="1" applyBorder="1" applyAlignment="1">
      <alignment horizontal="center" vertical="center"/>
    </xf>
    <xf numFmtId="0" fontId="49" fillId="24" borderId="36" xfId="286" applyFont="1" applyFill="1" applyBorder="1" applyAlignment="1">
      <alignment horizontal="center" vertical="center"/>
    </xf>
    <xf numFmtId="0" fontId="49" fillId="24" borderId="38" xfId="286" applyFont="1" applyFill="1" applyBorder="1" applyAlignment="1">
      <alignment horizontal="center" vertical="center" wrapText="1"/>
    </xf>
    <xf numFmtId="0" fontId="49" fillId="24" borderId="36" xfId="286" applyFont="1" applyFill="1" applyBorder="1" applyAlignment="1">
      <alignment horizontal="center" vertical="center" wrapText="1"/>
    </xf>
    <xf numFmtId="0" fontId="49" fillId="24" borderId="89" xfId="286" applyFont="1" applyFill="1" applyBorder="1" applyAlignment="1">
      <alignment horizontal="center" vertical="center"/>
    </xf>
    <xf numFmtId="0" fontId="50" fillId="0" borderId="88" xfId="1" applyFont="1" applyBorder="1" applyAlignment="1">
      <alignment horizontal="left" vertical="center"/>
    </xf>
    <xf numFmtId="174" fontId="49" fillId="24" borderId="90" xfId="286" applyNumberFormat="1" applyFont="1" applyFill="1" applyBorder="1" applyAlignment="1">
      <alignment horizontal="center" vertical="center" wrapText="1"/>
    </xf>
    <xf numFmtId="0" fontId="50" fillId="0" borderId="83" xfId="1" applyFont="1" applyBorder="1" applyAlignment="1">
      <alignment horizontal="left" vertical="center"/>
    </xf>
    <xf numFmtId="0" fontId="50" fillId="0" borderId="82" xfId="1" applyFont="1" applyBorder="1" applyAlignment="1">
      <alignment horizontal="center" vertical="center"/>
    </xf>
    <xf numFmtId="0" fontId="50" fillId="0" borderId="82" xfId="389" applyNumberFormat="1" applyFont="1" applyFill="1" applyBorder="1" applyAlignment="1">
      <alignment horizontal="center" vertical="center"/>
    </xf>
    <xf numFmtId="0" fontId="50" fillId="0" borderId="82" xfId="1" quotePrefix="1" applyFont="1" applyBorder="1" applyAlignment="1">
      <alignment horizontal="center" vertical="center"/>
    </xf>
    <xf numFmtId="9" fontId="50" fillId="24" borderId="82" xfId="384" applyFont="1" applyFill="1" applyBorder="1" applyAlignment="1">
      <alignment horizontal="center" vertical="center"/>
    </xf>
    <xf numFmtId="174" fontId="50" fillId="0" borderId="84" xfId="1" applyNumberFormat="1" applyFont="1" applyBorder="1" applyAlignment="1">
      <alignment horizontal="center" vertical="center"/>
    </xf>
    <xf numFmtId="0" fontId="50" fillId="0" borderId="81" xfId="1" applyFont="1" applyBorder="1" applyAlignment="1">
      <alignment horizontal="center" vertical="center"/>
    </xf>
    <xf numFmtId="0" fontId="50" fillId="0" borderId="81" xfId="389" applyNumberFormat="1" applyFont="1" applyFill="1" applyBorder="1" applyAlignment="1">
      <alignment horizontal="center" vertical="center"/>
    </xf>
    <xf numFmtId="0" fontId="50" fillId="0" borderId="81" xfId="1" quotePrefix="1" applyFont="1" applyBorder="1" applyAlignment="1">
      <alignment horizontal="center" vertical="center"/>
    </xf>
    <xf numFmtId="9" fontId="50" fillId="24" borderId="81" xfId="384" applyFont="1" applyFill="1" applyBorder="1" applyAlignment="1">
      <alignment horizontal="center" vertical="center"/>
    </xf>
    <xf numFmtId="174" fontId="50" fillId="0" borderId="87" xfId="1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0" fillId="0" borderId="25" xfId="382" applyFont="1" applyBorder="1" applyAlignment="1">
      <alignment horizontal="center" vertical="center"/>
    </xf>
    <xf numFmtId="0" fontId="30" fillId="0" borderId="27" xfId="382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0" fillId="0" borderId="37" xfId="382" applyFont="1" applyBorder="1" applyAlignment="1">
      <alignment horizontal="center" vertical="center"/>
    </xf>
    <xf numFmtId="0" fontId="30" fillId="0" borderId="40" xfId="382" applyFont="1" applyBorder="1" applyAlignment="1">
      <alignment horizontal="center" vertical="center"/>
    </xf>
    <xf numFmtId="174" fontId="40" fillId="0" borderId="39" xfId="0" applyNumberFormat="1" applyFont="1" applyBorder="1" applyAlignment="1">
      <alignment horizontal="center" vertical="center"/>
    </xf>
    <xf numFmtId="174" fontId="40" fillId="0" borderId="75" xfId="0" applyNumberFormat="1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6" fillId="24" borderId="25" xfId="382" applyFont="1" applyFill="1" applyBorder="1" applyAlignment="1">
      <alignment horizontal="center" vertical="center"/>
    </xf>
    <xf numFmtId="0" fontId="36" fillId="24" borderId="26" xfId="382" applyFont="1" applyFill="1" applyBorder="1" applyAlignment="1">
      <alignment horizontal="center" vertical="center"/>
    </xf>
    <xf numFmtId="0" fontId="36" fillId="24" borderId="27" xfId="382" applyFont="1" applyFill="1" applyBorder="1" applyAlignment="1">
      <alignment horizontal="center" vertical="center"/>
    </xf>
    <xf numFmtId="0" fontId="29" fillId="24" borderId="35" xfId="286" applyFont="1" applyFill="1" applyBorder="1" applyAlignment="1">
      <alignment horizontal="center" vertical="center"/>
    </xf>
    <xf numFmtId="0" fontId="29" fillId="24" borderId="86" xfId="286" applyFont="1" applyFill="1" applyBorder="1" applyAlignment="1">
      <alignment horizontal="center" vertical="center"/>
    </xf>
    <xf numFmtId="0" fontId="29" fillId="24" borderId="23" xfId="286" applyFont="1" applyFill="1" applyBorder="1" applyAlignment="1">
      <alignment horizontal="center" vertical="center"/>
    </xf>
    <xf numFmtId="0" fontId="29" fillId="24" borderId="81" xfId="286" applyFont="1" applyFill="1" applyBorder="1" applyAlignment="1">
      <alignment horizontal="center" vertical="center"/>
    </xf>
    <xf numFmtId="0" fontId="29" fillId="24" borderId="36" xfId="286" applyFont="1" applyFill="1" applyBorder="1" applyAlignment="1">
      <alignment horizontal="center" vertical="center"/>
    </xf>
    <xf numFmtId="0" fontId="29" fillId="24" borderId="36" xfId="286" applyFont="1" applyFill="1" applyBorder="1" applyAlignment="1">
      <alignment horizontal="center" vertical="center" wrapText="1"/>
    </xf>
    <xf numFmtId="0" fontId="29" fillId="24" borderId="38" xfId="286" applyFont="1" applyFill="1" applyBorder="1" applyAlignment="1">
      <alignment horizontal="center" vertical="center"/>
    </xf>
    <xf numFmtId="0" fontId="29" fillId="24" borderId="23" xfId="1" applyFont="1" applyFill="1" applyBorder="1" applyAlignment="1">
      <alignment horizontal="center" vertical="center"/>
    </xf>
    <xf numFmtId="0" fontId="29" fillId="24" borderId="74" xfId="1" applyFont="1" applyFill="1" applyBorder="1" applyAlignment="1">
      <alignment horizontal="center" vertical="center"/>
    </xf>
    <xf numFmtId="174" fontId="31" fillId="24" borderId="36" xfId="286" applyNumberFormat="1" applyFont="1" applyFill="1" applyBorder="1" applyAlignment="1">
      <alignment horizontal="center" vertical="center" wrapText="1"/>
    </xf>
    <xf numFmtId="0" fontId="29" fillId="24" borderId="23" xfId="1" applyFont="1" applyFill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29" fillId="24" borderId="38" xfId="286" applyFont="1" applyFill="1" applyBorder="1" applyAlignment="1">
      <alignment horizontal="center" vertical="center" wrapText="1"/>
    </xf>
    <xf numFmtId="0" fontId="29" fillId="24" borderId="23" xfId="286" applyFont="1" applyFill="1" applyBorder="1" applyAlignment="1">
      <alignment horizontal="center" vertical="center" wrapText="1"/>
    </xf>
    <xf numFmtId="0" fontId="29" fillId="24" borderId="82" xfId="286" applyFont="1" applyFill="1" applyBorder="1" applyAlignment="1">
      <alignment horizontal="center" vertical="center"/>
    </xf>
    <xf numFmtId="0" fontId="29" fillId="24" borderId="17" xfId="286" applyFont="1" applyFill="1" applyBorder="1" applyAlignment="1">
      <alignment horizontal="center" vertical="center"/>
    </xf>
    <xf numFmtId="174" fontId="31" fillId="24" borderId="23" xfId="286" applyNumberFormat="1" applyFont="1" applyFill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29" fillId="24" borderId="56" xfId="1" applyFont="1" applyFill="1" applyBorder="1" applyAlignment="1">
      <alignment horizontal="center" vertical="center"/>
    </xf>
    <xf numFmtId="0" fontId="29" fillId="24" borderId="56" xfId="286" applyFont="1" applyFill="1" applyBorder="1" applyAlignment="1">
      <alignment horizontal="center" vertical="center" wrapText="1"/>
    </xf>
    <xf numFmtId="0" fontId="29" fillId="24" borderId="82" xfId="286" applyFont="1" applyFill="1" applyBorder="1" applyAlignment="1">
      <alignment horizontal="center" vertical="center" wrapText="1"/>
    </xf>
    <xf numFmtId="0" fontId="31" fillId="24" borderId="56" xfId="286" applyFont="1" applyFill="1" applyBorder="1" applyAlignment="1">
      <alignment horizontal="center" vertical="center" wrapText="1"/>
    </xf>
    <xf numFmtId="0" fontId="31" fillId="24" borderId="82" xfId="286" applyFont="1" applyFill="1" applyBorder="1" applyAlignment="1">
      <alignment horizontal="center" vertical="center" wrapText="1"/>
    </xf>
    <xf numFmtId="0" fontId="29" fillId="24" borderId="56" xfId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4" borderId="13" xfId="0" applyFill="1" applyBorder="1" applyAlignment="1">
      <alignment horizontal="center"/>
    </xf>
    <xf numFmtId="0" fontId="29" fillId="24" borderId="55" xfId="286" applyFont="1" applyFill="1" applyBorder="1" applyAlignment="1">
      <alignment horizontal="center" vertical="center"/>
    </xf>
    <xf numFmtId="0" fontId="29" fillId="24" borderId="56" xfId="286" applyFont="1" applyFill="1" applyBorder="1" applyAlignment="1">
      <alignment horizontal="center" vertical="center"/>
    </xf>
    <xf numFmtId="0" fontId="29" fillId="24" borderId="59" xfId="1" applyFont="1" applyFill="1" applyBorder="1" applyAlignment="1">
      <alignment horizontal="center" vertical="center"/>
    </xf>
    <xf numFmtId="0" fontId="38" fillId="0" borderId="26" xfId="0" applyFont="1" applyBorder="1" applyAlignment="1">
      <alignment horizontal="center"/>
    </xf>
    <xf numFmtId="0" fontId="38" fillId="0" borderId="27" xfId="0" applyFont="1" applyBorder="1" applyAlignment="1">
      <alignment horizontal="center"/>
    </xf>
    <xf numFmtId="0" fontId="31" fillId="24" borderId="50" xfId="286" applyFont="1" applyFill="1" applyBorder="1" applyAlignment="1">
      <alignment horizontal="center" vertical="center" wrapText="1"/>
    </xf>
    <xf numFmtId="0" fontId="31" fillId="24" borderId="23" xfId="286" applyFont="1" applyFill="1" applyBorder="1" applyAlignment="1">
      <alignment horizontal="center" vertical="center" wrapText="1"/>
    </xf>
    <xf numFmtId="0" fontId="30" fillId="0" borderId="39" xfId="382" applyFont="1" applyBorder="1" applyAlignment="1">
      <alignment horizontal="center" vertical="center"/>
    </xf>
    <xf numFmtId="0" fontId="29" fillId="24" borderId="11" xfId="1" applyFont="1" applyFill="1" applyBorder="1" applyAlignment="1">
      <alignment horizontal="center" vertical="center"/>
    </xf>
    <xf numFmtId="0" fontId="36" fillId="24" borderId="12" xfId="382" applyFont="1" applyFill="1" applyBorder="1" applyAlignment="1">
      <alignment horizontal="center" vertical="center"/>
    </xf>
    <xf numFmtId="0" fontId="36" fillId="24" borderId="13" xfId="382" applyFont="1" applyFill="1" applyBorder="1" applyAlignment="1">
      <alignment horizontal="center" vertical="center"/>
    </xf>
    <xf numFmtId="0" fontId="36" fillId="24" borderId="14" xfId="382" applyFont="1" applyFill="1" applyBorder="1" applyAlignment="1">
      <alignment horizontal="center" vertical="center"/>
    </xf>
    <xf numFmtId="0" fontId="29" fillId="24" borderId="11" xfId="286" applyFont="1" applyFill="1" applyBorder="1" applyAlignment="1">
      <alignment horizontal="center" vertical="center"/>
    </xf>
    <xf numFmtId="0" fontId="29" fillId="24" borderId="24" xfId="286" applyFont="1" applyFill="1" applyBorder="1" applyAlignment="1">
      <alignment horizontal="center" vertical="center"/>
    </xf>
    <xf numFmtId="0" fontId="29" fillId="24" borderId="24" xfId="286" applyFont="1" applyFill="1" applyBorder="1" applyAlignment="1">
      <alignment horizontal="center" vertical="center" wrapText="1"/>
    </xf>
    <xf numFmtId="0" fontId="29" fillId="24" borderId="11" xfId="1" applyFont="1" applyFill="1" applyBorder="1" applyAlignment="1">
      <alignment horizontal="center" vertical="center" wrapText="1"/>
    </xf>
    <xf numFmtId="0" fontId="31" fillId="24" borderId="24" xfId="286" applyFont="1" applyFill="1" applyBorder="1" applyAlignment="1">
      <alignment horizontal="center" vertical="center" wrapText="1"/>
    </xf>
    <xf numFmtId="0" fontId="29" fillId="24" borderId="18" xfId="1" applyFont="1" applyFill="1" applyBorder="1" applyAlignment="1">
      <alignment horizontal="center" vertical="center"/>
    </xf>
  </cellXfs>
  <cellStyles count="391">
    <cellStyle name="-   -" xfId="2" xr:uid="{00000000-0005-0000-0000-000000000000}"/>
    <cellStyle name="  -   -" xfId="3" xr:uid="{00000000-0005-0000-0000-000001000000}"/>
    <cellStyle name="  -   - 2" xfId="4" xr:uid="{00000000-0005-0000-0000-000002000000}"/>
    <cellStyle name="-   -_Analise Física_Estrutura_1112" xfId="5" xr:uid="{00000000-0005-0000-0000-000003000000}"/>
    <cellStyle name="??" xfId="6" xr:uid="{00000000-0005-0000-0000-000004000000}"/>
    <cellStyle name="?? [0]" xfId="7" xr:uid="{00000000-0005-0000-0000-000005000000}"/>
    <cellStyle name="??_???? " xfId="8" xr:uid="{00000000-0005-0000-0000-000006000000}"/>
    <cellStyle name="_PROG1" xfId="9" xr:uid="{00000000-0005-0000-0000-000007000000}"/>
    <cellStyle name="20% - Accent1" xfId="10" xr:uid="{00000000-0005-0000-0000-000008000000}"/>
    <cellStyle name="20% - Accent2" xfId="11" xr:uid="{00000000-0005-0000-0000-000009000000}"/>
    <cellStyle name="20% - Accent3" xfId="12" xr:uid="{00000000-0005-0000-0000-00000A000000}"/>
    <cellStyle name="20% - Accent4" xfId="13" xr:uid="{00000000-0005-0000-0000-00000B000000}"/>
    <cellStyle name="20% - Accent5" xfId="14" xr:uid="{00000000-0005-0000-0000-00000C000000}"/>
    <cellStyle name="20% - Accent6" xfId="15" xr:uid="{00000000-0005-0000-0000-00000D000000}"/>
    <cellStyle name="20% - Ênfase1 2" xfId="16" xr:uid="{00000000-0005-0000-0000-00000E000000}"/>
    <cellStyle name="20% - Ênfase1 3" xfId="17" xr:uid="{00000000-0005-0000-0000-00000F000000}"/>
    <cellStyle name="20% - Ênfase1 4" xfId="18" xr:uid="{00000000-0005-0000-0000-000010000000}"/>
    <cellStyle name="20% - Ênfase2 2" xfId="19" xr:uid="{00000000-0005-0000-0000-000011000000}"/>
    <cellStyle name="20% - Ênfase2 3" xfId="20" xr:uid="{00000000-0005-0000-0000-000012000000}"/>
    <cellStyle name="20% - Ênfase2 4" xfId="21" xr:uid="{00000000-0005-0000-0000-000013000000}"/>
    <cellStyle name="20% - Ênfase3 2" xfId="22" xr:uid="{00000000-0005-0000-0000-000014000000}"/>
    <cellStyle name="20% - Ênfase3 3" xfId="23" xr:uid="{00000000-0005-0000-0000-000015000000}"/>
    <cellStyle name="20% - Ênfase3 4" xfId="24" xr:uid="{00000000-0005-0000-0000-000016000000}"/>
    <cellStyle name="20% - Ênfase4 2" xfId="25" xr:uid="{00000000-0005-0000-0000-000017000000}"/>
    <cellStyle name="20% - Ênfase4 3" xfId="26" xr:uid="{00000000-0005-0000-0000-000018000000}"/>
    <cellStyle name="20% - Ênfase4 4" xfId="27" xr:uid="{00000000-0005-0000-0000-000019000000}"/>
    <cellStyle name="20% - Ênfase5 2" xfId="28" xr:uid="{00000000-0005-0000-0000-00001A000000}"/>
    <cellStyle name="20% - Ênfase5 3" xfId="29" xr:uid="{00000000-0005-0000-0000-00001B000000}"/>
    <cellStyle name="20% - Ênfase5 4" xfId="30" xr:uid="{00000000-0005-0000-0000-00001C000000}"/>
    <cellStyle name="20% - Ênfase6 2" xfId="31" xr:uid="{00000000-0005-0000-0000-00001D000000}"/>
    <cellStyle name="20% - Ênfase6 3" xfId="32" xr:uid="{00000000-0005-0000-0000-00001E000000}"/>
    <cellStyle name="20% - Ênfase6 4" xfId="33" xr:uid="{00000000-0005-0000-0000-00001F000000}"/>
    <cellStyle name="40% - Accent1" xfId="34" xr:uid="{00000000-0005-0000-0000-000020000000}"/>
    <cellStyle name="40% - Accent2" xfId="35" xr:uid="{00000000-0005-0000-0000-000021000000}"/>
    <cellStyle name="40% - Accent3" xfId="36" xr:uid="{00000000-0005-0000-0000-000022000000}"/>
    <cellStyle name="40% - Accent4" xfId="37" xr:uid="{00000000-0005-0000-0000-000023000000}"/>
    <cellStyle name="40% - Accent5" xfId="38" xr:uid="{00000000-0005-0000-0000-000024000000}"/>
    <cellStyle name="40% - Accent6" xfId="39" xr:uid="{00000000-0005-0000-0000-000025000000}"/>
    <cellStyle name="40% - Ênfase1 2" xfId="40" xr:uid="{00000000-0005-0000-0000-000026000000}"/>
    <cellStyle name="40% - Ênfase1 3" xfId="41" xr:uid="{00000000-0005-0000-0000-000027000000}"/>
    <cellStyle name="40% - Ênfase1 4" xfId="42" xr:uid="{00000000-0005-0000-0000-000028000000}"/>
    <cellStyle name="40% - Ênfase2 2" xfId="43" xr:uid="{00000000-0005-0000-0000-000029000000}"/>
    <cellStyle name="40% - Ênfase2 3" xfId="44" xr:uid="{00000000-0005-0000-0000-00002A000000}"/>
    <cellStyle name="40% - Ênfase2 4" xfId="45" xr:uid="{00000000-0005-0000-0000-00002B000000}"/>
    <cellStyle name="40% - Ênfase3 2" xfId="46" xr:uid="{00000000-0005-0000-0000-00002C000000}"/>
    <cellStyle name="40% - Ênfase3 3" xfId="47" xr:uid="{00000000-0005-0000-0000-00002D000000}"/>
    <cellStyle name="40% - Ênfase3 4" xfId="48" xr:uid="{00000000-0005-0000-0000-00002E000000}"/>
    <cellStyle name="40% - Ênfase4 2" xfId="49" xr:uid="{00000000-0005-0000-0000-00002F000000}"/>
    <cellStyle name="40% - Ênfase4 3" xfId="50" xr:uid="{00000000-0005-0000-0000-000030000000}"/>
    <cellStyle name="40% - Ênfase4 4" xfId="51" xr:uid="{00000000-0005-0000-0000-000031000000}"/>
    <cellStyle name="40% - Ênfase5 2" xfId="52" xr:uid="{00000000-0005-0000-0000-000032000000}"/>
    <cellStyle name="40% - Ênfase5 3" xfId="53" xr:uid="{00000000-0005-0000-0000-000033000000}"/>
    <cellStyle name="40% - Ênfase5 4" xfId="54" xr:uid="{00000000-0005-0000-0000-000034000000}"/>
    <cellStyle name="40% - Ênfase6 2" xfId="55" xr:uid="{00000000-0005-0000-0000-000035000000}"/>
    <cellStyle name="40% - Ênfase6 3" xfId="56" xr:uid="{00000000-0005-0000-0000-000036000000}"/>
    <cellStyle name="40% - Ênfase6 4" xfId="57" xr:uid="{00000000-0005-0000-0000-000037000000}"/>
    <cellStyle name="60% - Accent1" xfId="58" xr:uid="{00000000-0005-0000-0000-000038000000}"/>
    <cellStyle name="60% - Accent2" xfId="59" xr:uid="{00000000-0005-0000-0000-000039000000}"/>
    <cellStyle name="60% - Accent3" xfId="60" xr:uid="{00000000-0005-0000-0000-00003A000000}"/>
    <cellStyle name="60% - Accent4" xfId="61" xr:uid="{00000000-0005-0000-0000-00003B000000}"/>
    <cellStyle name="60% - Accent5" xfId="62" xr:uid="{00000000-0005-0000-0000-00003C000000}"/>
    <cellStyle name="60% - Accent6" xfId="63" xr:uid="{00000000-0005-0000-0000-00003D000000}"/>
    <cellStyle name="60% - Ênfase1 2" xfId="64" xr:uid="{00000000-0005-0000-0000-00003E000000}"/>
    <cellStyle name="60% - Ênfase1 3" xfId="65" xr:uid="{00000000-0005-0000-0000-00003F000000}"/>
    <cellStyle name="60% - Ênfase1 4" xfId="66" xr:uid="{00000000-0005-0000-0000-000040000000}"/>
    <cellStyle name="60% - Ênfase2 2" xfId="67" xr:uid="{00000000-0005-0000-0000-000041000000}"/>
    <cellStyle name="60% - Ênfase2 3" xfId="68" xr:uid="{00000000-0005-0000-0000-000042000000}"/>
    <cellStyle name="60% - Ênfase2 4" xfId="69" xr:uid="{00000000-0005-0000-0000-000043000000}"/>
    <cellStyle name="60% - Ênfase3 2" xfId="70" xr:uid="{00000000-0005-0000-0000-000044000000}"/>
    <cellStyle name="60% - Ênfase3 3" xfId="71" xr:uid="{00000000-0005-0000-0000-000045000000}"/>
    <cellStyle name="60% - Ênfase3 4" xfId="72" xr:uid="{00000000-0005-0000-0000-000046000000}"/>
    <cellStyle name="60% - Ênfase4 2" xfId="73" xr:uid="{00000000-0005-0000-0000-000047000000}"/>
    <cellStyle name="60% - Ênfase4 3" xfId="74" xr:uid="{00000000-0005-0000-0000-000048000000}"/>
    <cellStyle name="60% - Ênfase4 4" xfId="75" xr:uid="{00000000-0005-0000-0000-000049000000}"/>
    <cellStyle name="60% - Ênfase5 2" xfId="76" xr:uid="{00000000-0005-0000-0000-00004A000000}"/>
    <cellStyle name="60% - Ênfase5 3" xfId="77" xr:uid="{00000000-0005-0000-0000-00004B000000}"/>
    <cellStyle name="60% - Ênfase5 4" xfId="78" xr:uid="{00000000-0005-0000-0000-00004C000000}"/>
    <cellStyle name="60% - Ênfase6 2" xfId="79" xr:uid="{00000000-0005-0000-0000-00004D000000}"/>
    <cellStyle name="60% - Ênfase6 3" xfId="80" xr:uid="{00000000-0005-0000-0000-00004E000000}"/>
    <cellStyle name="60% - Ênfase6 4" xfId="81" xr:uid="{00000000-0005-0000-0000-00004F000000}"/>
    <cellStyle name="Accent1" xfId="82" xr:uid="{00000000-0005-0000-0000-000050000000}"/>
    <cellStyle name="Accent2" xfId="83" xr:uid="{00000000-0005-0000-0000-000051000000}"/>
    <cellStyle name="Accent3" xfId="84" xr:uid="{00000000-0005-0000-0000-000052000000}"/>
    <cellStyle name="Accent4" xfId="85" xr:uid="{00000000-0005-0000-0000-000053000000}"/>
    <cellStyle name="Accent5" xfId="86" xr:uid="{00000000-0005-0000-0000-000054000000}"/>
    <cellStyle name="Accent6" xfId="87" xr:uid="{00000000-0005-0000-0000-000055000000}"/>
    <cellStyle name="Bad" xfId="88" xr:uid="{00000000-0005-0000-0000-000056000000}"/>
    <cellStyle name="Bom 2" xfId="89" xr:uid="{00000000-0005-0000-0000-000057000000}"/>
    <cellStyle name="Bom 3" xfId="90" xr:uid="{00000000-0005-0000-0000-000058000000}"/>
    <cellStyle name="Bom 4" xfId="91" xr:uid="{00000000-0005-0000-0000-000059000000}"/>
    <cellStyle name="Calculation" xfId="92" xr:uid="{00000000-0005-0000-0000-00005A000000}"/>
    <cellStyle name="Cálculo 2" xfId="93" xr:uid="{00000000-0005-0000-0000-00005B000000}"/>
    <cellStyle name="Cálculo 3" xfId="94" xr:uid="{00000000-0005-0000-0000-00005C000000}"/>
    <cellStyle name="Cálculo 4" xfId="95" xr:uid="{00000000-0005-0000-0000-00005D000000}"/>
    <cellStyle name="Célula de Verificação 2" xfId="96" xr:uid="{00000000-0005-0000-0000-00005E000000}"/>
    <cellStyle name="Célula de Verificação 3" xfId="97" xr:uid="{00000000-0005-0000-0000-00005F000000}"/>
    <cellStyle name="Célula de Verificação 4" xfId="98" xr:uid="{00000000-0005-0000-0000-000060000000}"/>
    <cellStyle name="Célula Vinculada 2" xfId="99" xr:uid="{00000000-0005-0000-0000-000061000000}"/>
    <cellStyle name="Célula Vinculada 3" xfId="100" xr:uid="{00000000-0005-0000-0000-000062000000}"/>
    <cellStyle name="Célula Vinculada 4" xfId="101" xr:uid="{00000000-0005-0000-0000-000063000000}"/>
    <cellStyle name="Check Cell" xfId="102" xr:uid="{00000000-0005-0000-0000-000064000000}"/>
    <cellStyle name="Comma [0]_400-00 (2)" xfId="103" xr:uid="{00000000-0005-0000-0000-000065000000}"/>
    <cellStyle name="Comma_400-00 (2)" xfId="104" xr:uid="{00000000-0005-0000-0000-000066000000}"/>
    <cellStyle name="Currency [0]_400-00 (2)" xfId="105" xr:uid="{00000000-0005-0000-0000-000067000000}"/>
    <cellStyle name="Currency_400-00 (2)" xfId="106" xr:uid="{00000000-0005-0000-0000-000068000000}"/>
    <cellStyle name="Ênfase1 2" xfId="107" xr:uid="{00000000-0005-0000-0000-000069000000}"/>
    <cellStyle name="Ênfase1 3" xfId="108" xr:uid="{00000000-0005-0000-0000-00006A000000}"/>
    <cellStyle name="Ênfase1 4" xfId="109" xr:uid="{00000000-0005-0000-0000-00006B000000}"/>
    <cellStyle name="Ênfase2 2" xfId="110" xr:uid="{00000000-0005-0000-0000-00006C000000}"/>
    <cellStyle name="Ênfase2 3" xfId="111" xr:uid="{00000000-0005-0000-0000-00006D000000}"/>
    <cellStyle name="Ênfase2 4" xfId="112" xr:uid="{00000000-0005-0000-0000-00006E000000}"/>
    <cellStyle name="Ênfase3 2" xfId="113" xr:uid="{00000000-0005-0000-0000-00006F000000}"/>
    <cellStyle name="Ênfase3 3" xfId="114" xr:uid="{00000000-0005-0000-0000-000070000000}"/>
    <cellStyle name="Ênfase3 4" xfId="115" xr:uid="{00000000-0005-0000-0000-000071000000}"/>
    <cellStyle name="Ênfase4 2" xfId="116" xr:uid="{00000000-0005-0000-0000-000072000000}"/>
    <cellStyle name="Ênfase4 3" xfId="117" xr:uid="{00000000-0005-0000-0000-000073000000}"/>
    <cellStyle name="Ênfase4 4" xfId="118" xr:uid="{00000000-0005-0000-0000-000074000000}"/>
    <cellStyle name="Ênfase5 2" xfId="119" xr:uid="{00000000-0005-0000-0000-000075000000}"/>
    <cellStyle name="Ênfase5 3" xfId="120" xr:uid="{00000000-0005-0000-0000-000076000000}"/>
    <cellStyle name="Ênfase5 4" xfId="121" xr:uid="{00000000-0005-0000-0000-000077000000}"/>
    <cellStyle name="Ênfase6 2" xfId="122" xr:uid="{00000000-0005-0000-0000-000078000000}"/>
    <cellStyle name="Ênfase6 3" xfId="123" xr:uid="{00000000-0005-0000-0000-000079000000}"/>
    <cellStyle name="Ênfase6 4" xfId="124" xr:uid="{00000000-0005-0000-0000-00007A000000}"/>
    <cellStyle name="Entrada 2" xfId="125" xr:uid="{00000000-0005-0000-0000-00007B000000}"/>
    <cellStyle name="Entrada 3" xfId="126" xr:uid="{00000000-0005-0000-0000-00007C000000}"/>
    <cellStyle name="Entrada 4" xfId="127" xr:uid="{00000000-0005-0000-0000-00007D000000}"/>
    <cellStyle name="Estilo 1" xfId="128" xr:uid="{00000000-0005-0000-0000-00007E000000}"/>
    <cellStyle name="Estilo 1 2" xfId="129" xr:uid="{00000000-0005-0000-0000-00007F000000}"/>
    <cellStyle name="Euro" xfId="130" xr:uid="{00000000-0005-0000-0000-000080000000}"/>
    <cellStyle name="Euro 2" xfId="131" xr:uid="{00000000-0005-0000-0000-000081000000}"/>
    <cellStyle name="Euro 3" xfId="132" xr:uid="{00000000-0005-0000-0000-000082000000}"/>
    <cellStyle name="Euro 4" xfId="133" xr:uid="{00000000-0005-0000-0000-000083000000}"/>
    <cellStyle name="Euro_NOBLE - Leo Segerius Overall Progress sem. 1127 - 110710" xfId="134" xr:uid="{00000000-0005-0000-0000-000084000000}"/>
    <cellStyle name="Explanatory Text" xfId="135" xr:uid="{00000000-0005-0000-0000-000085000000}"/>
    <cellStyle name="Good" xfId="136" xr:uid="{00000000-0005-0000-0000-000086000000}"/>
    <cellStyle name="Heading 1" xfId="137" xr:uid="{00000000-0005-0000-0000-000087000000}"/>
    <cellStyle name="Heading 2" xfId="138" xr:uid="{00000000-0005-0000-0000-000088000000}"/>
    <cellStyle name="Heading 3" xfId="139" xr:uid="{00000000-0005-0000-0000-000089000000}"/>
    <cellStyle name="Heading 4" xfId="140" xr:uid="{00000000-0005-0000-0000-00008A000000}"/>
    <cellStyle name="Incorreto 2" xfId="141" xr:uid="{00000000-0005-0000-0000-00008B000000}"/>
    <cellStyle name="Incorreto 3" xfId="142" xr:uid="{00000000-0005-0000-0000-00008C000000}"/>
    <cellStyle name="Incorreto 4" xfId="143" xr:uid="{00000000-0005-0000-0000-00008D000000}"/>
    <cellStyle name="Input" xfId="144" xr:uid="{00000000-0005-0000-0000-00008E000000}"/>
    <cellStyle name="Linked Cell" xfId="145" xr:uid="{00000000-0005-0000-0000-00008F000000}"/>
    <cellStyle name="LISTA" xfId="146" xr:uid="{00000000-0005-0000-0000-000090000000}"/>
    <cellStyle name="Moeda 2" xfId="147" xr:uid="{00000000-0005-0000-0000-000091000000}"/>
    <cellStyle name="Moeda 2 2" xfId="148" xr:uid="{00000000-0005-0000-0000-000092000000}"/>
    <cellStyle name="Neutra 2" xfId="149" xr:uid="{00000000-0005-0000-0000-000093000000}"/>
    <cellStyle name="Neutra 3" xfId="150" xr:uid="{00000000-0005-0000-0000-000094000000}"/>
    <cellStyle name="Neutra 4" xfId="151" xr:uid="{00000000-0005-0000-0000-000095000000}"/>
    <cellStyle name="Neutral" xfId="152" xr:uid="{00000000-0005-0000-0000-000096000000}"/>
    <cellStyle name="Normal" xfId="0" builtinId="0"/>
    <cellStyle name="Normal - Estilo1" xfId="153" xr:uid="{00000000-0005-0000-0000-000098000000}"/>
    <cellStyle name="Normal - Estilo2" xfId="154" xr:uid="{00000000-0005-0000-0000-000099000000}"/>
    <cellStyle name="Normal - Estilo3" xfId="155" xr:uid="{00000000-0005-0000-0000-00009A000000}"/>
    <cellStyle name="Normal - Estilo4" xfId="156" xr:uid="{00000000-0005-0000-0000-00009B000000}"/>
    <cellStyle name="Normal - Estilo5" xfId="157" xr:uid="{00000000-0005-0000-0000-00009C000000}"/>
    <cellStyle name="Normal - Estilo6" xfId="158" xr:uid="{00000000-0005-0000-0000-00009D000000}"/>
    <cellStyle name="Normal - Estilo7" xfId="159" xr:uid="{00000000-0005-0000-0000-00009E000000}"/>
    <cellStyle name="Normal - Estilo8" xfId="160" xr:uid="{00000000-0005-0000-0000-00009F000000}"/>
    <cellStyle name="Normal - Style1 10" xfId="387" xr:uid="{646B7029-C91B-46BD-BD3C-1D492F598B3D}"/>
    <cellStyle name="Normal 10" xfId="161" xr:uid="{00000000-0005-0000-0000-0000A0000000}"/>
    <cellStyle name="Normal 10 10" xfId="162" xr:uid="{00000000-0005-0000-0000-0000A1000000}"/>
    <cellStyle name="Normal 10 10 2" xfId="163" xr:uid="{00000000-0005-0000-0000-0000A2000000}"/>
    <cellStyle name="Normal 10 2" xfId="164" xr:uid="{00000000-0005-0000-0000-0000A3000000}"/>
    <cellStyle name="Normal 10 3" xfId="165" xr:uid="{00000000-0005-0000-0000-0000A4000000}"/>
    <cellStyle name="Normal 11" xfId="166" xr:uid="{00000000-0005-0000-0000-0000A5000000}"/>
    <cellStyle name="Normal 11 2" xfId="167" xr:uid="{00000000-0005-0000-0000-0000A6000000}"/>
    <cellStyle name="Normal 11 2 2" xfId="168" xr:uid="{00000000-0005-0000-0000-0000A7000000}"/>
    <cellStyle name="Normal 11 3" xfId="169" xr:uid="{00000000-0005-0000-0000-0000A8000000}"/>
    <cellStyle name="Normal 11 4" xfId="170" xr:uid="{00000000-0005-0000-0000-0000A9000000}"/>
    <cellStyle name="Normal 12" xfId="171" xr:uid="{00000000-0005-0000-0000-0000AA000000}"/>
    <cellStyle name="Normal 12 2" xfId="172" xr:uid="{00000000-0005-0000-0000-0000AB000000}"/>
    <cellStyle name="Normal 12 3" xfId="173" xr:uid="{00000000-0005-0000-0000-0000AC000000}"/>
    <cellStyle name="Normal 13" xfId="174" xr:uid="{00000000-0005-0000-0000-0000AD000000}"/>
    <cellStyle name="Normal 14" xfId="175" xr:uid="{00000000-0005-0000-0000-0000AE000000}"/>
    <cellStyle name="Normal 15" xfId="176" xr:uid="{00000000-0005-0000-0000-0000AF000000}"/>
    <cellStyle name="Normal 16" xfId="177" xr:uid="{00000000-0005-0000-0000-0000B0000000}"/>
    <cellStyle name="Normal 17" xfId="178" xr:uid="{00000000-0005-0000-0000-0000B1000000}"/>
    <cellStyle name="Normal 18" xfId="179" xr:uid="{00000000-0005-0000-0000-0000B2000000}"/>
    <cellStyle name="Normal 19" xfId="180" xr:uid="{00000000-0005-0000-0000-0000B3000000}"/>
    <cellStyle name="Normal 2" xfId="181" xr:uid="{00000000-0005-0000-0000-0000B4000000}"/>
    <cellStyle name="Normal 2 2" xfId="182" xr:uid="{00000000-0005-0000-0000-0000B5000000}"/>
    <cellStyle name="Normal 2 2 10" xfId="183" xr:uid="{00000000-0005-0000-0000-0000B6000000}"/>
    <cellStyle name="Normal 2 2 2" xfId="184" xr:uid="{00000000-0005-0000-0000-0000B7000000}"/>
    <cellStyle name="Normal 2 2 2 2" xfId="185" xr:uid="{00000000-0005-0000-0000-0000B8000000}"/>
    <cellStyle name="Normal 2 2 3" xfId="186" xr:uid="{00000000-0005-0000-0000-0000B9000000}"/>
    <cellStyle name="Normal 2 2 3 2" xfId="187" xr:uid="{00000000-0005-0000-0000-0000BA000000}"/>
    <cellStyle name="Normal 2 2 3 3" xfId="188" xr:uid="{00000000-0005-0000-0000-0000BB000000}"/>
    <cellStyle name="Normal 2 2 4" xfId="189" xr:uid="{00000000-0005-0000-0000-0000BC000000}"/>
    <cellStyle name="Normal 2 2 5" xfId="190" xr:uid="{00000000-0005-0000-0000-0000BD000000}"/>
    <cellStyle name="Normal 2 2_NRE_S Curve_1116" xfId="191" xr:uid="{00000000-0005-0000-0000-0000BE000000}"/>
    <cellStyle name="Normal 2 3" xfId="192" xr:uid="{00000000-0005-0000-0000-0000BF000000}"/>
    <cellStyle name="Normal 2 4" xfId="193" xr:uid="{00000000-0005-0000-0000-0000C0000000}"/>
    <cellStyle name="Normal 2 5" xfId="194" xr:uid="{00000000-0005-0000-0000-0000C1000000}"/>
    <cellStyle name="Normal 2 6" xfId="195" xr:uid="{00000000-0005-0000-0000-0000C2000000}"/>
    <cellStyle name="Normal 2 7" xfId="196" xr:uid="{00000000-0005-0000-0000-0000C3000000}"/>
    <cellStyle name="Normal 2_34P" xfId="197" xr:uid="{00000000-0005-0000-0000-0000C4000000}"/>
    <cellStyle name="Normal 20" xfId="198" xr:uid="{00000000-0005-0000-0000-0000C5000000}"/>
    <cellStyle name="Normal 21" xfId="199" xr:uid="{00000000-0005-0000-0000-0000C6000000}"/>
    <cellStyle name="Normal 22" xfId="200" xr:uid="{00000000-0005-0000-0000-0000C7000000}"/>
    <cellStyle name="Normal 23" xfId="201" xr:uid="{00000000-0005-0000-0000-0000C8000000}"/>
    <cellStyle name="Normal 24" xfId="202" xr:uid="{00000000-0005-0000-0000-0000C9000000}"/>
    <cellStyle name="Normal 25" xfId="203" xr:uid="{00000000-0005-0000-0000-0000CA000000}"/>
    <cellStyle name="Normal 26" xfId="204" xr:uid="{00000000-0005-0000-0000-0000CB000000}"/>
    <cellStyle name="Normal 27" xfId="205" xr:uid="{00000000-0005-0000-0000-0000CC000000}"/>
    <cellStyle name="Normal 28" xfId="206" xr:uid="{00000000-0005-0000-0000-0000CD000000}"/>
    <cellStyle name="Normal 29" xfId="207" xr:uid="{00000000-0005-0000-0000-0000CE000000}"/>
    <cellStyle name="Normal 3" xfId="208" xr:uid="{00000000-0005-0000-0000-0000CF000000}"/>
    <cellStyle name="Normal 3 2" xfId="209" xr:uid="{00000000-0005-0000-0000-0000D0000000}"/>
    <cellStyle name="Normal 3 2 2" xfId="210" xr:uid="{00000000-0005-0000-0000-0000D1000000}"/>
    <cellStyle name="Normal 3 3" xfId="211" xr:uid="{00000000-0005-0000-0000-0000D2000000}"/>
    <cellStyle name="Normal 3 4" xfId="212" xr:uid="{00000000-0005-0000-0000-0000D3000000}"/>
    <cellStyle name="Normal 3 5" xfId="213" xr:uid="{00000000-0005-0000-0000-0000D4000000}"/>
    <cellStyle name="Normal 3 6" xfId="214" xr:uid="{00000000-0005-0000-0000-0000D5000000}"/>
    <cellStyle name="Normal 3_34P" xfId="215" xr:uid="{00000000-0005-0000-0000-0000D6000000}"/>
    <cellStyle name="Normal 30" xfId="216" xr:uid="{00000000-0005-0000-0000-0000D7000000}"/>
    <cellStyle name="Normal 31" xfId="217" xr:uid="{00000000-0005-0000-0000-0000D8000000}"/>
    <cellStyle name="Normal 32" xfId="218" xr:uid="{00000000-0005-0000-0000-0000D9000000}"/>
    <cellStyle name="Normal 33" xfId="219" xr:uid="{00000000-0005-0000-0000-0000DA000000}"/>
    <cellStyle name="Normal 34" xfId="220" xr:uid="{00000000-0005-0000-0000-0000DB000000}"/>
    <cellStyle name="Normal 35" xfId="221" xr:uid="{00000000-0005-0000-0000-0000DC000000}"/>
    <cellStyle name="Normal 36" xfId="222" xr:uid="{00000000-0005-0000-0000-0000DD000000}"/>
    <cellStyle name="Normal 37" xfId="223" xr:uid="{00000000-0005-0000-0000-0000DE000000}"/>
    <cellStyle name="Normal 38" xfId="224" xr:uid="{00000000-0005-0000-0000-0000DF000000}"/>
    <cellStyle name="Normal 39" xfId="225" xr:uid="{00000000-0005-0000-0000-0000E0000000}"/>
    <cellStyle name="Normal 4" xfId="226" xr:uid="{00000000-0005-0000-0000-0000E1000000}"/>
    <cellStyle name="Normal 4 2" xfId="227" xr:uid="{00000000-0005-0000-0000-0000E2000000}"/>
    <cellStyle name="Normal 4 2 2" xfId="228" xr:uid="{00000000-0005-0000-0000-0000E3000000}"/>
    <cellStyle name="Normal 4 3" xfId="229" xr:uid="{00000000-0005-0000-0000-0000E4000000}"/>
    <cellStyle name="Normal 4 3 2" xfId="230" xr:uid="{00000000-0005-0000-0000-0000E5000000}"/>
    <cellStyle name="Normal 4 4" xfId="231" xr:uid="{00000000-0005-0000-0000-0000E6000000}"/>
    <cellStyle name="Normal 4 5" xfId="232" xr:uid="{00000000-0005-0000-0000-0000E7000000}"/>
    <cellStyle name="Normal 4 6" xfId="233" xr:uid="{00000000-0005-0000-0000-0000E8000000}"/>
    <cellStyle name="Normal 40" xfId="234" xr:uid="{00000000-0005-0000-0000-0000E9000000}"/>
    <cellStyle name="Normal 41" xfId="235" xr:uid="{00000000-0005-0000-0000-0000EA000000}"/>
    <cellStyle name="Normal 42" xfId="236" xr:uid="{00000000-0005-0000-0000-0000EB000000}"/>
    <cellStyle name="Normal 43" xfId="237" xr:uid="{00000000-0005-0000-0000-0000EC000000}"/>
    <cellStyle name="Normal 44" xfId="238" xr:uid="{00000000-0005-0000-0000-0000ED000000}"/>
    <cellStyle name="Normal 45" xfId="239" xr:uid="{00000000-0005-0000-0000-0000EE000000}"/>
    <cellStyle name="Normal 46" xfId="240" xr:uid="{00000000-0005-0000-0000-0000EF000000}"/>
    <cellStyle name="Normal 47" xfId="241" xr:uid="{00000000-0005-0000-0000-0000F0000000}"/>
    <cellStyle name="Normal 48" xfId="242" xr:uid="{00000000-0005-0000-0000-0000F1000000}"/>
    <cellStyle name="Normal 49" xfId="243" xr:uid="{00000000-0005-0000-0000-0000F2000000}"/>
    <cellStyle name="Normal 5" xfId="244" xr:uid="{00000000-0005-0000-0000-0000F3000000}"/>
    <cellStyle name="Normal 5 2" xfId="245" xr:uid="{00000000-0005-0000-0000-0000F4000000}"/>
    <cellStyle name="Normal 5 2 2" xfId="246" xr:uid="{00000000-0005-0000-0000-0000F5000000}"/>
    <cellStyle name="Normal 5 2 2 2" xfId="247" xr:uid="{00000000-0005-0000-0000-0000F6000000}"/>
    <cellStyle name="Normal 5 2 3" xfId="248" xr:uid="{00000000-0005-0000-0000-0000F7000000}"/>
    <cellStyle name="Normal 5 2 4" xfId="249" xr:uid="{00000000-0005-0000-0000-0000F8000000}"/>
    <cellStyle name="Normal 5 3" xfId="250" xr:uid="{00000000-0005-0000-0000-0000F9000000}"/>
    <cellStyle name="Normal 5 3 2" xfId="251" xr:uid="{00000000-0005-0000-0000-0000FA000000}"/>
    <cellStyle name="Normal 5 3 3" xfId="252" xr:uid="{00000000-0005-0000-0000-0000FB000000}"/>
    <cellStyle name="Normal 5 4" xfId="253" xr:uid="{00000000-0005-0000-0000-0000FC000000}"/>
    <cellStyle name="Normal 5 5" xfId="254" xr:uid="{00000000-0005-0000-0000-0000FD000000}"/>
    <cellStyle name="Normal 50" xfId="255" xr:uid="{00000000-0005-0000-0000-0000FE000000}"/>
    <cellStyle name="Normal 51" xfId="256" xr:uid="{00000000-0005-0000-0000-0000FF000000}"/>
    <cellStyle name="Normal 52" xfId="257" xr:uid="{00000000-0005-0000-0000-000000010000}"/>
    <cellStyle name="Normal 53" xfId="258" xr:uid="{00000000-0005-0000-0000-000001010000}"/>
    <cellStyle name="Normal 54" xfId="259" xr:uid="{00000000-0005-0000-0000-000002010000}"/>
    <cellStyle name="Normal 55" xfId="260" xr:uid="{00000000-0005-0000-0000-000003010000}"/>
    <cellStyle name="Normal 56" xfId="261" xr:uid="{00000000-0005-0000-0000-000004010000}"/>
    <cellStyle name="Normal 57" xfId="262" xr:uid="{00000000-0005-0000-0000-000005010000}"/>
    <cellStyle name="Normal 58" xfId="263" xr:uid="{00000000-0005-0000-0000-000006010000}"/>
    <cellStyle name="Normal 59" xfId="1" xr:uid="{00000000-0005-0000-0000-000007010000}"/>
    <cellStyle name="Normal 6" xfId="264" xr:uid="{00000000-0005-0000-0000-000008010000}"/>
    <cellStyle name="Normal 6 2" xfId="265" xr:uid="{00000000-0005-0000-0000-000009010000}"/>
    <cellStyle name="Normal 6 3" xfId="266" xr:uid="{00000000-0005-0000-0000-00000A010000}"/>
    <cellStyle name="Normal 60" xfId="382" xr:uid="{00000000-0005-0000-0000-00000B010000}"/>
    <cellStyle name="Normal 61" xfId="267" xr:uid="{00000000-0005-0000-0000-00000C010000}"/>
    <cellStyle name="Normal 62" xfId="383" xr:uid="{00000000-0005-0000-0000-00000D010000}"/>
    <cellStyle name="Normal 7" xfId="268" xr:uid="{00000000-0005-0000-0000-00000E010000}"/>
    <cellStyle name="Normal 7 2" xfId="269" xr:uid="{00000000-0005-0000-0000-00000F010000}"/>
    <cellStyle name="Normal 7 2 2" xfId="270" xr:uid="{00000000-0005-0000-0000-000010010000}"/>
    <cellStyle name="Normal 7 2 3" xfId="271" xr:uid="{00000000-0005-0000-0000-000011010000}"/>
    <cellStyle name="Normal 7 3" xfId="272" xr:uid="{00000000-0005-0000-0000-000012010000}"/>
    <cellStyle name="Normal 7 3 2" xfId="273" xr:uid="{00000000-0005-0000-0000-000013010000}"/>
    <cellStyle name="Normal 7 4" xfId="274" xr:uid="{00000000-0005-0000-0000-000014010000}"/>
    <cellStyle name="Normal 7 5" xfId="275" xr:uid="{00000000-0005-0000-0000-000015010000}"/>
    <cellStyle name="Normal 8" xfId="276" xr:uid="{00000000-0005-0000-0000-000016010000}"/>
    <cellStyle name="Normal 8 2" xfId="277" xr:uid="{00000000-0005-0000-0000-000017010000}"/>
    <cellStyle name="Normal 8 2 2" xfId="278" xr:uid="{00000000-0005-0000-0000-000018010000}"/>
    <cellStyle name="Normal 8 3" xfId="279" xr:uid="{00000000-0005-0000-0000-000019010000}"/>
    <cellStyle name="Normal 8 4" xfId="280" xr:uid="{00000000-0005-0000-0000-00001A010000}"/>
    <cellStyle name="Normal 9" xfId="281" xr:uid="{00000000-0005-0000-0000-00001B010000}"/>
    <cellStyle name="Normal 9 2" xfId="282" xr:uid="{00000000-0005-0000-0000-00001C010000}"/>
    <cellStyle name="Normal 9 2 2" xfId="283" xr:uid="{00000000-0005-0000-0000-00001D010000}"/>
    <cellStyle name="Normal 9 3" xfId="284" xr:uid="{00000000-0005-0000-0000-00001E010000}"/>
    <cellStyle name="Normal 9 4" xfId="285" xr:uid="{00000000-0005-0000-0000-00001F010000}"/>
    <cellStyle name="Normal_Folha tarefa DSS 38E Outf bordo-Sem 329" xfId="286" xr:uid="{00000000-0005-0000-0000-000020010000}"/>
    <cellStyle name="Nota 2" xfId="287" xr:uid="{00000000-0005-0000-0000-000021010000}"/>
    <cellStyle name="Nota 3" xfId="288" xr:uid="{00000000-0005-0000-0000-000022010000}"/>
    <cellStyle name="Nota 4" xfId="289" xr:uid="{00000000-0005-0000-0000-000023010000}"/>
    <cellStyle name="Note" xfId="290" xr:uid="{00000000-0005-0000-0000-000024010000}"/>
    <cellStyle name="Output" xfId="291" xr:uid="{00000000-0005-0000-0000-000025010000}"/>
    <cellStyle name="Porcentagem" xfId="384" builtinId="5"/>
    <cellStyle name="Porcentagem 10 2 2" xfId="388" xr:uid="{85ABBC4A-7A21-486D-AB9F-D64A64C222DD}"/>
    <cellStyle name="Porcentagem 2" xfId="292" xr:uid="{00000000-0005-0000-0000-000027010000}"/>
    <cellStyle name="Porcentagem 2 2" xfId="293" xr:uid="{00000000-0005-0000-0000-000028010000}"/>
    <cellStyle name="Porcentagem 2 2 2" xfId="294" xr:uid="{00000000-0005-0000-0000-000029010000}"/>
    <cellStyle name="Porcentagem 2 2 2 2" xfId="295" xr:uid="{00000000-0005-0000-0000-00002A010000}"/>
    <cellStyle name="Porcentagem 2 2 2 3" xfId="296" xr:uid="{00000000-0005-0000-0000-00002B010000}"/>
    <cellStyle name="Porcentagem 2 2 3" xfId="297" xr:uid="{00000000-0005-0000-0000-00002C010000}"/>
    <cellStyle name="Porcentagem 2 2 4" xfId="298" xr:uid="{00000000-0005-0000-0000-00002D010000}"/>
    <cellStyle name="Porcentagem 2 2 5" xfId="299" xr:uid="{00000000-0005-0000-0000-00002E010000}"/>
    <cellStyle name="Porcentagem 2 3" xfId="300" xr:uid="{00000000-0005-0000-0000-00002F010000}"/>
    <cellStyle name="Porcentagem 2 3 2" xfId="301" xr:uid="{00000000-0005-0000-0000-000030010000}"/>
    <cellStyle name="Porcentagem 2 4" xfId="302" xr:uid="{00000000-0005-0000-0000-000031010000}"/>
    <cellStyle name="Porcentagem 2 4 2" xfId="303" xr:uid="{00000000-0005-0000-0000-000032010000}"/>
    <cellStyle name="Porcentagem 2 5" xfId="304" xr:uid="{00000000-0005-0000-0000-000033010000}"/>
    <cellStyle name="Porcentagem 3" xfId="305" xr:uid="{00000000-0005-0000-0000-000034010000}"/>
    <cellStyle name="Porcentagem 3 2" xfId="306" xr:uid="{00000000-0005-0000-0000-000035010000}"/>
    <cellStyle name="Porcentagem 3 2 2" xfId="307" xr:uid="{00000000-0005-0000-0000-000036010000}"/>
    <cellStyle name="Porcentagem 3 2 3" xfId="308" xr:uid="{00000000-0005-0000-0000-000037010000}"/>
    <cellStyle name="Porcentagem 3 3" xfId="309" xr:uid="{00000000-0005-0000-0000-000038010000}"/>
    <cellStyle name="Porcentagem 3 4" xfId="310" xr:uid="{00000000-0005-0000-0000-000039010000}"/>
    <cellStyle name="Porcentagem 4" xfId="311" xr:uid="{00000000-0005-0000-0000-00003A010000}"/>
    <cellStyle name="Porcentagem 4 2" xfId="312" xr:uid="{00000000-0005-0000-0000-00003B010000}"/>
    <cellStyle name="Porcentagem 4 3" xfId="313" xr:uid="{00000000-0005-0000-0000-00003C010000}"/>
    <cellStyle name="Porcentagem 4 4" xfId="314" xr:uid="{00000000-0005-0000-0000-00003D010000}"/>
    <cellStyle name="Porcentagem 5" xfId="315" xr:uid="{00000000-0005-0000-0000-00003E010000}"/>
    <cellStyle name="Porcentagem 5 2" xfId="316" xr:uid="{00000000-0005-0000-0000-00003F010000}"/>
    <cellStyle name="Porcentagem 6" xfId="317" xr:uid="{00000000-0005-0000-0000-000040010000}"/>
    <cellStyle name="Porcentagem 7" xfId="318" xr:uid="{00000000-0005-0000-0000-000041010000}"/>
    <cellStyle name="Porcentagem 8" xfId="319" xr:uid="{00000000-0005-0000-0000-000042010000}"/>
    <cellStyle name="Porcentagem 9" xfId="320" xr:uid="{00000000-0005-0000-0000-000043010000}"/>
    <cellStyle name="Prosent_Ark1" xfId="321" xr:uid="{00000000-0005-0000-0000-000044010000}"/>
    <cellStyle name="Saída 2" xfId="322" xr:uid="{00000000-0005-0000-0000-000045010000}"/>
    <cellStyle name="Saída 3" xfId="323" xr:uid="{00000000-0005-0000-0000-000046010000}"/>
    <cellStyle name="Saída 4" xfId="324" xr:uid="{00000000-0005-0000-0000-000047010000}"/>
    <cellStyle name="Separador de milhares 12" xfId="325" xr:uid="{00000000-0005-0000-0000-000048010000}"/>
    <cellStyle name="Separador de milhares 2" xfId="326" xr:uid="{00000000-0005-0000-0000-000049010000}"/>
    <cellStyle name="Separador de milhares 2 2" xfId="327" xr:uid="{00000000-0005-0000-0000-00004A010000}"/>
    <cellStyle name="Separador de milhares 2 3" xfId="328" xr:uid="{00000000-0005-0000-0000-00004B010000}"/>
    <cellStyle name="Separador de milhares 2 4" xfId="329" xr:uid="{00000000-0005-0000-0000-00004C010000}"/>
    <cellStyle name="Separador de milhares 2 5" xfId="330" xr:uid="{00000000-0005-0000-0000-00004D010000}"/>
    <cellStyle name="Separador de milhares 2 6" xfId="331" xr:uid="{00000000-0005-0000-0000-00004E010000}"/>
    <cellStyle name="Separador de milhares 2 7" xfId="332" xr:uid="{00000000-0005-0000-0000-00004F010000}"/>
    <cellStyle name="Separador de milhares 2_Peso_p61_1" xfId="333" xr:uid="{00000000-0005-0000-0000-000050010000}"/>
    <cellStyle name="Separador de milhares 3" xfId="334" xr:uid="{00000000-0005-0000-0000-000051010000}"/>
    <cellStyle name="Separador de milhares 3 2" xfId="335" xr:uid="{00000000-0005-0000-0000-000052010000}"/>
    <cellStyle name="Separador de milhares 4" xfId="336" xr:uid="{00000000-0005-0000-0000-000053010000}"/>
    <cellStyle name="Separador de milhares 4 2" xfId="337" xr:uid="{00000000-0005-0000-0000-000054010000}"/>
    <cellStyle name="Separador de milhares 4 3" xfId="386" xr:uid="{49DAA0C5-1C27-4008-B935-F6E248B05B3A}"/>
    <cellStyle name="Separador de milhares 5" xfId="338" xr:uid="{00000000-0005-0000-0000-000055010000}"/>
    <cellStyle name="Separador de milhares 6" xfId="339" xr:uid="{00000000-0005-0000-0000-000056010000}"/>
    <cellStyle name="Style 1" xfId="340" xr:uid="{00000000-0005-0000-0000-000057010000}"/>
    <cellStyle name="Texto de Aviso 2" xfId="341" xr:uid="{00000000-0005-0000-0000-000058010000}"/>
    <cellStyle name="Texto de Aviso 3" xfId="342" xr:uid="{00000000-0005-0000-0000-000059010000}"/>
    <cellStyle name="Texto de Aviso 4" xfId="343" xr:uid="{00000000-0005-0000-0000-00005A010000}"/>
    <cellStyle name="Texto Explicativo 2" xfId="344" xr:uid="{00000000-0005-0000-0000-00005B010000}"/>
    <cellStyle name="Texto Explicativo 3" xfId="345" xr:uid="{00000000-0005-0000-0000-00005C010000}"/>
    <cellStyle name="Texto Explicativo 4" xfId="346" xr:uid="{00000000-0005-0000-0000-00005D010000}"/>
    <cellStyle name="Title" xfId="347" xr:uid="{00000000-0005-0000-0000-00005E010000}"/>
    <cellStyle name="Título 1 2" xfId="348" xr:uid="{00000000-0005-0000-0000-00005F010000}"/>
    <cellStyle name="Título 1 3" xfId="349" xr:uid="{00000000-0005-0000-0000-000060010000}"/>
    <cellStyle name="Título 1 4" xfId="350" xr:uid="{00000000-0005-0000-0000-000061010000}"/>
    <cellStyle name="Título 2 2" xfId="351" xr:uid="{00000000-0005-0000-0000-000062010000}"/>
    <cellStyle name="Título 2 3" xfId="352" xr:uid="{00000000-0005-0000-0000-000063010000}"/>
    <cellStyle name="Título 2 4" xfId="353" xr:uid="{00000000-0005-0000-0000-000064010000}"/>
    <cellStyle name="Título 3 2" xfId="354" xr:uid="{00000000-0005-0000-0000-000065010000}"/>
    <cellStyle name="Título 3 3" xfId="355" xr:uid="{00000000-0005-0000-0000-000066010000}"/>
    <cellStyle name="Título 3 4" xfId="356" xr:uid="{00000000-0005-0000-0000-000067010000}"/>
    <cellStyle name="Título 4 2" xfId="357" xr:uid="{00000000-0005-0000-0000-000068010000}"/>
    <cellStyle name="Título 4 3" xfId="358" xr:uid="{00000000-0005-0000-0000-000069010000}"/>
    <cellStyle name="Título 4 4" xfId="359" xr:uid="{00000000-0005-0000-0000-00006A010000}"/>
    <cellStyle name="Título 5" xfId="360" xr:uid="{00000000-0005-0000-0000-00006B010000}"/>
    <cellStyle name="Título 6" xfId="361" xr:uid="{00000000-0005-0000-0000-00006C010000}"/>
    <cellStyle name="Título 7" xfId="362" xr:uid="{00000000-0005-0000-0000-00006D010000}"/>
    <cellStyle name="Total 2" xfId="363" xr:uid="{00000000-0005-0000-0000-00006E010000}"/>
    <cellStyle name="Total 3" xfId="364" xr:uid="{00000000-0005-0000-0000-00006F010000}"/>
    <cellStyle name="Total 4" xfId="365" xr:uid="{00000000-0005-0000-0000-000070010000}"/>
    <cellStyle name="Tusenskille [0]_Ark1" xfId="366" xr:uid="{00000000-0005-0000-0000-000071010000}"/>
    <cellStyle name="Tusenskille_Ark1" xfId="367" xr:uid="{00000000-0005-0000-0000-000072010000}"/>
    <cellStyle name="Valuta [0]_Ark1" xfId="368" xr:uid="{00000000-0005-0000-0000-000073010000}"/>
    <cellStyle name="Valuta_Ark1" xfId="369" xr:uid="{00000000-0005-0000-0000-000074010000}"/>
    <cellStyle name="Vírgula" xfId="389" builtinId="3"/>
    <cellStyle name="Vírgula 2" xfId="370" xr:uid="{00000000-0005-0000-0000-000075010000}"/>
    <cellStyle name="Vírgula 2 2" xfId="371" xr:uid="{00000000-0005-0000-0000-000076010000}"/>
    <cellStyle name="Vírgula 3" xfId="372" xr:uid="{00000000-0005-0000-0000-000077010000}"/>
    <cellStyle name="Vírgula 4" xfId="385" xr:uid="{2B27CBE7-53A2-442B-BC5E-C0B9FA63DA8C}"/>
    <cellStyle name="Vírgula 5" xfId="390" xr:uid="{C8853A2D-E754-4C8F-8224-C0A69B047278}"/>
    <cellStyle name="Warning Text" xfId="373" xr:uid="{00000000-0005-0000-0000-000078010000}"/>
    <cellStyle name="ÿÿÿ" xfId="374" xr:uid="{00000000-0005-0000-0000-000079010000}"/>
    <cellStyle name="ÿÿÿ 2" xfId="375" xr:uid="{00000000-0005-0000-0000-00007A010000}"/>
    <cellStyle name="ÿÿÿ 3" xfId="376" xr:uid="{00000000-0005-0000-0000-00007B010000}"/>
    <cellStyle name="ÿÿÿ_CIDADE DE MANGARATIBA - CRONOGRAMA POR MODULO - Set. 2013" xfId="377" xr:uid="{00000000-0005-0000-0000-00007C010000}"/>
    <cellStyle name="표준_~5295964" xfId="378" xr:uid="{00000000-0005-0000-0000-00007D010000}"/>
    <cellStyle name="常规 2" xfId="379" xr:uid="{00000000-0005-0000-0000-00007E010000}"/>
    <cellStyle name="常规 2 2" xfId="380" xr:uid="{00000000-0005-0000-0000-00007F010000}"/>
    <cellStyle name="標準_Ship loose item list_Structure_container" xfId="381" xr:uid="{00000000-0005-0000-0000-00008001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7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medium">
          <color indexed="64"/>
        </left>
        <right style="thin">
          <color auto="1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</xdr:colOff>
      <xdr:row>1</xdr:row>
      <xdr:rowOff>68035</xdr:rowOff>
    </xdr:from>
    <xdr:to>
      <xdr:col>3</xdr:col>
      <xdr:colOff>2163535</xdr:colOff>
      <xdr:row>2</xdr:row>
      <xdr:rowOff>313427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79B3848A-00F5-4D67-B1B7-1DC94C40A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753" y="163285"/>
          <a:ext cx="2490107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2469696</xdr:colOff>
      <xdr:row>1</xdr:row>
      <xdr:rowOff>115661</xdr:rowOff>
    </xdr:from>
    <xdr:to>
      <xdr:col>3</xdr:col>
      <xdr:colOff>4429125</xdr:colOff>
      <xdr:row>2</xdr:row>
      <xdr:rowOff>202080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2507B-3CF9-4C5E-9E85-73226F43A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7021" y="210911"/>
          <a:ext cx="1959429" cy="41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B9B74985-C42B-46B4-9097-A5520D9A2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42876"/>
          <a:ext cx="2428875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3" name="Picture 89" descr="BrasFELS revised logo 120612">
          <a:extLst>
            <a:ext uri="{FF2B5EF4-FFF2-40B4-BE49-F238E27FC236}">
              <a16:creationId xmlns:a16="http://schemas.microsoft.com/office/drawing/2014/main" id="{E509D41C-45F9-405F-AE33-954455A8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42876"/>
          <a:ext cx="2428875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54428</xdr:colOff>
      <xdr:row>1</xdr:row>
      <xdr:rowOff>68035</xdr:rowOff>
    </xdr:from>
    <xdr:to>
      <xdr:col>3</xdr:col>
      <xdr:colOff>2204357</xdr:colOff>
      <xdr:row>2</xdr:row>
      <xdr:rowOff>313427</xdr:rowOff>
    </xdr:to>
    <xdr:pic>
      <xdr:nvPicPr>
        <xdr:cNvPr id="4" name="Picture 89" descr="BrasFELS revised logo 120612">
          <a:extLst>
            <a:ext uri="{FF2B5EF4-FFF2-40B4-BE49-F238E27FC236}">
              <a16:creationId xmlns:a16="http://schemas.microsoft.com/office/drawing/2014/main" id="{B44CA6AF-B76B-4F42-B601-A6F94BBC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853" y="163285"/>
          <a:ext cx="2483304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2510518</xdr:colOff>
      <xdr:row>1</xdr:row>
      <xdr:rowOff>115661</xdr:rowOff>
    </xdr:from>
    <xdr:to>
      <xdr:col>3</xdr:col>
      <xdr:colOff>4469947</xdr:colOff>
      <xdr:row>2</xdr:row>
      <xdr:rowOff>202080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BD68A99E-AED8-48E6-9675-0BC01C0D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8318" y="210911"/>
          <a:ext cx="1959429" cy="41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</xdr:colOff>
      <xdr:row>1</xdr:row>
      <xdr:rowOff>68035</xdr:rowOff>
    </xdr:from>
    <xdr:to>
      <xdr:col>3</xdr:col>
      <xdr:colOff>2163535</xdr:colOff>
      <xdr:row>2</xdr:row>
      <xdr:rowOff>313427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4B1BBBA1-180C-4253-9FAA-C7BD5E542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753" y="163285"/>
          <a:ext cx="2490107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2469696</xdr:colOff>
      <xdr:row>1</xdr:row>
      <xdr:rowOff>115661</xdr:rowOff>
    </xdr:from>
    <xdr:to>
      <xdr:col>3</xdr:col>
      <xdr:colOff>4429125</xdr:colOff>
      <xdr:row>2</xdr:row>
      <xdr:rowOff>202080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25730D-1FBD-455B-80FE-791DF6D5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7021" y="210911"/>
          <a:ext cx="1959429" cy="41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CDC984D0-AD20-4853-A08C-359CB582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42876"/>
          <a:ext cx="2428875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3" name="Picture 89" descr="BrasFELS revised logo 120612">
          <a:extLst>
            <a:ext uri="{FF2B5EF4-FFF2-40B4-BE49-F238E27FC236}">
              <a16:creationId xmlns:a16="http://schemas.microsoft.com/office/drawing/2014/main" id="{08DA1132-FA3A-4414-8436-1293F00E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42876"/>
          <a:ext cx="2428875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54428</xdr:colOff>
      <xdr:row>1</xdr:row>
      <xdr:rowOff>68035</xdr:rowOff>
    </xdr:from>
    <xdr:to>
      <xdr:col>3</xdr:col>
      <xdr:colOff>2204357</xdr:colOff>
      <xdr:row>2</xdr:row>
      <xdr:rowOff>313427</xdr:rowOff>
    </xdr:to>
    <xdr:pic>
      <xdr:nvPicPr>
        <xdr:cNvPr id="4" name="Picture 89" descr="BrasFELS revised logo 120612">
          <a:extLst>
            <a:ext uri="{FF2B5EF4-FFF2-40B4-BE49-F238E27FC236}">
              <a16:creationId xmlns:a16="http://schemas.microsoft.com/office/drawing/2014/main" id="{BACEFBB3-128E-4452-BF42-4EB069A7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853" y="163285"/>
          <a:ext cx="2483304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2510518</xdr:colOff>
      <xdr:row>1</xdr:row>
      <xdr:rowOff>115661</xdr:rowOff>
    </xdr:from>
    <xdr:to>
      <xdr:col>3</xdr:col>
      <xdr:colOff>4469947</xdr:colOff>
      <xdr:row>2</xdr:row>
      <xdr:rowOff>202080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EB1F13C9-98A4-4F12-AFB9-35D2C2097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8318" y="210911"/>
          <a:ext cx="1959429" cy="41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595A8935-BBB8-4F0E-8069-4A756A643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42876"/>
          <a:ext cx="2495550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3" name="Picture 89" descr="BrasFELS revised logo 120612">
          <a:extLst>
            <a:ext uri="{FF2B5EF4-FFF2-40B4-BE49-F238E27FC236}">
              <a16:creationId xmlns:a16="http://schemas.microsoft.com/office/drawing/2014/main" id="{FB286805-A284-4009-B56C-48F15BBB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42876"/>
          <a:ext cx="2495550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4" name="Picture 89" descr="BrasFELS revised logo 120612">
          <a:extLst>
            <a:ext uri="{FF2B5EF4-FFF2-40B4-BE49-F238E27FC236}">
              <a16:creationId xmlns:a16="http://schemas.microsoft.com/office/drawing/2014/main" id="{055C0584-0CBE-4E41-9DA1-5D81E23B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42876"/>
          <a:ext cx="2495550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2449286</xdr:colOff>
      <xdr:row>1</xdr:row>
      <xdr:rowOff>95252</xdr:rowOff>
    </xdr:from>
    <xdr:to>
      <xdr:col>3</xdr:col>
      <xdr:colOff>4408715</xdr:colOff>
      <xdr:row>2</xdr:row>
      <xdr:rowOff>181671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E670F25-C95A-4CF2-93D1-FB30254AD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661" y="190502"/>
          <a:ext cx="1959429" cy="41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</xdr:colOff>
      <xdr:row>1</xdr:row>
      <xdr:rowOff>68035</xdr:rowOff>
    </xdr:from>
    <xdr:to>
      <xdr:col>3</xdr:col>
      <xdr:colOff>2163535</xdr:colOff>
      <xdr:row>2</xdr:row>
      <xdr:rowOff>313427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6357CD13-F92C-48EE-91FC-F654FC79C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753" y="163285"/>
          <a:ext cx="2490107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2469696</xdr:colOff>
      <xdr:row>1</xdr:row>
      <xdr:rowOff>115661</xdr:rowOff>
    </xdr:from>
    <xdr:to>
      <xdr:col>3</xdr:col>
      <xdr:colOff>4429125</xdr:colOff>
      <xdr:row>2</xdr:row>
      <xdr:rowOff>202080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005B72-3BFD-4943-AEBE-3F7C15D84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7021" y="210911"/>
          <a:ext cx="1959429" cy="419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42876"/>
          <a:ext cx="2428875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1</xdr:row>
      <xdr:rowOff>47626</xdr:rowOff>
    </xdr:from>
    <xdr:to>
      <xdr:col>3</xdr:col>
      <xdr:colOff>2143125</xdr:colOff>
      <xdr:row>2</xdr:row>
      <xdr:rowOff>293018</xdr:rowOff>
    </xdr:to>
    <xdr:pic>
      <xdr:nvPicPr>
        <xdr:cNvPr id="3" name="Picture 89" descr="BrasFELS revised logo 120612">
          <a:extLst>
            <a:ext uri="{FF2B5EF4-FFF2-40B4-BE49-F238E27FC236}">
              <a16:creationId xmlns:a16="http://schemas.microsoft.com/office/drawing/2014/main" id="{B4E89783-D110-4A83-AC6A-2C3A8632D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2876"/>
          <a:ext cx="2476500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54428</xdr:colOff>
      <xdr:row>1</xdr:row>
      <xdr:rowOff>68035</xdr:rowOff>
    </xdr:from>
    <xdr:to>
      <xdr:col>3</xdr:col>
      <xdr:colOff>2204357</xdr:colOff>
      <xdr:row>2</xdr:row>
      <xdr:rowOff>313427</xdr:rowOff>
    </xdr:to>
    <xdr:pic>
      <xdr:nvPicPr>
        <xdr:cNvPr id="5" name="Picture 89" descr="BrasFELS revised logo 120612">
          <a:extLst>
            <a:ext uri="{FF2B5EF4-FFF2-40B4-BE49-F238E27FC236}">
              <a16:creationId xmlns:a16="http://schemas.microsoft.com/office/drawing/2014/main" id="{56F23975-0E07-4E83-86FC-3004D60EA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214" y="163285"/>
          <a:ext cx="2490107" cy="585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2510518</xdr:colOff>
      <xdr:row>1</xdr:row>
      <xdr:rowOff>115661</xdr:rowOff>
    </xdr:from>
    <xdr:to>
      <xdr:col>3</xdr:col>
      <xdr:colOff>4469947</xdr:colOff>
      <xdr:row>2</xdr:row>
      <xdr:rowOff>202080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87308207-565C-470C-B276-A13637D6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6482" y="210911"/>
          <a:ext cx="1959429" cy="426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47626</xdr:rowOff>
    </xdr:from>
    <xdr:to>
      <xdr:col>2</xdr:col>
      <xdr:colOff>2143125</xdr:colOff>
      <xdr:row>2</xdr:row>
      <xdr:rowOff>293018</xdr:rowOff>
    </xdr:to>
    <xdr:pic>
      <xdr:nvPicPr>
        <xdr:cNvPr id="2" name="Picture 89" descr="BrasFELS revised logo 120612">
          <a:extLst>
            <a:ext uri="{FF2B5EF4-FFF2-40B4-BE49-F238E27FC236}">
              <a16:creationId xmlns:a16="http://schemas.microsoft.com/office/drawing/2014/main" id="{41F0A637-7892-4266-9472-88CF3DEF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42876"/>
          <a:ext cx="2428875" cy="578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4AA74-DA19-464F-B513-AE61C8147D7E}" name="Tabela1" displayName="Tabela1" ref="A1:M3417" totalsRowShown="0" headerRowDxfId="15" dataDxfId="14" tableBorderDxfId="13" headerRowCellStyle="Normal_Folha tarefa DSS 38E Outf bordo-Sem 329" dataCellStyle="Porcentagem">
  <autoFilter ref="A1:M3417" xr:uid="{8C94AA74-DA19-464F-B513-AE61C8147D7E}"/>
  <tableColumns count="13">
    <tableColumn id="2" xr3:uid="{C2D0583B-EAB9-46A3-9C40-C29F71BB91D1}" name="MÓDULO" dataDxfId="12" dataCellStyle="Normal 59"/>
    <tableColumn id="3" xr3:uid="{91DB7737-AB0C-4AEC-A928-0321D104E8E7}" name="DESENHO" dataDxfId="11" dataCellStyle="Normal 59"/>
    <tableColumn id="4" xr3:uid="{B163872D-703A-4253-BE17-605B5D776542}" name="REVISÃO" dataDxfId="10" dataCellStyle="Vírgula"/>
    <tableColumn id="5" xr3:uid="{2EDFD5BD-ED03-489B-B71C-B7CEA669C861}" name="ELEVAÇÃO" dataDxfId="9" dataCellStyle="Normal 59"/>
    <tableColumn id="6" xr3:uid="{8EFA27A9-4C60-4FB8-A39A-E1F58621B7BB}" name="DESCRIÇÃO DO PRODUTO" dataDxfId="8" dataCellStyle="Normal 59"/>
    <tableColumn id="7" xr3:uid="{E7CD34CD-09CE-4E2D-B380-C4AB7CCCEC63}" name="NOME DO PRODUTO" dataDxfId="7" dataCellStyle="Normal 59"/>
    <tableColumn id="8" xr3:uid="{74FEE920-9701-4FC8-A8EB-9AAD8036272A}" name="TAG" dataDxfId="6" dataCellStyle="Normal 59"/>
    <tableColumn id="9" xr3:uid="{700FB082-AAF5-4FE6-802B-58BF7AEFEF3E}" name="TAG-CONTROLSTRU" dataDxfId="5" dataCellStyle="Normal 59"/>
    <tableColumn id="10" xr3:uid="{2366E830-8C8F-4364-9B0E-4C371A878E8F}" name="Cód 8D" dataDxfId="4" dataCellStyle="Normal 59"/>
    <tableColumn id="12" xr3:uid="{442F468A-AC0F-4E85-89BD-5D9BAA8954F3}" name="À Prog." dataDxfId="3" dataCellStyle="Porcentagem"/>
    <tableColumn id="13" xr3:uid="{622595EE-CC35-41A3-9CC3-3227B47404CA}" name="Prog %" dataDxfId="2" dataCellStyle="Porcentagem"/>
    <tableColumn id="14" xr3:uid="{981C902A-AB4E-40DA-AB92-B0A4B9F45CCC}" name="REALIZADO" dataDxfId="1" dataCellStyle="Porcentagem"/>
    <tableColumn id="15" xr3:uid="{F37A4238-D570-4D36-BAA0-F63432E9A3ED}" name="Peso atividade" dataDxfId="0" dataCellStyle="Normal 5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6AC7-BF3E-4689-89B4-47BA44E22493}">
  <dimension ref="A1"/>
  <sheetViews>
    <sheetView workbookViewId="0">
      <selection activeCell="H8" sqref="H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D6E8-421E-4236-9882-7FD334382059}">
  <sheetPr>
    <tabColor rgb="FF00B050"/>
    <pageSetUpPr fitToPage="1"/>
  </sheetPr>
  <dimension ref="A1:AN462"/>
  <sheetViews>
    <sheetView showGridLines="0" view="pageBreakPreview" zoomScale="70" zoomScaleNormal="60" zoomScaleSheetLayoutView="70" workbookViewId="0">
      <pane ySplit="12" topLeftCell="A13" activePane="bottomLeft" state="frozen"/>
      <selection activeCell="E8" sqref="E8"/>
      <selection pane="bottomLeft" activeCell="I385" sqref="I385"/>
    </sheetView>
  </sheetViews>
  <sheetFormatPr defaultRowHeight="17.25" x14ac:dyDescent="0.3"/>
  <cols>
    <col min="1" max="1" width="10.5703125" style="139" bestFit="1" customWidth="1"/>
    <col min="2" max="2" width="5.5703125" style="140" customWidth="1"/>
    <col min="3" max="3" width="5.7109375" style="56" bestFit="1" customWidth="1"/>
    <col min="4" max="4" width="72.5703125" style="56" customWidth="1"/>
    <col min="5" max="5" width="21.7109375" style="56" customWidth="1"/>
    <col min="6" max="6" width="12.5703125" style="56" customWidth="1"/>
    <col min="7" max="7" width="21.28515625" style="56" bestFit="1" customWidth="1"/>
    <col min="8" max="8" width="18" style="56" customWidth="1"/>
    <col min="9" max="9" width="26" style="56" bestFit="1" customWidth="1"/>
    <col min="10" max="10" width="7.5703125" style="56" customWidth="1"/>
    <col min="11" max="11" width="20.5703125" style="56" customWidth="1"/>
    <col min="12" max="12" width="14.42578125" style="56" customWidth="1"/>
    <col min="13" max="13" width="15" style="56" customWidth="1"/>
    <col min="14" max="14" width="10.42578125" customWidth="1"/>
    <col min="15" max="16" width="10.28515625" style="57" customWidth="1"/>
    <col min="17" max="17" width="12.42578125" style="56" customWidth="1"/>
    <col min="18" max="19" width="7.42578125" style="56" customWidth="1"/>
    <col min="20" max="29" width="8.7109375" style="56" customWidth="1"/>
    <col min="30" max="30" width="3.42578125" customWidth="1"/>
    <col min="32" max="32" width="20.42578125" customWidth="1"/>
  </cols>
  <sheetData>
    <row r="1" spans="1:34" ht="7.5" customHeight="1" thickBot="1" x14ac:dyDescent="0.3">
      <c r="B1" s="10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55"/>
      <c r="P1" s="5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34" ht="26.25" customHeight="1" thickBot="1" x14ac:dyDescent="0.3">
      <c r="B2" s="104"/>
      <c r="C2" s="262" t="s">
        <v>20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4"/>
      <c r="Y2" s="2" t="s">
        <v>12</v>
      </c>
      <c r="Z2" s="8"/>
      <c r="AA2" s="268" t="e">
        <f>#REF!</f>
        <v>#REF!</v>
      </c>
      <c r="AB2" s="268"/>
      <c r="AC2" s="269"/>
    </row>
    <row r="3" spans="1:34" ht="26.25" customHeight="1" thickBot="1" x14ac:dyDescent="0.3">
      <c r="B3" s="104"/>
      <c r="C3" s="265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7"/>
      <c r="Y3" s="7" t="s">
        <v>13</v>
      </c>
      <c r="Z3" s="6"/>
      <c r="AA3" s="268" t="e">
        <f>#REF!</f>
        <v>#REF!</v>
      </c>
      <c r="AB3" s="268"/>
      <c r="AC3" s="269"/>
    </row>
    <row r="4" spans="1:34" ht="6" customHeight="1" thickBot="1" x14ac:dyDescent="0.3">
      <c r="B4" s="10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54"/>
      <c r="P4" s="5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34" ht="18" customHeight="1" thickBot="1" x14ac:dyDescent="0.3">
      <c r="B5" s="104"/>
      <c r="C5" s="17" t="s">
        <v>119</v>
      </c>
      <c r="D5" s="18"/>
      <c r="E5" s="270" t="s">
        <v>31</v>
      </c>
      <c r="F5" s="271"/>
      <c r="G5" s="272" t="s">
        <v>32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34" ht="18" customHeight="1" thickBot="1" x14ac:dyDescent="0.3">
      <c r="B6" s="104"/>
      <c r="C6" s="17" t="s">
        <v>115</v>
      </c>
      <c r="D6" s="18"/>
      <c r="E6" s="275" t="e">
        <f>#REF!</f>
        <v>#REF!</v>
      </c>
      <c r="F6" s="277">
        <f>P335</f>
        <v>8.1453821999999914</v>
      </c>
      <c r="G6" s="272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Z6"/>
      <c r="AA6" s="19"/>
      <c r="AB6" s="19"/>
      <c r="AC6" s="4"/>
      <c r="AF6" t="s">
        <v>72</v>
      </c>
    </row>
    <row r="7" spans="1:34" ht="18" customHeight="1" thickBot="1" x14ac:dyDescent="0.3">
      <c r="B7" s="104"/>
      <c r="C7" s="20" t="s">
        <v>73</v>
      </c>
      <c r="D7" s="21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Z7"/>
      <c r="AA7" s="13"/>
      <c r="AB7" s="13"/>
      <c r="AC7" s="4"/>
    </row>
    <row r="8" spans="1:34" ht="18" customHeight="1" thickBot="1" x14ac:dyDescent="0.3">
      <c r="B8" s="104"/>
      <c r="C8" s="17" t="e">
        <f>#REF!</f>
        <v>#REF!</v>
      </c>
      <c r="D8" s="30"/>
      <c r="E8" s="99" t="s">
        <v>19</v>
      </c>
      <c r="F8" s="71">
        <f>SUM(F6:F6)</f>
        <v>8.1453821999999914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34" ht="18" customHeight="1" thickBot="1" x14ac:dyDescent="0.3">
      <c r="B9" s="104"/>
      <c r="C9" s="20"/>
      <c r="D9" s="22"/>
      <c r="E9" s="102"/>
      <c r="F9" s="103"/>
      <c r="G9" s="53"/>
      <c r="H9"/>
      <c r="I9"/>
      <c r="J9"/>
      <c r="K9"/>
      <c r="L9"/>
      <c r="M9"/>
      <c r="O9" s="53"/>
      <c r="P9" s="53"/>
      <c r="Q9"/>
      <c r="R9"/>
      <c r="S9"/>
      <c r="T9"/>
      <c r="U9"/>
      <c r="V9"/>
      <c r="W9"/>
      <c r="X9"/>
      <c r="Y9"/>
      <c r="Z9"/>
      <c r="AA9"/>
      <c r="AB9"/>
      <c r="AC9" s="4"/>
    </row>
    <row r="10" spans="1:34" ht="23.25" customHeight="1" thickBot="1" x14ac:dyDescent="0.3">
      <c r="B10" s="104"/>
      <c r="C10" s="280" t="s">
        <v>21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2"/>
    </row>
    <row r="11" spans="1:34" ht="15" customHeight="1" x14ac:dyDescent="0.25">
      <c r="B11" s="104"/>
      <c r="C11" s="283" t="s">
        <v>5</v>
      </c>
      <c r="D11" s="285" t="s">
        <v>6</v>
      </c>
      <c r="E11" s="287" t="s">
        <v>44</v>
      </c>
      <c r="F11" s="287" t="s">
        <v>25</v>
      </c>
      <c r="G11" s="288" t="s">
        <v>15</v>
      </c>
      <c r="H11" s="288" t="s">
        <v>24</v>
      </c>
      <c r="I11" s="287" t="s">
        <v>7</v>
      </c>
      <c r="J11" s="285" t="s">
        <v>8</v>
      </c>
      <c r="K11" s="289" t="s">
        <v>169</v>
      </c>
      <c r="L11" s="285" t="s">
        <v>28</v>
      </c>
      <c r="M11" s="285" t="s">
        <v>14</v>
      </c>
      <c r="N11" s="295" t="s">
        <v>166</v>
      </c>
      <c r="O11" s="295" t="s">
        <v>167</v>
      </c>
      <c r="P11" s="292" t="s">
        <v>18</v>
      </c>
      <c r="Q11" s="293" t="s">
        <v>19</v>
      </c>
      <c r="R11" s="293"/>
      <c r="S11" s="293"/>
      <c r="T11" s="290" t="s">
        <v>4</v>
      </c>
      <c r="U11" s="290"/>
      <c r="V11" s="290" t="s">
        <v>0</v>
      </c>
      <c r="W11" s="290"/>
      <c r="X11" s="290" t="s">
        <v>1</v>
      </c>
      <c r="Y11" s="290"/>
      <c r="Z11" s="290" t="s">
        <v>2</v>
      </c>
      <c r="AA11" s="290"/>
      <c r="AB11" s="290" t="s">
        <v>3</v>
      </c>
      <c r="AC11" s="291"/>
    </row>
    <row r="12" spans="1:34" ht="15" x14ac:dyDescent="0.25">
      <c r="B12" s="104"/>
      <c r="C12" s="284"/>
      <c r="D12" s="286"/>
      <c r="E12" s="285"/>
      <c r="F12" s="287"/>
      <c r="G12" s="288"/>
      <c r="H12" s="288"/>
      <c r="I12" s="287"/>
      <c r="J12" s="286"/>
      <c r="K12" s="285"/>
      <c r="L12" s="286"/>
      <c r="M12" s="286"/>
      <c r="N12" s="296"/>
      <c r="O12" s="296"/>
      <c r="P12" s="292"/>
      <c r="Q12" s="210" t="s">
        <v>29</v>
      </c>
      <c r="R12" s="210" t="s">
        <v>30</v>
      </c>
      <c r="S12" s="210" t="s">
        <v>9</v>
      </c>
      <c r="T12" s="210" t="s">
        <v>10</v>
      </c>
      <c r="U12" s="210" t="s">
        <v>11</v>
      </c>
      <c r="V12" s="210" t="s">
        <v>10</v>
      </c>
      <c r="W12" s="210" t="s">
        <v>11</v>
      </c>
      <c r="X12" s="210" t="s">
        <v>10</v>
      </c>
      <c r="Y12" s="210" t="s">
        <v>11</v>
      </c>
      <c r="Z12" s="210" t="s">
        <v>10</v>
      </c>
      <c r="AA12" s="210" t="s">
        <v>11</v>
      </c>
      <c r="AB12" s="210" t="s">
        <v>10</v>
      </c>
      <c r="AC12" s="211" t="s">
        <v>11</v>
      </c>
    </row>
    <row r="13" spans="1:34" ht="34.5" x14ac:dyDescent="0.25">
      <c r="A13" s="139" t="s">
        <v>116</v>
      </c>
      <c r="B13" s="105" t="s">
        <v>122</v>
      </c>
      <c r="C13" s="63">
        <v>1</v>
      </c>
      <c r="D13" s="197" t="s">
        <v>191</v>
      </c>
      <c r="E13" s="189" t="s">
        <v>1254</v>
      </c>
      <c r="F13" s="190" t="s">
        <v>123</v>
      </c>
      <c r="G13" s="189" t="s">
        <v>74</v>
      </c>
      <c r="H13" s="191">
        <v>50592</v>
      </c>
      <c r="I13" s="189" t="s">
        <v>1224</v>
      </c>
      <c r="J13" s="189">
        <v>0</v>
      </c>
      <c r="K13" s="189" t="s">
        <v>1231</v>
      </c>
      <c r="L13" s="191">
        <v>7</v>
      </c>
      <c r="M13" s="192">
        <v>46092</v>
      </c>
      <c r="N13" s="193">
        <v>1</v>
      </c>
      <c r="O13" s="194">
        <v>0.7</v>
      </c>
      <c r="P13" s="195"/>
      <c r="Q13" s="196" t="s">
        <v>38</v>
      </c>
      <c r="R13" s="197">
        <v>1</v>
      </c>
      <c r="S13" s="198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208"/>
      <c r="AD13" s="11" t="str">
        <f>RIGHT(L13,2)</f>
        <v>7</v>
      </c>
      <c r="AF13" t="str">
        <f>CONCATENATE("80.01.ZZ.0",L13)</f>
        <v>80.01.ZZ.07</v>
      </c>
      <c r="AH13" t="str">
        <f>CONCATENATE("00 de 0",R13)</f>
        <v>00 de 01</v>
      </c>
    </row>
    <row r="14" spans="1:34" ht="34.5" x14ac:dyDescent="0.25">
      <c r="A14" s="139" t="s">
        <v>116</v>
      </c>
      <c r="B14" s="105" t="s">
        <v>122</v>
      </c>
      <c r="C14" s="63">
        <v>2</v>
      </c>
      <c r="D14" s="197" t="s">
        <v>133</v>
      </c>
      <c r="E14" s="189" t="s">
        <v>1255</v>
      </c>
      <c r="F14" s="190" t="s">
        <v>123</v>
      </c>
      <c r="G14" s="189" t="s">
        <v>135</v>
      </c>
      <c r="H14" s="191">
        <v>61792</v>
      </c>
      <c r="I14" s="189" t="s">
        <v>1225</v>
      </c>
      <c r="J14" s="189">
        <v>0</v>
      </c>
      <c r="K14" s="189" t="s">
        <v>1232</v>
      </c>
      <c r="L14" s="191">
        <v>10</v>
      </c>
      <c r="M14" s="192">
        <v>46092</v>
      </c>
      <c r="N14" s="193">
        <v>0.5</v>
      </c>
      <c r="O14" s="194">
        <v>0.5</v>
      </c>
      <c r="P14" s="195"/>
      <c r="Q14" s="196" t="s">
        <v>38</v>
      </c>
      <c r="R14" s="197">
        <v>1</v>
      </c>
      <c r="S14" s="198" t="s">
        <v>33</v>
      </c>
      <c r="T14" s="199"/>
      <c r="U14" s="200"/>
      <c r="V14" s="200"/>
      <c r="W14" s="200"/>
      <c r="X14" s="200"/>
      <c r="Y14" s="200"/>
      <c r="Z14" s="200"/>
      <c r="AA14" s="200"/>
      <c r="AB14" s="200"/>
      <c r="AC14" s="208"/>
      <c r="AD14" s="11" t="str">
        <f t="shared" ref="AD14:AD77" si="0">RIGHT(L14,2)</f>
        <v>10</v>
      </c>
      <c r="AF14" t="str">
        <f t="shared" ref="AF14:AF77" si="1">CONCATENATE("80.01.ZZ.0",L14)</f>
        <v>80.01.ZZ.010</v>
      </c>
      <c r="AH14" t="str">
        <f t="shared" ref="AH14:AH77" si="2">CONCATENATE("00 de 0",R14)</f>
        <v>00 de 01</v>
      </c>
    </row>
    <row r="15" spans="1:34" ht="34.5" x14ac:dyDescent="0.25">
      <c r="A15" s="139" t="s">
        <v>116</v>
      </c>
      <c r="B15" s="105" t="s">
        <v>122</v>
      </c>
      <c r="C15" s="63">
        <v>3</v>
      </c>
      <c r="D15" s="197" t="s">
        <v>133</v>
      </c>
      <c r="E15" s="189" t="s">
        <v>1256</v>
      </c>
      <c r="F15" s="190" t="s">
        <v>123</v>
      </c>
      <c r="G15" s="189" t="s">
        <v>135</v>
      </c>
      <c r="H15" s="191">
        <v>67392</v>
      </c>
      <c r="I15" s="189" t="s">
        <v>1226</v>
      </c>
      <c r="J15" s="189">
        <v>0</v>
      </c>
      <c r="K15" s="189" t="s">
        <v>1238</v>
      </c>
      <c r="L15" s="191">
        <v>10</v>
      </c>
      <c r="M15" s="192">
        <v>46092</v>
      </c>
      <c r="N15" s="193">
        <v>1</v>
      </c>
      <c r="O15" s="194">
        <v>1</v>
      </c>
      <c r="P15" s="195"/>
      <c r="Q15" s="196" t="s">
        <v>38</v>
      </c>
      <c r="R15" s="197">
        <v>1</v>
      </c>
      <c r="S15" s="198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208"/>
      <c r="AD15" s="11" t="str">
        <f t="shared" si="0"/>
        <v>10</v>
      </c>
      <c r="AF15" t="str">
        <f t="shared" si="1"/>
        <v>80.01.ZZ.010</v>
      </c>
      <c r="AH15" t="str">
        <f t="shared" si="2"/>
        <v>00 de 01</v>
      </c>
    </row>
    <row r="16" spans="1:34" ht="34.5" x14ac:dyDescent="0.25">
      <c r="A16" s="139" t="s">
        <v>116</v>
      </c>
      <c r="B16" s="105" t="s">
        <v>122</v>
      </c>
      <c r="C16" s="63">
        <v>4</v>
      </c>
      <c r="D16" s="197" t="s">
        <v>191</v>
      </c>
      <c r="E16" s="189" t="s">
        <v>1257</v>
      </c>
      <c r="F16" s="190" t="s">
        <v>123</v>
      </c>
      <c r="G16" s="189" t="s">
        <v>204</v>
      </c>
      <c r="H16" s="191">
        <v>50592</v>
      </c>
      <c r="I16" s="189" t="s">
        <v>1227</v>
      </c>
      <c r="J16" s="189">
        <v>0</v>
      </c>
      <c r="K16" s="189" t="s">
        <v>1240</v>
      </c>
      <c r="L16" s="191">
        <v>7</v>
      </c>
      <c r="M16" s="192">
        <v>46092</v>
      </c>
      <c r="N16" s="193">
        <v>0.5</v>
      </c>
      <c r="O16" s="194">
        <v>0.5</v>
      </c>
      <c r="P16" s="195"/>
      <c r="Q16" s="196" t="s">
        <v>38</v>
      </c>
      <c r="R16" s="197">
        <v>1</v>
      </c>
      <c r="S16" s="198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208"/>
      <c r="AD16" s="11" t="str">
        <f t="shared" si="0"/>
        <v>7</v>
      </c>
      <c r="AF16" t="str">
        <f t="shared" si="1"/>
        <v>80.01.ZZ.07</v>
      </c>
      <c r="AH16" t="str">
        <f t="shared" si="2"/>
        <v>00 de 01</v>
      </c>
    </row>
    <row r="17" spans="1:34" ht="34.5" x14ac:dyDescent="0.25">
      <c r="A17" s="139" t="s">
        <v>116</v>
      </c>
      <c r="B17" s="105" t="s">
        <v>122</v>
      </c>
      <c r="C17" s="63">
        <v>5</v>
      </c>
      <c r="D17" s="197" t="s">
        <v>191</v>
      </c>
      <c r="E17" s="189" t="s">
        <v>1258</v>
      </c>
      <c r="F17" s="190" t="s">
        <v>123</v>
      </c>
      <c r="G17" s="189" t="s">
        <v>204</v>
      </c>
      <c r="H17" s="191">
        <v>50592</v>
      </c>
      <c r="I17" s="189" t="s">
        <v>1227</v>
      </c>
      <c r="J17" s="189">
        <v>0</v>
      </c>
      <c r="K17" s="189" t="s">
        <v>1241</v>
      </c>
      <c r="L17" s="191">
        <v>7</v>
      </c>
      <c r="M17" s="192">
        <v>46092</v>
      </c>
      <c r="N17" s="193">
        <v>0.5</v>
      </c>
      <c r="O17" s="194">
        <v>0.5</v>
      </c>
      <c r="P17" s="195"/>
      <c r="Q17" s="196" t="s">
        <v>38</v>
      </c>
      <c r="R17" s="197">
        <v>1</v>
      </c>
      <c r="S17" s="198" t="s">
        <v>33</v>
      </c>
      <c r="T17" s="199"/>
      <c r="U17" s="200"/>
      <c r="V17" s="200"/>
      <c r="W17" s="200"/>
      <c r="X17" s="200"/>
      <c r="Y17" s="200"/>
      <c r="Z17" s="200"/>
      <c r="AA17" s="200"/>
      <c r="AB17" s="200"/>
      <c r="AC17" s="208"/>
      <c r="AD17" s="11" t="str">
        <f t="shared" si="0"/>
        <v>7</v>
      </c>
      <c r="AF17" t="str">
        <f t="shared" si="1"/>
        <v>80.01.ZZ.07</v>
      </c>
      <c r="AH17" t="str">
        <f t="shared" si="2"/>
        <v>00 de 01</v>
      </c>
    </row>
    <row r="18" spans="1:34" ht="34.5" x14ac:dyDescent="0.25">
      <c r="A18" s="139" t="s">
        <v>116</v>
      </c>
      <c r="B18" s="105" t="s">
        <v>122</v>
      </c>
      <c r="C18" s="63">
        <v>6</v>
      </c>
      <c r="D18" s="197" t="s">
        <v>191</v>
      </c>
      <c r="E18" s="189" t="s">
        <v>1259</v>
      </c>
      <c r="F18" s="190" t="s">
        <v>123</v>
      </c>
      <c r="G18" s="189" t="s">
        <v>204</v>
      </c>
      <c r="H18" s="191">
        <v>50592</v>
      </c>
      <c r="I18" s="189" t="s">
        <v>1227</v>
      </c>
      <c r="J18" s="189">
        <v>0</v>
      </c>
      <c r="K18" s="189" t="s">
        <v>1242</v>
      </c>
      <c r="L18" s="191">
        <v>7</v>
      </c>
      <c r="M18" s="192">
        <v>46092</v>
      </c>
      <c r="N18" s="193">
        <v>0.5</v>
      </c>
      <c r="O18" s="194">
        <v>0.5</v>
      </c>
      <c r="P18" s="195"/>
      <c r="Q18" s="196" t="s">
        <v>38</v>
      </c>
      <c r="R18" s="197">
        <v>1</v>
      </c>
      <c r="S18" s="198" t="s">
        <v>33</v>
      </c>
      <c r="T18" s="199"/>
      <c r="U18" s="200"/>
      <c r="V18" s="200"/>
      <c r="W18" s="200"/>
      <c r="X18" s="200"/>
      <c r="Y18" s="200"/>
      <c r="Z18" s="200"/>
      <c r="AA18" s="200"/>
      <c r="AB18" s="200"/>
      <c r="AC18" s="208"/>
      <c r="AD18" s="11" t="str">
        <f t="shared" si="0"/>
        <v>7</v>
      </c>
      <c r="AF18" t="str">
        <f t="shared" si="1"/>
        <v>80.01.ZZ.07</v>
      </c>
      <c r="AH18" t="str">
        <f t="shared" si="2"/>
        <v>00 de 01</v>
      </c>
    </row>
    <row r="19" spans="1:34" ht="34.5" x14ac:dyDescent="0.25">
      <c r="A19" s="139" t="s">
        <v>116</v>
      </c>
      <c r="B19" s="105" t="s">
        <v>122</v>
      </c>
      <c r="C19" s="63">
        <v>7</v>
      </c>
      <c r="D19" s="197" t="s">
        <v>191</v>
      </c>
      <c r="E19" s="189" t="s">
        <v>1260</v>
      </c>
      <c r="F19" s="190" t="s">
        <v>123</v>
      </c>
      <c r="G19" s="189" t="s">
        <v>135</v>
      </c>
      <c r="H19" s="191">
        <v>50592</v>
      </c>
      <c r="I19" s="189" t="s">
        <v>1228</v>
      </c>
      <c r="J19" s="189">
        <v>0</v>
      </c>
      <c r="K19" s="189" t="s">
        <v>1239</v>
      </c>
      <c r="L19" s="191">
        <v>7</v>
      </c>
      <c r="M19" s="192">
        <v>46092</v>
      </c>
      <c r="N19" s="193">
        <v>0.6</v>
      </c>
      <c r="O19" s="194">
        <v>0.6</v>
      </c>
      <c r="P19" s="195"/>
      <c r="Q19" s="196" t="s">
        <v>38</v>
      </c>
      <c r="R19" s="197">
        <v>1</v>
      </c>
      <c r="S19" s="198" t="s">
        <v>33</v>
      </c>
      <c r="T19" s="199"/>
      <c r="U19" s="200"/>
      <c r="V19" s="200"/>
      <c r="W19" s="200"/>
      <c r="X19" s="200"/>
      <c r="Y19" s="200"/>
      <c r="Z19" s="200"/>
      <c r="AA19" s="200"/>
      <c r="AB19" s="200"/>
      <c r="AC19" s="208"/>
      <c r="AD19" s="11" t="str">
        <f t="shared" si="0"/>
        <v>7</v>
      </c>
      <c r="AF19" t="str">
        <f t="shared" si="1"/>
        <v>80.01.ZZ.07</v>
      </c>
      <c r="AH19" t="str">
        <f t="shared" si="2"/>
        <v>00 de 01</v>
      </c>
    </row>
    <row r="20" spans="1:34" ht="34.5" x14ac:dyDescent="0.25">
      <c r="A20" s="139" t="s">
        <v>116</v>
      </c>
      <c r="B20" s="105" t="s">
        <v>122</v>
      </c>
      <c r="C20" s="63">
        <v>8</v>
      </c>
      <c r="D20" s="197" t="s">
        <v>191</v>
      </c>
      <c r="E20" s="189" t="s">
        <v>1261</v>
      </c>
      <c r="F20" s="190" t="s">
        <v>123</v>
      </c>
      <c r="G20" s="189" t="s">
        <v>135</v>
      </c>
      <c r="H20" s="191">
        <v>50592</v>
      </c>
      <c r="I20" s="189" t="s">
        <v>1228</v>
      </c>
      <c r="J20" s="189">
        <v>0</v>
      </c>
      <c r="K20" s="189" t="s">
        <v>1243</v>
      </c>
      <c r="L20" s="191">
        <v>7</v>
      </c>
      <c r="M20" s="192">
        <v>46092</v>
      </c>
      <c r="N20" s="193">
        <v>0.30000000000000004</v>
      </c>
      <c r="O20" s="194">
        <v>0.3</v>
      </c>
      <c r="P20" s="195"/>
      <c r="Q20" s="196" t="s">
        <v>38</v>
      </c>
      <c r="R20" s="197">
        <v>1</v>
      </c>
      <c r="S20" s="198" t="s">
        <v>33</v>
      </c>
      <c r="T20" s="199"/>
      <c r="U20" s="200"/>
      <c r="V20" s="200"/>
      <c r="W20" s="200"/>
      <c r="X20" s="200"/>
      <c r="Y20" s="200"/>
      <c r="Z20" s="200"/>
      <c r="AA20" s="200"/>
      <c r="AB20" s="200"/>
      <c r="AC20" s="208"/>
      <c r="AD20" s="11" t="str">
        <f t="shared" si="0"/>
        <v>7</v>
      </c>
      <c r="AF20" t="str">
        <f t="shared" si="1"/>
        <v>80.01.ZZ.07</v>
      </c>
      <c r="AH20" t="str">
        <f t="shared" si="2"/>
        <v>00 de 01</v>
      </c>
    </row>
    <row r="21" spans="1:34" ht="34.5" x14ac:dyDescent="0.25">
      <c r="A21" s="139" t="s">
        <v>116</v>
      </c>
      <c r="B21" s="105" t="s">
        <v>122</v>
      </c>
      <c r="C21" s="63">
        <v>9</v>
      </c>
      <c r="D21" s="197" t="s">
        <v>191</v>
      </c>
      <c r="E21" s="189" t="s">
        <v>1262</v>
      </c>
      <c r="F21" s="190" t="s">
        <v>123</v>
      </c>
      <c r="G21" s="189" t="s">
        <v>135</v>
      </c>
      <c r="H21" s="191">
        <v>50592</v>
      </c>
      <c r="I21" s="189" t="s">
        <v>1228</v>
      </c>
      <c r="J21" s="189">
        <v>0</v>
      </c>
      <c r="K21" s="189" t="s">
        <v>1245</v>
      </c>
      <c r="L21" s="191">
        <v>7</v>
      </c>
      <c r="M21" s="192">
        <v>46092</v>
      </c>
      <c r="N21" s="193">
        <v>0.6</v>
      </c>
      <c r="O21" s="194">
        <v>0.6</v>
      </c>
      <c r="P21" s="195"/>
      <c r="Q21" s="196" t="s">
        <v>38</v>
      </c>
      <c r="R21" s="197">
        <v>1</v>
      </c>
      <c r="S21" s="198" t="s">
        <v>33</v>
      </c>
      <c r="T21" s="199"/>
      <c r="U21" s="200"/>
      <c r="V21" s="200"/>
      <c r="W21" s="200"/>
      <c r="X21" s="200"/>
      <c r="Y21" s="200"/>
      <c r="Z21" s="200"/>
      <c r="AA21" s="200"/>
      <c r="AB21" s="200"/>
      <c r="AC21" s="208"/>
      <c r="AD21" s="11" t="str">
        <f t="shared" si="0"/>
        <v>7</v>
      </c>
      <c r="AF21" t="str">
        <f t="shared" si="1"/>
        <v>80.01.ZZ.07</v>
      </c>
      <c r="AH21" t="str">
        <f t="shared" si="2"/>
        <v>00 de 01</v>
      </c>
    </row>
    <row r="22" spans="1:34" ht="34.5" x14ac:dyDescent="0.25">
      <c r="A22" s="139" t="s">
        <v>116</v>
      </c>
      <c r="B22" s="105" t="s">
        <v>122</v>
      </c>
      <c r="C22" s="63">
        <v>10</v>
      </c>
      <c r="D22" s="197" t="s">
        <v>191</v>
      </c>
      <c r="E22" s="189" t="s">
        <v>1263</v>
      </c>
      <c r="F22" s="190" t="s">
        <v>123</v>
      </c>
      <c r="G22" s="189" t="s">
        <v>135</v>
      </c>
      <c r="H22" s="191">
        <v>50592</v>
      </c>
      <c r="I22" s="189" t="s">
        <v>1228</v>
      </c>
      <c r="J22" s="189">
        <v>0</v>
      </c>
      <c r="K22" s="189" t="s">
        <v>1247</v>
      </c>
      <c r="L22" s="191">
        <v>7</v>
      </c>
      <c r="M22" s="192">
        <v>46092</v>
      </c>
      <c r="N22" s="193">
        <v>0.6</v>
      </c>
      <c r="O22" s="194">
        <v>0.6</v>
      </c>
      <c r="P22" s="195"/>
      <c r="Q22" s="196" t="s">
        <v>38</v>
      </c>
      <c r="R22" s="197">
        <v>1</v>
      </c>
      <c r="S22" s="198" t="s">
        <v>33</v>
      </c>
      <c r="T22" s="199"/>
      <c r="U22" s="200"/>
      <c r="V22" s="200"/>
      <c r="W22" s="200"/>
      <c r="X22" s="200"/>
      <c r="Y22" s="200"/>
      <c r="Z22" s="200"/>
      <c r="AA22" s="200"/>
      <c r="AB22" s="200"/>
      <c r="AC22" s="208"/>
      <c r="AD22" s="11" t="str">
        <f t="shared" si="0"/>
        <v>7</v>
      </c>
      <c r="AF22" t="str">
        <f t="shared" si="1"/>
        <v>80.01.ZZ.07</v>
      </c>
      <c r="AH22" t="str">
        <f t="shared" si="2"/>
        <v>00 de 01</v>
      </c>
    </row>
    <row r="23" spans="1:34" ht="34.5" x14ac:dyDescent="0.25">
      <c r="A23" s="139" t="s">
        <v>116</v>
      </c>
      <c r="B23" s="105" t="s">
        <v>122</v>
      </c>
      <c r="C23" s="63">
        <v>11</v>
      </c>
      <c r="D23" s="197" t="s">
        <v>191</v>
      </c>
      <c r="E23" s="189" t="s">
        <v>1264</v>
      </c>
      <c r="F23" s="190" t="s">
        <v>123</v>
      </c>
      <c r="G23" s="189" t="s">
        <v>135</v>
      </c>
      <c r="H23" s="191">
        <v>50592</v>
      </c>
      <c r="I23" s="189" t="s">
        <v>1228</v>
      </c>
      <c r="J23" s="189">
        <v>0</v>
      </c>
      <c r="K23" s="189" t="s">
        <v>1245</v>
      </c>
      <c r="L23" s="191">
        <v>7</v>
      </c>
      <c r="M23" s="192">
        <v>46092</v>
      </c>
      <c r="N23" s="193">
        <v>0.6</v>
      </c>
      <c r="O23" s="194">
        <v>0.6</v>
      </c>
      <c r="P23" s="195"/>
      <c r="Q23" s="196" t="s">
        <v>38</v>
      </c>
      <c r="R23" s="197">
        <v>1</v>
      </c>
      <c r="S23" s="198" t="s">
        <v>33</v>
      </c>
      <c r="T23" s="199"/>
      <c r="U23" s="200"/>
      <c r="V23" s="200"/>
      <c r="W23" s="200"/>
      <c r="X23" s="200"/>
      <c r="Y23" s="200"/>
      <c r="Z23" s="200"/>
      <c r="AA23" s="200"/>
      <c r="AB23" s="200"/>
      <c r="AC23" s="208"/>
      <c r="AD23" s="11" t="str">
        <f t="shared" si="0"/>
        <v>7</v>
      </c>
      <c r="AF23" t="str">
        <f t="shared" si="1"/>
        <v>80.01.ZZ.07</v>
      </c>
      <c r="AH23" t="str">
        <f t="shared" si="2"/>
        <v>00 de 01</v>
      </c>
    </row>
    <row r="24" spans="1:34" ht="34.5" x14ac:dyDescent="0.25">
      <c r="A24" s="139" t="s">
        <v>116</v>
      </c>
      <c r="B24" s="105" t="s">
        <v>122</v>
      </c>
      <c r="C24" s="63">
        <v>12</v>
      </c>
      <c r="D24" s="197" t="s">
        <v>191</v>
      </c>
      <c r="E24" s="189" t="s">
        <v>1265</v>
      </c>
      <c r="F24" s="190" t="s">
        <v>123</v>
      </c>
      <c r="G24" s="189" t="s">
        <v>135</v>
      </c>
      <c r="H24" s="191">
        <v>50592</v>
      </c>
      <c r="I24" s="189" t="s">
        <v>1228</v>
      </c>
      <c r="J24" s="189">
        <v>0</v>
      </c>
      <c r="K24" s="189" t="s">
        <v>1246</v>
      </c>
      <c r="L24" s="191">
        <v>7</v>
      </c>
      <c r="M24" s="192">
        <v>46092</v>
      </c>
      <c r="N24" s="193">
        <v>0.6</v>
      </c>
      <c r="O24" s="194">
        <v>0.6</v>
      </c>
      <c r="P24" s="195"/>
      <c r="Q24" s="196" t="s">
        <v>38</v>
      </c>
      <c r="R24" s="197">
        <v>1</v>
      </c>
      <c r="S24" s="198" t="s">
        <v>33</v>
      </c>
      <c r="T24" s="199"/>
      <c r="U24" s="200"/>
      <c r="V24" s="200"/>
      <c r="W24" s="200"/>
      <c r="X24" s="200"/>
      <c r="Y24" s="200"/>
      <c r="Z24" s="200"/>
      <c r="AA24" s="200"/>
      <c r="AB24" s="200"/>
      <c r="AC24" s="208"/>
      <c r="AD24" s="11" t="str">
        <f t="shared" si="0"/>
        <v>7</v>
      </c>
      <c r="AF24" t="str">
        <f t="shared" si="1"/>
        <v>80.01.ZZ.07</v>
      </c>
      <c r="AH24" t="str">
        <f t="shared" si="2"/>
        <v>00 de 01</v>
      </c>
    </row>
    <row r="25" spans="1:34" ht="34.5" x14ac:dyDescent="0.25">
      <c r="A25" s="139" t="s">
        <v>116</v>
      </c>
      <c r="B25" s="105" t="s">
        <v>122</v>
      </c>
      <c r="C25" s="63">
        <v>13</v>
      </c>
      <c r="D25" s="197" t="s">
        <v>191</v>
      </c>
      <c r="E25" s="189" t="s">
        <v>1266</v>
      </c>
      <c r="F25" s="190" t="s">
        <v>123</v>
      </c>
      <c r="G25" s="189" t="s">
        <v>135</v>
      </c>
      <c r="H25" s="191">
        <v>50592</v>
      </c>
      <c r="I25" s="189" t="s">
        <v>1228</v>
      </c>
      <c r="J25" s="189">
        <v>0</v>
      </c>
      <c r="K25" s="189" t="s">
        <v>1247</v>
      </c>
      <c r="L25" s="191">
        <v>7</v>
      </c>
      <c r="M25" s="192">
        <v>46092</v>
      </c>
      <c r="N25" s="193">
        <v>0.6</v>
      </c>
      <c r="O25" s="194">
        <v>0.6</v>
      </c>
      <c r="P25" s="195"/>
      <c r="Q25" s="196" t="s">
        <v>38</v>
      </c>
      <c r="R25" s="197">
        <v>1</v>
      </c>
      <c r="S25" s="198" t="s">
        <v>33</v>
      </c>
      <c r="T25" s="199"/>
      <c r="U25" s="200"/>
      <c r="V25" s="200"/>
      <c r="W25" s="200"/>
      <c r="X25" s="200"/>
      <c r="Y25" s="200"/>
      <c r="Z25" s="200"/>
      <c r="AA25" s="200"/>
      <c r="AB25" s="200"/>
      <c r="AC25" s="208"/>
      <c r="AD25" s="11" t="str">
        <f t="shared" si="0"/>
        <v>7</v>
      </c>
      <c r="AF25" t="str">
        <f t="shared" si="1"/>
        <v>80.01.ZZ.07</v>
      </c>
      <c r="AH25" t="str">
        <f t="shared" si="2"/>
        <v>00 de 01</v>
      </c>
    </row>
    <row r="26" spans="1:34" ht="34.5" x14ac:dyDescent="0.25">
      <c r="A26" s="139" t="s">
        <v>116</v>
      </c>
      <c r="B26" s="105" t="s">
        <v>122</v>
      </c>
      <c r="C26" s="63">
        <v>14</v>
      </c>
      <c r="D26" s="197" t="s">
        <v>933</v>
      </c>
      <c r="E26" s="189" t="s">
        <v>935</v>
      </c>
      <c r="F26" s="190" t="s">
        <v>123</v>
      </c>
      <c r="G26" s="189" t="s">
        <v>135</v>
      </c>
      <c r="H26" s="191">
        <v>50592</v>
      </c>
      <c r="I26" s="189" t="s">
        <v>906</v>
      </c>
      <c r="J26" s="189">
        <v>0</v>
      </c>
      <c r="K26" s="189" t="s">
        <v>910</v>
      </c>
      <c r="L26" s="191">
        <v>10</v>
      </c>
      <c r="M26" s="192">
        <v>46092</v>
      </c>
      <c r="N26" s="193">
        <v>1</v>
      </c>
      <c r="O26" s="194">
        <v>1</v>
      </c>
      <c r="P26" s="195"/>
      <c r="Q26" s="196" t="s">
        <v>38</v>
      </c>
      <c r="R26" s="197">
        <v>1</v>
      </c>
      <c r="S26" s="198" t="s">
        <v>33</v>
      </c>
      <c r="T26" s="199"/>
      <c r="U26" s="200"/>
      <c r="V26" s="200"/>
      <c r="W26" s="200"/>
      <c r="X26" s="200"/>
      <c r="Y26" s="200"/>
      <c r="Z26" s="200"/>
      <c r="AA26" s="200"/>
      <c r="AB26" s="200"/>
      <c r="AC26" s="208"/>
      <c r="AD26" s="11" t="str">
        <f t="shared" si="0"/>
        <v>10</v>
      </c>
      <c r="AF26" t="str">
        <f t="shared" si="1"/>
        <v>80.01.ZZ.010</v>
      </c>
      <c r="AH26" t="str">
        <f t="shared" si="2"/>
        <v>00 de 01</v>
      </c>
    </row>
    <row r="27" spans="1:34" ht="34.5" x14ac:dyDescent="0.25">
      <c r="A27" s="139" t="s">
        <v>116</v>
      </c>
      <c r="B27" s="105" t="s">
        <v>122</v>
      </c>
      <c r="C27" s="63">
        <v>15</v>
      </c>
      <c r="D27" s="197" t="s">
        <v>933</v>
      </c>
      <c r="E27" s="189" t="s">
        <v>936</v>
      </c>
      <c r="F27" s="190" t="s">
        <v>123</v>
      </c>
      <c r="G27" s="189" t="s">
        <v>135</v>
      </c>
      <c r="H27" s="191">
        <v>50592</v>
      </c>
      <c r="I27" s="189" t="s">
        <v>906</v>
      </c>
      <c r="J27" s="189">
        <v>0</v>
      </c>
      <c r="K27" s="189" t="s">
        <v>910</v>
      </c>
      <c r="L27" s="191">
        <v>10</v>
      </c>
      <c r="M27" s="192">
        <v>46092</v>
      </c>
      <c r="N27" s="193">
        <v>1</v>
      </c>
      <c r="O27" s="194">
        <v>1</v>
      </c>
      <c r="P27" s="195"/>
      <c r="Q27" s="196" t="s">
        <v>38</v>
      </c>
      <c r="R27" s="197">
        <v>1</v>
      </c>
      <c r="S27" s="198" t="s">
        <v>33</v>
      </c>
      <c r="T27" s="199"/>
      <c r="U27" s="200"/>
      <c r="V27" s="200"/>
      <c r="W27" s="200"/>
      <c r="X27" s="200"/>
      <c r="Y27" s="200"/>
      <c r="Z27" s="200"/>
      <c r="AA27" s="200"/>
      <c r="AB27" s="200"/>
      <c r="AC27" s="208"/>
      <c r="AD27" s="11" t="str">
        <f t="shared" si="0"/>
        <v>10</v>
      </c>
      <c r="AF27" t="str">
        <f t="shared" si="1"/>
        <v>80.01.ZZ.010</v>
      </c>
      <c r="AH27" t="str">
        <f t="shared" si="2"/>
        <v>00 de 01</v>
      </c>
    </row>
    <row r="28" spans="1:34" ht="34.5" x14ac:dyDescent="0.25">
      <c r="A28" s="139" t="s">
        <v>116</v>
      </c>
      <c r="B28" s="105" t="s">
        <v>122</v>
      </c>
      <c r="C28" s="63">
        <v>16</v>
      </c>
      <c r="D28" s="197" t="s">
        <v>190</v>
      </c>
      <c r="E28" s="189" t="s">
        <v>937</v>
      </c>
      <c r="F28" s="190" t="s">
        <v>123</v>
      </c>
      <c r="G28" s="189" t="s">
        <v>135</v>
      </c>
      <c r="H28" s="191">
        <v>50592</v>
      </c>
      <c r="I28" s="189" t="s">
        <v>906</v>
      </c>
      <c r="J28" s="189">
        <v>0</v>
      </c>
      <c r="K28" s="189" t="s">
        <v>910</v>
      </c>
      <c r="L28" s="191">
        <v>10</v>
      </c>
      <c r="M28" s="192">
        <v>46092</v>
      </c>
      <c r="N28" s="193">
        <v>1</v>
      </c>
      <c r="O28" s="194">
        <v>1</v>
      </c>
      <c r="P28" s="195"/>
      <c r="Q28" s="196" t="s">
        <v>38</v>
      </c>
      <c r="R28" s="197">
        <v>1</v>
      </c>
      <c r="S28" s="198" t="s">
        <v>33</v>
      </c>
      <c r="T28" s="199"/>
      <c r="U28" s="200"/>
      <c r="V28" s="200"/>
      <c r="W28" s="200"/>
      <c r="X28" s="200"/>
      <c r="Y28" s="200"/>
      <c r="Z28" s="200"/>
      <c r="AA28" s="200"/>
      <c r="AB28" s="200"/>
      <c r="AC28" s="208"/>
      <c r="AD28" s="11" t="str">
        <f t="shared" si="0"/>
        <v>10</v>
      </c>
      <c r="AF28" t="str">
        <f t="shared" si="1"/>
        <v>80.01.ZZ.010</v>
      </c>
      <c r="AH28" t="str">
        <f t="shared" si="2"/>
        <v>00 de 01</v>
      </c>
    </row>
    <row r="29" spans="1:34" ht="34.5" x14ac:dyDescent="0.25">
      <c r="A29" s="139" t="s">
        <v>116</v>
      </c>
      <c r="B29" s="105" t="s">
        <v>122</v>
      </c>
      <c r="C29" s="63">
        <v>17</v>
      </c>
      <c r="D29" s="197" t="s">
        <v>190</v>
      </c>
      <c r="E29" s="189" t="s">
        <v>938</v>
      </c>
      <c r="F29" s="190" t="s">
        <v>123</v>
      </c>
      <c r="G29" s="189" t="s">
        <v>135</v>
      </c>
      <c r="H29" s="191">
        <v>50592</v>
      </c>
      <c r="I29" s="189" t="s">
        <v>906</v>
      </c>
      <c r="J29" s="189">
        <v>0</v>
      </c>
      <c r="K29" s="189" t="s">
        <v>910</v>
      </c>
      <c r="L29" s="191">
        <v>10</v>
      </c>
      <c r="M29" s="192">
        <v>46092</v>
      </c>
      <c r="N29" s="193">
        <v>1</v>
      </c>
      <c r="O29" s="194">
        <v>1</v>
      </c>
      <c r="P29" s="195"/>
      <c r="Q29" s="196" t="s">
        <v>38</v>
      </c>
      <c r="R29" s="197">
        <v>1</v>
      </c>
      <c r="S29" s="198" t="s">
        <v>33</v>
      </c>
      <c r="T29" s="199"/>
      <c r="U29" s="200"/>
      <c r="V29" s="200"/>
      <c r="W29" s="200"/>
      <c r="X29" s="200"/>
      <c r="Y29" s="200"/>
      <c r="Z29" s="200"/>
      <c r="AA29" s="200"/>
      <c r="AB29" s="200"/>
      <c r="AC29" s="208"/>
      <c r="AD29" s="11" t="str">
        <f t="shared" si="0"/>
        <v>10</v>
      </c>
      <c r="AF29" t="str">
        <f t="shared" si="1"/>
        <v>80.01.ZZ.010</v>
      </c>
      <c r="AH29" t="str">
        <f t="shared" si="2"/>
        <v>00 de 01</v>
      </c>
    </row>
    <row r="30" spans="1:34" ht="34.5" x14ac:dyDescent="0.25">
      <c r="A30" s="139" t="s">
        <v>116</v>
      </c>
      <c r="B30" s="105" t="s">
        <v>122</v>
      </c>
      <c r="C30" s="63">
        <v>18</v>
      </c>
      <c r="D30" s="197" t="s">
        <v>133</v>
      </c>
      <c r="E30" s="189" t="s">
        <v>939</v>
      </c>
      <c r="F30" s="190" t="s">
        <v>123</v>
      </c>
      <c r="G30" s="189" t="s">
        <v>135</v>
      </c>
      <c r="H30" s="191">
        <v>50592</v>
      </c>
      <c r="I30" s="189" t="s">
        <v>906</v>
      </c>
      <c r="J30" s="189">
        <v>0</v>
      </c>
      <c r="K30" s="189" t="s">
        <v>910</v>
      </c>
      <c r="L30" s="191">
        <v>10</v>
      </c>
      <c r="M30" s="192">
        <v>46092</v>
      </c>
      <c r="N30" s="193">
        <v>1</v>
      </c>
      <c r="O30" s="194">
        <v>1</v>
      </c>
      <c r="P30" s="195"/>
      <c r="Q30" s="196" t="s">
        <v>38</v>
      </c>
      <c r="R30" s="197">
        <v>1</v>
      </c>
      <c r="S30" s="198" t="s">
        <v>33</v>
      </c>
      <c r="T30" s="199"/>
      <c r="U30" s="200"/>
      <c r="V30" s="200"/>
      <c r="W30" s="200"/>
      <c r="X30" s="200"/>
      <c r="Y30" s="200"/>
      <c r="Z30" s="200"/>
      <c r="AA30" s="200"/>
      <c r="AB30" s="200"/>
      <c r="AC30" s="208"/>
      <c r="AD30" s="11" t="str">
        <f t="shared" si="0"/>
        <v>10</v>
      </c>
      <c r="AF30" t="str">
        <f t="shared" si="1"/>
        <v>80.01.ZZ.010</v>
      </c>
      <c r="AH30" t="str">
        <f t="shared" si="2"/>
        <v>00 de 01</v>
      </c>
    </row>
    <row r="31" spans="1:34" ht="34.5" x14ac:dyDescent="0.25">
      <c r="A31" s="139" t="s">
        <v>116</v>
      </c>
      <c r="B31" s="105" t="s">
        <v>122</v>
      </c>
      <c r="C31" s="63">
        <v>19</v>
      </c>
      <c r="D31" s="197" t="s">
        <v>933</v>
      </c>
      <c r="E31" s="189" t="s">
        <v>940</v>
      </c>
      <c r="F31" s="190" t="s">
        <v>123</v>
      </c>
      <c r="G31" s="189" t="s">
        <v>135</v>
      </c>
      <c r="H31" s="191">
        <v>50592</v>
      </c>
      <c r="I31" s="189" t="s">
        <v>906</v>
      </c>
      <c r="J31" s="189">
        <v>0</v>
      </c>
      <c r="K31" s="189" t="s">
        <v>910</v>
      </c>
      <c r="L31" s="191">
        <v>10</v>
      </c>
      <c r="M31" s="192">
        <v>46092</v>
      </c>
      <c r="N31" s="193">
        <v>1</v>
      </c>
      <c r="O31" s="194">
        <v>1</v>
      </c>
      <c r="P31" s="195"/>
      <c r="Q31" s="196" t="s">
        <v>38</v>
      </c>
      <c r="R31" s="197">
        <v>1</v>
      </c>
      <c r="S31" s="198" t="s">
        <v>33</v>
      </c>
      <c r="T31" s="199"/>
      <c r="U31" s="200"/>
      <c r="V31" s="200"/>
      <c r="W31" s="200"/>
      <c r="X31" s="200"/>
      <c r="Y31" s="200"/>
      <c r="Z31" s="200"/>
      <c r="AA31" s="200"/>
      <c r="AB31" s="200"/>
      <c r="AC31" s="208"/>
      <c r="AD31" s="11" t="str">
        <f t="shared" si="0"/>
        <v>10</v>
      </c>
      <c r="AF31" t="str">
        <f t="shared" si="1"/>
        <v>80.01.ZZ.010</v>
      </c>
      <c r="AH31" t="str">
        <f t="shared" si="2"/>
        <v>00 de 01</v>
      </c>
    </row>
    <row r="32" spans="1:34" ht="34.5" x14ac:dyDescent="0.25">
      <c r="A32" s="139" t="s">
        <v>116</v>
      </c>
      <c r="B32" s="105" t="s">
        <v>122</v>
      </c>
      <c r="C32" s="63">
        <v>20</v>
      </c>
      <c r="D32" s="197" t="s">
        <v>933</v>
      </c>
      <c r="E32" s="189" t="s">
        <v>941</v>
      </c>
      <c r="F32" s="190" t="s">
        <v>123</v>
      </c>
      <c r="G32" s="189" t="s">
        <v>135</v>
      </c>
      <c r="H32" s="191">
        <v>50592</v>
      </c>
      <c r="I32" s="189" t="s">
        <v>906</v>
      </c>
      <c r="J32" s="189">
        <v>0</v>
      </c>
      <c r="K32" s="189" t="s">
        <v>910</v>
      </c>
      <c r="L32" s="191">
        <v>10</v>
      </c>
      <c r="M32" s="192">
        <v>46092</v>
      </c>
      <c r="N32" s="193">
        <v>1</v>
      </c>
      <c r="O32" s="194">
        <v>1</v>
      </c>
      <c r="P32" s="195"/>
      <c r="Q32" s="196" t="s">
        <v>38</v>
      </c>
      <c r="R32" s="197">
        <v>1</v>
      </c>
      <c r="S32" s="198" t="s">
        <v>33</v>
      </c>
      <c r="T32" s="199"/>
      <c r="U32" s="200"/>
      <c r="V32" s="200"/>
      <c r="W32" s="200"/>
      <c r="X32" s="200"/>
      <c r="Y32" s="200"/>
      <c r="Z32" s="200"/>
      <c r="AA32" s="200"/>
      <c r="AB32" s="200"/>
      <c r="AC32" s="208"/>
      <c r="AD32" s="11" t="str">
        <f t="shared" si="0"/>
        <v>10</v>
      </c>
      <c r="AF32" t="str">
        <f t="shared" si="1"/>
        <v>80.01.ZZ.010</v>
      </c>
      <c r="AH32" t="str">
        <f t="shared" si="2"/>
        <v>00 de 01</v>
      </c>
    </row>
    <row r="33" spans="1:34" ht="34.5" x14ac:dyDescent="0.25">
      <c r="A33" s="139" t="s">
        <v>116</v>
      </c>
      <c r="B33" s="105" t="s">
        <v>122</v>
      </c>
      <c r="C33" s="63">
        <v>21</v>
      </c>
      <c r="D33" s="197" t="s">
        <v>190</v>
      </c>
      <c r="E33" s="189" t="s">
        <v>942</v>
      </c>
      <c r="F33" s="190" t="s">
        <v>123</v>
      </c>
      <c r="G33" s="189" t="s">
        <v>135</v>
      </c>
      <c r="H33" s="191">
        <v>50592</v>
      </c>
      <c r="I33" s="189" t="s">
        <v>906</v>
      </c>
      <c r="J33" s="189">
        <v>0</v>
      </c>
      <c r="K33" s="189" t="s">
        <v>910</v>
      </c>
      <c r="L33" s="191">
        <v>10</v>
      </c>
      <c r="M33" s="192">
        <v>46092</v>
      </c>
      <c r="N33" s="193">
        <v>1</v>
      </c>
      <c r="O33" s="194">
        <v>1</v>
      </c>
      <c r="P33" s="195"/>
      <c r="Q33" s="196" t="s">
        <v>38</v>
      </c>
      <c r="R33" s="197">
        <v>1</v>
      </c>
      <c r="S33" s="198" t="s">
        <v>33</v>
      </c>
      <c r="T33" s="199"/>
      <c r="U33" s="200"/>
      <c r="V33" s="200"/>
      <c r="W33" s="200"/>
      <c r="X33" s="200"/>
      <c r="Y33" s="200"/>
      <c r="Z33" s="200"/>
      <c r="AA33" s="200"/>
      <c r="AB33" s="200"/>
      <c r="AC33" s="208"/>
      <c r="AD33" s="11" t="str">
        <f t="shared" si="0"/>
        <v>10</v>
      </c>
      <c r="AF33" t="str">
        <f t="shared" si="1"/>
        <v>80.01.ZZ.010</v>
      </c>
      <c r="AH33" t="str">
        <f t="shared" si="2"/>
        <v>00 de 01</v>
      </c>
    </row>
    <row r="34" spans="1:34" ht="34.5" x14ac:dyDescent="0.25">
      <c r="A34" s="139" t="s">
        <v>116</v>
      </c>
      <c r="B34" s="105" t="s">
        <v>122</v>
      </c>
      <c r="C34" s="63">
        <v>22</v>
      </c>
      <c r="D34" s="197" t="s">
        <v>190</v>
      </c>
      <c r="E34" s="189" t="s">
        <v>943</v>
      </c>
      <c r="F34" s="190" t="s">
        <v>123</v>
      </c>
      <c r="G34" s="189" t="s">
        <v>135</v>
      </c>
      <c r="H34" s="191">
        <v>50592</v>
      </c>
      <c r="I34" s="189" t="s">
        <v>906</v>
      </c>
      <c r="J34" s="189">
        <v>0</v>
      </c>
      <c r="K34" s="189" t="s">
        <v>910</v>
      </c>
      <c r="L34" s="191">
        <v>10</v>
      </c>
      <c r="M34" s="192">
        <v>46092</v>
      </c>
      <c r="N34" s="193">
        <v>1</v>
      </c>
      <c r="O34" s="194">
        <v>1</v>
      </c>
      <c r="P34" s="195"/>
      <c r="Q34" s="196" t="s">
        <v>38</v>
      </c>
      <c r="R34" s="197">
        <v>1</v>
      </c>
      <c r="S34" s="198" t="s">
        <v>33</v>
      </c>
      <c r="T34" s="199"/>
      <c r="U34" s="200"/>
      <c r="V34" s="200"/>
      <c r="W34" s="200"/>
      <c r="X34" s="200"/>
      <c r="Y34" s="200"/>
      <c r="Z34" s="200"/>
      <c r="AA34" s="200"/>
      <c r="AB34" s="200"/>
      <c r="AC34" s="208"/>
      <c r="AD34" s="11" t="str">
        <f t="shared" si="0"/>
        <v>10</v>
      </c>
      <c r="AF34" t="str">
        <f t="shared" si="1"/>
        <v>80.01.ZZ.010</v>
      </c>
      <c r="AH34" t="str">
        <f t="shared" si="2"/>
        <v>00 de 01</v>
      </c>
    </row>
    <row r="35" spans="1:34" ht="34.5" x14ac:dyDescent="0.25">
      <c r="A35" s="139" t="s">
        <v>116</v>
      </c>
      <c r="B35" s="105" t="s">
        <v>122</v>
      </c>
      <c r="C35" s="63">
        <v>23</v>
      </c>
      <c r="D35" s="197" t="s">
        <v>933</v>
      </c>
      <c r="E35" s="189" t="s">
        <v>944</v>
      </c>
      <c r="F35" s="190" t="s">
        <v>123</v>
      </c>
      <c r="G35" s="189" t="s">
        <v>135</v>
      </c>
      <c r="H35" s="191">
        <v>50592</v>
      </c>
      <c r="I35" s="189" t="s">
        <v>906</v>
      </c>
      <c r="J35" s="189">
        <v>0</v>
      </c>
      <c r="K35" s="189" t="s">
        <v>910</v>
      </c>
      <c r="L35" s="191">
        <v>10</v>
      </c>
      <c r="M35" s="192">
        <v>46092</v>
      </c>
      <c r="N35" s="193">
        <v>1</v>
      </c>
      <c r="O35" s="194">
        <v>1</v>
      </c>
      <c r="P35" s="195"/>
      <c r="Q35" s="196" t="s">
        <v>38</v>
      </c>
      <c r="R35" s="197">
        <v>1</v>
      </c>
      <c r="S35" s="198" t="s">
        <v>33</v>
      </c>
      <c r="T35" s="199"/>
      <c r="U35" s="200"/>
      <c r="V35" s="200"/>
      <c r="W35" s="200"/>
      <c r="X35" s="200"/>
      <c r="Y35" s="200"/>
      <c r="Z35" s="200"/>
      <c r="AA35" s="200"/>
      <c r="AB35" s="200"/>
      <c r="AC35" s="208"/>
      <c r="AD35" s="11" t="str">
        <f t="shared" si="0"/>
        <v>10</v>
      </c>
      <c r="AF35" t="str">
        <f t="shared" si="1"/>
        <v>80.01.ZZ.010</v>
      </c>
      <c r="AH35" t="str">
        <f t="shared" si="2"/>
        <v>00 de 01</v>
      </c>
    </row>
    <row r="36" spans="1:34" ht="34.5" x14ac:dyDescent="0.25">
      <c r="A36" s="139" t="s">
        <v>116</v>
      </c>
      <c r="B36" s="105" t="s">
        <v>122</v>
      </c>
      <c r="C36" s="63">
        <v>24</v>
      </c>
      <c r="D36" s="197" t="s">
        <v>190</v>
      </c>
      <c r="E36" s="189" t="s">
        <v>945</v>
      </c>
      <c r="F36" s="190" t="s">
        <v>123</v>
      </c>
      <c r="G36" s="189" t="s">
        <v>135</v>
      </c>
      <c r="H36" s="191">
        <v>50592</v>
      </c>
      <c r="I36" s="189" t="s">
        <v>906</v>
      </c>
      <c r="J36" s="189">
        <v>0</v>
      </c>
      <c r="K36" s="189" t="s">
        <v>910</v>
      </c>
      <c r="L36" s="191">
        <v>10</v>
      </c>
      <c r="M36" s="192">
        <v>46092</v>
      </c>
      <c r="N36" s="193">
        <v>1</v>
      </c>
      <c r="O36" s="194">
        <v>1</v>
      </c>
      <c r="P36" s="195"/>
      <c r="Q36" s="196" t="s">
        <v>38</v>
      </c>
      <c r="R36" s="197">
        <v>1</v>
      </c>
      <c r="S36" s="198" t="s">
        <v>33</v>
      </c>
      <c r="T36" s="199"/>
      <c r="U36" s="200"/>
      <c r="V36" s="200"/>
      <c r="W36" s="200"/>
      <c r="X36" s="200"/>
      <c r="Y36" s="200"/>
      <c r="Z36" s="200"/>
      <c r="AA36" s="200"/>
      <c r="AB36" s="200"/>
      <c r="AC36" s="208"/>
      <c r="AD36" s="11" t="str">
        <f t="shared" si="0"/>
        <v>10</v>
      </c>
      <c r="AF36" t="str">
        <f t="shared" si="1"/>
        <v>80.01.ZZ.010</v>
      </c>
      <c r="AH36" t="str">
        <f t="shared" si="2"/>
        <v>00 de 01</v>
      </c>
    </row>
    <row r="37" spans="1:34" ht="34.5" x14ac:dyDescent="0.25">
      <c r="A37" s="139" t="s">
        <v>116</v>
      </c>
      <c r="B37" s="105" t="s">
        <v>122</v>
      </c>
      <c r="C37" s="63">
        <v>25</v>
      </c>
      <c r="D37" s="197" t="s">
        <v>190</v>
      </c>
      <c r="E37" s="189" t="s">
        <v>946</v>
      </c>
      <c r="F37" s="190" t="s">
        <v>123</v>
      </c>
      <c r="G37" s="189" t="s">
        <v>135</v>
      </c>
      <c r="H37" s="191">
        <v>50592</v>
      </c>
      <c r="I37" s="189" t="s">
        <v>906</v>
      </c>
      <c r="J37" s="189">
        <v>0</v>
      </c>
      <c r="K37" s="189" t="s">
        <v>910</v>
      </c>
      <c r="L37" s="191">
        <v>10</v>
      </c>
      <c r="M37" s="192">
        <v>46092</v>
      </c>
      <c r="N37" s="193">
        <v>1</v>
      </c>
      <c r="O37" s="194">
        <v>1</v>
      </c>
      <c r="P37" s="195"/>
      <c r="Q37" s="196" t="s">
        <v>38</v>
      </c>
      <c r="R37" s="197">
        <v>1</v>
      </c>
      <c r="S37" s="198" t="s">
        <v>33</v>
      </c>
      <c r="T37" s="199"/>
      <c r="U37" s="200"/>
      <c r="V37" s="200"/>
      <c r="W37" s="200"/>
      <c r="X37" s="200"/>
      <c r="Y37" s="200"/>
      <c r="Z37" s="200"/>
      <c r="AA37" s="200"/>
      <c r="AB37" s="200"/>
      <c r="AC37" s="208"/>
      <c r="AD37" s="11" t="str">
        <f t="shared" si="0"/>
        <v>10</v>
      </c>
      <c r="AF37" t="str">
        <f t="shared" si="1"/>
        <v>80.01.ZZ.010</v>
      </c>
      <c r="AH37" t="str">
        <f t="shared" si="2"/>
        <v>00 de 01</v>
      </c>
    </row>
    <row r="38" spans="1:34" ht="34.5" x14ac:dyDescent="0.25">
      <c r="A38" s="139" t="s">
        <v>116</v>
      </c>
      <c r="B38" s="105" t="s">
        <v>122</v>
      </c>
      <c r="C38" s="63">
        <v>26</v>
      </c>
      <c r="D38" s="197" t="s">
        <v>933</v>
      </c>
      <c r="E38" s="189" t="s">
        <v>947</v>
      </c>
      <c r="F38" s="190" t="s">
        <v>123</v>
      </c>
      <c r="G38" s="189" t="s">
        <v>135</v>
      </c>
      <c r="H38" s="191">
        <v>50592</v>
      </c>
      <c r="I38" s="189" t="s">
        <v>906</v>
      </c>
      <c r="J38" s="189">
        <v>0</v>
      </c>
      <c r="K38" s="189" t="s">
        <v>910</v>
      </c>
      <c r="L38" s="191">
        <v>10</v>
      </c>
      <c r="M38" s="192">
        <v>46092</v>
      </c>
      <c r="N38" s="193">
        <v>1</v>
      </c>
      <c r="O38" s="194">
        <v>1</v>
      </c>
      <c r="P38" s="195"/>
      <c r="Q38" s="196" t="s">
        <v>38</v>
      </c>
      <c r="R38" s="197">
        <v>1</v>
      </c>
      <c r="S38" s="198" t="s">
        <v>33</v>
      </c>
      <c r="T38" s="199"/>
      <c r="U38" s="200"/>
      <c r="V38" s="200"/>
      <c r="W38" s="200"/>
      <c r="X38" s="200"/>
      <c r="Y38" s="200"/>
      <c r="Z38" s="200"/>
      <c r="AA38" s="200"/>
      <c r="AB38" s="200"/>
      <c r="AC38" s="208"/>
      <c r="AD38" s="11" t="str">
        <f t="shared" si="0"/>
        <v>10</v>
      </c>
      <c r="AF38" t="str">
        <f t="shared" si="1"/>
        <v>80.01.ZZ.010</v>
      </c>
      <c r="AH38" t="str">
        <f t="shared" si="2"/>
        <v>00 de 01</v>
      </c>
    </row>
    <row r="39" spans="1:34" ht="34.5" x14ac:dyDescent="0.25">
      <c r="A39" s="139" t="s">
        <v>116</v>
      </c>
      <c r="B39" s="105" t="s">
        <v>122</v>
      </c>
      <c r="C39" s="63">
        <v>27</v>
      </c>
      <c r="D39" s="197" t="s">
        <v>190</v>
      </c>
      <c r="E39" s="189" t="s">
        <v>948</v>
      </c>
      <c r="F39" s="190" t="s">
        <v>123</v>
      </c>
      <c r="G39" s="189" t="s">
        <v>135</v>
      </c>
      <c r="H39" s="191">
        <v>50592</v>
      </c>
      <c r="I39" s="189" t="s">
        <v>906</v>
      </c>
      <c r="J39" s="189">
        <v>0</v>
      </c>
      <c r="K39" s="189" t="s">
        <v>910</v>
      </c>
      <c r="L39" s="191">
        <v>10</v>
      </c>
      <c r="M39" s="192">
        <v>46092</v>
      </c>
      <c r="N39" s="193">
        <v>1</v>
      </c>
      <c r="O39" s="194">
        <v>1</v>
      </c>
      <c r="P39" s="195"/>
      <c r="Q39" s="196" t="s">
        <v>38</v>
      </c>
      <c r="R39" s="197">
        <v>1</v>
      </c>
      <c r="S39" s="198" t="s">
        <v>33</v>
      </c>
      <c r="T39" s="199"/>
      <c r="U39" s="200"/>
      <c r="V39" s="200"/>
      <c r="W39" s="200"/>
      <c r="X39" s="200"/>
      <c r="Y39" s="200"/>
      <c r="Z39" s="200"/>
      <c r="AA39" s="200"/>
      <c r="AB39" s="200"/>
      <c r="AC39" s="208"/>
      <c r="AD39" s="11" t="str">
        <f t="shared" si="0"/>
        <v>10</v>
      </c>
      <c r="AF39" t="str">
        <f t="shared" si="1"/>
        <v>80.01.ZZ.010</v>
      </c>
      <c r="AH39" t="str">
        <f t="shared" si="2"/>
        <v>00 de 01</v>
      </c>
    </row>
    <row r="40" spans="1:34" ht="34.5" x14ac:dyDescent="0.25">
      <c r="A40" s="139" t="s">
        <v>116</v>
      </c>
      <c r="B40" s="105" t="s">
        <v>122</v>
      </c>
      <c r="C40" s="63">
        <v>28</v>
      </c>
      <c r="D40" s="197" t="s">
        <v>190</v>
      </c>
      <c r="E40" s="189" t="s">
        <v>949</v>
      </c>
      <c r="F40" s="190" t="s">
        <v>123</v>
      </c>
      <c r="G40" s="189" t="s">
        <v>135</v>
      </c>
      <c r="H40" s="191">
        <v>50592</v>
      </c>
      <c r="I40" s="189" t="s">
        <v>906</v>
      </c>
      <c r="J40" s="189">
        <v>0</v>
      </c>
      <c r="K40" s="189" t="s">
        <v>910</v>
      </c>
      <c r="L40" s="191">
        <v>10</v>
      </c>
      <c r="M40" s="192">
        <v>46092</v>
      </c>
      <c r="N40" s="193">
        <v>1</v>
      </c>
      <c r="O40" s="194">
        <v>1</v>
      </c>
      <c r="P40" s="195"/>
      <c r="Q40" s="196" t="s">
        <v>38</v>
      </c>
      <c r="R40" s="197">
        <v>1</v>
      </c>
      <c r="S40" s="198" t="s">
        <v>33</v>
      </c>
      <c r="T40" s="199"/>
      <c r="U40" s="200"/>
      <c r="V40" s="200"/>
      <c r="W40" s="200"/>
      <c r="X40" s="200"/>
      <c r="Y40" s="200"/>
      <c r="Z40" s="200"/>
      <c r="AA40" s="200"/>
      <c r="AB40" s="200"/>
      <c r="AC40" s="208"/>
      <c r="AD40" s="11" t="str">
        <f t="shared" si="0"/>
        <v>10</v>
      </c>
      <c r="AF40" t="str">
        <f t="shared" si="1"/>
        <v>80.01.ZZ.010</v>
      </c>
      <c r="AH40" t="str">
        <f t="shared" si="2"/>
        <v>00 de 01</v>
      </c>
    </row>
    <row r="41" spans="1:34" ht="34.5" x14ac:dyDescent="0.25">
      <c r="A41" s="139" t="s">
        <v>116</v>
      </c>
      <c r="B41" s="105" t="s">
        <v>122</v>
      </c>
      <c r="C41" s="63">
        <v>29</v>
      </c>
      <c r="D41" s="197" t="s">
        <v>933</v>
      </c>
      <c r="E41" s="189" t="s">
        <v>950</v>
      </c>
      <c r="F41" s="190" t="s">
        <v>123</v>
      </c>
      <c r="G41" s="189" t="s">
        <v>135</v>
      </c>
      <c r="H41" s="191">
        <v>50592</v>
      </c>
      <c r="I41" s="189" t="s">
        <v>906</v>
      </c>
      <c r="J41" s="189">
        <v>0</v>
      </c>
      <c r="K41" s="189" t="s">
        <v>911</v>
      </c>
      <c r="L41" s="191">
        <v>10</v>
      </c>
      <c r="M41" s="192">
        <v>46092</v>
      </c>
      <c r="N41" s="193">
        <v>1</v>
      </c>
      <c r="O41" s="194">
        <v>1</v>
      </c>
      <c r="P41" s="195"/>
      <c r="Q41" s="196" t="s">
        <v>38</v>
      </c>
      <c r="R41" s="197">
        <v>1</v>
      </c>
      <c r="S41" s="198" t="s">
        <v>33</v>
      </c>
      <c r="T41" s="199"/>
      <c r="U41" s="200"/>
      <c r="V41" s="200"/>
      <c r="W41" s="200"/>
      <c r="X41" s="200"/>
      <c r="Y41" s="200"/>
      <c r="Z41" s="200"/>
      <c r="AA41" s="200"/>
      <c r="AB41" s="200"/>
      <c r="AC41" s="208"/>
      <c r="AD41" s="11" t="str">
        <f t="shared" si="0"/>
        <v>10</v>
      </c>
      <c r="AF41" t="str">
        <f t="shared" si="1"/>
        <v>80.01.ZZ.010</v>
      </c>
      <c r="AH41" t="str">
        <f t="shared" si="2"/>
        <v>00 de 01</v>
      </c>
    </row>
    <row r="42" spans="1:34" ht="34.5" x14ac:dyDescent="0.25">
      <c r="A42" s="139" t="s">
        <v>116</v>
      </c>
      <c r="B42" s="105" t="s">
        <v>122</v>
      </c>
      <c r="C42" s="63">
        <v>30</v>
      </c>
      <c r="D42" s="197" t="s">
        <v>933</v>
      </c>
      <c r="E42" s="189" t="s">
        <v>951</v>
      </c>
      <c r="F42" s="190" t="s">
        <v>123</v>
      </c>
      <c r="G42" s="189" t="s">
        <v>135</v>
      </c>
      <c r="H42" s="191">
        <v>50592</v>
      </c>
      <c r="I42" s="189" t="s">
        <v>906</v>
      </c>
      <c r="J42" s="189">
        <v>0</v>
      </c>
      <c r="K42" s="189" t="s">
        <v>911</v>
      </c>
      <c r="L42" s="191">
        <v>10</v>
      </c>
      <c r="M42" s="192">
        <v>46092</v>
      </c>
      <c r="N42" s="193">
        <v>1</v>
      </c>
      <c r="O42" s="194">
        <v>1</v>
      </c>
      <c r="P42" s="195"/>
      <c r="Q42" s="196" t="s">
        <v>38</v>
      </c>
      <c r="R42" s="197">
        <v>1</v>
      </c>
      <c r="S42" s="198" t="s">
        <v>33</v>
      </c>
      <c r="T42" s="199"/>
      <c r="U42" s="200"/>
      <c r="V42" s="200"/>
      <c r="W42" s="200"/>
      <c r="X42" s="200"/>
      <c r="Y42" s="200"/>
      <c r="Z42" s="200"/>
      <c r="AA42" s="200"/>
      <c r="AB42" s="200"/>
      <c r="AC42" s="208"/>
      <c r="AD42" s="11" t="str">
        <f t="shared" si="0"/>
        <v>10</v>
      </c>
      <c r="AF42" t="str">
        <f t="shared" si="1"/>
        <v>80.01.ZZ.010</v>
      </c>
      <c r="AH42" t="str">
        <f t="shared" si="2"/>
        <v>00 de 01</v>
      </c>
    </row>
    <row r="43" spans="1:34" ht="34.5" x14ac:dyDescent="0.25">
      <c r="A43" s="139" t="s">
        <v>116</v>
      </c>
      <c r="B43" s="105" t="s">
        <v>122</v>
      </c>
      <c r="C43" s="63">
        <v>31</v>
      </c>
      <c r="D43" s="197" t="s">
        <v>190</v>
      </c>
      <c r="E43" s="189" t="s">
        <v>952</v>
      </c>
      <c r="F43" s="190" t="s">
        <v>123</v>
      </c>
      <c r="G43" s="189" t="s">
        <v>135</v>
      </c>
      <c r="H43" s="191">
        <v>50592</v>
      </c>
      <c r="I43" s="189" t="s">
        <v>906</v>
      </c>
      <c r="J43" s="189">
        <v>0</v>
      </c>
      <c r="K43" s="189" t="s">
        <v>911</v>
      </c>
      <c r="L43" s="191">
        <v>10</v>
      </c>
      <c r="M43" s="192">
        <v>46092</v>
      </c>
      <c r="N43" s="193">
        <v>1</v>
      </c>
      <c r="O43" s="194">
        <v>1</v>
      </c>
      <c r="P43" s="195"/>
      <c r="Q43" s="196" t="s">
        <v>38</v>
      </c>
      <c r="R43" s="197">
        <v>1</v>
      </c>
      <c r="S43" s="198" t="s">
        <v>33</v>
      </c>
      <c r="T43" s="199"/>
      <c r="U43" s="200"/>
      <c r="V43" s="200"/>
      <c r="W43" s="200"/>
      <c r="X43" s="200"/>
      <c r="Y43" s="200"/>
      <c r="Z43" s="200"/>
      <c r="AA43" s="200"/>
      <c r="AB43" s="200"/>
      <c r="AC43" s="208"/>
      <c r="AD43" s="11" t="str">
        <f t="shared" si="0"/>
        <v>10</v>
      </c>
      <c r="AF43" t="str">
        <f t="shared" si="1"/>
        <v>80.01.ZZ.010</v>
      </c>
      <c r="AH43" t="str">
        <f t="shared" si="2"/>
        <v>00 de 01</v>
      </c>
    </row>
    <row r="44" spans="1:34" ht="34.5" x14ac:dyDescent="0.25">
      <c r="A44" s="139" t="s">
        <v>116</v>
      </c>
      <c r="B44" s="105" t="s">
        <v>122</v>
      </c>
      <c r="C44" s="63">
        <v>32</v>
      </c>
      <c r="D44" s="197" t="s">
        <v>190</v>
      </c>
      <c r="E44" s="189" t="s">
        <v>953</v>
      </c>
      <c r="F44" s="190" t="s">
        <v>123</v>
      </c>
      <c r="G44" s="189" t="s">
        <v>135</v>
      </c>
      <c r="H44" s="191">
        <v>50592</v>
      </c>
      <c r="I44" s="189" t="s">
        <v>906</v>
      </c>
      <c r="J44" s="189">
        <v>0</v>
      </c>
      <c r="K44" s="189" t="s">
        <v>911</v>
      </c>
      <c r="L44" s="191">
        <v>10</v>
      </c>
      <c r="M44" s="192">
        <v>46092</v>
      </c>
      <c r="N44" s="193">
        <v>1</v>
      </c>
      <c r="O44" s="194">
        <v>1</v>
      </c>
      <c r="P44" s="195"/>
      <c r="Q44" s="196" t="s">
        <v>38</v>
      </c>
      <c r="R44" s="197">
        <v>1</v>
      </c>
      <c r="S44" s="198" t="s">
        <v>33</v>
      </c>
      <c r="T44" s="199"/>
      <c r="U44" s="200"/>
      <c r="V44" s="200"/>
      <c r="W44" s="200"/>
      <c r="X44" s="200"/>
      <c r="Y44" s="200"/>
      <c r="Z44" s="200"/>
      <c r="AA44" s="200"/>
      <c r="AB44" s="200"/>
      <c r="AC44" s="208"/>
      <c r="AD44" s="11" t="str">
        <f t="shared" si="0"/>
        <v>10</v>
      </c>
      <c r="AF44" t="str">
        <f t="shared" si="1"/>
        <v>80.01.ZZ.010</v>
      </c>
      <c r="AH44" t="str">
        <f t="shared" si="2"/>
        <v>00 de 01</v>
      </c>
    </row>
    <row r="45" spans="1:34" ht="34.5" x14ac:dyDescent="0.25">
      <c r="A45" s="139" t="s">
        <v>116</v>
      </c>
      <c r="B45" s="105" t="s">
        <v>122</v>
      </c>
      <c r="C45" s="63">
        <v>33</v>
      </c>
      <c r="D45" s="197" t="s">
        <v>133</v>
      </c>
      <c r="E45" s="189" t="s">
        <v>954</v>
      </c>
      <c r="F45" s="190" t="s">
        <v>123</v>
      </c>
      <c r="G45" s="189" t="s">
        <v>135</v>
      </c>
      <c r="H45" s="191">
        <v>50592</v>
      </c>
      <c r="I45" s="189" t="s">
        <v>906</v>
      </c>
      <c r="J45" s="189">
        <v>0</v>
      </c>
      <c r="K45" s="189" t="s">
        <v>911</v>
      </c>
      <c r="L45" s="191">
        <v>10</v>
      </c>
      <c r="M45" s="192">
        <v>46092</v>
      </c>
      <c r="N45" s="193">
        <v>1</v>
      </c>
      <c r="O45" s="194">
        <v>1</v>
      </c>
      <c r="P45" s="195"/>
      <c r="Q45" s="196" t="s">
        <v>38</v>
      </c>
      <c r="R45" s="197">
        <v>1</v>
      </c>
      <c r="S45" s="198" t="s">
        <v>33</v>
      </c>
      <c r="T45" s="199"/>
      <c r="U45" s="200"/>
      <c r="V45" s="200"/>
      <c r="W45" s="200"/>
      <c r="X45" s="200"/>
      <c r="Y45" s="200"/>
      <c r="Z45" s="200"/>
      <c r="AA45" s="200"/>
      <c r="AB45" s="200"/>
      <c r="AC45" s="208"/>
      <c r="AD45" s="11" t="str">
        <f t="shared" si="0"/>
        <v>10</v>
      </c>
      <c r="AF45" t="str">
        <f t="shared" si="1"/>
        <v>80.01.ZZ.010</v>
      </c>
      <c r="AH45" t="str">
        <f t="shared" si="2"/>
        <v>00 de 01</v>
      </c>
    </row>
    <row r="46" spans="1:34" ht="34.5" x14ac:dyDescent="0.25">
      <c r="A46" s="139" t="s">
        <v>116</v>
      </c>
      <c r="B46" s="105" t="s">
        <v>122</v>
      </c>
      <c r="C46" s="63">
        <v>34</v>
      </c>
      <c r="D46" s="197" t="s">
        <v>933</v>
      </c>
      <c r="E46" s="189" t="s">
        <v>955</v>
      </c>
      <c r="F46" s="190" t="s">
        <v>123</v>
      </c>
      <c r="G46" s="189" t="s">
        <v>135</v>
      </c>
      <c r="H46" s="191">
        <v>50592</v>
      </c>
      <c r="I46" s="189" t="s">
        <v>906</v>
      </c>
      <c r="J46" s="189">
        <v>0</v>
      </c>
      <c r="K46" s="189" t="s">
        <v>911</v>
      </c>
      <c r="L46" s="191">
        <v>10</v>
      </c>
      <c r="M46" s="192">
        <v>46092</v>
      </c>
      <c r="N46" s="193">
        <v>1</v>
      </c>
      <c r="O46" s="194">
        <v>1</v>
      </c>
      <c r="P46" s="195"/>
      <c r="Q46" s="196" t="s">
        <v>38</v>
      </c>
      <c r="R46" s="197">
        <v>1</v>
      </c>
      <c r="S46" s="198" t="s">
        <v>33</v>
      </c>
      <c r="T46" s="199"/>
      <c r="U46" s="200"/>
      <c r="V46" s="200"/>
      <c r="W46" s="200"/>
      <c r="X46" s="200"/>
      <c r="Y46" s="200"/>
      <c r="Z46" s="200"/>
      <c r="AA46" s="200"/>
      <c r="AB46" s="200"/>
      <c r="AC46" s="208"/>
      <c r="AD46" s="11" t="str">
        <f t="shared" si="0"/>
        <v>10</v>
      </c>
      <c r="AF46" t="str">
        <f t="shared" si="1"/>
        <v>80.01.ZZ.010</v>
      </c>
      <c r="AH46" t="str">
        <f t="shared" si="2"/>
        <v>00 de 01</v>
      </c>
    </row>
    <row r="47" spans="1:34" ht="34.5" x14ac:dyDescent="0.25">
      <c r="A47" s="139" t="s">
        <v>116</v>
      </c>
      <c r="B47" s="105" t="s">
        <v>122</v>
      </c>
      <c r="C47" s="63">
        <v>35</v>
      </c>
      <c r="D47" s="197" t="s">
        <v>933</v>
      </c>
      <c r="E47" s="189" t="s">
        <v>956</v>
      </c>
      <c r="F47" s="190" t="s">
        <v>123</v>
      </c>
      <c r="G47" s="189" t="s">
        <v>135</v>
      </c>
      <c r="H47" s="191">
        <v>50592</v>
      </c>
      <c r="I47" s="189" t="s">
        <v>906</v>
      </c>
      <c r="J47" s="189">
        <v>0</v>
      </c>
      <c r="K47" s="189" t="s">
        <v>911</v>
      </c>
      <c r="L47" s="191">
        <v>10</v>
      </c>
      <c r="M47" s="192">
        <v>46092</v>
      </c>
      <c r="N47" s="193">
        <v>1</v>
      </c>
      <c r="O47" s="194">
        <v>1</v>
      </c>
      <c r="P47" s="195"/>
      <c r="Q47" s="196" t="s">
        <v>38</v>
      </c>
      <c r="R47" s="197">
        <v>1</v>
      </c>
      <c r="S47" s="198" t="s">
        <v>33</v>
      </c>
      <c r="T47" s="199"/>
      <c r="U47" s="200"/>
      <c r="V47" s="200"/>
      <c r="W47" s="200"/>
      <c r="X47" s="200"/>
      <c r="Y47" s="200"/>
      <c r="Z47" s="200"/>
      <c r="AA47" s="200"/>
      <c r="AB47" s="200"/>
      <c r="AC47" s="208"/>
      <c r="AD47" s="11" t="str">
        <f t="shared" si="0"/>
        <v>10</v>
      </c>
      <c r="AF47" t="str">
        <f t="shared" si="1"/>
        <v>80.01.ZZ.010</v>
      </c>
      <c r="AH47" t="str">
        <f t="shared" si="2"/>
        <v>00 de 01</v>
      </c>
    </row>
    <row r="48" spans="1:34" ht="34.5" x14ac:dyDescent="0.25">
      <c r="A48" s="139" t="s">
        <v>116</v>
      </c>
      <c r="B48" s="105" t="s">
        <v>122</v>
      </c>
      <c r="C48" s="63">
        <v>36</v>
      </c>
      <c r="D48" s="197" t="s">
        <v>190</v>
      </c>
      <c r="E48" s="189" t="s">
        <v>957</v>
      </c>
      <c r="F48" s="190" t="s">
        <v>123</v>
      </c>
      <c r="G48" s="189" t="s">
        <v>135</v>
      </c>
      <c r="H48" s="191">
        <v>50592</v>
      </c>
      <c r="I48" s="189" t="s">
        <v>906</v>
      </c>
      <c r="J48" s="189">
        <v>0</v>
      </c>
      <c r="K48" s="189" t="s">
        <v>911</v>
      </c>
      <c r="L48" s="191">
        <v>10</v>
      </c>
      <c r="M48" s="192">
        <v>46092</v>
      </c>
      <c r="N48" s="193">
        <v>1</v>
      </c>
      <c r="O48" s="194">
        <v>1</v>
      </c>
      <c r="P48" s="195"/>
      <c r="Q48" s="196" t="s">
        <v>38</v>
      </c>
      <c r="R48" s="197">
        <v>1</v>
      </c>
      <c r="S48" s="198" t="s">
        <v>33</v>
      </c>
      <c r="T48" s="199"/>
      <c r="U48" s="200"/>
      <c r="V48" s="200"/>
      <c r="W48" s="200"/>
      <c r="X48" s="200"/>
      <c r="Y48" s="200"/>
      <c r="Z48" s="200"/>
      <c r="AA48" s="200"/>
      <c r="AB48" s="200"/>
      <c r="AC48" s="208"/>
      <c r="AD48" s="11" t="str">
        <f t="shared" si="0"/>
        <v>10</v>
      </c>
      <c r="AF48" t="str">
        <f t="shared" si="1"/>
        <v>80.01.ZZ.010</v>
      </c>
      <c r="AH48" t="str">
        <f t="shared" si="2"/>
        <v>00 de 01</v>
      </c>
    </row>
    <row r="49" spans="1:34" ht="34.5" x14ac:dyDescent="0.25">
      <c r="A49" s="139" t="s">
        <v>116</v>
      </c>
      <c r="B49" s="105" t="s">
        <v>122</v>
      </c>
      <c r="C49" s="63">
        <v>37</v>
      </c>
      <c r="D49" s="197" t="s">
        <v>190</v>
      </c>
      <c r="E49" s="189" t="s">
        <v>958</v>
      </c>
      <c r="F49" s="190" t="s">
        <v>123</v>
      </c>
      <c r="G49" s="189" t="s">
        <v>135</v>
      </c>
      <c r="H49" s="191">
        <v>50592</v>
      </c>
      <c r="I49" s="189" t="s">
        <v>906</v>
      </c>
      <c r="J49" s="189">
        <v>0</v>
      </c>
      <c r="K49" s="189" t="s">
        <v>911</v>
      </c>
      <c r="L49" s="191">
        <v>10</v>
      </c>
      <c r="M49" s="192">
        <v>46092</v>
      </c>
      <c r="N49" s="193">
        <v>1</v>
      </c>
      <c r="O49" s="194">
        <v>1</v>
      </c>
      <c r="P49" s="195"/>
      <c r="Q49" s="196" t="s">
        <v>38</v>
      </c>
      <c r="R49" s="197">
        <v>1</v>
      </c>
      <c r="S49" s="198" t="s">
        <v>33</v>
      </c>
      <c r="T49" s="199"/>
      <c r="U49" s="200"/>
      <c r="V49" s="200"/>
      <c r="W49" s="200"/>
      <c r="X49" s="200"/>
      <c r="Y49" s="200"/>
      <c r="Z49" s="200"/>
      <c r="AA49" s="200"/>
      <c r="AB49" s="200"/>
      <c r="AC49" s="208"/>
      <c r="AD49" s="11" t="str">
        <f t="shared" si="0"/>
        <v>10</v>
      </c>
      <c r="AF49" t="str">
        <f t="shared" si="1"/>
        <v>80.01.ZZ.010</v>
      </c>
      <c r="AH49" t="str">
        <f t="shared" si="2"/>
        <v>00 de 01</v>
      </c>
    </row>
    <row r="50" spans="1:34" ht="34.5" x14ac:dyDescent="0.25">
      <c r="A50" s="139" t="s">
        <v>116</v>
      </c>
      <c r="B50" s="105" t="s">
        <v>122</v>
      </c>
      <c r="C50" s="63">
        <v>38</v>
      </c>
      <c r="D50" s="197" t="s">
        <v>933</v>
      </c>
      <c r="E50" s="189" t="s">
        <v>959</v>
      </c>
      <c r="F50" s="190" t="s">
        <v>123</v>
      </c>
      <c r="G50" s="189" t="s">
        <v>135</v>
      </c>
      <c r="H50" s="191">
        <v>50592</v>
      </c>
      <c r="I50" s="189" t="s">
        <v>906</v>
      </c>
      <c r="J50" s="189">
        <v>0</v>
      </c>
      <c r="K50" s="189" t="s">
        <v>911</v>
      </c>
      <c r="L50" s="191">
        <v>10</v>
      </c>
      <c r="M50" s="192">
        <v>46092</v>
      </c>
      <c r="N50" s="193">
        <v>1</v>
      </c>
      <c r="O50" s="194">
        <v>1</v>
      </c>
      <c r="P50" s="195"/>
      <c r="Q50" s="196" t="s">
        <v>38</v>
      </c>
      <c r="R50" s="197">
        <v>1</v>
      </c>
      <c r="S50" s="198" t="s">
        <v>33</v>
      </c>
      <c r="T50" s="199"/>
      <c r="U50" s="200"/>
      <c r="V50" s="200"/>
      <c r="W50" s="200"/>
      <c r="X50" s="200"/>
      <c r="Y50" s="200"/>
      <c r="Z50" s="200"/>
      <c r="AA50" s="200"/>
      <c r="AB50" s="200"/>
      <c r="AC50" s="208"/>
      <c r="AD50" s="11" t="str">
        <f t="shared" si="0"/>
        <v>10</v>
      </c>
      <c r="AF50" t="str">
        <f t="shared" si="1"/>
        <v>80.01.ZZ.010</v>
      </c>
      <c r="AH50" t="str">
        <f t="shared" si="2"/>
        <v>00 de 01</v>
      </c>
    </row>
    <row r="51" spans="1:34" ht="34.5" x14ac:dyDescent="0.25">
      <c r="A51" s="139" t="s">
        <v>116</v>
      </c>
      <c r="B51" s="105" t="s">
        <v>122</v>
      </c>
      <c r="C51" s="63">
        <v>39</v>
      </c>
      <c r="D51" s="197" t="s">
        <v>933</v>
      </c>
      <c r="E51" s="189" t="s">
        <v>960</v>
      </c>
      <c r="F51" s="190" t="s">
        <v>123</v>
      </c>
      <c r="G51" s="189" t="s">
        <v>135</v>
      </c>
      <c r="H51" s="191">
        <v>50592</v>
      </c>
      <c r="I51" s="189" t="s">
        <v>906</v>
      </c>
      <c r="J51" s="189">
        <v>0</v>
      </c>
      <c r="K51" s="189" t="s">
        <v>911</v>
      </c>
      <c r="L51" s="191">
        <v>10</v>
      </c>
      <c r="M51" s="192">
        <v>46092</v>
      </c>
      <c r="N51" s="193">
        <v>1</v>
      </c>
      <c r="O51" s="194">
        <v>1</v>
      </c>
      <c r="P51" s="195"/>
      <c r="Q51" s="196" t="s">
        <v>38</v>
      </c>
      <c r="R51" s="197">
        <v>1</v>
      </c>
      <c r="S51" s="198" t="s">
        <v>33</v>
      </c>
      <c r="T51" s="199"/>
      <c r="U51" s="200"/>
      <c r="V51" s="200"/>
      <c r="W51" s="200"/>
      <c r="X51" s="200"/>
      <c r="Y51" s="200"/>
      <c r="Z51" s="200"/>
      <c r="AA51" s="200"/>
      <c r="AB51" s="200"/>
      <c r="AC51" s="208"/>
      <c r="AD51" s="11" t="str">
        <f t="shared" si="0"/>
        <v>10</v>
      </c>
      <c r="AF51" t="str">
        <f t="shared" si="1"/>
        <v>80.01.ZZ.010</v>
      </c>
      <c r="AH51" t="str">
        <f t="shared" si="2"/>
        <v>00 de 01</v>
      </c>
    </row>
    <row r="52" spans="1:34" ht="34.5" x14ac:dyDescent="0.25">
      <c r="A52" s="139" t="s">
        <v>116</v>
      </c>
      <c r="B52" s="105" t="s">
        <v>122</v>
      </c>
      <c r="C52" s="63">
        <v>40</v>
      </c>
      <c r="D52" s="197" t="s">
        <v>190</v>
      </c>
      <c r="E52" s="189" t="s">
        <v>961</v>
      </c>
      <c r="F52" s="190" t="s">
        <v>123</v>
      </c>
      <c r="G52" s="189" t="s">
        <v>135</v>
      </c>
      <c r="H52" s="191">
        <v>50592</v>
      </c>
      <c r="I52" s="189" t="s">
        <v>906</v>
      </c>
      <c r="J52" s="189">
        <v>0</v>
      </c>
      <c r="K52" s="189" t="s">
        <v>911</v>
      </c>
      <c r="L52" s="191">
        <v>10</v>
      </c>
      <c r="M52" s="192">
        <v>46092</v>
      </c>
      <c r="N52" s="193">
        <v>1</v>
      </c>
      <c r="O52" s="194">
        <v>1</v>
      </c>
      <c r="P52" s="195"/>
      <c r="Q52" s="196" t="s">
        <v>38</v>
      </c>
      <c r="R52" s="197">
        <v>1</v>
      </c>
      <c r="S52" s="198" t="s">
        <v>33</v>
      </c>
      <c r="T52" s="199"/>
      <c r="U52" s="200"/>
      <c r="V52" s="200"/>
      <c r="W52" s="200"/>
      <c r="X52" s="200"/>
      <c r="Y52" s="200"/>
      <c r="Z52" s="200"/>
      <c r="AA52" s="200"/>
      <c r="AB52" s="200"/>
      <c r="AC52" s="208"/>
      <c r="AD52" s="11" t="str">
        <f t="shared" si="0"/>
        <v>10</v>
      </c>
      <c r="AF52" t="str">
        <f t="shared" si="1"/>
        <v>80.01.ZZ.010</v>
      </c>
      <c r="AH52" t="str">
        <f t="shared" si="2"/>
        <v>00 de 01</v>
      </c>
    </row>
    <row r="53" spans="1:34" ht="34.5" x14ac:dyDescent="0.25">
      <c r="A53" s="139" t="s">
        <v>116</v>
      </c>
      <c r="B53" s="105" t="s">
        <v>122</v>
      </c>
      <c r="C53" s="63">
        <v>41</v>
      </c>
      <c r="D53" s="197" t="s">
        <v>190</v>
      </c>
      <c r="E53" s="189" t="s">
        <v>962</v>
      </c>
      <c r="F53" s="190" t="s">
        <v>123</v>
      </c>
      <c r="G53" s="189" t="s">
        <v>135</v>
      </c>
      <c r="H53" s="191">
        <v>50592</v>
      </c>
      <c r="I53" s="189" t="s">
        <v>906</v>
      </c>
      <c r="J53" s="189">
        <v>0</v>
      </c>
      <c r="K53" s="189" t="s">
        <v>911</v>
      </c>
      <c r="L53" s="191">
        <v>10</v>
      </c>
      <c r="M53" s="192">
        <v>46092</v>
      </c>
      <c r="N53" s="193">
        <v>1</v>
      </c>
      <c r="O53" s="194">
        <v>1</v>
      </c>
      <c r="P53" s="195"/>
      <c r="Q53" s="196" t="s">
        <v>38</v>
      </c>
      <c r="R53" s="197">
        <v>1</v>
      </c>
      <c r="S53" s="198" t="s">
        <v>33</v>
      </c>
      <c r="T53" s="199"/>
      <c r="U53" s="200"/>
      <c r="V53" s="200"/>
      <c r="W53" s="200"/>
      <c r="X53" s="200"/>
      <c r="Y53" s="200"/>
      <c r="Z53" s="200"/>
      <c r="AA53" s="200"/>
      <c r="AB53" s="200"/>
      <c r="AC53" s="208"/>
      <c r="AD53" s="11" t="str">
        <f t="shared" si="0"/>
        <v>10</v>
      </c>
      <c r="AF53" t="str">
        <f t="shared" si="1"/>
        <v>80.01.ZZ.010</v>
      </c>
      <c r="AH53" t="str">
        <f t="shared" si="2"/>
        <v>00 de 01</v>
      </c>
    </row>
    <row r="54" spans="1:34" ht="34.5" x14ac:dyDescent="0.25">
      <c r="A54" s="139" t="s">
        <v>116</v>
      </c>
      <c r="B54" s="105" t="s">
        <v>122</v>
      </c>
      <c r="C54" s="63">
        <v>42</v>
      </c>
      <c r="D54" s="197" t="s">
        <v>933</v>
      </c>
      <c r="E54" s="189" t="s">
        <v>963</v>
      </c>
      <c r="F54" s="190" t="s">
        <v>123</v>
      </c>
      <c r="G54" s="189" t="s">
        <v>135</v>
      </c>
      <c r="H54" s="191">
        <v>50592</v>
      </c>
      <c r="I54" s="189" t="s">
        <v>906</v>
      </c>
      <c r="J54" s="189">
        <v>0</v>
      </c>
      <c r="K54" s="189" t="s">
        <v>911</v>
      </c>
      <c r="L54" s="191">
        <v>10</v>
      </c>
      <c r="M54" s="192">
        <v>46092</v>
      </c>
      <c r="N54" s="193">
        <v>1</v>
      </c>
      <c r="O54" s="194">
        <v>1</v>
      </c>
      <c r="P54" s="195"/>
      <c r="Q54" s="196" t="s">
        <v>38</v>
      </c>
      <c r="R54" s="197">
        <v>1</v>
      </c>
      <c r="S54" s="198" t="s">
        <v>33</v>
      </c>
      <c r="T54" s="199"/>
      <c r="U54" s="200"/>
      <c r="V54" s="200"/>
      <c r="W54" s="200"/>
      <c r="X54" s="200"/>
      <c r="Y54" s="200"/>
      <c r="Z54" s="200"/>
      <c r="AA54" s="200"/>
      <c r="AB54" s="200"/>
      <c r="AC54" s="208"/>
      <c r="AD54" s="11" t="str">
        <f t="shared" si="0"/>
        <v>10</v>
      </c>
      <c r="AF54" t="str">
        <f t="shared" si="1"/>
        <v>80.01.ZZ.010</v>
      </c>
      <c r="AH54" t="str">
        <f t="shared" si="2"/>
        <v>00 de 01</v>
      </c>
    </row>
    <row r="55" spans="1:34" ht="34.5" x14ac:dyDescent="0.25">
      <c r="A55" s="139" t="s">
        <v>116</v>
      </c>
      <c r="B55" s="105" t="s">
        <v>122</v>
      </c>
      <c r="C55" s="63">
        <v>43</v>
      </c>
      <c r="D55" s="197" t="s">
        <v>933</v>
      </c>
      <c r="E55" s="189" t="s">
        <v>964</v>
      </c>
      <c r="F55" s="190" t="s">
        <v>123</v>
      </c>
      <c r="G55" s="189" t="s">
        <v>135</v>
      </c>
      <c r="H55" s="191">
        <v>50592</v>
      </c>
      <c r="I55" s="189" t="s">
        <v>906</v>
      </c>
      <c r="J55" s="189">
        <v>0</v>
      </c>
      <c r="K55" s="189" t="s">
        <v>911</v>
      </c>
      <c r="L55" s="191">
        <v>10</v>
      </c>
      <c r="M55" s="192">
        <v>46092</v>
      </c>
      <c r="N55" s="193">
        <v>1</v>
      </c>
      <c r="O55" s="194">
        <v>1</v>
      </c>
      <c r="P55" s="195"/>
      <c r="Q55" s="196" t="s">
        <v>38</v>
      </c>
      <c r="R55" s="197">
        <v>1</v>
      </c>
      <c r="S55" s="198" t="s">
        <v>33</v>
      </c>
      <c r="T55" s="199"/>
      <c r="U55" s="200"/>
      <c r="V55" s="200"/>
      <c r="W55" s="200"/>
      <c r="X55" s="200"/>
      <c r="Y55" s="200"/>
      <c r="Z55" s="200"/>
      <c r="AA55" s="200"/>
      <c r="AB55" s="200"/>
      <c r="AC55" s="208"/>
      <c r="AD55" s="11" t="str">
        <f t="shared" si="0"/>
        <v>10</v>
      </c>
      <c r="AF55" t="str">
        <f t="shared" si="1"/>
        <v>80.01.ZZ.010</v>
      </c>
      <c r="AH55" t="str">
        <f t="shared" si="2"/>
        <v>00 de 01</v>
      </c>
    </row>
    <row r="56" spans="1:34" ht="34.5" x14ac:dyDescent="0.25">
      <c r="A56" s="139" t="s">
        <v>116</v>
      </c>
      <c r="B56" s="105" t="s">
        <v>122</v>
      </c>
      <c r="C56" s="63">
        <v>44</v>
      </c>
      <c r="D56" s="197" t="s">
        <v>933</v>
      </c>
      <c r="E56" s="189" t="s">
        <v>965</v>
      </c>
      <c r="F56" s="190" t="s">
        <v>123</v>
      </c>
      <c r="G56" s="189" t="s">
        <v>135</v>
      </c>
      <c r="H56" s="191">
        <v>50592</v>
      </c>
      <c r="I56" s="189" t="s">
        <v>906</v>
      </c>
      <c r="J56" s="189">
        <v>0</v>
      </c>
      <c r="K56" s="189" t="s">
        <v>911</v>
      </c>
      <c r="L56" s="191">
        <v>10</v>
      </c>
      <c r="M56" s="192">
        <v>46092</v>
      </c>
      <c r="N56" s="193">
        <v>1</v>
      </c>
      <c r="O56" s="194">
        <v>1</v>
      </c>
      <c r="P56" s="195"/>
      <c r="Q56" s="196" t="s">
        <v>38</v>
      </c>
      <c r="R56" s="197">
        <v>1</v>
      </c>
      <c r="S56" s="198" t="s">
        <v>33</v>
      </c>
      <c r="T56" s="199"/>
      <c r="U56" s="200"/>
      <c r="V56" s="200"/>
      <c r="W56" s="200"/>
      <c r="X56" s="200"/>
      <c r="Y56" s="200"/>
      <c r="Z56" s="200"/>
      <c r="AA56" s="200"/>
      <c r="AB56" s="200"/>
      <c r="AC56" s="208"/>
      <c r="AD56" s="11" t="str">
        <f t="shared" si="0"/>
        <v>10</v>
      </c>
      <c r="AF56" t="str">
        <f t="shared" si="1"/>
        <v>80.01.ZZ.010</v>
      </c>
      <c r="AH56" t="str">
        <f t="shared" si="2"/>
        <v>00 de 01</v>
      </c>
    </row>
    <row r="57" spans="1:34" ht="34.5" x14ac:dyDescent="0.25">
      <c r="A57" s="139" t="s">
        <v>116</v>
      </c>
      <c r="B57" s="105" t="s">
        <v>122</v>
      </c>
      <c r="C57" s="63">
        <v>45</v>
      </c>
      <c r="D57" s="197" t="s">
        <v>190</v>
      </c>
      <c r="E57" s="189" t="s">
        <v>966</v>
      </c>
      <c r="F57" s="190" t="s">
        <v>123</v>
      </c>
      <c r="G57" s="189" t="s">
        <v>135</v>
      </c>
      <c r="H57" s="191">
        <v>50592</v>
      </c>
      <c r="I57" s="189" t="s">
        <v>906</v>
      </c>
      <c r="J57" s="189">
        <v>0</v>
      </c>
      <c r="K57" s="189" t="s">
        <v>911</v>
      </c>
      <c r="L57" s="191">
        <v>10</v>
      </c>
      <c r="M57" s="192">
        <v>46092</v>
      </c>
      <c r="N57" s="193">
        <v>1</v>
      </c>
      <c r="O57" s="194">
        <v>1</v>
      </c>
      <c r="P57" s="195"/>
      <c r="Q57" s="196" t="s">
        <v>38</v>
      </c>
      <c r="R57" s="197">
        <v>1</v>
      </c>
      <c r="S57" s="198" t="s">
        <v>33</v>
      </c>
      <c r="T57" s="199"/>
      <c r="U57" s="200"/>
      <c r="V57" s="200"/>
      <c r="W57" s="200"/>
      <c r="X57" s="200"/>
      <c r="Y57" s="200"/>
      <c r="Z57" s="200"/>
      <c r="AA57" s="200"/>
      <c r="AB57" s="200"/>
      <c r="AC57" s="208"/>
      <c r="AD57" s="11" t="str">
        <f t="shared" si="0"/>
        <v>10</v>
      </c>
      <c r="AF57" t="str">
        <f t="shared" si="1"/>
        <v>80.01.ZZ.010</v>
      </c>
      <c r="AH57" t="str">
        <f t="shared" si="2"/>
        <v>00 de 01</v>
      </c>
    </row>
    <row r="58" spans="1:34" ht="34.5" x14ac:dyDescent="0.25">
      <c r="A58" s="139" t="s">
        <v>116</v>
      </c>
      <c r="B58" s="105" t="s">
        <v>122</v>
      </c>
      <c r="C58" s="63">
        <v>46</v>
      </c>
      <c r="D58" s="197" t="s">
        <v>933</v>
      </c>
      <c r="E58" s="189" t="s">
        <v>967</v>
      </c>
      <c r="F58" s="190" t="s">
        <v>123</v>
      </c>
      <c r="G58" s="189" t="s">
        <v>135</v>
      </c>
      <c r="H58" s="191">
        <v>50592</v>
      </c>
      <c r="I58" s="189" t="s">
        <v>906</v>
      </c>
      <c r="J58" s="189">
        <v>0</v>
      </c>
      <c r="K58" s="189" t="s">
        <v>912</v>
      </c>
      <c r="L58" s="191">
        <v>10</v>
      </c>
      <c r="M58" s="192">
        <v>46092</v>
      </c>
      <c r="N58" s="193">
        <v>1</v>
      </c>
      <c r="O58" s="194">
        <v>1</v>
      </c>
      <c r="P58" s="195"/>
      <c r="Q58" s="196" t="s">
        <v>38</v>
      </c>
      <c r="R58" s="197">
        <v>1</v>
      </c>
      <c r="S58" s="198" t="s">
        <v>33</v>
      </c>
      <c r="T58" s="199"/>
      <c r="U58" s="200"/>
      <c r="V58" s="200"/>
      <c r="W58" s="200"/>
      <c r="X58" s="200"/>
      <c r="Y58" s="200"/>
      <c r="Z58" s="200"/>
      <c r="AA58" s="200"/>
      <c r="AB58" s="200"/>
      <c r="AC58" s="208"/>
      <c r="AD58" s="11" t="str">
        <f t="shared" si="0"/>
        <v>10</v>
      </c>
      <c r="AF58" t="str">
        <f t="shared" si="1"/>
        <v>80.01.ZZ.010</v>
      </c>
      <c r="AH58" t="str">
        <f t="shared" si="2"/>
        <v>00 de 01</v>
      </c>
    </row>
    <row r="59" spans="1:34" ht="34.5" x14ac:dyDescent="0.25">
      <c r="A59" s="139" t="s">
        <v>116</v>
      </c>
      <c r="B59" s="105" t="s">
        <v>122</v>
      </c>
      <c r="C59" s="63">
        <v>47</v>
      </c>
      <c r="D59" s="197" t="s">
        <v>933</v>
      </c>
      <c r="E59" s="189" t="s">
        <v>968</v>
      </c>
      <c r="F59" s="190" t="s">
        <v>123</v>
      </c>
      <c r="G59" s="189" t="s">
        <v>135</v>
      </c>
      <c r="H59" s="191">
        <v>50592</v>
      </c>
      <c r="I59" s="189" t="s">
        <v>906</v>
      </c>
      <c r="J59" s="189">
        <v>0</v>
      </c>
      <c r="K59" s="189" t="s">
        <v>912</v>
      </c>
      <c r="L59" s="191">
        <v>10</v>
      </c>
      <c r="M59" s="192">
        <v>46092</v>
      </c>
      <c r="N59" s="193">
        <v>1</v>
      </c>
      <c r="O59" s="194">
        <v>1</v>
      </c>
      <c r="P59" s="195"/>
      <c r="Q59" s="196" t="s">
        <v>38</v>
      </c>
      <c r="R59" s="197">
        <v>1</v>
      </c>
      <c r="S59" s="198" t="s">
        <v>33</v>
      </c>
      <c r="T59" s="199"/>
      <c r="U59" s="200"/>
      <c r="V59" s="200"/>
      <c r="W59" s="200"/>
      <c r="X59" s="200"/>
      <c r="Y59" s="200"/>
      <c r="Z59" s="200"/>
      <c r="AA59" s="200"/>
      <c r="AB59" s="200"/>
      <c r="AC59" s="208"/>
      <c r="AD59" s="11" t="str">
        <f t="shared" si="0"/>
        <v>10</v>
      </c>
      <c r="AF59" t="str">
        <f t="shared" si="1"/>
        <v>80.01.ZZ.010</v>
      </c>
      <c r="AH59" t="str">
        <f t="shared" si="2"/>
        <v>00 de 01</v>
      </c>
    </row>
    <row r="60" spans="1:34" ht="34.5" x14ac:dyDescent="0.25">
      <c r="A60" s="139" t="s">
        <v>116</v>
      </c>
      <c r="B60" s="105" t="s">
        <v>122</v>
      </c>
      <c r="C60" s="63">
        <v>48</v>
      </c>
      <c r="D60" s="197" t="s">
        <v>190</v>
      </c>
      <c r="E60" s="189" t="s">
        <v>969</v>
      </c>
      <c r="F60" s="190" t="s">
        <v>123</v>
      </c>
      <c r="G60" s="189" t="s">
        <v>135</v>
      </c>
      <c r="H60" s="191">
        <v>50592</v>
      </c>
      <c r="I60" s="189" t="s">
        <v>906</v>
      </c>
      <c r="J60" s="189">
        <v>0</v>
      </c>
      <c r="K60" s="189" t="s">
        <v>912</v>
      </c>
      <c r="L60" s="191">
        <v>10</v>
      </c>
      <c r="M60" s="192">
        <v>46092</v>
      </c>
      <c r="N60" s="193">
        <v>1</v>
      </c>
      <c r="O60" s="194">
        <v>1</v>
      </c>
      <c r="P60" s="195"/>
      <c r="Q60" s="196" t="s">
        <v>38</v>
      </c>
      <c r="R60" s="197">
        <v>1</v>
      </c>
      <c r="S60" s="198" t="s">
        <v>33</v>
      </c>
      <c r="T60" s="199"/>
      <c r="U60" s="200"/>
      <c r="V60" s="200"/>
      <c r="W60" s="200"/>
      <c r="X60" s="200"/>
      <c r="Y60" s="200"/>
      <c r="Z60" s="200"/>
      <c r="AA60" s="200"/>
      <c r="AB60" s="200"/>
      <c r="AC60" s="208"/>
      <c r="AD60" s="11" t="str">
        <f t="shared" si="0"/>
        <v>10</v>
      </c>
      <c r="AF60" t="str">
        <f t="shared" si="1"/>
        <v>80.01.ZZ.010</v>
      </c>
      <c r="AH60" t="str">
        <f t="shared" si="2"/>
        <v>00 de 01</v>
      </c>
    </row>
    <row r="61" spans="1:34" ht="34.5" x14ac:dyDescent="0.25">
      <c r="A61" s="139" t="s">
        <v>116</v>
      </c>
      <c r="B61" s="105" t="s">
        <v>122</v>
      </c>
      <c r="C61" s="63">
        <v>49</v>
      </c>
      <c r="D61" s="197" t="s">
        <v>190</v>
      </c>
      <c r="E61" s="189" t="s">
        <v>970</v>
      </c>
      <c r="F61" s="190" t="s">
        <v>123</v>
      </c>
      <c r="G61" s="189" t="s">
        <v>135</v>
      </c>
      <c r="H61" s="191">
        <v>50592</v>
      </c>
      <c r="I61" s="189" t="s">
        <v>906</v>
      </c>
      <c r="J61" s="189">
        <v>0</v>
      </c>
      <c r="K61" s="189" t="s">
        <v>912</v>
      </c>
      <c r="L61" s="191">
        <v>10</v>
      </c>
      <c r="M61" s="192">
        <v>46092</v>
      </c>
      <c r="N61" s="193">
        <v>1</v>
      </c>
      <c r="O61" s="194">
        <v>1</v>
      </c>
      <c r="P61" s="195"/>
      <c r="Q61" s="196" t="s">
        <v>38</v>
      </c>
      <c r="R61" s="197">
        <v>1</v>
      </c>
      <c r="S61" s="198" t="s">
        <v>33</v>
      </c>
      <c r="T61" s="199"/>
      <c r="U61" s="200"/>
      <c r="V61" s="200"/>
      <c r="W61" s="200"/>
      <c r="X61" s="200"/>
      <c r="Y61" s="200"/>
      <c r="Z61" s="200"/>
      <c r="AA61" s="200"/>
      <c r="AB61" s="200"/>
      <c r="AC61" s="208"/>
      <c r="AD61" s="11" t="str">
        <f t="shared" si="0"/>
        <v>10</v>
      </c>
      <c r="AF61" t="str">
        <f t="shared" si="1"/>
        <v>80.01.ZZ.010</v>
      </c>
      <c r="AH61" t="str">
        <f t="shared" si="2"/>
        <v>00 de 01</v>
      </c>
    </row>
    <row r="62" spans="1:34" ht="34.5" x14ac:dyDescent="0.25">
      <c r="A62" s="139" t="s">
        <v>116</v>
      </c>
      <c r="B62" s="105" t="s">
        <v>122</v>
      </c>
      <c r="C62" s="63">
        <v>50</v>
      </c>
      <c r="D62" s="197" t="s">
        <v>133</v>
      </c>
      <c r="E62" s="189" t="s">
        <v>971</v>
      </c>
      <c r="F62" s="190" t="s">
        <v>123</v>
      </c>
      <c r="G62" s="189" t="s">
        <v>135</v>
      </c>
      <c r="H62" s="191">
        <v>50592</v>
      </c>
      <c r="I62" s="189" t="s">
        <v>906</v>
      </c>
      <c r="J62" s="189">
        <v>0</v>
      </c>
      <c r="K62" s="189" t="s">
        <v>912</v>
      </c>
      <c r="L62" s="191">
        <v>10</v>
      </c>
      <c r="M62" s="192">
        <v>46092</v>
      </c>
      <c r="N62" s="193">
        <v>1</v>
      </c>
      <c r="O62" s="194">
        <v>1</v>
      </c>
      <c r="P62" s="195"/>
      <c r="Q62" s="196" t="s">
        <v>38</v>
      </c>
      <c r="R62" s="197">
        <v>1</v>
      </c>
      <c r="S62" s="198" t="s">
        <v>33</v>
      </c>
      <c r="T62" s="199"/>
      <c r="U62" s="200"/>
      <c r="V62" s="200"/>
      <c r="W62" s="200"/>
      <c r="X62" s="200"/>
      <c r="Y62" s="200"/>
      <c r="Z62" s="200"/>
      <c r="AA62" s="200"/>
      <c r="AB62" s="200"/>
      <c r="AC62" s="208"/>
      <c r="AD62" s="11" t="str">
        <f t="shared" si="0"/>
        <v>10</v>
      </c>
      <c r="AF62" t="str">
        <f t="shared" si="1"/>
        <v>80.01.ZZ.010</v>
      </c>
      <c r="AH62" t="str">
        <f t="shared" si="2"/>
        <v>00 de 01</v>
      </c>
    </row>
    <row r="63" spans="1:34" ht="34.5" x14ac:dyDescent="0.25">
      <c r="A63" s="139" t="s">
        <v>116</v>
      </c>
      <c r="B63" s="105" t="s">
        <v>122</v>
      </c>
      <c r="C63" s="63">
        <v>51</v>
      </c>
      <c r="D63" s="197" t="s">
        <v>933</v>
      </c>
      <c r="E63" s="189" t="s">
        <v>972</v>
      </c>
      <c r="F63" s="190" t="s">
        <v>123</v>
      </c>
      <c r="G63" s="189" t="s">
        <v>135</v>
      </c>
      <c r="H63" s="191">
        <v>50592</v>
      </c>
      <c r="I63" s="189" t="s">
        <v>906</v>
      </c>
      <c r="J63" s="189">
        <v>0</v>
      </c>
      <c r="K63" s="189" t="s">
        <v>912</v>
      </c>
      <c r="L63" s="191">
        <v>10</v>
      </c>
      <c r="M63" s="192">
        <v>46092</v>
      </c>
      <c r="N63" s="193">
        <v>1</v>
      </c>
      <c r="O63" s="194">
        <v>1</v>
      </c>
      <c r="P63" s="195"/>
      <c r="Q63" s="196" t="s">
        <v>38</v>
      </c>
      <c r="R63" s="197">
        <v>1</v>
      </c>
      <c r="S63" s="198" t="s">
        <v>33</v>
      </c>
      <c r="T63" s="199"/>
      <c r="U63" s="200"/>
      <c r="V63" s="200"/>
      <c r="W63" s="200"/>
      <c r="X63" s="200"/>
      <c r="Y63" s="200"/>
      <c r="Z63" s="200"/>
      <c r="AA63" s="200"/>
      <c r="AB63" s="200"/>
      <c r="AC63" s="208"/>
      <c r="AD63" s="11" t="str">
        <f t="shared" si="0"/>
        <v>10</v>
      </c>
      <c r="AF63" t="str">
        <f t="shared" si="1"/>
        <v>80.01.ZZ.010</v>
      </c>
      <c r="AH63" t="str">
        <f t="shared" si="2"/>
        <v>00 de 01</v>
      </c>
    </row>
    <row r="64" spans="1:34" ht="34.5" x14ac:dyDescent="0.25">
      <c r="A64" s="139" t="s">
        <v>116</v>
      </c>
      <c r="B64" s="105" t="s">
        <v>122</v>
      </c>
      <c r="C64" s="63">
        <v>52</v>
      </c>
      <c r="D64" s="197" t="s">
        <v>933</v>
      </c>
      <c r="E64" s="189" t="s">
        <v>973</v>
      </c>
      <c r="F64" s="190" t="s">
        <v>123</v>
      </c>
      <c r="G64" s="189" t="s">
        <v>135</v>
      </c>
      <c r="H64" s="191">
        <v>50592</v>
      </c>
      <c r="I64" s="189" t="s">
        <v>906</v>
      </c>
      <c r="J64" s="189">
        <v>0</v>
      </c>
      <c r="K64" s="189" t="s">
        <v>912</v>
      </c>
      <c r="L64" s="191">
        <v>10</v>
      </c>
      <c r="M64" s="192">
        <v>46092</v>
      </c>
      <c r="N64" s="193">
        <v>1</v>
      </c>
      <c r="O64" s="194">
        <v>1</v>
      </c>
      <c r="P64" s="195"/>
      <c r="Q64" s="196" t="s">
        <v>38</v>
      </c>
      <c r="R64" s="197">
        <v>1</v>
      </c>
      <c r="S64" s="198" t="s">
        <v>33</v>
      </c>
      <c r="T64" s="199"/>
      <c r="U64" s="200"/>
      <c r="V64" s="200"/>
      <c r="W64" s="200"/>
      <c r="X64" s="200"/>
      <c r="Y64" s="200"/>
      <c r="Z64" s="200"/>
      <c r="AA64" s="200"/>
      <c r="AB64" s="200"/>
      <c r="AC64" s="208"/>
      <c r="AD64" s="11" t="str">
        <f t="shared" si="0"/>
        <v>10</v>
      </c>
      <c r="AF64" t="str">
        <f t="shared" si="1"/>
        <v>80.01.ZZ.010</v>
      </c>
      <c r="AH64" t="str">
        <f t="shared" si="2"/>
        <v>00 de 01</v>
      </c>
    </row>
    <row r="65" spans="1:34" ht="34.5" x14ac:dyDescent="0.25">
      <c r="A65" s="139" t="s">
        <v>116</v>
      </c>
      <c r="B65" s="105" t="s">
        <v>122</v>
      </c>
      <c r="C65" s="63">
        <v>53</v>
      </c>
      <c r="D65" s="197" t="s">
        <v>190</v>
      </c>
      <c r="E65" s="189" t="s">
        <v>974</v>
      </c>
      <c r="F65" s="190" t="s">
        <v>123</v>
      </c>
      <c r="G65" s="189" t="s">
        <v>135</v>
      </c>
      <c r="H65" s="191">
        <v>50592</v>
      </c>
      <c r="I65" s="189" t="s">
        <v>906</v>
      </c>
      <c r="J65" s="189">
        <v>0</v>
      </c>
      <c r="K65" s="189" t="s">
        <v>912</v>
      </c>
      <c r="L65" s="191">
        <v>10</v>
      </c>
      <c r="M65" s="192">
        <v>46092</v>
      </c>
      <c r="N65" s="193">
        <v>1</v>
      </c>
      <c r="O65" s="194">
        <v>1</v>
      </c>
      <c r="P65" s="195"/>
      <c r="Q65" s="196" t="s">
        <v>38</v>
      </c>
      <c r="R65" s="197">
        <v>1</v>
      </c>
      <c r="S65" s="198" t="s">
        <v>33</v>
      </c>
      <c r="T65" s="199"/>
      <c r="U65" s="200"/>
      <c r="V65" s="200"/>
      <c r="W65" s="200"/>
      <c r="X65" s="200"/>
      <c r="Y65" s="200"/>
      <c r="Z65" s="200"/>
      <c r="AA65" s="200"/>
      <c r="AB65" s="200"/>
      <c r="AC65" s="208"/>
      <c r="AD65" s="11" t="str">
        <f t="shared" si="0"/>
        <v>10</v>
      </c>
      <c r="AF65" t="str">
        <f t="shared" si="1"/>
        <v>80.01.ZZ.010</v>
      </c>
      <c r="AH65" t="str">
        <f t="shared" si="2"/>
        <v>00 de 01</v>
      </c>
    </row>
    <row r="66" spans="1:34" ht="34.5" x14ac:dyDescent="0.25">
      <c r="A66" s="139" t="s">
        <v>116</v>
      </c>
      <c r="B66" s="105" t="s">
        <v>122</v>
      </c>
      <c r="C66" s="63">
        <v>54</v>
      </c>
      <c r="D66" s="197" t="s">
        <v>190</v>
      </c>
      <c r="E66" s="189" t="s">
        <v>975</v>
      </c>
      <c r="F66" s="190" t="s">
        <v>123</v>
      </c>
      <c r="G66" s="189" t="s">
        <v>135</v>
      </c>
      <c r="H66" s="191">
        <v>50592</v>
      </c>
      <c r="I66" s="189" t="s">
        <v>906</v>
      </c>
      <c r="J66" s="189">
        <v>0</v>
      </c>
      <c r="K66" s="189" t="s">
        <v>912</v>
      </c>
      <c r="L66" s="191">
        <v>10</v>
      </c>
      <c r="M66" s="192">
        <v>46092</v>
      </c>
      <c r="N66" s="193">
        <v>1</v>
      </c>
      <c r="O66" s="194">
        <v>1</v>
      </c>
      <c r="P66" s="195"/>
      <c r="Q66" s="196" t="s">
        <v>38</v>
      </c>
      <c r="R66" s="197">
        <v>1</v>
      </c>
      <c r="S66" s="198" t="s">
        <v>33</v>
      </c>
      <c r="T66" s="199"/>
      <c r="U66" s="200"/>
      <c r="V66" s="200"/>
      <c r="W66" s="200"/>
      <c r="X66" s="200"/>
      <c r="Y66" s="200"/>
      <c r="Z66" s="200"/>
      <c r="AA66" s="200"/>
      <c r="AB66" s="200"/>
      <c r="AC66" s="208"/>
      <c r="AD66" s="11" t="str">
        <f t="shared" si="0"/>
        <v>10</v>
      </c>
      <c r="AF66" t="str">
        <f t="shared" si="1"/>
        <v>80.01.ZZ.010</v>
      </c>
      <c r="AH66" t="str">
        <f t="shared" si="2"/>
        <v>00 de 01</v>
      </c>
    </row>
    <row r="67" spans="1:34" ht="34.5" x14ac:dyDescent="0.25">
      <c r="A67" s="139" t="s">
        <v>116</v>
      </c>
      <c r="B67" s="105" t="s">
        <v>122</v>
      </c>
      <c r="C67" s="63">
        <v>55</v>
      </c>
      <c r="D67" s="197" t="s">
        <v>933</v>
      </c>
      <c r="E67" s="189" t="s">
        <v>976</v>
      </c>
      <c r="F67" s="190" t="s">
        <v>123</v>
      </c>
      <c r="G67" s="189" t="s">
        <v>135</v>
      </c>
      <c r="H67" s="191">
        <v>50592</v>
      </c>
      <c r="I67" s="189" t="s">
        <v>906</v>
      </c>
      <c r="J67" s="189">
        <v>0</v>
      </c>
      <c r="K67" s="189" t="s">
        <v>912</v>
      </c>
      <c r="L67" s="191">
        <v>10</v>
      </c>
      <c r="M67" s="192">
        <v>46092</v>
      </c>
      <c r="N67" s="193">
        <v>1</v>
      </c>
      <c r="O67" s="194">
        <v>1</v>
      </c>
      <c r="P67" s="195"/>
      <c r="Q67" s="196" t="s">
        <v>38</v>
      </c>
      <c r="R67" s="197">
        <v>1</v>
      </c>
      <c r="S67" s="198" t="s">
        <v>33</v>
      </c>
      <c r="T67" s="199"/>
      <c r="U67" s="200"/>
      <c r="V67" s="200"/>
      <c r="W67" s="200"/>
      <c r="X67" s="200"/>
      <c r="Y67" s="200"/>
      <c r="Z67" s="200"/>
      <c r="AA67" s="200"/>
      <c r="AB67" s="200"/>
      <c r="AC67" s="208"/>
      <c r="AD67" s="11" t="str">
        <f t="shared" si="0"/>
        <v>10</v>
      </c>
      <c r="AF67" t="str">
        <f t="shared" si="1"/>
        <v>80.01.ZZ.010</v>
      </c>
      <c r="AH67" t="str">
        <f t="shared" si="2"/>
        <v>00 de 01</v>
      </c>
    </row>
    <row r="68" spans="1:34" ht="34.5" x14ac:dyDescent="0.25">
      <c r="A68" s="139" t="s">
        <v>116</v>
      </c>
      <c r="B68" s="105" t="s">
        <v>122</v>
      </c>
      <c r="C68" s="63">
        <v>56</v>
      </c>
      <c r="D68" s="197" t="s">
        <v>933</v>
      </c>
      <c r="E68" s="189" t="s">
        <v>977</v>
      </c>
      <c r="F68" s="190" t="s">
        <v>123</v>
      </c>
      <c r="G68" s="189" t="s">
        <v>135</v>
      </c>
      <c r="H68" s="191">
        <v>50592</v>
      </c>
      <c r="I68" s="189" t="s">
        <v>906</v>
      </c>
      <c r="J68" s="189">
        <v>0</v>
      </c>
      <c r="K68" s="189" t="s">
        <v>912</v>
      </c>
      <c r="L68" s="191">
        <v>10</v>
      </c>
      <c r="M68" s="192">
        <v>46092</v>
      </c>
      <c r="N68" s="193">
        <v>1</v>
      </c>
      <c r="O68" s="194">
        <v>1</v>
      </c>
      <c r="P68" s="195"/>
      <c r="Q68" s="196" t="s">
        <v>38</v>
      </c>
      <c r="R68" s="197">
        <v>1</v>
      </c>
      <c r="S68" s="198" t="s">
        <v>33</v>
      </c>
      <c r="T68" s="199"/>
      <c r="U68" s="200"/>
      <c r="V68" s="200"/>
      <c r="W68" s="200"/>
      <c r="X68" s="200"/>
      <c r="Y68" s="200"/>
      <c r="Z68" s="200"/>
      <c r="AA68" s="200"/>
      <c r="AB68" s="200"/>
      <c r="AC68" s="208"/>
      <c r="AD68" s="11" t="str">
        <f t="shared" si="0"/>
        <v>10</v>
      </c>
      <c r="AF68" t="str">
        <f t="shared" si="1"/>
        <v>80.01.ZZ.010</v>
      </c>
      <c r="AH68" t="str">
        <f t="shared" si="2"/>
        <v>00 de 01</v>
      </c>
    </row>
    <row r="69" spans="1:34" ht="34.5" x14ac:dyDescent="0.25">
      <c r="A69" s="139" t="s">
        <v>116</v>
      </c>
      <c r="B69" s="105" t="s">
        <v>122</v>
      </c>
      <c r="C69" s="63">
        <v>57</v>
      </c>
      <c r="D69" s="197" t="s">
        <v>190</v>
      </c>
      <c r="E69" s="189" t="s">
        <v>978</v>
      </c>
      <c r="F69" s="190" t="s">
        <v>123</v>
      </c>
      <c r="G69" s="189" t="s">
        <v>135</v>
      </c>
      <c r="H69" s="191">
        <v>50592</v>
      </c>
      <c r="I69" s="189" t="s">
        <v>906</v>
      </c>
      <c r="J69" s="189">
        <v>0</v>
      </c>
      <c r="K69" s="189" t="s">
        <v>912</v>
      </c>
      <c r="L69" s="191">
        <v>10</v>
      </c>
      <c r="M69" s="192">
        <v>46092</v>
      </c>
      <c r="N69" s="193">
        <v>1</v>
      </c>
      <c r="O69" s="194">
        <v>1</v>
      </c>
      <c r="P69" s="195"/>
      <c r="Q69" s="196" t="s">
        <v>38</v>
      </c>
      <c r="R69" s="197">
        <v>1</v>
      </c>
      <c r="S69" s="198" t="s">
        <v>33</v>
      </c>
      <c r="T69" s="199"/>
      <c r="U69" s="200"/>
      <c r="V69" s="200"/>
      <c r="W69" s="200"/>
      <c r="X69" s="200"/>
      <c r="Y69" s="200"/>
      <c r="Z69" s="200"/>
      <c r="AA69" s="200"/>
      <c r="AB69" s="200"/>
      <c r="AC69" s="208"/>
      <c r="AD69" s="11" t="str">
        <f t="shared" si="0"/>
        <v>10</v>
      </c>
      <c r="AF69" t="str">
        <f t="shared" si="1"/>
        <v>80.01.ZZ.010</v>
      </c>
      <c r="AH69" t="str">
        <f t="shared" si="2"/>
        <v>00 de 01</v>
      </c>
    </row>
    <row r="70" spans="1:34" ht="34.5" x14ac:dyDescent="0.25">
      <c r="A70" s="139" t="s">
        <v>116</v>
      </c>
      <c r="B70" s="105" t="s">
        <v>122</v>
      </c>
      <c r="C70" s="63">
        <v>58</v>
      </c>
      <c r="D70" s="197" t="s">
        <v>190</v>
      </c>
      <c r="E70" s="189" t="s">
        <v>979</v>
      </c>
      <c r="F70" s="190" t="s">
        <v>123</v>
      </c>
      <c r="G70" s="189" t="s">
        <v>135</v>
      </c>
      <c r="H70" s="191">
        <v>50592</v>
      </c>
      <c r="I70" s="189" t="s">
        <v>906</v>
      </c>
      <c r="J70" s="189">
        <v>0</v>
      </c>
      <c r="K70" s="189" t="s">
        <v>912</v>
      </c>
      <c r="L70" s="191">
        <v>10</v>
      </c>
      <c r="M70" s="192">
        <v>46092</v>
      </c>
      <c r="N70" s="193">
        <v>1</v>
      </c>
      <c r="O70" s="194">
        <v>1</v>
      </c>
      <c r="P70" s="195"/>
      <c r="Q70" s="196" t="s">
        <v>38</v>
      </c>
      <c r="R70" s="197">
        <v>1</v>
      </c>
      <c r="S70" s="198" t="s">
        <v>33</v>
      </c>
      <c r="T70" s="199"/>
      <c r="U70" s="200"/>
      <c r="V70" s="200"/>
      <c r="W70" s="200"/>
      <c r="X70" s="200"/>
      <c r="Y70" s="200"/>
      <c r="Z70" s="200"/>
      <c r="AA70" s="200"/>
      <c r="AB70" s="200"/>
      <c r="AC70" s="208"/>
      <c r="AD70" s="11" t="str">
        <f t="shared" si="0"/>
        <v>10</v>
      </c>
      <c r="AF70" t="str">
        <f t="shared" si="1"/>
        <v>80.01.ZZ.010</v>
      </c>
      <c r="AH70" t="str">
        <f t="shared" si="2"/>
        <v>00 de 01</v>
      </c>
    </row>
    <row r="71" spans="1:34" ht="34.5" x14ac:dyDescent="0.25">
      <c r="A71" s="139" t="s">
        <v>116</v>
      </c>
      <c r="B71" s="105" t="s">
        <v>122</v>
      </c>
      <c r="C71" s="63">
        <v>59</v>
      </c>
      <c r="D71" s="197" t="s">
        <v>933</v>
      </c>
      <c r="E71" s="189" t="s">
        <v>980</v>
      </c>
      <c r="F71" s="190" t="s">
        <v>123</v>
      </c>
      <c r="G71" s="189" t="s">
        <v>135</v>
      </c>
      <c r="H71" s="191">
        <v>50592</v>
      </c>
      <c r="I71" s="189" t="s">
        <v>906</v>
      </c>
      <c r="J71" s="189">
        <v>0</v>
      </c>
      <c r="K71" s="189" t="s">
        <v>912</v>
      </c>
      <c r="L71" s="191">
        <v>10</v>
      </c>
      <c r="M71" s="192">
        <v>46092</v>
      </c>
      <c r="N71" s="193">
        <v>1</v>
      </c>
      <c r="O71" s="194">
        <v>1</v>
      </c>
      <c r="P71" s="195"/>
      <c r="Q71" s="196" t="s">
        <v>38</v>
      </c>
      <c r="R71" s="197">
        <v>1</v>
      </c>
      <c r="S71" s="198" t="s">
        <v>33</v>
      </c>
      <c r="T71" s="199"/>
      <c r="U71" s="200"/>
      <c r="V71" s="200"/>
      <c r="W71" s="200"/>
      <c r="X71" s="200"/>
      <c r="Y71" s="200"/>
      <c r="Z71" s="200"/>
      <c r="AA71" s="200"/>
      <c r="AB71" s="200"/>
      <c r="AC71" s="208"/>
      <c r="AD71" s="11" t="str">
        <f t="shared" si="0"/>
        <v>10</v>
      </c>
      <c r="AF71" t="str">
        <f t="shared" si="1"/>
        <v>80.01.ZZ.010</v>
      </c>
      <c r="AH71" t="str">
        <f t="shared" si="2"/>
        <v>00 de 01</v>
      </c>
    </row>
    <row r="72" spans="1:34" ht="34.5" x14ac:dyDescent="0.25">
      <c r="A72" s="139" t="s">
        <v>116</v>
      </c>
      <c r="B72" s="105" t="s">
        <v>122</v>
      </c>
      <c r="C72" s="63">
        <v>60</v>
      </c>
      <c r="D72" s="197" t="s">
        <v>933</v>
      </c>
      <c r="E72" s="189" t="s">
        <v>981</v>
      </c>
      <c r="F72" s="190" t="s">
        <v>123</v>
      </c>
      <c r="G72" s="189" t="s">
        <v>135</v>
      </c>
      <c r="H72" s="191">
        <v>50592</v>
      </c>
      <c r="I72" s="189" t="s">
        <v>906</v>
      </c>
      <c r="J72" s="189">
        <v>0</v>
      </c>
      <c r="K72" s="189" t="s">
        <v>912</v>
      </c>
      <c r="L72" s="191">
        <v>10</v>
      </c>
      <c r="M72" s="192">
        <v>46092</v>
      </c>
      <c r="N72" s="193">
        <v>1</v>
      </c>
      <c r="O72" s="194">
        <v>1</v>
      </c>
      <c r="P72" s="195"/>
      <c r="Q72" s="196" t="s">
        <v>38</v>
      </c>
      <c r="R72" s="197">
        <v>1</v>
      </c>
      <c r="S72" s="198" t="s">
        <v>33</v>
      </c>
      <c r="T72" s="199"/>
      <c r="U72" s="200"/>
      <c r="V72" s="200"/>
      <c r="W72" s="200"/>
      <c r="X72" s="200"/>
      <c r="Y72" s="200"/>
      <c r="Z72" s="200"/>
      <c r="AA72" s="200"/>
      <c r="AB72" s="200"/>
      <c r="AC72" s="208"/>
      <c r="AD72" s="11" t="str">
        <f t="shared" si="0"/>
        <v>10</v>
      </c>
      <c r="AF72" t="str">
        <f t="shared" si="1"/>
        <v>80.01.ZZ.010</v>
      </c>
      <c r="AH72" t="str">
        <f t="shared" si="2"/>
        <v>00 de 01</v>
      </c>
    </row>
    <row r="73" spans="1:34" ht="34.5" x14ac:dyDescent="0.25">
      <c r="A73" s="139" t="s">
        <v>116</v>
      </c>
      <c r="B73" s="105" t="s">
        <v>122</v>
      </c>
      <c r="C73" s="63">
        <v>61</v>
      </c>
      <c r="D73" s="197" t="s">
        <v>190</v>
      </c>
      <c r="E73" s="189" t="s">
        <v>982</v>
      </c>
      <c r="F73" s="190" t="s">
        <v>123</v>
      </c>
      <c r="G73" s="189" t="s">
        <v>135</v>
      </c>
      <c r="H73" s="191">
        <v>50592</v>
      </c>
      <c r="I73" s="189" t="s">
        <v>906</v>
      </c>
      <c r="J73" s="189">
        <v>0</v>
      </c>
      <c r="K73" s="189" t="s">
        <v>912</v>
      </c>
      <c r="L73" s="191">
        <v>10</v>
      </c>
      <c r="M73" s="192">
        <v>46092</v>
      </c>
      <c r="N73" s="193">
        <v>1</v>
      </c>
      <c r="O73" s="194">
        <v>1</v>
      </c>
      <c r="P73" s="195"/>
      <c r="Q73" s="196" t="s">
        <v>38</v>
      </c>
      <c r="R73" s="197">
        <v>1</v>
      </c>
      <c r="S73" s="198" t="s">
        <v>33</v>
      </c>
      <c r="T73" s="199"/>
      <c r="U73" s="200"/>
      <c r="V73" s="200"/>
      <c r="W73" s="200"/>
      <c r="X73" s="200"/>
      <c r="Y73" s="200"/>
      <c r="Z73" s="200"/>
      <c r="AA73" s="200"/>
      <c r="AB73" s="200"/>
      <c r="AC73" s="208"/>
      <c r="AD73" s="11" t="str">
        <f t="shared" si="0"/>
        <v>10</v>
      </c>
      <c r="AF73" t="str">
        <f t="shared" si="1"/>
        <v>80.01.ZZ.010</v>
      </c>
      <c r="AH73" t="str">
        <f t="shared" si="2"/>
        <v>00 de 01</v>
      </c>
    </row>
    <row r="74" spans="1:34" ht="34.5" x14ac:dyDescent="0.25">
      <c r="A74" s="139" t="s">
        <v>116</v>
      </c>
      <c r="B74" s="105" t="s">
        <v>122</v>
      </c>
      <c r="C74" s="63">
        <v>62</v>
      </c>
      <c r="D74" s="197" t="s">
        <v>190</v>
      </c>
      <c r="E74" s="189" t="s">
        <v>983</v>
      </c>
      <c r="F74" s="190" t="s">
        <v>123</v>
      </c>
      <c r="G74" s="189" t="s">
        <v>135</v>
      </c>
      <c r="H74" s="191">
        <v>50592</v>
      </c>
      <c r="I74" s="189" t="s">
        <v>906</v>
      </c>
      <c r="J74" s="189">
        <v>0</v>
      </c>
      <c r="K74" s="189" t="s">
        <v>912</v>
      </c>
      <c r="L74" s="191">
        <v>10</v>
      </c>
      <c r="M74" s="192">
        <v>46092</v>
      </c>
      <c r="N74" s="193">
        <v>1</v>
      </c>
      <c r="O74" s="194">
        <v>1</v>
      </c>
      <c r="P74" s="195"/>
      <c r="Q74" s="196" t="s">
        <v>38</v>
      </c>
      <c r="R74" s="197">
        <v>1</v>
      </c>
      <c r="S74" s="198" t="s">
        <v>33</v>
      </c>
      <c r="T74" s="199"/>
      <c r="U74" s="200"/>
      <c r="V74" s="200"/>
      <c r="W74" s="200"/>
      <c r="X74" s="200"/>
      <c r="Y74" s="200"/>
      <c r="Z74" s="200"/>
      <c r="AA74" s="200"/>
      <c r="AB74" s="200"/>
      <c r="AC74" s="208"/>
      <c r="AD74" s="11" t="str">
        <f t="shared" si="0"/>
        <v>10</v>
      </c>
      <c r="AF74" t="str">
        <f t="shared" si="1"/>
        <v>80.01.ZZ.010</v>
      </c>
      <c r="AH74" t="str">
        <f t="shared" si="2"/>
        <v>00 de 01</v>
      </c>
    </row>
    <row r="75" spans="1:34" ht="34.5" x14ac:dyDescent="0.25">
      <c r="A75" s="139" t="s">
        <v>116</v>
      </c>
      <c r="B75" s="105" t="s">
        <v>122</v>
      </c>
      <c r="C75" s="63">
        <v>63</v>
      </c>
      <c r="D75" s="197" t="s">
        <v>190</v>
      </c>
      <c r="E75" s="189" t="s">
        <v>984</v>
      </c>
      <c r="F75" s="190" t="s">
        <v>123</v>
      </c>
      <c r="G75" s="189" t="s">
        <v>135</v>
      </c>
      <c r="H75" s="191">
        <v>50592</v>
      </c>
      <c r="I75" s="189" t="s">
        <v>906</v>
      </c>
      <c r="J75" s="189">
        <v>0</v>
      </c>
      <c r="K75" s="189">
        <v>10301</v>
      </c>
      <c r="L75" s="191">
        <v>10</v>
      </c>
      <c r="M75" s="192">
        <v>46092</v>
      </c>
      <c r="N75" s="193">
        <v>1</v>
      </c>
      <c r="O75" s="194">
        <v>1</v>
      </c>
      <c r="P75" s="195"/>
      <c r="Q75" s="196" t="s">
        <v>38</v>
      </c>
      <c r="R75" s="197">
        <v>1</v>
      </c>
      <c r="S75" s="198" t="s">
        <v>33</v>
      </c>
      <c r="T75" s="199"/>
      <c r="U75" s="200"/>
      <c r="V75" s="200"/>
      <c r="W75" s="200"/>
      <c r="X75" s="200"/>
      <c r="Y75" s="200"/>
      <c r="Z75" s="200"/>
      <c r="AA75" s="200"/>
      <c r="AB75" s="200"/>
      <c r="AC75" s="208"/>
      <c r="AD75" s="11" t="str">
        <f t="shared" si="0"/>
        <v>10</v>
      </c>
      <c r="AF75" t="str">
        <f t="shared" si="1"/>
        <v>80.01.ZZ.010</v>
      </c>
      <c r="AH75" t="str">
        <f t="shared" si="2"/>
        <v>00 de 01</v>
      </c>
    </row>
    <row r="76" spans="1:34" ht="34.5" x14ac:dyDescent="0.25">
      <c r="A76" s="139" t="s">
        <v>116</v>
      </c>
      <c r="B76" s="105" t="s">
        <v>122</v>
      </c>
      <c r="C76" s="63">
        <v>64</v>
      </c>
      <c r="D76" s="197" t="s">
        <v>190</v>
      </c>
      <c r="E76" s="189" t="s">
        <v>985</v>
      </c>
      <c r="F76" s="190" t="s">
        <v>123</v>
      </c>
      <c r="G76" s="189" t="s">
        <v>135</v>
      </c>
      <c r="H76" s="191">
        <v>50592</v>
      </c>
      <c r="I76" s="189" t="s">
        <v>906</v>
      </c>
      <c r="J76" s="189">
        <v>0</v>
      </c>
      <c r="K76" s="189">
        <v>10301</v>
      </c>
      <c r="L76" s="191">
        <v>10</v>
      </c>
      <c r="M76" s="192">
        <v>46092</v>
      </c>
      <c r="N76" s="193">
        <v>1</v>
      </c>
      <c r="O76" s="194">
        <v>1</v>
      </c>
      <c r="P76" s="195"/>
      <c r="Q76" s="196" t="s">
        <v>38</v>
      </c>
      <c r="R76" s="197">
        <v>1</v>
      </c>
      <c r="S76" s="198" t="s">
        <v>33</v>
      </c>
      <c r="T76" s="199"/>
      <c r="U76" s="200"/>
      <c r="V76" s="200"/>
      <c r="W76" s="200"/>
      <c r="X76" s="200"/>
      <c r="Y76" s="200"/>
      <c r="Z76" s="200"/>
      <c r="AA76" s="200"/>
      <c r="AB76" s="200"/>
      <c r="AC76" s="208"/>
      <c r="AD76" s="11" t="str">
        <f t="shared" si="0"/>
        <v>10</v>
      </c>
      <c r="AF76" t="str">
        <f t="shared" si="1"/>
        <v>80.01.ZZ.010</v>
      </c>
      <c r="AH76" t="str">
        <f t="shared" si="2"/>
        <v>00 de 01</v>
      </c>
    </row>
    <row r="77" spans="1:34" ht="34.5" x14ac:dyDescent="0.25">
      <c r="A77" s="139" t="s">
        <v>116</v>
      </c>
      <c r="B77" s="105" t="s">
        <v>122</v>
      </c>
      <c r="C77" s="63">
        <v>65</v>
      </c>
      <c r="D77" s="197" t="s">
        <v>190</v>
      </c>
      <c r="E77" s="189" t="s">
        <v>986</v>
      </c>
      <c r="F77" s="190" t="s">
        <v>123</v>
      </c>
      <c r="G77" s="189" t="s">
        <v>135</v>
      </c>
      <c r="H77" s="191">
        <v>50592</v>
      </c>
      <c r="I77" s="189" t="s">
        <v>906</v>
      </c>
      <c r="J77" s="189">
        <v>0</v>
      </c>
      <c r="K77" s="189">
        <v>10301</v>
      </c>
      <c r="L77" s="191">
        <v>10</v>
      </c>
      <c r="M77" s="192">
        <v>46092</v>
      </c>
      <c r="N77" s="193">
        <v>1</v>
      </c>
      <c r="O77" s="194">
        <v>1</v>
      </c>
      <c r="P77" s="195"/>
      <c r="Q77" s="196" t="s">
        <v>38</v>
      </c>
      <c r="R77" s="197">
        <v>1</v>
      </c>
      <c r="S77" s="198" t="s">
        <v>33</v>
      </c>
      <c r="T77" s="199"/>
      <c r="U77" s="200"/>
      <c r="V77" s="200"/>
      <c r="W77" s="200"/>
      <c r="X77" s="200"/>
      <c r="Y77" s="200"/>
      <c r="Z77" s="200"/>
      <c r="AA77" s="200"/>
      <c r="AB77" s="200"/>
      <c r="AC77" s="208"/>
      <c r="AD77" s="11" t="str">
        <f t="shared" si="0"/>
        <v>10</v>
      </c>
      <c r="AF77" t="str">
        <f t="shared" si="1"/>
        <v>80.01.ZZ.010</v>
      </c>
      <c r="AH77" t="str">
        <f t="shared" si="2"/>
        <v>00 de 01</v>
      </c>
    </row>
    <row r="78" spans="1:34" ht="34.5" x14ac:dyDescent="0.25">
      <c r="A78" s="139" t="s">
        <v>116</v>
      </c>
      <c r="B78" s="105" t="s">
        <v>122</v>
      </c>
      <c r="C78" s="63">
        <v>66</v>
      </c>
      <c r="D78" s="197" t="s">
        <v>190</v>
      </c>
      <c r="E78" s="189" t="s">
        <v>987</v>
      </c>
      <c r="F78" s="190" t="s">
        <v>123</v>
      </c>
      <c r="G78" s="189" t="s">
        <v>135</v>
      </c>
      <c r="H78" s="191">
        <v>50592</v>
      </c>
      <c r="I78" s="189" t="s">
        <v>906</v>
      </c>
      <c r="J78" s="189">
        <v>0</v>
      </c>
      <c r="K78" s="189">
        <v>10301</v>
      </c>
      <c r="L78" s="191">
        <v>10</v>
      </c>
      <c r="M78" s="192">
        <v>46092</v>
      </c>
      <c r="N78" s="193">
        <v>1</v>
      </c>
      <c r="O78" s="194">
        <v>1</v>
      </c>
      <c r="P78" s="195"/>
      <c r="Q78" s="196" t="s">
        <v>38</v>
      </c>
      <c r="R78" s="197">
        <v>1</v>
      </c>
      <c r="S78" s="198" t="s">
        <v>33</v>
      </c>
      <c r="T78" s="199"/>
      <c r="U78" s="200"/>
      <c r="V78" s="200"/>
      <c r="W78" s="200"/>
      <c r="X78" s="200"/>
      <c r="Y78" s="200"/>
      <c r="Z78" s="200"/>
      <c r="AA78" s="200"/>
      <c r="AB78" s="200"/>
      <c r="AC78" s="208"/>
      <c r="AD78" s="11" t="str">
        <f t="shared" ref="AD78:AD141" si="3">RIGHT(L78,2)</f>
        <v>10</v>
      </c>
      <c r="AF78" t="str">
        <f t="shared" ref="AF78:AF141" si="4">CONCATENATE("80.01.ZZ.0",L78)</f>
        <v>80.01.ZZ.010</v>
      </c>
      <c r="AH78" t="str">
        <f t="shared" ref="AH78:AH141" si="5">CONCATENATE("00 de 0",R78)</f>
        <v>00 de 01</v>
      </c>
    </row>
    <row r="79" spans="1:34" ht="34.5" x14ac:dyDescent="0.25">
      <c r="A79" s="139" t="s">
        <v>116</v>
      </c>
      <c r="B79" s="105" t="s">
        <v>122</v>
      </c>
      <c r="C79" s="63">
        <v>67</v>
      </c>
      <c r="D79" s="197" t="s">
        <v>190</v>
      </c>
      <c r="E79" s="189" t="s">
        <v>988</v>
      </c>
      <c r="F79" s="190" t="s">
        <v>123</v>
      </c>
      <c r="G79" s="189" t="s">
        <v>135</v>
      </c>
      <c r="H79" s="191">
        <v>50592</v>
      </c>
      <c r="I79" s="189" t="s">
        <v>906</v>
      </c>
      <c r="J79" s="189">
        <v>0</v>
      </c>
      <c r="K79" s="189">
        <v>10301</v>
      </c>
      <c r="L79" s="191">
        <v>10</v>
      </c>
      <c r="M79" s="192">
        <v>46092</v>
      </c>
      <c r="N79" s="193">
        <v>1</v>
      </c>
      <c r="O79" s="194">
        <v>1</v>
      </c>
      <c r="P79" s="195"/>
      <c r="Q79" s="196" t="s">
        <v>38</v>
      </c>
      <c r="R79" s="197">
        <v>1</v>
      </c>
      <c r="S79" s="198" t="s">
        <v>33</v>
      </c>
      <c r="T79" s="199"/>
      <c r="U79" s="200"/>
      <c r="V79" s="200"/>
      <c r="W79" s="200"/>
      <c r="X79" s="200"/>
      <c r="Y79" s="200"/>
      <c r="Z79" s="200"/>
      <c r="AA79" s="200"/>
      <c r="AB79" s="200"/>
      <c r="AC79" s="208"/>
      <c r="AD79" s="11" t="str">
        <f t="shared" si="3"/>
        <v>10</v>
      </c>
      <c r="AF79" t="str">
        <f t="shared" si="4"/>
        <v>80.01.ZZ.010</v>
      </c>
      <c r="AH79" t="str">
        <f t="shared" si="5"/>
        <v>00 de 01</v>
      </c>
    </row>
    <row r="80" spans="1:34" ht="34.5" x14ac:dyDescent="0.25">
      <c r="A80" s="139" t="s">
        <v>116</v>
      </c>
      <c r="B80" s="105" t="s">
        <v>122</v>
      </c>
      <c r="C80" s="63">
        <v>68</v>
      </c>
      <c r="D80" s="197" t="s">
        <v>190</v>
      </c>
      <c r="E80" s="189" t="s">
        <v>989</v>
      </c>
      <c r="F80" s="190" t="s">
        <v>123</v>
      </c>
      <c r="G80" s="189" t="s">
        <v>135</v>
      </c>
      <c r="H80" s="191">
        <v>50592</v>
      </c>
      <c r="I80" s="189" t="s">
        <v>906</v>
      </c>
      <c r="J80" s="189">
        <v>0</v>
      </c>
      <c r="K80" s="189">
        <v>10301</v>
      </c>
      <c r="L80" s="191">
        <v>10</v>
      </c>
      <c r="M80" s="192">
        <v>46092</v>
      </c>
      <c r="N80" s="193">
        <v>1</v>
      </c>
      <c r="O80" s="194">
        <v>1</v>
      </c>
      <c r="P80" s="195"/>
      <c r="Q80" s="196" t="s">
        <v>38</v>
      </c>
      <c r="R80" s="197">
        <v>1</v>
      </c>
      <c r="S80" s="198" t="s">
        <v>33</v>
      </c>
      <c r="T80" s="199"/>
      <c r="U80" s="200"/>
      <c r="V80" s="200"/>
      <c r="W80" s="200"/>
      <c r="X80" s="200"/>
      <c r="Y80" s="200"/>
      <c r="Z80" s="200"/>
      <c r="AA80" s="200"/>
      <c r="AB80" s="200"/>
      <c r="AC80" s="208"/>
      <c r="AD80" s="11" t="str">
        <f t="shared" si="3"/>
        <v>10</v>
      </c>
      <c r="AF80" t="str">
        <f t="shared" si="4"/>
        <v>80.01.ZZ.010</v>
      </c>
      <c r="AH80" t="str">
        <f t="shared" si="5"/>
        <v>00 de 01</v>
      </c>
    </row>
    <row r="81" spans="1:34" ht="34.5" x14ac:dyDescent="0.25">
      <c r="A81" s="139" t="s">
        <v>116</v>
      </c>
      <c r="B81" s="105" t="s">
        <v>122</v>
      </c>
      <c r="C81" s="63">
        <v>69</v>
      </c>
      <c r="D81" s="197" t="s">
        <v>190</v>
      </c>
      <c r="E81" s="189" t="s">
        <v>990</v>
      </c>
      <c r="F81" s="190" t="s">
        <v>123</v>
      </c>
      <c r="G81" s="189" t="s">
        <v>135</v>
      </c>
      <c r="H81" s="191">
        <v>50592</v>
      </c>
      <c r="I81" s="189" t="s">
        <v>906</v>
      </c>
      <c r="J81" s="189">
        <v>0</v>
      </c>
      <c r="K81" s="189">
        <v>10301</v>
      </c>
      <c r="L81" s="191">
        <v>10</v>
      </c>
      <c r="M81" s="192">
        <v>46092</v>
      </c>
      <c r="N81" s="193">
        <v>1</v>
      </c>
      <c r="O81" s="194">
        <v>1</v>
      </c>
      <c r="P81" s="195"/>
      <c r="Q81" s="196" t="s">
        <v>38</v>
      </c>
      <c r="R81" s="197">
        <v>1</v>
      </c>
      <c r="S81" s="198" t="s">
        <v>33</v>
      </c>
      <c r="T81" s="199"/>
      <c r="U81" s="200"/>
      <c r="V81" s="200"/>
      <c r="W81" s="200"/>
      <c r="X81" s="200"/>
      <c r="Y81" s="200"/>
      <c r="Z81" s="200"/>
      <c r="AA81" s="200"/>
      <c r="AB81" s="200"/>
      <c r="AC81" s="208"/>
      <c r="AD81" s="11" t="str">
        <f t="shared" si="3"/>
        <v>10</v>
      </c>
      <c r="AF81" t="str">
        <f t="shared" si="4"/>
        <v>80.01.ZZ.010</v>
      </c>
      <c r="AH81" t="str">
        <f t="shared" si="5"/>
        <v>00 de 01</v>
      </c>
    </row>
    <row r="82" spans="1:34" ht="34.5" x14ac:dyDescent="0.25">
      <c r="A82" s="139" t="s">
        <v>116</v>
      </c>
      <c r="B82" s="105" t="s">
        <v>122</v>
      </c>
      <c r="C82" s="63">
        <v>70</v>
      </c>
      <c r="D82" s="197" t="s">
        <v>190</v>
      </c>
      <c r="E82" s="189" t="s">
        <v>991</v>
      </c>
      <c r="F82" s="190" t="s">
        <v>123</v>
      </c>
      <c r="G82" s="189" t="s">
        <v>135</v>
      </c>
      <c r="H82" s="191">
        <v>50592</v>
      </c>
      <c r="I82" s="189" t="s">
        <v>906</v>
      </c>
      <c r="J82" s="189">
        <v>0</v>
      </c>
      <c r="K82" s="189">
        <v>10301</v>
      </c>
      <c r="L82" s="191">
        <v>10</v>
      </c>
      <c r="M82" s="192">
        <v>46092</v>
      </c>
      <c r="N82" s="193">
        <v>1</v>
      </c>
      <c r="O82" s="194">
        <v>1</v>
      </c>
      <c r="P82" s="195"/>
      <c r="Q82" s="196" t="s">
        <v>38</v>
      </c>
      <c r="R82" s="197">
        <v>1</v>
      </c>
      <c r="S82" s="198" t="s">
        <v>33</v>
      </c>
      <c r="T82" s="199"/>
      <c r="U82" s="200"/>
      <c r="V82" s="200"/>
      <c r="W82" s="200"/>
      <c r="X82" s="200"/>
      <c r="Y82" s="200"/>
      <c r="Z82" s="200"/>
      <c r="AA82" s="200"/>
      <c r="AB82" s="200"/>
      <c r="AC82" s="208"/>
      <c r="AD82" s="11" t="str">
        <f t="shared" si="3"/>
        <v>10</v>
      </c>
      <c r="AF82" t="str">
        <f t="shared" si="4"/>
        <v>80.01.ZZ.010</v>
      </c>
      <c r="AH82" t="str">
        <f t="shared" si="5"/>
        <v>00 de 01</v>
      </c>
    </row>
    <row r="83" spans="1:34" ht="34.5" x14ac:dyDescent="0.25">
      <c r="A83" s="139" t="s">
        <v>116</v>
      </c>
      <c r="B83" s="105" t="s">
        <v>122</v>
      </c>
      <c r="C83" s="63">
        <v>71</v>
      </c>
      <c r="D83" s="197" t="s">
        <v>190</v>
      </c>
      <c r="E83" s="189" t="s">
        <v>992</v>
      </c>
      <c r="F83" s="190" t="s">
        <v>123</v>
      </c>
      <c r="G83" s="189" t="s">
        <v>135</v>
      </c>
      <c r="H83" s="191">
        <v>50592</v>
      </c>
      <c r="I83" s="189" t="s">
        <v>906</v>
      </c>
      <c r="J83" s="189">
        <v>0</v>
      </c>
      <c r="K83" s="189">
        <v>10301</v>
      </c>
      <c r="L83" s="191">
        <v>10</v>
      </c>
      <c r="M83" s="192">
        <v>46092</v>
      </c>
      <c r="N83" s="193">
        <v>1</v>
      </c>
      <c r="O83" s="194">
        <v>1</v>
      </c>
      <c r="P83" s="195"/>
      <c r="Q83" s="196" t="s">
        <v>38</v>
      </c>
      <c r="R83" s="197">
        <v>1</v>
      </c>
      <c r="S83" s="198" t="s">
        <v>33</v>
      </c>
      <c r="T83" s="199"/>
      <c r="U83" s="200"/>
      <c r="V83" s="200"/>
      <c r="W83" s="200"/>
      <c r="X83" s="200"/>
      <c r="Y83" s="200"/>
      <c r="Z83" s="200"/>
      <c r="AA83" s="200"/>
      <c r="AB83" s="200"/>
      <c r="AC83" s="208"/>
      <c r="AD83" s="11" t="str">
        <f t="shared" si="3"/>
        <v>10</v>
      </c>
      <c r="AF83" t="str">
        <f t="shared" si="4"/>
        <v>80.01.ZZ.010</v>
      </c>
      <c r="AH83" t="str">
        <f t="shared" si="5"/>
        <v>00 de 01</v>
      </c>
    </row>
    <row r="84" spans="1:34" ht="34.5" x14ac:dyDescent="0.25">
      <c r="A84" s="139" t="s">
        <v>116</v>
      </c>
      <c r="B84" s="105" t="s">
        <v>122</v>
      </c>
      <c r="C84" s="63">
        <v>72</v>
      </c>
      <c r="D84" s="197" t="s">
        <v>190</v>
      </c>
      <c r="E84" s="189" t="s">
        <v>993</v>
      </c>
      <c r="F84" s="190" t="s">
        <v>123</v>
      </c>
      <c r="G84" s="189" t="s">
        <v>135</v>
      </c>
      <c r="H84" s="191">
        <v>50592</v>
      </c>
      <c r="I84" s="189" t="s">
        <v>906</v>
      </c>
      <c r="J84" s="189">
        <v>0</v>
      </c>
      <c r="K84" s="189">
        <v>10301</v>
      </c>
      <c r="L84" s="191">
        <v>10</v>
      </c>
      <c r="M84" s="192">
        <v>46092</v>
      </c>
      <c r="N84" s="193">
        <v>1</v>
      </c>
      <c r="O84" s="194">
        <v>1</v>
      </c>
      <c r="P84" s="195"/>
      <c r="Q84" s="196" t="s">
        <v>38</v>
      </c>
      <c r="R84" s="197">
        <v>1</v>
      </c>
      <c r="S84" s="198" t="s">
        <v>33</v>
      </c>
      <c r="T84" s="199"/>
      <c r="U84" s="200"/>
      <c r="V84" s="200"/>
      <c r="W84" s="200"/>
      <c r="X84" s="200"/>
      <c r="Y84" s="200"/>
      <c r="Z84" s="200"/>
      <c r="AA84" s="200"/>
      <c r="AB84" s="200"/>
      <c r="AC84" s="208"/>
      <c r="AD84" s="11" t="str">
        <f t="shared" si="3"/>
        <v>10</v>
      </c>
      <c r="AF84" t="str">
        <f t="shared" si="4"/>
        <v>80.01.ZZ.010</v>
      </c>
      <c r="AH84" t="str">
        <f t="shared" si="5"/>
        <v>00 de 01</v>
      </c>
    </row>
    <row r="85" spans="1:34" ht="34.5" x14ac:dyDescent="0.25">
      <c r="A85" s="139" t="s">
        <v>116</v>
      </c>
      <c r="B85" s="105" t="s">
        <v>122</v>
      </c>
      <c r="C85" s="63">
        <v>73</v>
      </c>
      <c r="D85" s="197" t="s">
        <v>190</v>
      </c>
      <c r="E85" s="189" t="s">
        <v>994</v>
      </c>
      <c r="F85" s="190" t="s">
        <v>123</v>
      </c>
      <c r="G85" s="189" t="s">
        <v>135</v>
      </c>
      <c r="H85" s="191">
        <v>50592</v>
      </c>
      <c r="I85" s="189" t="s">
        <v>906</v>
      </c>
      <c r="J85" s="189">
        <v>0</v>
      </c>
      <c r="K85" s="189">
        <v>10301</v>
      </c>
      <c r="L85" s="191">
        <v>10</v>
      </c>
      <c r="M85" s="192">
        <v>46092</v>
      </c>
      <c r="N85" s="193">
        <v>1</v>
      </c>
      <c r="O85" s="194">
        <v>1</v>
      </c>
      <c r="P85" s="195"/>
      <c r="Q85" s="196" t="s">
        <v>38</v>
      </c>
      <c r="R85" s="197">
        <v>1</v>
      </c>
      <c r="S85" s="198" t="s">
        <v>33</v>
      </c>
      <c r="T85" s="199"/>
      <c r="U85" s="200"/>
      <c r="V85" s="200"/>
      <c r="W85" s="200"/>
      <c r="X85" s="200"/>
      <c r="Y85" s="200"/>
      <c r="Z85" s="200"/>
      <c r="AA85" s="200"/>
      <c r="AB85" s="200"/>
      <c r="AC85" s="208"/>
      <c r="AD85" s="11" t="str">
        <f t="shared" si="3"/>
        <v>10</v>
      </c>
      <c r="AF85" t="str">
        <f t="shared" si="4"/>
        <v>80.01.ZZ.010</v>
      </c>
      <c r="AH85" t="str">
        <f t="shared" si="5"/>
        <v>00 de 01</v>
      </c>
    </row>
    <row r="86" spans="1:34" ht="34.5" x14ac:dyDescent="0.25">
      <c r="A86" s="139" t="s">
        <v>116</v>
      </c>
      <c r="B86" s="105" t="s">
        <v>122</v>
      </c>
      <c r="C86" s="63">
        <v>74</v>
      </c>
      <c r="D86" s="197" t="s">
        <v>190</v>
      </c>
      <c r="E86" s="189" t="s">
        <v>995</v>
      </c>
      <c r="F86" s="190" t="s">
        <v>123</v>
      </c>
      <c r="G86" s="189" t="s">
        <v>135</v>
      </c>
      <c r="H86" s="191">
        <v>50592</v>
      </c>
      <c r="I86" s="189" t="s">
        <v>906</v>
      </c>
      <c r="J86" s="189">
        <v>0</v>
      </c>
      <c r="K86" s="189">
        <v>10301</v>
      </c>
      <c r="L86" s="191">
        <v>10</v>
      </c>
      <c r="M86" s="192">
        <v>46092</v>
      </c>
      <c r="N86" s="193">
        <v>1</v>
      </c>
      <c r="O86" s="194">
        <v>1</v>
      </c>
      <c r="P86" s="195"/>
      <c r="Q86" s="196" t="s">
        <v>38</v>
      </c>
      <c r="R86" s="197">
        <v>1</v>
      </c>
      <c r="S86" s="198" t="s">
        <v>33</v>
      </c>
      <c r="T86" s="199"/>
      <c r="U86" s="200"/>
      <c r="V86" s="200"/>
      <c r="W86" s="200"/>
      <c r="X86" s="200"/>
      <c r="Y86" s="200"/>
      <c r="Z86" s="200"/>
      <c r="AA86" s="200"/>
      <c r="AB86" s="200"/>
      <c r="AC86" s="208"/>
      <c r="AD86" s="11" t="str">
        <f t="shared" si="3"/>
        <v>10</v>
      </c>
      <c r="AF86" t="str">
        <f t="shared" si="4"/>
        <v>80.01.ZZ.010</v>
      </c>
      <c r="AH86" t="str">
        <f t="shared" si="5"/>
        <v>00 de 01</v>
      </c>
    </row>
    <row r="87" spans="1:34" ht="34.5" x14ac:dyDescent="0.25">
      <c r="A87" s="139" t="s">
        <v>116</v>
      </c>
      <c r="B87" s="105" t="s">
        <v>122</v>
      </c>
      <c r="C87" s="63">
        <v>75</v>
      </c>
      <c r="D87" s="197" t="s">
        <v>190</v>
      </c>
      <c r="E87" s="189" t="s">
        <v>996</v>
      </c>
      <c r="F87" s="190" t="s">
        <v>123</v>
      </c>
      <c r="G87" s="189" t="s">
        <v>135</v>
      </c>
      <c r="H87" s="191">
        <v>50592</v>
      </c>
      <c r="I87" s="189" t="s">
        <v>906</v>
      </c>
      <c r="J87" s="189">
        <v>0</v>
      </c>
      <c r="K87" s="189">
        <v>10401</v>
      </c>
      <c r="L87" s="191">
        <v>10</v>
      </c>
      <c r="M87" s="192">
        <v>46092</v>
      </c>
      <c r="N87" s="193">
        <v>1</v>
      </c>
      <c r="O87" s="194">
        <v>1</v>
      </c>
      <c r="P87" s="195"/>
      <c r="Q87" s="196" t="s">
        <v>38</v>
      </c>
      <c r="R87" s="197">
        <v>1</v>
      </c>
      <c r="S87" s="198" t="s">
        <v>33</v>
      </c>
      <c r="T87" s="199"/>
      <c r="U87" s="200"/>
      <c r="V87" s="200"/>
      <c r="W87" s="200"/>
      <c r="X87" s="200"/>
      <c r="Y87" s="200"/>
      <c r="Z87" s="200"/>
      <c r="AA87" s="200"/>
      <c r="AB87" s="200"/>
      <c r="AC87" s="208"/>
      <c r="AD87" s="11" t="str">
        <f t="shared" si="3"/>
        <v>10</v>
      </c>
      <c r="AF87" t="str">
        <f t="shared" si="4"/>
        <v>80.01.ZZ.010</v>
      </c>
      <c r="AH87" t="str">
        <f t="shared" si="5"/>
        <v>00 de 01</v>
      </c>
    </row>
    <row r="88" spans="1:34" ht="34.5" x14ac:dyDescent="0.25">
      <c r="A88" s="139" t="s">
        <v>116</v>
      </c>
      <c r="B88" s="105" t="s">
        <v>122</v>
      </c>
      <c r="C88" s="63">
        <v>76</v>
      </c>
      <c r="D88" s="197" t="s">
        <v>190</v>
      </c>
      <c r="E88" s="189" t="s">
        <v>997</v>
      </c>
      <c r="F88" s="190" t="s">
        <v>123</v>
      </c>
      <c r="G88" s="189" t="s">
        <v>135</v>
      </c>
      <c r="H88" s="191">
        <v>50592</v>
      </c>
      <c r="I88" s="189" t="s">
        <v>906</v>
      </c>
      <c r="J88" s="189">
        <v>0</v>
      </c>
      <c r="K88" s="189">
        <v>10401</v>
      </c>
      <c r="L88" s="191">
        <v>10</v>
      </c>
      <c r="M88" s="192">
        <v>46092</v>
      </c>
      <c r="N88" s="193">
        <v>1</v>
      </c>
      <c r="O88" s="194">
        <v>1</v>
      </c>
      <c r="P88" s="195"/>
      <c r="Q88" s="196" t="s">
        <v>38</v>
      </c>
      <c r="R88" s="197">
        <v>1</v>
      </c>
      <c r="S88" s="198" t="s">
        <v>33</v>
      </c>
      <c r="T88" s="199"/>
      <c r="U88" s="200"/>
      <c r="V88" s="200"/>
      <c r="W88" s="200"/>
      <c r="X88" s="200"/>
      <c r="Y88" s="200"/>
      <c r="Z88" s="200"/>
      <c r="AA88" s="200"/>
      <c r="AB88" s="200"/>
      <c r="AC88" s="208"/>
      <c r="AD88" s="11" t="str">
        <f t="shared" si="3"/>
        <v>10</v>
      </c>
      <c r="AF88" t="str">
        <f t="shared" si="4"/>
        <v>80.01.ZZ.010</v>
      </c>
      <c r="AH88" t="str">
        <f t="shared" si="5"/>
        <v>00 de 01</v>
      </c>
    </row>
    <row r="89" spans="1:34" ht="34.5" x14ac:dyDescent="0.25">
      <c r="A89" s="139" t="s">
        <v>116</v>
      </c>
      <c r="B89" s="105" t="s">
        <v>122</v>
      </c>
      <c r="C89" s="63">
        <v>77</v>
      </c>
      <c r="D89" s="197" t="s">
        <v>190</v>
      </c>
      <c r="E89" s="189" t="s">
        <v>998</v>
      </c>
      <c r="F89" s="190" t="s">
        <v>123</v>
      </c>
      <c r="G89" s="189" t="s">
        <v>135</v>
      </c>
      <c r="H89" s="191">
        <v>50592</v>
      </c>
      <c r="I89" s="189" t="s">
        <v>906</v>
      </c>
      <c r="J89" s="189">
        <v>0</v>
      </c>
      <c r="K89" s="189">
        <v>10401</v>
      </c>
      <c r="L89" s="191">
        <v>10</v>
      </c>
      <c r="M89" s="192">
        <v>46092</v>
      </c>
      <c r="N89" s="193">
        <v>1</v>
      </c>
      <c r="O89" s="194">
        <v>1</v>
      </c>
      <c r="P89" s="195"/>
      <c r="Q89" s="196" t="s">
        <v>38</v>
      </c>
      <c r="R89" s="197">
        <v>1</v>
      </c>
      <c r="S89" s="198" t="s">
        <v>33</v>
      </c>
      <c r="T89" s="199"/>
      <c r="U89" s="200"/>
      <c r="V89" s="200"/>
      <c r="W89" s="200"/>
      <c r="X89" s="200"/>
      <c r="Y89" s="200"/>
      <c r="Z89" s="200"/>
      <c r="AA89" s="200"/>
      <c r="AB89" s="200"/>
      <c r="AC89" s="208"/>
      <c r="AD89" s="11" t="str">
        <f t="shared" si="3"/>
        <v>10</v>
      </c>
      <c r="AF89" t="str">
        <f t="shared" si="4"/>
        <v>80.01.ZZ.010</v>
      </c>
      <c r="AH89" t="str">
        <f t="shared" si="5"/>
        <v>00 de 01</v>
      </c>
    </row>
    <row r="90" spans="1:34" ht="34.5" x14ac:dyDescent="0.25">
      <c r="A90" s="139" t="s">
        <v>116</v>
      </c>
      <c r="B90" s="105" t="s">
        <v>122</v>
      </c>
      <c r="C90" s="63">
        <v>78</v>
      </c>
      <c r="D90" s="197" t="s">
        <v>190</v>
      </c>
      <c r="E90" s="189" t="s">
        <v>999</v>
      </c>
      <c r="F90" s="190" t="s">
        <v>123</v>
      </c>
      <c r="G90" s="189" t="s">
        <v>135</v>
      </c>
      <c r="H90" s="191">
        <v>50592</v>
      </c>
      <c r="I90" s="189" t="s">
        <v>906</v>
      </c>
      <c r="J90" s="189">
        <v>0</v>
      </c>
      <c r="K90" s="189">
        <v>10401</v>
      </c>
      <c r="L90" s="191">
        <v>10</v>
      </c>
      <c r="M90" s="192">
        <v>46092</v>
      </c>
      <c r="N90" s="193">
        <v>1</v>
      </c>
      <c r="O90" s="194">
        <v>1</v>
      </c>
      <c r="P90" s="195"/>
      <c r="Q90" s="196" t="s">
        <v>38</v>
      </c>
      <c r="R90" s="197">
        <v>1</v>
      </c>
      <c r="S90" s="198" t="s">
        <v>33</v>
      </c>
      <c r="T90" s="199"/>
      <c r="U90" s="200"/>
      <c r="V90" s="200"/>
      <c r="W90" s="200"/>
      <c r="X90" s="200"/>
      <c r="Y90" s="200"/>
      <c r="Z90" s="200"/>
      <c r="AA90" s="200"/>
      <c r="AB90" s="200"/>
      <c r="AC90" s="208"/>
      <c r="AD90" s="11" t="str">
        <f t="shared" si="3"/>
        <v>10</v>
      </c>
      <c r="AF90" t="str">
        <f t="shared" si="4"/>
        <v>80.01.ZZ.010</v>
      </c>
      <c r="AH90" t="str">
        <f t="shared" si="5"/>
        <v>00 de 01</v>
      </c>
    </row>
    <row r="91" spans="1:34" ht="34.5" x14ac:dyDescent="0.25">
      <c r="A91" s="139" t="s">
        <v>116</v>
      </c>
      <c r="B91" s="105" t="s">
        <v>122</v>
      </c>
      <c r="C91" s="63">
        <v>79</v>
      </c>
      <c r="D91" s="197" t="s">
        <v>190</v>
      </c>
      <c r="E91" s="189" t="s">
        <v>1000</v>
      </c>
      <c r="F91" s="190" t="s">
        <v>123</v>
      </c>
      <c r="G91" s="189" t="s">
        <v>135</v>
      </c>
      <c r="H91" s="191">
        <v>50592</v>
      </c>
      <c r="I91" s="189" t="s">
        <v>906</v>
      </c>
      <c r="J91" s="189">
        <v>0</v>
      </c>
      <c r="K91" s="189">
        <v>10401</v>
      </c>
      <c r="L91" s="191">
        <v>10</v>
      </c>
      <c r="M91" s="192">
        <v>46092</v>
      </c>
      <c r="N91" s="193">
        <v>1</v>
      </c>
      <c r="O91" s="194">
        <v>1</v>
      </c>
      <c r="P91" s="195"/>
      <c r="Q91" s="196" t="s">
        <v>38</v>
      </c>
      <c r="R91" s="197">
        <v>1</v>
      </c>
      <c r="S91" s="198" t="s">
        <v>33</v>
      </c>
      <c r="T91" s="199"/>
      <c r="U91" s="200"/>
      <c r="V91" s="200"/>
      <c r="W91" s="200"/>
      <c r="X91" s="200"/>
      <c r="Y91" s="200"/>
      <c r="Z91" s="200"/>
      <c r="AA91" s="200"/>
      <c r="AB91" s="200"/>
      <c r="AC91" s="208"/>
      <c r="AD91" s="11" t="str">
        <f t="shared" si="3"/>
        <v>10</v>
      </c>
      <c r="AF91" t="str">
        <f t="shared" si="4"/>
        <v>80.01.ZZ.010</v>
      </c>
      <c r="AH91" t="str">
        <f t="shared" si="5"/>
        <v>00 de 01</v>
      </c>
    </row>
    <row r="92" spans="1:34" ht="34.5" x14ac:dyDescent="0.25">
      <c r="A92" s="139" t="s">
        <v>116</v>
      </c>
      <c r="B92" s="105" t="s">
        <v>122</v>
      </c>
      <c r="C92" s="63">
        <v>80</v>
      </c>
      <c r="D92" s="197" t="s">
        <v>190</v>
      </c>
      <c r="E92" s="189" t="s">
        <v>1001</v>
      </c>
      <c r="F92" s="190" t="s">
        <v>123</v>
      </c>
      <c r="G92" s="189" t="s">
        <v>135</v>
      </c>
      <c r="H92" s="191">
        <v>50592</v>
      </c>
      <c r="I92" s="189" t="s">
        <v>906</v>
      </c>
      <c r="J92" s="189">
        <v>0</v>
      </c>
      <c r="K92" s="189">
        <v>10401</v>
      </c>
      <c r="L92" s="191">
        <v>10</v>
      </c>
      <c r="M92" s="192">
        <v>46092</v>
      </c>
      <c r="N92" s="193">
        <v>1</v>
      </c>
      <c r="O92" s="194">
        <v>1</v>
      </c>
      <c r="P92" s="195"/>
      <c r="Q92" s="196" t="s">
        <v>38</v>
      </c>
      <c r="R92" s="197">
        <v>1</v>
      </c>
      <c r="S92" s="198" t="s">
        <v>33</v>
      </c>
      <c r="T92" s="199"/>
      <c r="U92" s="200"/>
      <c r="V92" s="200"/>
      <c r="W92" s="200"/>
      <c r="X92" s="200"/>
      <c r="Y92" s="200"/>
      <c r="Z92" s="200"/>
      <c r="AA92" s="200"/>
      <c r="AB92" s="200"/>
      <c r="AC92" s="208"/>
      <c r="AD92" s="11" t="str">
        <f t="shared" si="3"/>
        <v>10</v>
      </c>
      <c r="AF92" t="str">
        <f t="shared" si="4"/>
        <v>80.01.ZZ.010</v>
      </c>
      <c r="AH92" t="str">
        <f t="shared" si="5"/>
        <v>00 de 01</v>
      </c>
    </row>
    <row r="93" spans="1:34" ht="34.5" x14ac:dyDescent="0.25">
      <c r="A93" s="139" t="s">
        <v>116</v>
      </c>
      <c r="B93" s="105" t="s">
        <v>122</v>
      </c>
      <c r="C93" s="63">
        <v>81</v>
      </c>
      <c r="D93" s="197" t="s">
        <v>190</v>
      </c>
      <c r="E93" s="189" t="s">
        <v>1002</v>
      </c>
      <c r="F93" s="190" t="s">
        <v>123</v>
      </c>
      <c r="G93" s="189" t="s">
        <v>135</v>
      </c>
      <c r="H93" s="191">
        <v>50592</v>
      </c>
      <c r="I93" s="189" t="s">
        <v>906</v>
      </c>
      <c r="J93" s="189">
        <v>0</v>
      </c>
      <c r="K93" s="189">
        <v>10401</v>
      </c>
      <c r="L93" s="191">
        <v>10</v>
      </c>
      <c r="M93" s="192">
        <v>46092</v>
      </c>
      <c r="N93" s="193">
        <v>1</v>
      </c>
      <c r="O93" s="194">
        <v>1</v>
      </c>
      <c r="P93" s="195"/>
      <c r="Q93" s="196" t="s">
        <v>38</v>
      </c>
      <c r="R93" s="197">
        <v>1</v>
      </c>
      <c r="S93" s="198" t="s">
        <v>33</v>
      </c>
      <c r="T93" s="199"/>
      <c r="U93" s="200"/>
      <c r="V93" s="200"/>
      <c r="W93" s="200"/>
      <c r="X93" s="200"/>
      <c r="Y93" s="200"/>
      <c r="Z93" s="200"/>
      <c r="AA93" s="200"/>
      <c r="AB93" s="200"/>
      <c r="AC93" s="208"/>
      <c r="AD93" s="11" t="str">
        <f t="shared" si="3"/>
        <v>10</v>
      </c>
      <c r="AF93" t="str">
        <f t="shared" si="4"/>
        <v>80.01.ZZ.010</v>
      </c>
      <c r="AH93" t="str">
        <f t="shared" si="5"/>
        <v>00 de 01</v>
      </c>
    </row>
    <row r="94" spans="1:34" ht="34.5" x14ac:dyDescent="0.25">
      <c r="A94" s="139" t="s">
        <v>116</v>
      </c>
      <c r="B94" s="105" t="s">
        <v>122</v>
      </c>
      <c r="C94" s="63">
        <v>82</v>
      </c>
      <c r="D94" s="197" t="s">
        <v>190</v>
      </c>
      <c r="E94" s="189" t="s">
        <v>1003</v>
      </c>
      <c r="F94" s="190" t="s">
        <v>123</v>
      </c>
      <c r="G94" s="189" t="s">
        <v>135</v>
      </c>
      <c r="H94" s="191">
        <v>50592</v>
      </c>
      <c r="I94" s="189" t="s">
        <v>906</v>
      </c>
      <c r="J94" s="189">
        <v>0</v>
      </c>
      <c r="K94" s="189">
        <v>10401</v>
      </c>
      <c r="L94" s="191">
        <v>10</v>
      </c>
      <c r="M94" s="192">
        <v>46092</v>
      </c>
      <c r="N94" s="193">
        <v>1</v>
      </c>
      <c r="O94" s="194">
        <v>1</v>
      </c>
      <c r="P94" s="195"/>
      <c r="Q94" s="196" t="s">
        <v>38</v>
      </c>
      <c r="R94" s="197">
        <v>1</v>
      </c>
      <c r="S94" s="198" t="s">
        <v>33</v>
      </c>
      <c r="T94" s="199"/>
      <c r="U94" s="200"/>
      <c r="V94" s="200"/>
      <c r="W94" s="200"/>
      <c r="X94" s="200"/>
      <c r="Y94" s="200"/>
      <c r="Z94" s="200"/>
      <c r="AA94" s="200"/>
      <c r="AB94" s="200"/>
      <c r="AC94" s="208"/>
      <c r="AD94" s="11" t="str">
        <f t="shared" si="3"/>
        <v>10</v>
      </c>
      <c r="AF94" t="str">
        <f t="shared" si="4"/>
        <v>80.01.ZZ.010</v>
      </c>
      <c r="AH94" t="str">
        <f t="shared" si="5"/>
        <v>00 de 01</v>
      </c>
    </row>
    <row r="95" spans="1:34" ht="34.5" x14ac:dyDescent="0.25">
      <c r="A95" s="139" t="s">
        <v>116</v>
      </c>
      <c r="B95" s="105" t="s">
        <v>122</v>
      </c>
      <c r="C95" s="63">
        <v>83</v>
      </c>
      <c r="D95" s="197" t="s">
        <v>190</v>
      </c>
      <c r="E95" s="189" t="s">
        <v>1004</v>
      </c>
      <c r="F95" s="190" t="s">
        <v>123</v>
      </c>
      <c r="G95" s="189" t="s">
        <v>135</v>
      </c>
      <c r="H95" s="191">
        <v>50592</v>
      </c>
      <c r="I95" s="189" t="s">
        <v>906</v>
      </c>
      <c r="J95" s="189">
        <v>0</v>
      </c>
      <c r="K95" s="189">
        <v>10401</v>
      </c>
      <c r="L95" s="191">
        <v>10</v>
      </c>
      <c r="M95" s="192">
        <v>46092</v>
      </c>
      <c r="N95" s="193">
        <v>1</v>
      </c>
      <c r="O95" s="194">
        <v>1</v>
      </c>
      <c r="P95" s="195"/>
      <c r="Q95" s="196" t="s">
        <v>38</v>
      </c>
      <c r="R95" s="197">
        <v>1</v>
      </c>
      <c r="S95" s="198" t="s">
        <v>33</v>
      </c>
      <c r="T95" s="199"/>
      <c r="U95" s="200"/>
      <c r="V95" s="200"/>
      <c r="W95" s="200"/>
      <c r="X95" s="200"/>
      <c r="Y95" s="200"/>
      <c r="Z95" s="200"/>
      <c r="AA95" s="200"/>
      <c r="AB95" s="200"/>
      <c r="AC95" s="208"/>
      <c r="AD95" s="11" t="str">
        <f t="shared" si="3"/>
        <v>10</v>
      </c>
      <c r="AF95" t="str">
        <f t="shared" si="4"/>
        <v>80.01.ZZ.010</v>
      </c>
      <c r="AH95" t="str">
        <f t="shared" si="5"/>
        <v>00 de 01</v>
      </c>
    </row>
    <row r="96" spans="1:34" ht="34.5" x14ac:dyDescent="0.25">
      <c r="A96" s="139" t="s">
        <v>116</v>
      </c>
      <c r="B96" s="105" t="s">
        <v>122</v>
      </c>
      <c r="C96" s="63">
        <v>84</v>
      </c>
      <c r="D96" s="197" t="s">
        <v>190</v>
      </c>
      <c r="E96" s="189" t="s">
        <v>1005</v>
      </c>
      <c r="F96" s="190" t="s">
        <v>123</v>
      </c>
      <c r="G96" s="189" t="s">
        <v>135</v>
      </c>
      <c r="H96" s="191">
        <v>50592</v>
      </c>
      <c r="I96" s="189" t="s">
        <v>906</v>
      </c>
      <c r="J96" s="189">
        <v>0</v>
      </c>
      <c r="K96" s="189">
        <v>10401</v>
      </c>
      <c r="L96" s="191">
        <v>10</v>
      </c>
      <c r="M96" s="192">
        <v>46092</v>
      </c>
      <c r="N96" s="193">
        <v>1</v>
      </c>
      <c r="O96" s="194">
        <v>1</v>
      </c>
      <c r="P96" s="195"/>
      <c r="Q96" s="196" t="s">
        <v>38</v>
      </c>
      <c r="R96" s="197">
        <v>1</v>
      </c>
      <c r="S96" s="198" t="s">
        <v>33</v>
      </c>
      <c r="T96" s="199"/>
      <c r="U96" s="200"/>
      <c r="V96" s="200"/>
      <c r="W96" s="200"/>
      <c r="X96" s="200"/>
      <c r="Y96" s="200"/>
      <c r="Z96" s="200"/>
      <c r="AA96" s="200"/>
      <c r="AB96" s="200"/>
      <c r="AC96" s="208"/>
      <c r="AD96" s="11" t="str">
        <f t="shared" si="3"/>
        <v>10</v>
      </c>
      <c r="AF96" t="str">
        <f t="shared" si="4"/>
        <v>80.01.ZZ.010</v>
      </c>
      <c r="AH96" t="str">
        <f t="shared" si="5"/>
        <v>00 de 01</v>
      </c>
    </row>
    <row r="97" spans="1:34" ht="34.5" x14ac:dyDescent="0.25">
      <c r="A97" s="139" t="s">
        <v>116</v>
      </c>
      <c r="B97" s="105" t="s">
        <v>122</v>
      </c>
      <c r="C97" s="63">
        <v>85</v>
      </c>
      <c r="D97" s="197" t="s">
        <v>191</v>
      </c>
      <c r="E97" s="189" t="s">
        <v>1267</v>
      </c>
      <c r="F97" s="190" t="s">
        <v>123</v>
      </c>
      <c r="G97" s="189" t="s">
        <v>134</v>
      </c>
      <c r="H97" s="191">
        <v>50592</v>
      </c>
      <c r="I97" s="189" t="s">
        <v>1229</v>
      </c>
      <c r="J97" s="189">
        <v>0</v>
      </c>
      <c r="K97" s="189" t="s">
        <v>1248</v>
      </c>
      <c r="L97" s="191">
        <v>7</v>
      </c>
      <c r="M97" s="192">
        <v>46092</v>
      </c>
      <c r="N97" s="193">
        <v>0.5</v>
      </c>
      <c r="O97" s="194">
        <v>0.5</v>
      </c>
      <c r="P97" s="195"/>
      <c r="Q97" s="196" t="s">
        <v>38</v>
      </c>
      <c r="R97" s="197">
        <v>1</v>
      </c>
      <c r="S97" s="198" t="s">
        <v>33</v>
      </c>
      <c r="T97" s="199"/>
      <c r="U97" s="200"/>
      <c r="V97" s="200"/>
      <c r="W97" s="200"/>
      <c r="X97" s="200"/>
      <c r="Y97" s="200"/>
      <c r="Z97" s="200"/>
      <c r="AA97" s="200"/>
      <c r="AB97" s="200"/>
      <c r="AC97" s="208"/>
      <c r="AD97" s="11" t="str">
        <f t="shared" si="3"/>
        <v>7</v>
      </c>
      <c r="AF97" t="str">
        <f t="shared" si="4"/>
        <v>80.01.ZZ.07</v>
      </c>
      <c r="AH97" t="str">
        <f t="shared" si="5"/>
        <v>00 de 01</v>
      </c>
    </row>
    <row r="98" spans="1:34" ht="34.5" x14ac:dyDescent="0.25">
      <c r="A98" s="139" t="s">
        <v>116</v>
      </c>
      <c r="B98" s="105" t="s">
        <v>122</v>
      </c>
      <c r="C98" s="63">
        <v>86</v>
      </c>
      <c r="D98" s="197" t="s">
        <v>191</v>
      </c>
      <c r="E98" s="189" t="s">
        <v>1268</v>
      </c>
      <c r="F98" s="190" t="s">
        <v>123</v>
      </c>
      <c r="G98" s="189" t="s">
        <v>134</v>
      </c>
      <c r="H98" s="191">
        <v>50592</v>
      </c>
      <c r="I98" s="189" t="s">
        <v>1229</v>
      </c>
      <c r="J98" s="189">
        <v>0</v>
      </c>
      <c r="K98" s="189" t="s">
        <v>1249</v>
      </c>
      <c r="L98" s="191">
        <v>7</v>
      </c>
      <c r="M98" s="192">
        <v>46092</v>
      </c>
      <c r="N98" s="193">
        <v>0.5</v>
      </c>
      <c r="O98" s="194">
        <v>0.5</v>
      </c>
      <c r="P98" s="195"/>
      <c r="Q98" s="196" t="s">
        <v>38</v>
      </c>
      <c r="R98" s="197">
        <v>1</v>
      </c>
      <c r="S98" s="198" t="s">
        <v>33</v>
      </c>
      <c r="T98" s="199"/>
      <c r="U98" s="200"/>
      <c r="V98" s="200"/>
      <c r="W98" s="200"/>
      <c r="X98" s="200"/>
      <c r="Y98" s="200"/>
      <c r="Z98" s="200"/>
      <c r="AA98" s="200"/>
      <c r="AB98" s="200"/>
      <c r="AC98" s="208"/>
      <c r="AD98" s="11" t="str">
        <f t="shared" si="3"/>
        <v>7</v>
      </c>
      <c r="AF98" t="str">
        <f t="shared" si="4"/>
        <v>80.01.ZZ.07</v>
      </c>
      <c r="AH98" t="str">
        <f t="shared" si="5"/>
        <v>00 de 01</v>
      </c>
    </row>
    <row r="99" spans="1:34" ht="34.5" x14ac:dyDescent="0.25">
      <c r="A99" s="139" t="s">
        <v>116</v>
      </c>
      <c r="B99" s="105" t="s">
        <v>122</v>
      </c>
      <c r="C99" s="63">
        <v>87</v>
      </c>
      <c r="D99" s="197" t="s">
        <v>190</v>
      </c>
      <c r="E99" s="189" t="s">
        <v>1006</v>
      </c>
      <c r="F99" s="190" t="s">
        <v>123</v>
      </c>
      <c r="G99" s="189" t="s">
        <v>204</v>
      </c>
      <c r="H99" s="191">
        <v>50592</v>
      </c>
      <c r="I99" s="189" t="s">
        <v>907</v>
      </c>
      <c r="J99" s="189">
        <v>0</v>
      </c>
      <c r="K99" s="189" t="s">
        <v>913</v>
      </c>
      <c r="L99" s="191">
        <v>10</v>
      </c>
      <c r="M99" s="192">
        <v>46092</v>
      </c>
      <c r="N99" s="193">
        <v>1</v>
      </c>
      <c r="O99" s="194">
        <v>1</v>
      </c>
      <c r="P99" s="195"/>
      <c r="Q99" s="196" t="s">
        <v>38</v>
      </c>
      <c r="R99" s="197">
        <v>1</v>
      </c>
      <c r="S99" s="198" t="s">
        <v>33</v>
      </c>
      <c r="T99" s="199"/>
      <c r="U99" s="200"/>
      <c r="V99" s="200"/>
      <c r="W99" s="200"/>
      <c r="X99" s="200"/>
      <c r="Y99" s="200"/>
      <c r="Z99" s="200"/>
      <c r="AA99" s="200"/>
      <c r="AB99" s="200"/>
      <c r="AC99" s="208"/>
      <c r="AD99" s="11" t="str">
        <f t="shared" si="3"/>
        <v>10</v>
      </c>
      <c r="AF99" t="str">
        <f t="shared" si="4"/>
        <v>80.01.ZZ.010</v>
      </c>
      <c r="AH99" t="str">
        <f t="shared" si="5"/>
        <v>00 de 01</v>
      </c>
    </row>
    <row r="100" spans="1:34" ht="34.5" x14ac:dyDescent="0.25">
      <c r="A100" s="139" t="s">
        <v>116</v>
      </c>
      <c r="B100" s="105" t="s">
        <v>122</v>
      </c>
      <c r="C100" s="63">
        <v>88</v>
      </c>
      <c r="D100" s="197" t="s">
        <v>933</v>
      </c>
      <c r="E100" s="189" t="s">
        <v>1007</v>
      </c>
      <c r="F100" s="190" t="s">
        <v>123</v>
      </c>
      <c r="G100" s="189" t="s">
        <v>204</v>
      </c>
      <c r="H100" s="191">
        <v>50592</v>
      </c>
      <c r="I100" s="189" t="s">
        <v>907</v>
      </c>
      <c r="J100" s="189">
        <v>0</v>
      </c>
      <c r="K100" s="189" t="s">
        <v>913</v>
      </c>
      <c r="L100" s="191">
        <v>10</v>
      </c>
      <c r="M100" s="192">
        <v>46092</v>
      </c>
      <c r="N100" s="193">
        <v>1</v>
      </c>
      <c r="O100" s="194">
        <v>1</v>
      </c>
      <c r="P100" s="195"/>
      <c r="Q100" s="196" t="s">
        <v>38</v>
      </c>
      <c r="R100" s="197">
        <v>1</v>
      </c>
      <c r="S100" s="198" t="s">
        <v>33</v>
      </c>
      <c r="T100" s="199"/>
      <c r="U100" s="200"/>
      <c r="V100" s="200"/>
      <c r="W100" s="200"/>
      <c r="X100" s="200"/>
      <c r="Y100" s="200"/>
      <c r="Z100" s="200"/>
      <c r="AA100" s="200"/>
      <c r="AB100" s="200"/>
      <c r="AC100" s="208"/>
      <c r="AD100" s="11" t="str">
        <f t="shared" si="3"/>
        <v>10</v>
      </c>
      <c r="AF100" t="str">
        <f t="shared" si="4"/>
        <v>80.01.ZZ.010</v>
      </c>
      <c r="AH100" t="str">
        <f t="shared" si="5"/>
        <v>00 de 01</v>
      </c>
    </row>
    <row r="101" spans="1:34" ht="34.5" x14ac:dyDescent="0.25">
      <c r="A101" s="139" t="s">
        <v>116</v>
      </c>
      <c r="B101" s="105" t="s">
        <v>122</v>
      </c>
      <c r="C101" s="63">
        <v>89</v>
      </c>
      <c r="D101" s="197" t="s">
        <v>933</v>
      </c>
      <c r="E101" s="189" t="s">
        <v>1008</v>
      </c>
      <c r="F101" s="190" t="s">
        <v>123</v>
      </c>
      <c r="G101" s="189" t="s">
        <v>204</v>
      </c>
      <c r="H101" s="191">
        <v>50592</v>
      </c>
      <c r="I101" s="189" t="s">
        <v>907</v>
      </c>
      <c r="J101" s="189">
        <v>0</v>
      </c>
      <c r="K101" s="189" t="s">
        <v>913</v>
      </c>
      <c r="L101" s="191">
        <v>10</v>
      </c>
      <c r="M101" s="192">
        <v>46092</v>
      </c>
      <c r="N101" s="193">
        <v>1</v>
      </c>
      <c r="O101" s="194">
        <v>1</v>
      </c>
      <c r="P101" s="195"/>
      <c r="Q101" s="196" t="s">
        <v>38</v>
      </c>
      <c r="R101" s="197">
        <v>1</v>
      </c>
      <c r="S101" s="198" t="s">
        <v>33</v>
      </c>
      <c r="T101" s="199"/>
      <c r="U101" s="200"/>
      <c r="V101" s="200"/>
      <c r="W101" s="200"/>
      <c r="X101" s="200"/>
      <c r="Y101" s="200"/>
      <c r="Z101" s="200"/>
      <c r="AA101" s="200"/>
      <c r="AB101" s="200"/>
      <c r="AC101" s="208"/>
      <c r="AD101" s="11" t="str">
        <f t="shared" si="3"/>
        <v>10</v>
      </c>
      <c r="AF101" t="str">
        <f t="shared" si="4"/>
        <v>80.01.ZZ.010</v>
      </c>
      <c r="AH101" t="str">
        <f t="shared" si="5"/>
        <v>00 de 01</v>
      </c>
    </row>
    <row r="102" spans="1:34" ht="34.5" x14ac:dyDescent="0.25">
      <c r="A102" s="139" t="s">
        <v>116</v>
      </c>
      <c r="B102" s="105" t="s">
        <v>122</v>
      </c>
      <c r="C102" s="63">
        <v>90</v>
      </c>
      <c r="D102" s="197" t="s">
        <v>190</v>
      </c>
      <c r="E102" s="189" t="s">
        <v>1009</v>
      </c>
      <c r="F102" s="190" t="s">
        <v>123</v>
      </c>
      <c r="G102" s="189" t="s">
        <v>204</v>
      </c>
      <c r="H102" s="191">
        <v>50592</v>
      </c>
      <c r="I102" s="189" t="s">
        <v>907</v>
      </c>
      <c r="J102" s="189">
        <v>0</v>
      </c>
      <c r="K102" s="189" t="s">
        <v>913</v>
      </c>
      <c r="L102" s="191">
        <v>10</v>
      </c>
      <c r="M102" s="192">
        <v>46092</v>
      </c>
      <c r="N102" s="193">
        <v>1</v>
      </c>
      <c r="O102" s="194">
        <v>1</v>
      </c>
      <c r="P102" s="195"/>
      <c r="Q102" s="196" t="s">
        <v>38</v>
      </c>
      <c r="R102" s="197">
        <v>1</v>
      </c>
      <c r="S102" s="198" t="s">
        <v>33</v>
      </c>
      <c r="T102" s="199"/>
      <c r="U102" s="200"/>
      <c r="V102" s="200"/>
      <c r="W102" s="200"/>
      <c r="X102" s="200"/>
      <c r="Y102" s="200"/>
      <c r="Z102" s="200"/>
      <c r="AA102" s="200"/>
      <c r="AB102" s="200"/>
      <c r="AC102" s="208"/>
      <c r="AD102" s="11" t="str">
        <f t="shared" si="3"/>
        <v>10</v>
      </c>
      <c r="AF102" t="str">
        <f t="shared" si="4"/>
        <v>80.01.ZZ.010</v>
      </c>
      <c r="AH102" t="str">
        <f t="shared" si="5"/>
        <v>00 de 01</v>
      </c>
    </row>
    <row r="103" spans="1:34" ht="34.5" x14ac:dyDescent="0.25">
      <c r="A103" s="139" t="s">
        <v>116</v>
      </c>
      <c r="B103" s="105" t="s">
        <v>122</v>
      </c>
      <c r="C103" s="63">
        <v>91</v>
      </c>
      <c r="D103" s="197" t="s">
        <v>190</v>
      </c>
      <c r="E103" s="189" t="s">
        <v>1010</v>
      </c>
      <c r="F103" s="190" t="s">
        <v>123</v>
      </c>
      <c r="G103" s="189" t="s">
        <v>204</v>
      </c>
      <c r="H103" s="191">
        <v>50592</v>
      </c>
      <c r="I103" s="189" t="s">
        <v>907</v>
      </c>
      <c r="J103" s="189">
        <v>0</v>
      </c>
      <c r="K103" s="189" t="s">
        <v>913</v>
      </c>
      <c r="L103" s="191">
        <v>10</v>
      </c>
      <c r="M103" s="192">
        <v>46092</v>
      </c>
      <c r="N103" s="193">
        <v>1</v>
      </c>
      <c r="O103" s="194">
        <v>1</v>
      </c>
      <c r="P103" s="195"/>
      <c r="Q103" s="196" t="s">
        <v>38</v>
      </c>
      <c r="R103" s="197">
        <v>1</v>
      </c>
      <c r="S103" s="198" t="s">
        <v>33</v>
      </c>
      <c r="T103" s="199"/>
      <c r="U103" s="200"/>
      <c r="V103" s="200"/>
      <c r="W103" s="200"/>
      <c r="X103" s="200"/>
      <c r="Y103" s="200"/>
      <c r="Z103" s="200"/>
      <c r="AA103" s="200"/>
      <c r="AB103" s="200"/>
      <c r="AC103" s="208"/>
      <c r="AD103" s="11" t="str">
        <f t="shared" si="3"/>
        <v>10</v>
      </c>
      <c r="AF103" t="str">
        <f t="shared" si="4"/>
        <v>80.01.ZZ.010</v>
      </c>
      <c r="AH103" t="str">
        <f t="shared" si="5"/>
        <v>00 de 01</v>
      </c>
    </row>
    <row r="104" spans="1:34" ht="34.5" x14ac:dyDescent="0.25">
      <c r="A104" s="139" t="s">
        <v>116</v>
      </c>
      <c r="B104" s="105" t="s">
        <v>122</v>
      </c>
      <c r="C104" s="63">
        <v>92</v>
      </c>
      <c r="D104" s="197" t="s">
        <v>933</v>
      </c>
      <c r="E104" s="189" t="s">
        <v>1011</v>
      </c>
      <c r="F104" s="190" t="s">
        <v>123</v>
      </c>
      <c r="G104" s="189" t="s">
        <v>204</v>
      </c>
      <c r="H104" s="191">
        <v>50592</v>
      </c>
      <c r="I104" s="189" t="s">
        <v>907</v>
      </c>
      <c r="J104" s="189">
        <v>0</v>
      </c>
      <c r="K104" s="189" t="s">
        <v>913</v>
      </c>
      <c r="L104" s="191">
        <v>10</v>
      </c>
      <c r="M104" s="192">
        <v>46092</v>
      </c>
      <c r="N104" s="193">
        <v>1</v>
      </c>
      <c r="O104" s="194">
        <v>1</v>
      </c>
      <c r="P104" s="195"/>
      <c r="Q104" s="196" t="s">
        <v>38</v>
      </c>
      <c r="R104" s="197">
        <v>1</v>
      </c>
      <c r="S104" s="198" t="s">
        <v>33</v>
      </c>
      <c r="T104" s="199"/>
      <c r="U104" s="200"/>
      <c r="V104" s="200"/>
      <c r="W104" s="200"/>
      <c r="X104" s="200"/>
      <c r="Y104" s="200"/>
      <c r="Z104" s="200"/>
      <c r="AA104" s="200"/>
      <c r="AB104" s="200"/>
      <c r="AC104" s="208"/>
      <c r="AD104" s="11" t="str">
        <f t="shared" si="3"/>
        <v>10</v>
      </c>
      <c r="AF104" t="str">
        <f t="shared" si="4"/>
        <v>80.01.ZZ.010</v>
      </c>
      <c r="AH104" t="str">
        <f t="shared" si="5"/>
        <v>00 de 01</v>
      </c>
    </row>
    <row r="105" spans="1:34" ht="34.5" x14ac:dyDescent="0.25">
      <c r="A105" s="139" t="s">
        <v>116</v>
      </c>
      <c r="B105" s="105" t="s">
        <v>122</v>
      </c>
      <c r="C105" s="63">
        <v>93</v>
      </c>
      <c r="D105" s="197" t="s">
        <v>933</v>
      </c>
      <c r="E105" s="189" t="s">
        <v>1012</v>
      </c>
      <c r="F105" s="190" t="s">
        <v>123</v>
      </c>
      <c r="G105" s="189" t="s">
        <v>204</v>
      </c>
      <c r="H105" s="191">
        <v>50592</v>
      </c>
      <c r="I105" s="189" t="s">
        <v>907</v>
      </c>
      <c r="J105" s="189">
        <v>0</v>
      </c>
      <c r="K105" s="189" t="s">
        <v>913</v>
      </c>
      <c r="L105" s="191">
        <v>10</v>
      </c>
      <c r="M105" s="192">
        <v>46092</v>
      </c>
      <c r="N105" s="193">
        <v>1</v>
      </c>
      <c r="O105" s="194">
        <v>1</v>
      </c>
      <c r="P105" s="195"/>
      <c r="Q105" s="196" t="s">
        <v>38</v>
      </c>
      <c r="R105" s="197">
        <v>1</v>
      </c>
      <c r="S105" s="198" t="s">
        <v>33</v>
      </c>
      <c r="T105" s="199"/>
      <c r="U105" s="200"/>
      <c r="V105" s="200"/>
      <c r="W105" s="200"/>
      <c r="X105" s="200"/>
      <c r="Y105" s="200"/>
      <c r="Z105" s="200"/>
      <c r="AA105" s="200"/>
      <c r="AB105" s="200"/>
      <c r="AC105" s="208"/>
      <c r="AD105" s="11" t="str">
        <f t="shared" si="3"/>
        <v>10</v>
      </c>
      <c r="AF105" t="str">
        <f t="shared" si="4"/>
        <v>80.01.ZZ.010</v>
      </c>
      <c r="AH105" t="str">
        <f t="shared" si="5"/>
        <v>00 de 01</v>
      </c>
    </row>
    <row r="106" spans="1:34" ht="34.5" x14ac:dyDescent="0.25">
      <c r="A106" s="139" t="s">
        <v>116</v>
      </c>
      <c r="B106" s="105" t="s">
        <v>122</v>
      </c>
      <c r="C106" s="63">
        <v>94</v>
      </c>
      <c r="D106" s="197" t="s">
        <v>190</v>
      </c>
      <c r="E106" s="189" t="s">
        <v>1013</v>
      </c>
      <c r="F106" s="190" t="s">
        <v>123</v>
      </c>
      <c r="G106" s="189" t="s">
        <v>204</v>
      </c>
      <c r="H106" s="191">
        <v>50592</v>
      </c>
      <c r="I106" s="189" t="s">
        <v>907</v>
      </c>
      <c r="J106" s="189">
        <v>0</v>
      </c>
      <c r="K106" s="189" t="s">
        <v>913</v>
      </c>
      <c r="L106" s="191">
        <v>10</v>
      </c>
      <c r="M106" s="192">
        <v>46092</v>
      </c>
      <c r="N106" s="193">
        <v>1</v>
      </c>
      <c r="O106" s="194">
        <v>1</v>
      </c>
      <c r="P106" s="195"/>
      <c r="Q106" s="196" t="s">
        <v>38</v>
      </c>
      <c r="R106" s="197">
        <v>1</v>
      </c>
      <c r="S106" s="198" t="s">
        <v>33</v>
      </c>
      <c r="T106" s="199"/>
      <c r="U106" s="200"/>
      <c r="V106" s="200"/>
      <c r="W106" s="200"/>
      <c r="X106" s="200"/>
      <c r="Y106" s="200"/>
      <c r="Z106" s="200"/>
      <c r="AA106" s="200"/>
      <c r="AB106" s="200"/>
      <c r="AC106" s="208"/>
      <c r="AD106" s="11" t="str">
        <f t="shared" si="3"/>
        <v>10</v>
      </c>
      <c r="AF106" t="str">
        <f t="shared" si="4"/>
        <v>80.01.ZZ.010</v>
      </c>
      <c r="AH106" t="str">
        <f t="shared" si="5"/>
        <v>00 de 01</v>
      </c>
    </row>
    <row r="107" spans="1:34" ht="34.5" x14ac:dyDescent="0.25">
      <c r="A107" s="139" t="s">
        <v>116</v>
      </c>
      <c r="B107" s="105" t="s">
        <v>122</v>
      </c>
      <c r="C107" s="63">
        <v>95</v>
      </c>
      <c r="D107" s="197" t="s">
        <v>190</v>
      </c>
      <c r="E107" s="189" t="s">
        <v>1014</v>
      </c>
      <c r="F107" s="190" t="s">
        <v>123</v>
      </c>
      <c r="G107" s="189" t="s">
        <v>204</v>
      </c>
      <c r="H107" s="191">
        <v>50592</v>
      </c>
      <c r="I107" s="189" t="s">
        <v>907</v>
      </c>
      <c r="J107" s="189">
        <v>0</v>
      </c>
      <c r="K107" s="189" t="s">
        <v>913</v>
      </c>
      <c r="L107" s="191">
        <v>10</v>
      </c>
      <c r="M107" s="192">
        <v>46092</v>
      </c>
      <c r="N107" s="193">
        <v>1</v>
      </c>
      <c r="O107" s="194">
        <v>1</v>
      </c>
      <c r="P107" s="195"/>
      <c r="Q107" s="196" t="s">
        <v>38</v>
      </c>
      <c r="R107" s="197">
        <v>1</v>
      </c>
      <c r="S107" s="198" t="s">
        <v>33</v>
      </c>
      <c r="T107" s="199"/>
      <c r="U107" s="200"/>
      <c r="V107" s="200"/>
      <c r="W107" s="200"/>
      <c r="X107" s="200"/>
      <c r="Y107" s="200"/>
      <c r="Z107" s="200"/>
      <c r="AA107" s="200"/>
      <c r="AB107" s="200"/>
      <c r="AC107" s="208"/>
      <c r="AD107" s="11" t="str">
        <f t="shared" si="3"/>
        <v>10</v>
      </c>
      <c r="AF107" t="str">
        <f t="shared" si="4"/>
        <v>80.01.ZZ.010</v>
      </c>
      <c r="AH107" t="str">
        <f t="shared" si="5"/>
        <v>00 de 01</v>
      </c>
    </row>
    <row r="108" spans="1:34" ht="34.5" x14ac:dyDescent="0.25">
      <c r="A108" s="139" t="s">
        <v>116</v>
      </c>
      <c r="B108" s="105" t="s">
        <v>122</v>
      </c>
      <c r="C108" s="63">
        <v>96</v>
      </c>
      <c r="D108" s="197" t="s">
        <v>933</v>
      </c>
      <c r="E108" s="189" t="s">
        <v>1015</v>
      </c>
      <c r="F108" s="190" t="s">
        <v>123</v>
      </c>
      <c r="G108" s="189" t="s">
        <v>204</v>
      </c>
      <c r="H108" s="191">
        <v>50592</v>
      </c>
      <c r="I108" s="189" t="s">
        <v>907</v>
      </c>
      <c r="J108" s="189">
        <v>0</v>
      </c>
      <c r="K108" s="189" t="s">
        <v>913</v>
      </c>
      <c r="L108" s="191">
        <v>10</v>
      </c>
      <c r="M108" s="192">
        <v>46092</v>
      </c>
      <c r="N108" s="193">
        <v>1</v>
      </c>
      <c r="O108" s="194">
        <v>1</v>
      </c>
      <c r="P108" s="195"/>
      <c r="Q108" s="196" t="s">
        <v>38</v>
      </c>
      <c r="R108" s="197">
        <v>1</v>
      </c>
      <c r="S108" s="198" t="s">
        <v>33</v>
      </c>
      <c r="T108" s="199"/>
      <c r="U108" s="200"/>
      <c r="V108" s="200"/>
      <c r="W108" s="200"/>
      <c r="X108" s="200"/>
      <c r="Y108" s="200"/>
      <c r="Z108" s="200"/>
      <c r="AA108" s="200"/>
      <c r="AB108" s="200"/>
      <c r="AC108" s="208"/>
      <c r="AD108" s="11" t="str">
        <f t="shared" si="3"/>
        <v>10</v>
      </c>
      <c r="AF108" t="str">
        <f t="shared" si="4"/>
        <v>80.01.ZZ.010</v>
      </c>
      <c r="AH108" t="str">
        <f t="shared" si="5"/>
        <v>00 de 01</v>
      </c>
    </row>
    <row r="109" spans="1:34" ht="34.5" x14ac:dyDescent="0.25">
      <c r="A109" s="139" t="s">
        <v>116</v>
      </c>
      <c r="B109" s="105" t="s">
        <v>122</v>
      </c>
      <c r="C109" s="63">
        <v>97</v>
      </c>
      <c r="D109" s="197" t="s">
        <v>190</v>
      </c>
      <c r="E109" s="189" t="s">
        <v>1016</v>
      </c>
      <c r="F109" s="190" t="s">
        <v>123</v>
      </c>
      <c r="G109" s="189" t="s">
        <v>204</v>
      </c>
      <c r="H109" s="191">
        <v>50592</v>
      </c>
      <c r="I109" s="189" t="s">
        <v>907</v>
      </c>
      <c r="J109" s="189">
        <v>0</v>
      </c>
      <c r="K109" s="189" t="s">
        <v>913</v>
      </c>
      <c r="L109" s="191">
        <v>10</v>
      </c>
      <c r="M109" s="192">
        <v>46092</v>
      </c>
      <c r="N109" s="193">
        <v>1</v>
      </c>
      <c r="O109" s="194">
        <v>1</v>
      </c>
      <c r="P109" s="195"/>
      <c r="Q109" s="196" t="s">
        <v>38</v>
      </c>
      <c r="R109" s="197">
        <v>1</v>
      </c>
      <c r="S109" s="198" t="s">
        <v>33</v>
      </c>
      <c r="T109" s="199"/>
      <c r="U109" s="200"/>
      <c r="V109" s="200"/>
      <c r="W109" s="200"/>
      <c r="X109" s="200"/>
      <c r="Y109" s="200"/>
      <c r="Z109" s="200"/>
      <c r="AA109" s="200"/>
      <c r="AB109" s="200"/>
      <c r="AC109" s="208"/>
      <c r="AD109" s="11" t="str">
        <f t="shared" si="3"/>
        <v>10</v>
      </c>
      <c r="AF109" t="str">
        <f t="shared" si="4"/>
        <v>80.01.ZZ.010</v>
      </c>
      <c r="AH109" t="str">
        <f t="shared" si="5"/>
        <v>00 de 01</v>
      </c>
    </row>
    <row r="110" spans="1:34" ht="34.5" x14ac:dyDescent="0.25">
      <c r="A110" s="139" t="s">
        <v>116</v>
      </c>
      <c r="B110" s="105" t="s">
        <v>122</v>
      </c>
      <c r="C110" s="63">
        <v>98</v>
      </c>
      <c r="D110" s="197" t="s">
        <v>190</v>
      </c>
      <c r="E110" s="189" t="s">
        <v>1017</v>
      </c>
      <c r="F110" s="190" t="s">
        <v>123</v>
      </c>
      <c r="G110" s="189" t="s">
        <v>204</v>
      </c>
      <c r="H110" s="191">
        <v>50592</v>
      </c>
      <c r="I110" s="189" t="s">
        <v>907</v>
      </c>
      <c r="J110" s="189">
        <v>0</v>
      </c>
      <c r="K110" s="189" t="s">
        <v>913</v>
      </c>
      <c r="L110" s="191">
        <v>10</v>
      </c>
      <c r="M110" s="192">
        <v>46092</v>
      </c>
      <c r="N110" s="193">
        <v>1</v>
      </c>
      <c r="O110" s="194">
        <v>1</v>
      </c>
      <c r="P110" s="195"/>
      <c r="Q110" s="196" t="s">
        <v>38</v>
      </c>
      <c r="R110" s="197">
        <v>1</v>
      </c>
      <c r="S110" s="198" t="s">
        <v>33</v>
      </c>
      <c r="T110" s="199"/>
      <c r="U110" s="200"/>
      <c r="V110" s="200"/>
      <c r="W110" s="200"/>
      <c r="X110" s="200"/>
      <c r="Y110" s="200"/>
      <c r="Z110" s="200"/>
      <c r="AA110" s="200"/>
      <c r="AB110" s="200"/>
      <c r="AC110" s="208"/>
      <c r="AD110" s="11" t="str">
        <f t="shared" si="3"/>
        <v>10</v>
      </c>
      <c r="AF110" t="str">
        <f t="shared" si="4"/>
        <v>80.01.ZZ.010</v>
      </c>
      <c r="AH110" t="str">
        <f t="shared" si="5"/>
        <v>00 de 01</v>
      </c>
    </row>
    <row r="111" spans="1:34" ht="34.5" x14ac:dyDescent="0.25">
      <c r="A111" s="139" t="s">
        <v>116</v>
      </c>
      <c r="B111" s="105" t="s">
        <v>122</v>
      </c>
      <c r="C111" s="63">
        <v>99</v>
      </c>
      <c r="D111" s="197" t="s">
        <v>933</v>
      </c>
      <c r="E111" s="189" t="s">
        <v>1018</v>
      </c>
      <c r="F111" s="190" t="s">
        <v>123</v>
      </c>
      <c r="G111" s="189" t="s">
        <v>204</v>
      </c>
      <c r="H111" s="191">
        <v>50592</v>
      </c>
      <c r="I111" s="189" t="s">
        <v>907</v>
      </c>
      <c r="J111" s="189">
        <v>0</v>
      </c>
      <c r="K111" s="189" t="s">
        <v>913</v>
      </c>
      <c r="L111" s="191">
        <v>10</v>
      </c>
      <c r="M111" s="192">
        <v>46092</v>
      </c>
      <c r="N111" s="193">
        <v>1</v>
      </c>
      <c r="O111" s="194">
        <v>1</v>
      </c>
      <c r="P111" s="195"/>
      <c r="Q111" s="196" t="s">
        <v>38</v>
      </c>
      <c r="R111" s="197">
        <v>1</v>
      </c>
      <c r="S111" s="198" t="s">
        <v>33</v>
      </c>
      <c r="T111" s="199"/>
      <c r="U111" s="200"/>
      <c r="V111" s="200"/>
      <c r="W111" s="200"/>
      <c r="X111" s="200"/>
      <c r="Y111" s="200"/>
      <c r="Z111" s="200"/>
      <c r="AA111" s="200"/>
      <c r="AB111" s="200"/>
      <c r="AC111" s="208"/>
      <c r="AD111" s="11" t="str">
        <f t="shared" si="3"/>
        <v>10</v>
      </c>
      <c r="AF111" t="str">
        <f t="shared" si="4"/>
        <v>80.01.ZZ.010</v>
      </c>
      <c r="AH111" t="str">
        <f t="shared" si="5"/>
        <v>00 de 01</v>
      </c>
    </row>
    <row r="112" spans="1:34" ht="34.5" x14ac:dyDescent="0.25">
      <c r="A112" s="139" t="s">
        <v>116</v>
      </c>
      <c r="B112" s="105" t="s">
        <v>122</v>
      </c>
      <c r="C112" s="63">
        <v>100</v>
      </c>
      <c r="D112" s="197" t="s">
        <v>190</v>
      </c>
      <c r="E112" s="189" t="s">
        <v>1019</v>
      </c>
      <c r="F112" s="190" t="s">
        <v>123</v>
      </c>
      <c r="G112" s="189" t="s">
        <v>204</v>
      </c>
      <c r="H112" s="191">
        <v>50592</v>
      </c>
      <c r="I112" s="189" t="s">
        <v>907</v>
      </c>
      <c r="J112" s="189">
        <v>0</v>
      </c>
      <c r="K112" s="189" t="s">
        <v>913</v>
      </c>
      <c r="L112" s="191">
        <v>10</v>
      </c>
      <c r="M112" s="192">
        <v>46092</v>
      </c>
      <c r="N112" s="193">
        <v>1</v>
      </c>
      <c r="O112" s="194">
        <v>1</v>
      </c>
      <c r="P112" s="195"/>
      <c r="Q112" s="196" t="s">
        <v>38</v>
      </c>
      <c r="R112" s="197">
        <v>1</v>
      </c>
      <c r="S112" s="198" t="s">
        <v>33</v>
      </c>
      <c r="T112" s="199"/>
      <c r="U112" s="200"/>
      <c r="V112" s="200"/>
      <c r="W112" s="200"/>
      <c r="X112" s="200"/>
      <c r="Y112" s="200"/>
      <c r="Z112" s="200"/>
      <c r="AA112" s="200"/>
      <c r="AB112" s="200"/>
      <c r="AC112" s="208"/>
      <c r="AD112" s="11" t="str">
        <f t="shared" si="3"/>
        <v>10</v>
      </c>
      <c r="AF112" t="str">
        <f t="shared" si="4"/>
        <v>80.01.ZZ.010</v>
      </c>
      <c r="AH112" t="str">
        <f t="shared" si="5"/>
        <v>00 de 01</v>
      </c>
    </row>
    <row r="113" spans="1:34" ht="34.5" x14ac:dyDescent="0.25">
      <c r="A113" s="139" t="s">
        <v>116</v>
      </c>
      <c r="B113" s="105" t="s">
        <v>122</v>
      </c>
      <c r="C113" s="63">
        <v>101</v>
      </c>
      <c r="D113" s="197" t="s">
        <v>133</v>
      </c>
      <c r="E113" s="189" t="s">
        <v>1020</v>
      </c>
      <c r="F113" s="190" t="s">
        <v>123</v>
      </c>
      <c r="G113" s="189" t="s">
        <v>204</v>
      </c>
      <c r="H113" s="191">
        <v>50592</v>
      </c>
      <c r="I113" s="189" t="s">
        <v>907</v>
      </c>
      <c r="J113" s="189">
        <v>0</v>
      </c>
      <c r="K113" s="189" t="s">
        <v>913</v>
      </c>
      <c r="L113" s="191">
        <v>10</v>
      </c>
      <c r="M113" s="192">
        <v>46092</v>
      </c>
      <c r="N113" s="193">
        <v>1</v>
      </c>
      <c r="O113" s="194">
        <v>1</v>
      </c>
      <c r="P113" s="195"/>
      <c r="Q113" s="196" t="s">
        <v>38</v>
      </c>
      <c r="R113" s="197">
        <v>1</v>
      </c>
      <c r="S113" s="198" t="s">
        <v>33</v>
      </c>
      <c r="T113" s="199"/>
      <c r="U113" s="200"/>
      <c r="V113" s="200"/>
      <c r="W113" s="200"/>
      <c r="X113" s="200"/>
      <c r="Y113" s="200"/>
      <c r="Z113" s="200"/>
      <c r="AA113" s="200"/>
      <c r="AB113" s="200"/>
      <c r="AC113" s="208"/>
      <c r="AD113" s="11" t="str">
        <f t="shared" si="3"/>
        <v>10</v>
      </c>
      <c r="AF113" t="str">
        <f t="shared" si="4"/>
        <v>80.01.ZZ.010</v>
      </c>
      <c r="AH113" t="str">
        <f t="shared" si="5"/>
        <v>00 de 01</v>
      </c>
    </row>
    <row r="114" spans="1:34" ht="34.5" x14ac:dyDescent="0.25">
      <c r="A114" s="139" t="s">
        <v>116</v>
      </c>
      <c r="B114" s="105" t="s">
        <v>122</v>
      </c>
      <c r="C114" s="63">
        <v>102</v>
      </c>
      <c r="D114" s="197" t="s">
        <v>190</v>
      </c>
      <c r="E114" s="189" t="s">
        <v>1021</v>
      </c>
      <c r="F114" s="190" t="s">
        <v>123</v>
      </c>
      <c r="G114" s="189" t="s">
        <v>204</v>
      </c>
      <c r="H114" s="191">
        <v>50592</v>
      </c>
      <c r="I114" s="189" t="s">
        <v>907</v>
      </c>
      <c r="J114" s="189">
        <v>0</v>
      </c>
      <c r="K114" s="189" t="s">
        <v>914</v>
      </c>
      <c r="L114" s="191">
        <v>10</v>
      </c>
      <c r="M114" s="192">
        <v>46092</v>
      </c>
      <c r="N114" s="193">
        <v>1</v>
      </c>
      <c r="O114" s="194">
        <v>1</v>
      </c>
      <c r="P114" s="195"/>
      <c r="Q114" s="196" t="s">
        <v>38</v>
      </c>
      <c r="R114" s="197">
        <v>1</v>
      </c>
      <c r="S114" s="198" t="s">
        <v>33</v>
      </c>
      <c r="T114" s="199"/>
      <c r="U114" s="200"/>
      <c r="V114" s="200"/>
      <c r="W114" s="200"/>
      <c r="X114" s="200"/>
      <c r="Y114" s="200"/>
      <c r="Z114" s="200"/>
      <c r="AA114" s="200"/>
      <c r="AB114" s="200"/>
      <c r="AC114" s="208"/>
      <c r="AD114" s="11" t="str">
        <f t="shared" si="3"/>
        <v>10</v>
      </c>
      <c r="AF114" t="str">
        <f t="shared" si="4"/>
        <v>80.01.ZZ.010</v>
      </c>
      <c r="AH114" t="str">
        <f t="shared" si="5"/>
        <v>00 de 01</v>
      </c>
    </row>
    <row r="115" spans="1:34" ht="34.5" x14ac:dyDescent="0.25">
      <c r="A115" s="139" t="s">
        <v>116</v>
      </c>
      <c r="B115" s="105" t="s">
        <v>122</v>
      </c>
      <c r="C115" s="63">
        <v>103</v>
      </c>
      <c r="D115" s="197" t="s">
        <v>933</v>
      </c>
      <c r="E115" s="189" t="s">
        <v>1022</v>
      </c>
      <c r="F115" s="190" t="s">
        <v>123</v>
      </c>
      <c r="G115" s="189" t="s">
        <v>204</v>
      </c>
      <c r="H115" s="191">
        <v>50592</v>
      </c>
      <c r="I115" s="189" t="s">
        <v>907</v>
      </c>
      <c r="J115" s="189">
        <v>0</v>
      </c>
      <c r="K115" s="189" t="s">
        <v>914</v>
      </c>
      <c r="L115" s="191">
        <v>10</v>
      </c>
      <c r="M115" s="192">
        <v>46092</v>
      </c>
      <c r="N115" s="193">
        <v>1</v>
      </c>
      <c r="O115" s="194">
        <v>1</v>
      </c>
      <c r="P115" s="195"/>
      <c r="Q115" s="196" t="s">
        <v>38</v>
      </c>
      <c r="R115" s="197">
        <v>1</v>
      </c>
      <c r="S115" s="198" t="s">
        <v>33</v>
      </c>
      <c r="T115" s="199"/>
      <c r="U115" s="200"/>
      <c r="V115" s="200"/>
      <c r="W115" s="200"/>
      <c r="X115" s="200"/>
      <c r="Y115" s="200"/>
      <c r="Z115" s="200"/>
      <c r="AA115" s="200"/>
      <c r="AB115" s="200"/>
      <c r="AC115" s="208"/>
      <c r="AD115" s="11" t="str">
        <f t="shared" si="3"/>
        <v>10</v>
      </c>
      <c r="AF115" t="str">
        <f t="shared" si="4"/>
        <v>80.01.ZZ.010</v>
      </c>
      <c r="AH115" t="str">
        <f t="shared" si="5"/>
        <v>00 de 01</v>
      </c>
    </row>
    <row r="116" spans="1:34" ht="34.5" x14ac:dyDescent="0.25">
      <c r="A116" s="139" t="s">
        <v>116</v>
      </c>
      <c r="B116" s="105" t="s">
        <v>122</v>
      </c>
      <c r="C116" s="63">
        <v>104</v>
      </c>
      <c r="D116" s="197" t="s">
        <v>933</v>
      </c>
      <c r="E116" s="189" t="s">
        <v>1023</v>
      </c>
      <c r="F116" s="190" t="s">
        <v>123</v>
      </c>
      <c r="G116" s="189" t="s">
        <v>204</v>
      </c>
      <c r="H116" s="191">
        <v>50592</v>
      </c>
      <c r="I116" s="189" t="s">
        <v>907</v>
      </c>
      <c r="J116" s="189">
        <v>0</v>
      </c>
      <c r="K116" s="189" t="s">
        <v>914</v>
      </c>
      <c r="L116" s="191">
        <v>10</v>
      </c>
      <c r="M116" s="192">
        <v>46092</v>
      </c>
      <c r="N116" s="193">
        <v>1</v>
      </c>
      <c r="O116" s="194">
        <v>1</v>
      </c>
      <c r="P116" s="195"/>
      <c r="Q116" s="196" t="s">
        <v>38</v>
      </c>
      <c r="R116" s="197">
        <v>1</v>
      </c>
      <c r="S116" s="198" t="s">
        <v>33</v>
      </c>
      <c r="T116" s="199"/>
      <c r="U116" s="200"/>
      <c r="V116" s="200"/>
      <c r="W116" s="200"/>
      <c r="X116" s="200"/>
      <c r="Y116" s="200"/>
      <c r="Z116" s="200"/>
      <c r="AA116" s="200"/>
      <c r="AB116" s="200"/>
      <c r="AC116" s="208"/>
      <c r="AD116" s="11" t="str">
        <f t="shared" si="3"/>
        <v>10</v>
      </c>
      <c r="AF116" t="str">
        <f t="shared" si="4"/>
        <v>80.01.ZZ.010</v>
      </c>
      <c r="AH116" t="str">
        <f t="shared" si="5"/>
        <v>00 de 01</v>
      </c>
    </row>
    <row r="117" spans="1:34" ht="34.5" x14ac:dyDescent="0.25">
      <c r="A117" s="139" t="s">
        <v>116</v>
      </c>
      <c r="B117" s="105" t="s">
        <v>122</v>
      </c>
      <c r="C117" s="63">
        <v>105</v>
      </c>
      <c r="D117" s="197" t="s">
        <v>190</v>
      </c>
      <c r="E117" s="189" t="s">
        <v>1024</v>
      </c>
      <c r="F117" s="190" t="s">
        <v>123</v>
      </c>
      <c r="G117" s="189" t="s">
        <v>204</v>
      </c>
      <c r="H117" s="191">
        <v>50592</v>
      </c>
      <c r="I117" s="189" t="s">
        <v>907</v>
      </c>
      <c r="J117" s="189">
        <v>0</v>
      </c>
      <c r="K117" s="189" t="s">
        <v>914</v>
      </c>
      <c r="L117" s="191">
        <v>10</v>
      </c>
      <c r="M117" s="192">
        <v>46092</v>
      </c>
      <c r="N117" s="193">
        <v>1</v>
      </c>
      <c r="O117" s="194">
        <v>1</v>
      </c>
      <c r="P117" s="195"/>
      <c r="Q117" s="196" t="s">
        <v>38</v>
      </c>
      <c r="R117" s="197">
        <v>1</v>
      </c>
      <c r="S117" s="198" t="s">
        <v>33</v>
      </c>
      <c r="T117" s="199"/>
      <c r="U117" s="200"/>
      <c r="V117" s="200"/>
      <c r="W117" s="200"/>
      <c r="X117" s="200"/>
      <c r="Y117" s="200"/>
      <c r="Z117" s="200"/>
      <c r="AA117" s="200"/>
      <c r="AB117" s="200"/>
      <c r="AC117" s="208"/>
      <c r="AD117" s="11" t="str">
        <f t="shared" si="3"/>
        <v>10</v>
      </c>
      <c r="AF117" t="str">
        <f t="shared" si="4"/>
        <v>80.01.ZZ.010</v>
      </c>
      <c r="AH117" t="str">
        <f t="shared" si="5"/>
        <v>00 de 01</v>
      </c>
    </row>
    <row r="118" spans="1:34" ht="34.5" x14ac:dyDescent="0.25">
      <c r="A118" s="139" t="s">
        <v>116</v>
      </c>
      <c r="B118" s="105" t="s">
        <v>122</v>
      </c>
      <c r="C118" s="63">
        <v>106</v>
      </c>
      <c r="D118" s="197" t="s">
        <v>190</v>
      </c>
      <c r="E118" s="189" t="s">
        <v>1025</v>
      </c>
      <c r="F118" s="190" t="s">
        <v>123</v>
      </c>
      <c r="G118" s="189" t="s">
        <v>204</v>
      </c>
      <c r="H118" s="191">
        <v>50592</v>
      </c>
      <c r="I118" s="189" t="s">
        <v>907</v>
      </c>
      <c r="J118" s="189">
        <v>0</v>
      </c>
      <c r="K118" s="189" t="s">
        <v>914</v>
      </c>
      <c r="L118" s="191">
        <v>10</v>
      </c>
      <c r="M118" s="192">
        <v>46092</v>
      </c>
      <c r="N118" s="193">
        <v>1</v>
      </c>
      <c r="O118" s="194">
        <v>1</v>
      </c>
      <c r="P118" s="195"/>
      <c r="Q118" s="196" t="s">
        <v>38</v>
      </c>
      <c r="R118" s="197">
        <v>1</v>
      </c>
      <c r="S118" s="198" t="s">
        <v>33</v>
      </c>
      <c r="T118" s="199"/>
      <c r="U118" s="200"/>
      <c r="V118" s="200"/>
      <c r="W118" s="200"/>
      <c r="X118" s="200"/>
      <c r="Y118" s="200"/>
      <c r="Z118" s="200"/>
      <c r="AA118" s="200"/>
      <c r="AB118" s="200"/>
      <c r="AC118" s="208"/>
      <c r="AD118" s="11" t="str">
        <f t="shared" si="3"/>
        <v>10</v>
      </c>
      <c r="AF118" t="str">
        <f t="shared" si="4"/>
        <v>80.01.ZZ.010</v>
      </c>
      <c r="AH118" t="str">
        <f t="shared" si="5"/>
        <v>00 de 01</v>
      </c>
    </row>
    <row r="119" spans="1:34" ht="34.5" x14ac:dyDescent="0.25">
      <c r="A119" s="139" t="s">
        <v>116</v>
      </c>
      <c r="B119" s="105" t="s">
        <v>122</v>
      </c>
      <c r="C119" s="63">
        <v>107</v>
      </c>
      <c r="D119" s="197" t="s">
        <v>933</v>
      </c>
      <c r="E119" s="189" t="s">
        <v>1026</v>
      </c>
      <c r="F119" s="190" t="s">
        <v>123</v>
      </c>
      <c r="G119" s="189" t="s">
        <v>204</v>
      </c>
      <c r="H119" s="191">
        <v>50592</v>
      </c>
      <c r="I119" s="189" t="s">
        <v>907</v>
      </c>
      <c r="J119" s="189">
        <v>0</v>
      </c>
      <c r="K119" s="189" t="s">
        <v>914</v>
      </c>
      <c r="L119" s="191">
        <v>10</v>
      </c>
      <c r="M119" s="192">
        <v>46092</v>
      </c>
      <c r="N119" s="193">
        <v>1</v>
      </c>
      <c r="O119" s="194">
        <v>1</v>
      </c>
      <c r="P119" s="195"/>
      <c r="Q119" s="196" t="s">
        <v>38</v>
      </c>
      <c r="R119" s="197">
        <v>1</v>
      </c>
      <c r="S119" s="198" t="s">
        <v>33</v>
      </c>
      <c r="T119" s="199"/>
      <c r="U119" s="200"/>
      <c r="V119" s="200"/>
      <c r="W119" s="200"/>
      <c r="X119" s="200"/>
      <c r="Y119" s="200"/>
      <c r="Z119" s="200"/>
      <c r="AA119" s="200"/>
      <c r="AB119" s="200"/>
      <c r="AC119" s="208"/>
      <c r="AD119" s="11" t="str">
        <f t="shared" si="3"/>
        <v>10</v>
      </c>
      <c r="AF119" t="str">
        <f t="shared" si="4"/>
        <v>80.01.ZZ.010</v>
      </c>
      <c r="AH119" t="str">
        <f t="shared" si="5"/>
        <v>00 de 01</v>
      </c>
    </row>
    <row r="120" spans="1:34" ht="34.5" x14ac:dyDescent="0.25">
      <c r="A120" s="139" t="s">
        <v>116</v>
      </c>
      <c r="B120" s="105" t="s">
        <v>122</v>
      </c>
      <c r="C120" s="63">
        <v>108</v>
      </c>
      <c r="D120" s="197" t="s">
        <v>933</v>
      </c>
      <c r="E120" s="189" t="s">
        <v>1027</v>
      </c>
      <c r="F120" s="190" t="s">
        <v>123</v>
      </c>
      <c r="G120" s="189" t="s">
        <v>204</v>
      </c>
      <c r="H120" s="191">
        <v>50592</v>
      </c>
      <c r="I120" s="189" t="s">
        <v>907</v>
      </c>
      <c r="J120" s="189">
        <v>0</v>
      </c>
      <c r="K120" s="189" t="s">
        <v>914</v>
      </c>
      <c r="L120" s="191">
        <v>10</v>
      </c>
      <c r="M120" s="192">
        <v>46092</v>
      </c>
      <c r="N120" s="193">
        <v>1</v>
      </c>
      <c r="O120" s="194">
        <v>1</v>
      </c>
      <c r="P120" s="195"/>
      <c r="Q120" s="196" t="s">
        <v>38</v>
      </c>
      <c r="R120" s="197">
        <v>1</v>
      </c>
      <c r="S120" s="198" t="s">
        <v>33</v>
      </c>
      <c r="T120" s="199"/>
      <c r="U120" s="200"/>
      <c r="V120" s="200"/>
      <c r="W120" s="200"/>
      <c r="X120" s="200"/>
      <c r="Y120" s="200"/>
      <c r="Z120" s="200"/>
      <c r="AA120" s="200"/>
      <c r="AB120" s="200"/>
      <c r="AC120" s="208"/>
      <c r="AD120" s="11" t="str">
        <f t="shared" si="3"/>
        <v>10</v>
      </c>
      <c r="AF120" t="str">
        <f t="shared" si="4"/>
        <v>80.01.ZZ.010</v>
      </c>
      <c r="AH120" t="str">
        <f t="shared" si="5"/>
        <v>00 de 01</v>
      </c>
    </row>
    <row r="121" spans="1:34" ht="34.5" x14ac:dyDescent="0.25">
      <c r="A121" s="139" t="s">
        <v>116</v>
      </c>
      <c r="B121" s="105" t="s">
        <v>122</v>
      </c>
      <c r="C121" s="63">
        <v>109</v>
      </c>
      <c r="D121" s="197" t="s">
        <v>190</v>
      </c>
      <c r="E121" s="189" t="s">
        <v>1028</v>
      </c>
      <c r="F121" s="190" t="s">
        <v>123</v>
      </c>
      <c r="G121" s="189" t="s">
        <v>204</v>
      </c>
      <c r="H121" s="191">
        <v>50592</v>
      </c>
      <c r="I121" s="189" t="s">
        <v>907</v>
      </c>
      <c r="J121" s="189">
        <v>0</v>
      </c>
      <c r="K121" s="189" t="s">
        <v>914</v>
      </c>
      <c r="L121" s="191">
        <v>10</v>
      </c>
      <c r="M121" s="192">
        <v>46092</v>
      </c>
      <c r="N121" s="193">
        <v>1</v>
      </c>
      <c r="O121" s="194">
        <v>1</v>
      </c>
      <c r="P121" s="195"/>
      <c r="Q121" s="196" t="s">
        <v>38</v>
      </c>
      <c r="R121" s="197">
        <v>1</v>
      </c>
      <c r="S121" s="198" t="s">
        <v>33</v>
      </c>
      <c r="T121" s="199"/>
      <c r="U121" s="200"/>
      <c r="V121" s="200"/>
      <c r="W121" s="200"/>
      <c r="X121" s="200"/>
      <c r="Y121" s="200"/>
      <c r="Z121" s="200"/>
      <c r="AA121" s="200"/>
      <c r="AB121" s="200"/>
      <c r="AC121" s="208"/>
      <c r="AD121" s="11" t="str">
        <f t="shared" si="3"/>
        <v>10</v>
      </c>
      <c r="AF121" t="str">
        <f t="shared" si="4"/>
        <v>80.01.ZZ.010</v>
      </c>
      <c r="AH121" t="str">
        <f t="shared" si="5"/>
        <v>00 de 01</v>
      </c>
    </row>
    <row r="122" spans="1:34" ht="34.5" x14ac:dyDescent="0.25">
      <c r="A122" s="139" t="s">
        <v>116</v>
      </c>
      <c r="B122" s="105" t="s">
        <v>122</v>
      </c>
      <c r="C122" s="63">
        <v>110</v>
      </c>
      <c r="D122" s="197" t="s">
        <v>190</v>
      </c>
      <c r="E122" s="189" t="s">
        <v>1029</v>
      </c>
      <c r="F122" s="190" t="s">
        <v>123</v>
      </c>
      <c r="G122" s="189" t="s">
        <v>204</v>
      </c>
      <c r="H122" s="191">
        <v>50592</v>
      </c>
      <c r="I122" s="189" t="s">
        <v>907</v>
      </c>
      <c r="J122" s="189">
        <v>0</v>
      </c>
      <c r="K122" s="189" t="s">
        <v>914</v>
      </c>
      <c r="L122" s="191">
        <v>10</v>
      </c>
      <c r="M122" s="192">
        <v>46092</v>
      </c>
      <c r="N122" s="193">
        <v>1</v>
      </c>
      <c r="O122" s="194">
        <v>1</v>
      </c>
      <c r="P122" s="195"/>
      <c r="Q122" s="196" t="s">
        <v>38</v>
      </c>
      <c r="R122" s="197">
        <v>1</v>
      </c>
      <c r="S122" s="198" t="s">
        <v>33</v>
      </c>
      <c r="T122" s="199"/>
      <c r="U122" s="200"/>
      <c r="V122" s="200"/>
      <c r="W122" s="200"/>
      <c r="X122" s="200"/>
      <c r="Y122" s="200"/>
      <c r="Z122" s="200"/>
      <c r="AA122" s="200"/>
      <c r="AB122" s="200"/>
      <c r="AC122" s="208"/>
      <c r="AD122" s="11" t="str">
        <f t="shared" si="3"/>
        <v>10</v>
      </c>
      <c r="AF122" t="str">
        <f t="shared" si="4"/>
        <v>80.01.ZZ.010</v>
      </c>
      <c r="AH122" t="str">
        <f t="shared" si="5"/>
        <v>00 de 01</v>
      </c>
    </row>
    <row r="123" spans="1:34" ht="34.5" x14ac:dyDescent="0.25">
      <c r="A123" s="139" t="s">
        <v>116</v>
      </c>
      <c r="B123" s="105" t="s">
        <v>122</v>
      </c>
      <c r="C123" s="63">
        <v>111</v>
      </c>
      <c r="D123" s="197" t="s">
        <v>933</v>
      </c>
      <c r="E123" s="189" t="s">
        <v>1030</v>
      </c>
      <c r="F123" s="190" t="s">
        <v>123</v>
      </c>
      <c r="G123" s="189" t="s">
        <v>204</v>
      </c>
      <c r="H123" s="191">
        <v>50592</v>
      </c>
      <c r="I123" s="189" t="s">
        <v>907</v>
      </c>
      <c r="J123" s="189">
        <v>0</v>
      </c>
      <c r="K123" s="189" t="s">
        <v>914</v>
      </c>
      <c r="L123" s="191">
        <v>10</v>
      </c>
      <c r="M123" s="192">
        <v>46092</v>
      </c>
      <c r="N123" s="193">
        <v>1</v>
      </c>
      <c r="O123" s="194">
        <v>1</v>
      </c>
      <c r="P123" s="195"/>
      <c r="Q123" s="196" t="s">
        <v>38</v>
      </c>
      <c r="R123" s="197">
        <v>1</v>
      </c>
      <c r="S123" s="198" t="s">
        <v>33</v>
      </c>
      <c r="T123" s="199"/>
      <c r="U123" s="200"/>
      <c r="V123" s="200"/>
      <c r="W123" s="200"/>
      <c r="X123" s="200"/>
      <c r="Y123" s="200"/>
      <c r="Z123" s="200"/>
      <c r="AA123" s="200"/>
      <c r="AB123" s="200"/>
      <c r="AC123" s="208"/>
      <c r="AD123" s="11" t="str">
        <f t="shared" si="3"/>
        <v>10</v>
      </c>
      <c r="AF123" t="str">
        <f t="shared" si="4"/>
        <v>80.01.ZZ.010</v>
      </c>
      <c r="AH123" t="str">
        <f t="shared" si="5"/>
        <v>00 de 01</v>
      </c>
    </row>
    <row r="124" spans="1:34" ht="34.5" x14ac:dyDescent="0.25">
      <c r="A124" s="139" t="s">
        <v>116</v>
      </c>
      <c r="B124" s="105" t="s">
        <v>122</v>
      </c>
      <c r="C124" s="63">
        <v>112</v>
      </c>
      <c r="D124" s="197" t="s">
        <v>933</v>
      </c>
      <c r="E124" s="189" t="s">
        <v>1031</v>
      </c>
      <c r="F124" s="190" t="s">
        <v>123</v>
      </c>
      <c r="G124" s="189" t="s">
        <v>204</v>
      </c>
      <c r="H124" s="191">
        <v>50592</v>
      </c>
      <c r="I124" s="189" t="s">
        <v>907</v>
      </c>
      <c r="J124" s="189">
        <v>0</v>
      </c>
      <c r="K124" s="189" t="s">
        <v>914</v>
      </c>
      <c r="L124" s="191">
        <v>10</v>
      </c>
      <c r="M124" s="192">
        <v>46092</v>
      </c>
      <c r="N124" s="193">
        <v>1</v>
      </c>
      <c r="O124" s="194">
        <v>1</v>
      </c>
      <c r="P124" s="195"/>
      <c r="Q124" s="196" t="s">
        <v>38</v>
      </c>
      <c r="R124" s="197">
        <v>1</v>
      </c>
      <c r="S124" s="198" t="s">
        <v>33</v>
      </c>
      <c r="T124" s="199"/>
      <c r="U124" s="200"/>
      <c r="V124" s="200"/>
      <c r="W124" s="200"/>
      <c r="X124" s="200"/>
      <c r="Y124" s="200"/>
      <c r="Z124" s="200"/>
      <c r="AA124" s="200"/>
      <c r="AB124" s="200"/>
      <c r="AC124" s="208"/>
      <c r="AD124" s="11" t="str">
        <f t="shared" si="3"/>
        <v>10</v>
      </c>
      <c r="AF124" t="str">
        <f t="shared" si="4"/>
        <v>80.01.ZZ.010</v>
      </c>
      <c r="AH124" t="str">
        <f t="shared" si="5"/>
        <v>00 de 01</v>
      </c>
    </row>
    <row r="125" spans="1:34" ht="34.5" x14ac:dyDescent="0.25">
      <c r="A125" s="139" t="s">
        <v>116</v>
      </c>
      <c r="B125" s="105" t="s">
        <v>122</v>
      </c>
      <c r="C125" s="63">
        <v>113</v>
      </c>
      <c r="D125" s="197" t="s">
        <v>190</v>
      </c>
      <c r="E125" s="189" t="s">
        <v>1032</v>
      </c>
      <c r="F125" s="190" t="s">
        <v>123</v>
      </c>
      <c r="G125" s="189" t="s">
        <v>204</v>
      </c>
      <c r="H125" s="191">
        <v>50592</v>
      </c>
      <c r="I125" s="189" t="s">
        <v>907</v>
      </c>
      <c r="J125" s="189">
        <v>0</v>
      </c>
      <c r="K125" s="189" t="s">
        <v>914</v>
      </c>
      <c r="L125" s="191">
        <v>10</v>
      </c>
      <c r="M125" s="192">
        <v>46092</v>
      </c>
      <c r="N125" s="193">
        <v>1</v>
      </c>
      <c r="O125" s="194">
        <v>1</v>
      </c>
      <c r="P125" s="195"/>
      <c r="Q125" s="196" t="s">
        <v>38</v>
      </c>
      <c r="R125" s="197">
        <v>1</v>
      </c>
      <c r="S125" s="198" t="s">
        <v>33</v>
      </c>
      <c r="T125" s="199"/>
      <c r="U125" s="200"/>
      <c r="V125" s="200"/>
      <c r="W125" s="200"/>
      <c r="X125" s="200"/>
      <c r="Y125" s="200"/>
      <c r="Z125" s="200"/>
      <c r="AA125" s="200"/>
      <c r="AB125" s="200"/>
      <c r="AC125" s="208"/>
      <c r="AD125" s="11" t="str">
        <f t="shared" si="3"/>
        <v>10</v>
      </c>
      <c r="AF125" t="str">
        <f t="shared" si="4"/>
        <v>80.01.ZZ.010</v>
      </c>
      <c r="AH125" t="str">
        <f t="shared" si="5"/>
        <v>00 de 01</v>
      </c>
    </row>
    <row r="126" spans="1:34" ht="34.5" x14ac:dyDescent="0.25">
      <c r="A126" s="139" t="s">
        <v>116</v>
      </c>
      <c r="B126" s="105" t="s">
        <v>122</v>
      </c>
      <c r="C126" s="63">
        <v>114</v>
      </c>
      <c r="D126" s="197" t="s">
        <v>190</v>
      </c>
      <c r="E126" s="189" t="s">
        <v>1033</v>
      </c>
      <c r="F126" s="190" t="s">
        <v>123</v>
      </c>
      <c r="G126" s="189" t="s">
        <v>204</v>
      </c>
      <c r="H126" s="191">
        <v>50592</v>
      </c>
      <c r="I126" s="189" t="s">
        <v>907</v>
      </c>
      <c r="J126" s="189">
        <v>0</v>
      </c>
      <c r="K126" s="189" t="s">
        <v>914</v>
      </c>
      <c r="L126" s="191">
        <v>10</v>
      </c>
      <c r="M126" s="192">
        <v>46092</v>
      </c>
      <c r="N126" s="193">
        <v>1</v>
      </c>
      <c r="O126" s="194">
        <v>1</v>
      </c>
      <c r="P126" s="195"/>
      <c r="Q126" s="196" t="s">
        <v>38</v>
      </c>
      <c r="R126" s="197">
        <v>1</v>
      </c>
      <c r="S126" s="198" t="s">
        <v>33</v>
      </c>
      <c r="T126" s="199"/>
      <c r="U126" s="200"/>
      <c r="V126" s="200"/>
      <c r="W126" s="200"/>
      <c r="X126" s="200"/>
      <c r="Y126" s="200"/>
      <c r="Z126" s="200"/>
      <c r="AA126" s="200"/>
      <c r="AB126" s="200"/>
      <c r="AC126" s="208"/>
      <c r="AD126" s="11" t="str">
        <f t="shared" si="3"/>
        <v>10</v>
      </c>
      <c r="AF126" t="str">
        <f t="shared" si="4"/>
        <v>80.01.ZZ.010</v>
      </c>
      <c r="AH126" t="str">
        <f t="shared" si="5"/>
        <v>00 de 01</v>
      </c>
    </row>
    <row r="127" spans="1:34" ht="34.5" x14ac:dyDescent="0.25">
      <c r="A127" s="139" t="s">
        <v>116</v>
      </c>
      <c r="B127" s="105" t="s">
        <v>122</v>
      </c>
      <c r="C127" s="63">
        <v>115</v>
      </c>
      <c r="D127" s="197" t="s">
        <v>933</v>
      </c>
      <c r="E127" s="189" t="s">
        <v>1034</v>
      </c>
      <c r="F127" s="190" t="s">
        <v>123</v>
      </c>
      <c r="G127" s="189" t="s">
        <v>204</v>
      </c>
      <c r="H127" s="191">
        <v>50592</v>
      </c>
      <c r="I127" s="189" t="s">
        <v>907</v>
      </c>
      <c r="J127" s="189">
        <v>0</v>
      </c>
      <c r="K127" s="189" t="s">
        <v>914</v>
      </c>
      <c r="L127" s="191">
        <v>10</v>
      </c>
      <c r="M127" s="192">
        <v>46092</v>
      </c>
      <c r="N127" s="193">
        <v>1</v>
      </c>
      <c r="O127" s="194">
        <v>1</v>
      </c>
      <c r="P127" s="195"/>
      <c r="Q127" s="196" t="s">
        <v>38</v>
      </c>
      <c r="R127" s="197">
        <v>1</v>
      </c>
      <c r="S127" s="198" t="s">
        <v>33</v>
      </c>
      <c r="T127" s="199"/>
      <c r="U127" s="200"/>
      <c r="V127" s="200"/>
      <c r="W127" s="200"/>
      <c r="X127" s="200"/>
      <c r="Y127" s="200"/>
      <c r="Z127" s="200"/>
      <c r="AA127" s="200"/>
      <c r="AB127" s="200"/>
      <c r="AC127" s="208"/>
      <c r="AD127" s="11" t="str">
        <f t="shared" si="3"/>
        <v>10</v>
      </c>
      <c r="AF127" t="str">
        <f t="shared" si="4"/>
        <v>80.01.ZZ.010</v>
      </c>
      <c r="AH127" t="str">
        <f t="shared" si="5"/>
        <v>00 de 01</v>
      </c>
    </row>
    <row r="128" spans="1:34" ht="34.5" x14ac:dyDescent="0.25">
      <c r="A128" s="139" t="s">
        <v>116</v>
      </c>
      <c r="B128" s="105" t="s">
        <v>122</v>
      </c>
      <c r="C128" s="63">
        <v>116</v>
      </c>
      <c r="D128" s="197" t="s">
        <v>933</v>
      </c>
      <c r="E128" s="189" t="s">
        <v>1035</v>
      </c>
      <c r="F128" s="190" t="s">
        <v>123</v>
      </c>
      <c r="G128" s="189" t="s">
        <v>204</v>
      </c>
      <c r="H128" s="191">
        <v>50592</v>
      </c>
      <c r="I128" s="189" t="s">
        <v>907</v>
      </c>
      <c r="J128" s="189">
        <v>0</v>
      </c>
      <c r="K128" s="189" t="s">
        <v>914</v>
      </c>
      <c r="L128" s="191">
        <v>10</v>
      </c>
      <c r="M128" s="192">
        <v>46092</v>
      </c>
      <c r="N128" s="193">
        <v>1</v>
      </c>
      <c r="O128" s="194">
        <v>1</v>
      </c>
      <c r="P128" s="195"/>
      <c r="Q128" s="196" t="s">
        <v>38</v>
      </c>
      <c r="R128" s="197">
        <v>1</v>
      </c>
      <c r="S128" s="198" t="s">
        <v>33</v>
      </c>
      <c r="T128" s="199"/>
      <c r="U128" s="200"/>
      <c r="V128" s="200"/>
      <c r="W128" s="200"/>
      <c r="X128" s="200"/>
      <c r="Y128" s="200"/>
      <c r="Z128" s="200"/>
      <c r="AA128" s="200"/>
      <c r="AB128" s="200"/>
      <c r="AC128" s="208"/>
      <c r="AD128" s="11" t="str">
        <f t="shared" si="3"/>
        <v>10</v>
      </c>
      <c r="AF128" t="str">
        <f t="shared" si="4"/>
        <v>80.01.ZZ.010</v>
      </c>
      <c r="AH128" t="str">
        <f t="shared" si="5"/>
        <v>00 de 01</v>
      </c>
    </row>
    <row r="129" spans="1:34" ht="34.5" x14ac:dyDescent="0.25">
      <c r="A129" s="139" t="s">
        <v>116</v>
      </c>
      <c r="B129" s="105" t="s">
        <v>122</v>
      </c>
      <c r="C129" s="63">
        <v>117</v>
      </c>
      <c r="D129" s="197" t="s">
        <v>190</v>
      </c>
      <c r="E129" s="189" t="s">
        <v>1036</v>
      </c>
      <c r="F129" s="190" t="s">
        <v>123</v>
      </c>
      <c r="G129" s="189" t="s">
        <v>204</v>
      </c>
      <c r="H129" s="191">
        <v>50592</v>
      </c>
      <c r="I129" s="189" t="s">
        <v>907</v>
      </c>
      <c r="J129" s="189">
        <v>0</v>
      </c>
      <c r="K129" s="189" t="s">
        <v>914</v>
      </c>
      <c r="L129" s="191">
        <v>10</v>
      </c>
      <c r="M129" s="192">
        <v>46092</v>
      </c>
      <c r="N129" s="193">
        <v>1</v>
      </c>
      <c r="O129" s="194">
        <v>1</v>
      </c>
      <c r="P129" s="195"/>
      <c r="Q129" s="196" t="s">
        <v>38</v>
      </c>
      <c r="R129" s="197">
        <v>1</v>
      </c>
      <c r="S129" s="198" t="s">
        <v>33</v>
      </c>
      <c r="T129" s="199"/>
      <c r="U129" s="200"/>
      <c r="V129" s="200"/>
      <c r="W129" s="200"/>
      <c r="X129" s="200"/>
      <c r="Y129" s="200"/>
      <c r="Z129" s="200"/>
      <c r="AA129" s="200"/>
      <c r="AB129" s="200"/>
      <c r="AC129" s="208"/>
      <c r="AD129" s="11" t="str">
        <f t="shared" si="3"/>
        <v>10</v>
      </c>
      <c r="AF129" t="str">
        <f t="shared" si="4"/>
        <v>80.01.ZZ.010</v>
      </c>
      <c r="AH129" t="str">
        <f t="shared" si="5"/>
        <v>00 de 01</v>
      </c>
    </row>
    <row r="130" spans="1:34" ht="34.5" x14ac:dyDescent="0.25">
      <c r="A130" s="139" t="s">
        <v>116</v>
      </c>
      <c r="B130" s="105" t="s">
        <v>122</v>
      </c>
      <c r="C130" s="63">
        <v>118</v>
      </c>
      <c r="D130" s="197" t="s">
        <v>133</v>
      </c>
      <c r="E130" s="189" t="s">
        <v>1037</v>
      </c>
      <c r="F130" s="190" t="s">
        <v>123</v>
      </c>
      <c r="G130" s="189" t="s">
        <v>204</v>
      </c>
      <c r="H130" s="191">
        <v>50592</v>
      </c>
      <c r="I130" s="189" t="s">
        <v>907</v>
      </c>
      <c r="J130" s="189">
        <v>0</v>
      </c>
      <c r="K130" s="189" t="s">
        <v>914</v>
      </c>
      <c r="L130" s="191">
        <v>10</v>
      </c>
      <c r="M130" s="192">
        <v>46092</v>
      </c>
      <c r="N130" s="193">
        <v>1</v>
      </c>
      <c r="O130" s="194">
        <v>1</v>
      </c>
      <c r="P130" s="195"/>
      <c r="Q130" s="196" t="s">
        <v>38</v>
      </c>
      <c r="R130" s="197">
        <v>1</v>
      </c>
      <c r="S130" s="198" t="s">
        <v>33</v>
      </c>
      <c r="T130" s="199"/>
      <c r="U130" s="200"/>
      <c r="V130" s="200"/>
      <c r="W130" s="200"/>
      <c r="X130" s="200"/>
      <c r="Y130" s="200"/>
      <c r="Z130" s="200"/>
      <c r="AA130" s="200"/>
      <c r="AB130" s="200"/>
      <c r="AC130" s="208"/>
      <c r="AD130" s="11" t="str">
        <f t="shared" si="3"/>
        <v>10</v>
      </c>
      <c r="AF130" t="str">
        <f t="shared" si="4"/>
        <v>80.01.ZZ.010</v>
      </c>
      <c r="AH130" t="str">
        <f t="shared" si="5"/>
        <v>00 de 01</v>
      </c>
    </row>
    <row r="131" spans="1:34" ht="34.5" x14ac:dyDescent="0.25">
      <c r="A131" s="139" t="s">
        <v>116</v>
      </c>
      <c r="B131" s="105" t="s">
        <v>122</v>
      </c>
      <c r="C131" s="63">
        <v>119</v>
      </c>
      <c r="D131" s="197" t="s">
        <v>190</v>
      </c>
      <c r="E131" s="189" t="s">
        <v>1038</v>
      </c>
      <c r="F131" s="190" t="s">
        <v>123</v>
      </c>
      <c r="G131" s="189" t="s">
        <v>204</v>
      </c>
      <c r="H131" s="191">
        <v>50592</v>
      </c>
      <c r="I131" s="189" t="s">
        <v>907</v>
      </c>
      <c r="J131" s="189">
        <v>0</v>
      </c>
      <c r="K131" s="189" t="s">
        <v>915</v>
      </c>
      <c r="L131" s="191">
        <v>10</v>
      </c>
      <c r="M131" s="192">
        <v>46092</v>
      </c>
      <c r="N131" s="193">
        <v>1</v>
      </c>
      <c r="O131" s="194">
        <v>1</v>
      </c>
      <c r="P131" s="195"/>
      <c r="Q131" s="196" t="s">
        <v>38</v>
      </c>
      <c r="R131" s="197">
        <v>1</v>
      </c>
      <c r="S131" s="198" t="s">
        <v>33</v>
      </c>
      <c r="T131" s="199"/>
      <c r="U131" s="200"/>
      <c r="V131" s="200"/>
      <c r="W131" s="200"/>
      <c r="X131" s="200"/>
      <c r="Y131" s="200"/>
      <c r="Z131" s="200"/>
      <c r="AA131" s="200"/>
      <c r="AB131" s="200"/>
      <c r="AC131" s="208"/>
      <c r="AD131" s="11" t="str">
        <f t="shared" si="3"/>
        <v>10</v>
      </c>
      <c r="AF131" t="str">
        <f t="shared" si="4"/>
        <v>80.01.ZZ.010</v>
      </c>
      <c r="AH131" t="str">
        <f t="shared" si="5"/>
        <v>00 de 01</v>
      </c>
    </row>
    <row r="132" spans="1:34" ht="34.5" x14ac:dyDescent="0.25">
      <c r="A132" s="139" t="s">
        <v>116</v>
      </c>
      <c r="B132" s="105" t="s">
        <v>122</v>
      </c>
      <c r="C132" s="63">
        <v>120</v>
      </c>
      <c r="D132" s="197" t="s">
        <v>933</v>
      </c>
      <c r="E132" s="189" t="s">
        <v>1039</v>
      </c>
      <c r="F132" s="190" t="s">
        <v>123</v>
      </c>
      <c r="G132" s="189" t="s">
        <v>204</v>
      </c>
      <c r="H132" s="191">
        <v>50592</v>
      </c>
      <c r="I132" s="189" t="s">
        <v>907</v>
      </c>
      <c r="J132" s="189">
        <v>0</v>
      </c>
      <c r="K132" s="189" t="s">
        <v>915</v>
      </c>
      <c r="L132" s="191">
        <v>10</v>
      </c>
      <c r="M132" s="192">
        <v>46092</v>
      </c>
      <c r="N132" s="193">
        <v>1</v>
      </c>
      <c r="O132" s="194">
        <v>1</v>
      </c>
      <c r="P132" s="195"/>
      <c r="Q132" s="196" t="s">
        <v>38</v>
      </c>
      <c r="R132" s="197">
        <v>1</v>
      </c>
      <c r="S132" s="198" t="s">
        <v>33</v>
      </c>
      <c r="T132" s="199"/>
      <c r="U132" s="200"/>
      <c r="V132" s="200"/>
      <c r="W132" s="200"/>
      <c r="X132" s="200"/>
      <c r="Y132" s="200"/>
      <c r="Z132" s="200"/>
      <c r="AA132" s="200"/>
      <c r="AB132" s="200"/>
      <c r="AC132" s="208"/>
      <c r="AD132" s="11" t="str">
        <f t="shared" si="3"/>
        <v>10</v>
      </c>
      <c r="AF132" t="str">
        <f t="shared" si="4"/>
        <v>80.01.ZZ.010</v>
      </c>
      <c r="AH132" t="str">
        <f t="shared" si="5"/>
        <v>00 de 01</v>
      </c>
    </row>
    <row r="133" spans="1:34" ht="34.5" x14ac:dyDescent="0.25">
      <c r="A133" s="139" t="s">
        <v>116</v>
      </c>
      <c r="B133" s="105" t="s">
        <v>122</v>
      </c>
      <c r="C133" s="63">
        <v>121</v>
      </c>
      <c r="D133" s="197" t="s">
        <v>933</v>
      </c>
      <c r="E133" s="189" t="s">
        <v>1040</v>
      </c>
      <c r="F133" s="190" t="s">
        <v>123</v>
      </c>
      <c r="G133" s="189" t="s">
        <v>204</v>
      </c>
      <c r="H133" s="191">
        <v>50592</v>
      </c>
      <c r="I133" s="189" t="s">
        <v>907</v>
      </c>
      <c r="J133" s="189">
        <v>0</v>
      </c>
      <c r="K133" s="189" t="s">
        <v>915</v>
      </c>
      <c r="L133" s="191">
        <v>10</v>
      </c>
      <c r="M133" s="192">
        <v>46092</v>
      </c>
      <c r="N133" s="193">
        <v>1</v>
      </c>
      <c r="O133" s="194">
        <v>1</v>
      </c>
      <c r="P133" s="195"/>
      <c r="Q133" s="196" t="s">
        <v>38</v>
      </c>
      <c r="R133" s="197">
        <v>1</v>
      </c>
      <c r="S133" s="198" t="s">
        <v>33</v>
      </c>
      <c r="T133" s="199"/>
      <c r="U133" s="200"/>
      <c r="V133" s="200"/>
      <c r="W133" s="200"/>
      <c r="X133" s="200"/>
      <c r="Y133" s="200"/>
      <c r="Z133" s="200"/>
      <c r="AA133" s="200"/>
      <c r="AB133" s="200"/>
      <c r="AC133" s="208"/>
      <c r="AD133" s="11" t="str">
        <f t="shared" si="3"/>
        <v>10</v>
      </c>
      <c r="AF133" t="str">
        <f t="shared" si="4"/>
        <v>80.01.ZZ.010</v>
      </c>
      <c r="AH133" t="str">
        <f t="shared" si="5"/>
        <v>00 de 01</v>
      </c>
    </row>
    <row r="134" spans="1:34" ht="34.5" x14ac:dyDescent="0.25">
      <c r="A134" s="139" t="s">
        <v>116</v>
      </c>
      <c r="B134" s="105" t="s">
        <v>122</v>
      </c>
      <c r="C134" s="63">
        <v>122</v>
      </c>
      <c r="D134" s="197" t="s">
        <v>190</v>
      </c>
      <c r="E134" s="189" t="s">
        <v>1041</v>
      </c>
      <c r="F134" s="190" t="s">
        <v>123</v>
      </c>
      <c r="G134" s="189" t="s">
        <v>204</v>
      </c>
      <c r="H134" s="191">
        <v>50592</v>
      </c>
      <c r="I134" s="189" t="s">
        <v>907</v>
      </c>
      <c r="J134" s="189">
        <v>0</v>
      </c>
      <c r="K134" s="189" t="s">
        <v>915</v>
      </c>
      <c r="L134" s="191">
        <v>10</v>
      </c>
      <c r="M134" s="192">
        <v>46092</v>
      </c>
      <c r="N134" s="193">
        <v>1</v>
      </c>
      <c r="O134" s="194">
        <v>1</v>
      </c>
      <c r="P134" s="195"/>
      <c r="Q134" s="196" t="s">
        <v>38</v>
      </c>
      <c r="R134" s="197">
        <v>1</v>
      </c>
      <c r="S134" s="198" t="s">
        <v>33</v>
      </c>
      <c r="T134" s="199"/>
      <c r="U134" s="200"/>
      <c r="V134" s="200"/>
      <c r="W134" s="200"/>
      <c r="X134" s="200"/>
      <c r="Y134" s="200"/>
      <c r="Z134" s="200"/>
      <c r="AA134" s="200"/>
      <c r="AB134" s="200"/>
      <c r="AC134" s="208"/>
      <c r="AD134" s="11" t="str">
        <f t="shared" si="3"/>
        <v>10</v>
      </c>
      <c r="AF134" t="str">
        <f t="shared" si="4"/>
        <v>80.01.ZZ.010</v>
      </c>
      <c r="AH134" t="str">
        <f t="shared" si="5"/>
        <v>00 de 01</v>
      </c>
    </row>
    <row r="135" spans="1:34" ht="34.5" x14ac:dyDescent="0.25">
      <c r="A135" s="139" t="s">
        <v>116</v>
      </c>
      <c r="B135" s="105" t="s">
        <v>122</v>
      </c>
      <c r="C135" s="63">
        <v>123</v>
      </c>
      <c r="D135" s="197" t="s">
        <v>190</v>
      </c>
      <c r="E135" s="189" t="s">
        <v>1042</v>
      </c>
      <c r="F135" s="190" t="s">
        <v>123</v>
      </c>
      <c r="G135" s="189" t="s">
        <v>204</v>
      </c>
      <c r="H135" s="191">
        <v>50592</v>
      </c>
      <c r="I135" s="189" t="s">
        <v>907</v>
      </c>
      <c r="J135" s="189">
        <v>0</v>
      </c>
      <c r="K135" s="189" t="s">
        <v>915</v>
      </c>
      <c r="L135" s="191">
        <v>10</v>
      </c>
      <c r="M135" s="192">
        <v>46092</v>
      </c>
      <c r="N135" s="193">
        <v>1</v>
      </c>
      <c r="O135" s="194">
        <v>1</v>
      </c>
      <c r="P135" s="195"/>
      <c r="Q135" s="196" t="s">
        <v>38</v>
      </c>
      <c r="R135" s="197">
        <v>1</v>
      </c>
      <c r="S135" s="198" t="s">
        <v>33</v>
      </c>
      <c r="T135" s="199"/>
      <c r="U135" s="200"/>
      <c r="V135" s="200"/>
      <c r="W135" s="200"/>
      <c r="X135" s="200"/>
      <c r="Y135" s="200"/>
      <c r="Z135" s="200"/>
      <c r="AA135" s="200"/>
      <c r="AB135" s="200"/>
      <c r="AC135" s="208"/>
      <c r="AD135" s="11" t="str">
        <f t="shared" si="3"/>
        <v>10</v>
      </c>
      <c r="AF135" t="str">
        <f t="shared" si="4"/>
        <v>80.01.ZZ.010</v>
      </c>
      <c r="AH135" t="str">
        <f t="shared" si="5"/>
        <v>00 de 01</v>
      </c>
    </row>
    <row r="136" spans="1:34" ht="34.5" x14ac:dyDescent="0.25">
      <c r="A136" s="139" t="s">
        <v>116</v>
      </c>
      <c r="B136" s="105" t="s">
        <v>122</v>
      </c>
      <c r="C136" s="63">
        <v>124</v>
      </c>
      <c r="D136" s="197" t="s">
        <v>933</v>
      </c>
      <c r="E136" s="189" t="s">
        <v>1043</v>
      </c>
      <c r="F136" s="190" t="s">
        <v>123</v>
      </c>
      <c r="G136" s="189" t="s">
        <v>204</v>
      </c>
      <c r="H136" s="191">
        <v>50592</v>
      </c>
      <c r="I136" s="189" t="s">
        <v>907</v>
      </c>
      <c r="J136" s="189">
        <v>0</v>
      </c>
      <c r="K136" s="189" t="s">
        <v>915</v>
      </c>
      <c r="L136" s="191">
        <v>10</v>
      </c>
      <c r="M136" s="192">
        <v>46092</v>
      </c>
      <c r="N136" s="193">
        <v>1</v>
      </c>
      <c r="O136" s="194">
        <v>1</v>
      </c>
      <c r="P136" s="195"/>
      <c r="Q136" s="196" t="s">
        <v>38</v>
      </c>
      <c r="R136" s="197">
        <v>1</v>
      </c>
      <c r="S136" s="198" t="s">
        <v>33</v>
      </c>
      <c r="T136" s="199"/>
      <c r="U136" s="200"/>
      <c r="V136" s="200"/>
      <c r="W136" s="200"/>
      <c r="X136" s="200"/>
      <c r="Y136" s="200"/>
      <c r="Z136" s="200"/>
      <c r="AA136" s="200"/>
      <c r="AB136" s="200"/>
      <c r="AC136" s="208"/>
      <c r="AD136" s="11" t="str">
        <f t="shared" si="3"/>
        <v>10</v>
      </c>
      <c r="AF136" t="str">
        <f t="shared" si="4"/>
        <v>80.01.ZZ.010</v>
      </c>
      <c r="AH136" t="str">
        <f t="shared" si="5"/>
        <v>00 de 01</v>
      </c>
    </row>
    <row r="137" spans="1:34" ht="34.5" x14ac:dyDescent="0.25">
      <c r="A137" s="139" t="s">
        <v>116</v>
      </c>
      <c r="B137" s="105" t="s">
        <v>122</v>
      </c>
      <c r="C137" s="63">
        <v>125</v>
      </c>
      <c r="D137" s="197" t="s">
        <v>933</v>
      </c>
      <c r="E137" s="189" t="s">
        <v>1044</v>
      </c>
      <c r="F137" s="190" t="s">
        <v>123</v>
      </c>
      <c r="G137" s="189" t="s">
        <v>204</v>
      </c>
      <c r="H137" s="191">
        <v>50592</v>
      </c>
      <c r="I137" s="189" t="s">
        <v>907</v>
      </c>
      <c r="J137" s="189">
        <v>0</v>
      </c>
      <c r="K137" s="189" t="s">
        <v>915</v>
      </c>
      <c r="L137" s="191">
        <v>10</v>
      </c>
      <c r="M137" s="192">
        <v>46092</v>
      </c>
      <c r="N137" s="193">
        <v>1</v>
      </c>
      <c r="O137" s="194">
        <v>1</v>
      </c>
      <c r="P137" s="195"/>
      <c r="Q137" s="196" t="s">
        <v>38</v>
      </c>
      <c r="R137" s="197">
        <v>1</v>
      </c>
      <c r="S137" s="198" t="s">
        <v>33</v>
      </c>
      <c r="T137" s="199"/>
      <c r="U137" s="200"/>
      <c r="V137" s="200"/>
      <c r="W137" s="200"/>
      <c r="X137" s="200"/>
      <c r="Y137" s="200"/>
      <c r="Z137" s="200"/>
      <c r="AA137" s="200"/>
      <c r="AB137" s="200"/>
      <c r="AC137" s="208"/>
      <c r="AD137" s="11" t="str">
        <f t="shared" si="3"/>
        <v>10</v>
      </c>
      <c r="AF137" t="str">
        <f t="shared" si="4"/>
        <v>80.01.ZZ.010</v>
      </c>
      <c r="AH137" t="str">
        <f t="shared" si="5"/>
        <v>00 de 01</v>
      </c>
    </row>
    <row r="138" spans="1:34" ht="34.5" x14ac:dyDescent="0.25">
      <c r="A138" s="139" t="s">
        <v>116</v>
      </c>
      <c r="B138" s="105" t="s">
        <v>122</v>
      </c>
      <c r="C138" s="63">
        <v>126</v>
      </c>
      <c r="D138" s="197" t="s">
        <v>190</v>
      </c>
      <c r="E138" s="189" t="s">
        <v>1045</v>
      </c>
      <c r="F138" s="190" t="s">
        <v>123</v>
      </c>
      <c r="G138" s="189" t="s">
        <v>204</v>
      </c>
      <c r="H138" s="191">
        <v>50592</v>
      </c>
      <c r="I138" s="189" t="s">
        <v>907</v>
      </c>
      <c r="J138" s="189">
        <v>0</v>
      </c>
      <c r="K138" s="189" t="s">
        <v>915</v>
      </c>
      <c r="L138" s="191">
        <v>10</v>
      </c>
      <c r="M138" s="192">
        <v>46092</v>
      </c>
      <c r="N138" s="193">
        <v>1</v>
      </c>
      <c r="O138" s="194">
        <v>1</v>
      </c>
      <c r="P138" s="195"/>
      <c r="Q138" s="196" t="s">
        <v>38</v>
      </c>
      <c r="R138" s="197">
        <v>1</v>
      </c>
      <c r="S138" s="198" t="s">
        <v>33</v>
      </c>
      <c r="T138" s="199"/>
      <c r="U138" s="200"/>
      <c r="V138" s="200"/>
      <c r="W138" s="200"/>
      <c r="X138" s="200"/>
      <c r="Y138" s="200"/>
      <c r="Z138" s="200"/>
      <c r="AA138" s="200"/>
      <c r="AB138" s="200"/>
      <c r="AC138" s="208"/>
      <c r="AD138" s="11" t="str">
        <f t="shared" si="3"/>
        <v>10</v>
      </c>
      <c r="AF138" t="str">
        <f t="shared" si="4"/>
        <v>80.01.ZZ.010</v>
      </c>
      <c r="AH138" t="str">
        <f t="shared" si="5"/>
        <v>00 de 01</v>
      </c>
    </row>
    <row r="139" spans="1:34" ht="34.5" x14ac:dyDescent="0.25">
      <c r="A139" s="139" t="s">
        <v>116</v>
      </c>
      <c r="B139" s="105" t="s">
        <v>122</v>
      </c>
      <c r="C139" s="63">
        <v>127</v>
      </c>
      <c r="D139" s="197" t="s">
        <v>190</v>
      </c>
      <c r="E139" s="189" t="s">
        <v>1046</v>
      </c>
      <c r="F139" s="190" t="s">
        <v>123</v>
      </c>
      <c r="G139" s="189" t="s">
        <v>204</v>
      </c>
      <c r="H139" s="191">
        <v>50592</v>
      </c>
      <c r="I139" s="189" t="s">
        <v>907</v>
      </c>
      <c r="J139" s="189">
        <v>0</v>
      </c>
      <c r="K139" s="189" t="s">
        <v>915</v>
      </c>
      <c r="L139" s="191">
        <v>10</v>
      </c>
      <c r="M139" s="192">
        <v>46092</v>
      </c>
      <c r="N139" s="193">
        <v>1</v>
      </c>
      <c r="O139" s="194">
        <v>1</v>
      </c>
      <c r="P139" s="195"/>
      <c r="Q139" s="196" t="s">
        <v>38</v>
      </c>
      <c r="R139" s="197">
        <v>1</v>
      </c>
      <c r="S139" s="198" t="s">
        <v>33</v>
      </c>
      <c r="T139" s="199"/>
      <c r="U139" s="200"/>
      <c r="V139" s="200"/>
      <c r="W139" s="200"/>
      <c r="X139" s="200"/>
      <c r="Y139" s="200"/>
      <c r="Z139" s="200"/>
      <c r="AA139" s="200"/>
      <c r="AB139" s="200"/>
      <c r="AC139" s="208"/>
      <c r="AD139" s="11" t="str">
        <f t="shared" si="3"/>
        <v>10</v>
      </c>
      <c r="AF139" t="str">
        <f t="shared" si="4"/>
        <v>80.01.ZZ.010</v>
      </c>
      <c r="AH139" t="str">
        <f t="shared" si="5"/>
        <v>00 de 01</v>
      </c>
    </row>
    <row r="140" spans="1:34" ht="34.5" x14ac:dyDescent="0.25">
      <c r="A140" s="139" t="s">
        <v>116</v>
      </c>
      <c r="B140" s="105" t="s">
        <v>122</v>
      </c>
      <c r="C140" s="63">
        <v>128</v>
      </c>
      <c r="D140" s="197" t="s">
        <v>933</v>
      </c>
      <c r="E140" s="189" t="s">
        <v>1047</v>
      </c>
      <c r="F140" s="190" t="s">
        <v>123</v>
      </c>
      <c r="G140" s="189" t="s">
        <v>204</v>
      </c>
      <c r="H140" s="191">
        <v>50592</v>
      </c>
      <c r="I140" s="189" t="s">
        <v>907</v>
      </c>
      <c r="J140" s="189">
        <v>0</v>
      </c>
      <c r="K140" s="189" t="s">
        <v>915</v>
      </c>
      <c r="L140" s="191">
        <v>10</v>
      </c>
      <c r="M140" s="192">
        <v>46092</v>
      </c>
      <c r="N140" s="193">
        <v>1</v>
      </c>
      <c r="O140" s="194">
        <v>1</v>
      </c>
      <c r="P140" s="195"/>
      <c r="Q140" s="196" t="s">
        <v>38</v>
      </c>
      <c r="R140" s="197">
        <v>1</v>
      </c>
      <c r="S140" s="198" t="s">
        <v>33</v>
      </c>
      <c r="T140" s="199"/>
      <c r="U140" s="200"/>
      <c r="V140" s="200"/>
      <c r="W140" s="200"/>
      <c r="X140" s="200"/>
      <c r="Y140" s="200"/>
      <c r="Z140" s="200"/>
      <c r="AA140" s="200"/>
      <c r="AB140" s="200"/>
      <c r="AC140" s="208"/>
      <c r="AD140" s="11" t="str">
        <f t="shared" si="3"/>
        <v>10</v>
      </c>
      <c r="AF140" t="str">
        <f t="shared" si="4"/>
        <v>80.01.ZZ.010</v>
      </c>
      <c r="AH140" t="str">
        <f t="shared" si="5"/>
        <v>00 de 01</v>
      </c>
    </row>
    <row r="141" spans="1:34" ht="34.5" x14ac:dyDescent="0.25">
      <c r="A141" s="139" t="s">
        <v>116</v>
      </c>
      <c r="B141" s="105" t="s">
        <v>122</v>
      </c>
      <c r="C141" s="63">
        <v>129</v>
      </c>
      <c r="D141" s="197" t="s">
        <v>933</v>
      </c>
      <c r="E141" s="189" t="s">
        <v>1048</v>
      </c>
      <c r="F141" s="190" t="s">
        <v>123</v>
      </c>
      <c r="G141" s="189" t="s">
        <v>204</v>
      </c>
      <c r="H141" s="191">
        <v>50592</v>
      </c>
      <c r="I141" s="189" t="s">
        <v>907</v>
      </c>
      <c r="J141" s="189">
        <v>0</v>
      </c>
      <c r="K141" s="189" t="s">
        <v>915</v>
      </c>
      <c r="L141" s="191">
        <v>10</v>
      </c>
      <c r="M141" s="192">
        <v>46092</v>
      </c>
      <c r="N141" s="193">
        <v>1</v>
      </c>
      <c r="O141" s="194">
        <v>1</v>
      </c>
      <c r="P141" s="195"/>
      <c r="Q141" s="196" t="s">
        <v>38</v>
      </c>
      <c r="R141" s="197">
        <v>1</v>
      </c>
      <c r="S141" s="198" t="s">
        <v>33</v>
      </c>
      <c r="T141" s="199"/>
      <c r="U141" s="200"/>
      <c r="V141" s="200"/>
      <c r="W141" s="200"/>
      <c r="X141" s="200"/>
      <c r="Y141" s="200"/>
      <c r="Z141" s="200"/>
      <c r="AA141" s="200"/>
      <c r="AB141" s="200"/>
      <c r="AC141" s="208"/>
      <c r="AD141" s="11" t="str">
        <f t="shared" si="3"/>
        <v>10</v>
      </c>
      <c r="AF141" t="str">
        <f t="shared" si="4"/>
        <v>80.01.ZZ.010</v>
      </c>
      <c r="AH141" t="str">
        <f t="shared" si="5"/>
        <v>00 de 01</v>
      </c>
    </row>
    <row r="142" spans="1:34" ht="34.5" x14ac:dyDescent="0.25">
      <c r="A142" s="139" t="s">
        <v>116</v>
      </c>
      <c r="B142" s="105" t="s">
        <v>122</v>
      </c>
      <c r="C142" s="63">
        <v>130</v>
      </c>
      <c r="D142" s="197" t="s">
        <v>190</v>
      </c>
      <c r="E142" s="189" t="s">
        <v>1049</v>
      </c>
      <c r="F142" s="190" t="s">
        <v>123</v>
      </c>
      <c r="G142" s="189" t="s">
        <v>204</v>
      </c>
      <c r="H142" s="191">
        <v>50592</v>
      </c>
      <c r="I142" s="189" t="s">
        <v>907</v>
      </c>
      <c r="J142" s="189">
        <v>0</v>
      </c>
      <c r="K142" s="189" t="s">
        <v>915</v>
      </c>
      <c r="L142" s="191">
        <v>10</v>
      </c>
      <c r="M142" s="192">
        <v>46092</v>
      </c>
      <c r="N142" s="193">
        <v>1</v>
      </c>
      <c r="O142" s="194">
        <v>1</v>
      </c>
      <c r="P142" s="195"/>
      <c r="Q142" s="196" t="s">
        <v>38</v>
      </c>
      <c r="R142" s="197">
        <v>1</v>
      </c>
      <c r="S142" s="198" t="s">
        <v>33</v>
      </c>
      <c r="T142" s="199"/>
      <c r="U142" s="200"/>
      <c r="V142" s="200"/>
      <c r="W142" s="200"/>
      <c r="X142" s="200"/>
      <c r="Y142" s="200"/>
      <c r="Z142" s="200"/>
      <c r="AA142" s="200"/>
      <c r="AB142" s="200"/>
      <c r="AC142" s="208"/>
      <c r="AD142" s="11" t="str">
        <f t="shared" ref="AD142:AD205" si="6">RIGHT(L142,2)</f>
        <v>10</v>
      </c>
      <c r="AF142" t="str">
        <f t="shared" ref="AF142:AF205" si="7">CONCATENATE("80.01.ZZ.0",L142)</f>
        <v>80.01.ZZ.010</v>
      </c>
      <c r="AH142" t="str">
        <f t="shared" ref="AH142:AH205" si="8">CONCATENATE("00 de 0",R142)</f>
        <v>00 de 01</v>
      </c>
    </row>
    <row r="143" spans="1:34" ht="34.5" x14ac:dyDescent="0.25">
      <c r="A143" s="139" t="s">
        <v>116</v>
      </c>
      <c r="B143" s="105" t="s">
        <v>122</v>
      </c>
      <c r="C143" s="63">
        <v>131</v>
      </c>
      <c r="D143" s="197" t="s">
        <v>190</v>
      </c>
      <c r="E143" s="189" t="s">
        <v>1050</v>
      </c>
      <c r="F143" s="190" t="s">
        <v>123</v>
      </c>
      <c r="G143" s="189" t="s">
        <v>204</v>
      </c>
      <c r="H143" s="191">
        <v>50592</v>
      </c>
      <c r="I143" s="189" t="s">
        <v>907</v>
      </c>
      <c r="J143" s="189">
        <v>0</v>
      </c>
      <c r="K143" s="189" t="s">
        <v>915</v>
      </c>
      <c r="L143" s="191">
        <v>10</v>
      </c>
      <c r="M143" s="192">
        <v>46092</v>
      </c>
      <c r="N143" s="193">
        <v>1</v>
      </c>
      <c r="O143" s="194">
        <v>1</v>
      </c>
      <c r="P143" s="195"/>
      <c r="Q143" s="196" t="s">
        <v>38</v>
      </c>
      <c r="R143" s="197">
        <v>1</v>
      </c>
      <c r="S143" s="198" t="s">
        <v>33</v>
      </c>
      <c r="T143" s="199"/>
      <c r="U143" s="200"/>
      <c r="V143" s="200"/>
      <c r="W143" s="200"/>
      <c r="X143" s="200"/>
      <c r="Y143" s="200"/>
      <c r="Z143" s="200"/>
      <c r="AA143" s="200"/>
      <c r="AB143" s="200"/>
      <c r="AC143" s="208"/>
      <c r="AD143" s="11" t="str">
        <f t="shared" si="6"/>
        <v>10</v>
      </c>
      <c r="AF143" t="str">
        <f t="shared" si="7"/>
        <v>80.01.ZZ.010</v>
      </c>
      <c r="AH143" t="str">
        <f t="shared" si="8"/>
        <v>00 de 01</v>
      </c>
    </row>
    <row r="144" spans="1:34" ht="34.5" x14ac:dyDescent="0.25">
      <c r="A144" s="139" t="s">
        <v>116</v>
      </c>
      <c r="B144" s="105" t="s">
        <v>122</v>
      </c>
      <c r="C144" s="63">
        <v>132</v>
      </c>
      <c r="D144" s="197" t="s">
        <v>933</v>
      </c>
      <c r="E144" s="189" t="s">
        <v>1051</v>
      </c>
      <c r="F144" s="190" t="s">
        <v>123</v>
      </c>
      <c r="G144" s="189" t="s">
        <v>204</v>
      </c>
      <c r="H144" s="191">
        <v>50592</v>
      </c>
      <c r="I144" s="189" t="s">
        <v>907</v>
      </c>
      <c r="J144" s="189">
        <v>0</v>
      </c>
      <c r="K144" s="189" t="s">
        <v>915</v>
      </c>
      <c r="L144" s="191">
        <v>10</v>
      </c>
      <c r="M144" s="192">
        <v>46092</v>
      </c>
      <c r="N144" s="193">
        <v>1</v>
      </c>
      <c r="O144" s="194">
        <v>1</v>
      </c>
      <c r="P144" s="195"/>
      <c r="Q144" s="196" t="s">
        <v>38</v>
      </c>
      <c r="R144" s="197">
        <v>1</v>
      </c>
      <c r="S144" s="198" t="s">
        <v>33</v>
      </c>
      <c r="T144" s="199"/>
      <c r="U144" s="200"/>
      <c r="V144" s="200"/>
      <c r="W144" s="200"/>
      <c r="X144" s="200"/>
      <c r="Y144" s="200"/>
      <c r="Z144" s="200"/>
      <c r="AA144" s="200"/>
      <c r="AB144" s="200"/>
      <c r="AC144" s="208"/>
      <c r="AD144" s="11" t="str">
        <f t="shared" si="6"/>
        <v>10</v>
      </c>
      <c r="AF144" t="str">
        <f t="shared" si="7"/>
        <v>80.01.ZZ.010</v>
      </c>
      <c r="AH144" t="str">
        <f t="shared" si="8"/>
        <v>00 de 01</v>
      </c>
    </row>
    <row r="145" spans="1:34" ht="34.5" x14ac:dyDescent="0.25">
      <c r="A145" s="139" t="s">
        <v>116</v>
      </c>
      <c r="B145" s="105" t="s">
        <v>122</v>
      </c>
      <c r="C145" s="63">
        <v>133</v>
      </c>
      <c r="D145" s="197" t="s">
        <v>933</v>
      </c>
      <c r="E145" s="189" t="s">
        <v>1052</v>
      </c>
      <c r="F145" s="190" t="s">
        <v>123</v>
      </c>
      <c r="G145" s="189" t="s">
        <v>204</v>
      </c>
      <c r="H145" s="191">
        <v>50592</v>
      </c>
      <c r="I145" s="189" t="s">
        <v>907</v>
      </c>
      <c r="J145" s="189">
        <v>0</v>
      </c>
      <c r="K145" s="189" t="s">
        <v>915</v>
      </c>
      <c r="L145" s="191">
        <v>10</v>
      </c>
      <c r="M145" s="192">
        <v>46092</v>
      </c>
      <c r="N145" s="193">
        <v>1</v>
      </c>
      <c r="O145" s="194">
        <v>1</v>
      </c>
      <c r="P145" s="195"/>
      <c r="Q145" s="196" t="s">
        <v>38</v>
      </c>
      <c r="R145" s="197">
        <v>1</v>
      </c>
      <c r="S145" s="198" t="s">
        <v>33</v>
      </c>
      <c r="T145" s="199"/>
      <c r="U145" s="200"/>
      <c r="V145" s="200"/>
      <c r="W145" s="200"/>
      <c r="X145" s="200"/>
      <c r="Y145" s="200"/>
      <c r="Z145" s="200"/>
      <c r="AA145" s="200"/>
      <c r="AB145" s="200"/>
      <c r="AC145" s="208"/>
      <c r="AD145" s="11" t="str">
        <f t="shared" si="6"/>
        <v>10</v>
      </c>
      <c r="AF145" t="str">
        <f t="shared" si="7"/>
        <v>80.01.ZZ.010</v>
      </c>
      <c r="AH145" t="str">
        <f t="shared" si="8"/>
        <v>00 de 01</v>
      </c>
    </row>
    <row r="146" spans="1:34" ht="34.5" x14ac:dyDescent="0.25">
      <c r="A146" s="139" t="s">
        <v>116</v>
      </c>
      <c r="B146" s="105" t="s">
        <v>122</v>
      </c>
      <c r="C146" s="63">
        <v>134</v>
      </c>
      <c r="D146" s="197" t="s">
        <v>190</v>
      </c>
      <c r="E146" s="189" t="s">
        <v>1053</v>
      </c>
      <c r="F146" s="190" t="s">
        <v>123</v>
      </c>
      <c r="G146" s="189" t="s">
        <v>204</v>
      </c>
      <c r="H146" s="191">
        <v>50592</v>
      </c>
      <c r="I146" s="189" t="s">
        <v>907</v>
      </c>
      <c r="J146" s="189">
        <v>0</v>
      </c>
      <c r="K146" s="189" t="s">
        <v>915</v>
      </c>
      <c r="L146" s="191">
        <v>10</v>
      </c>
      <c r="M146" s="192">
        <v>46092</v>
      </c>
      <c r="N146" s="193">
        <v>1</v>
      </c>
      <c r="O146" s="194">
        <v>1</v>
      </c>
      <c r="P146" s="195"/>
      <c r="Q146" s="196" t="s">
        <v>38</v>
      </c>
      <c r="R146" s="197">
        <v>1</v>
      </c>
      <c r="S146" s="198" t="s">
        <v>33</v>
      </c>
      <c r="T146" s="199"/>
      <c r="U146" s="200"/>
      <c r="V146" s="200"/>
      <c r="W146" s="200"/>
      <c r="X146" s="200"/>
      <c r="Y146" s="200"/>
      <c r="Z146" s="200"/>
      <c r="AA146" s="200"/>
      <c r="AB146" s="200"/>
      <c r="AC146" s="208"/>
      <c r="AD146" s="11" t="str">
        <f t="shared" si="6"/>
        <v>10</v>
      </c>
      <c r="AF146" t="str">
        <f t="shared" si="7"/>
        <v>80.01.ZZ.010</v>
      </c>
      <c r="AH146" t="str">
        <f t="shared" si="8"/>
        <v>00 de 01</v>
      </c>
    </row>
    <row r="147" spans="1:34" ht="34.5" x14ac:dyDescent="0.25">
      <c r="A147" s="139" t="s">
        <v>116</v>
      </c>
      <c r="B147" s="105" t="s">
        <v>122</v>
      </c>
      <c r="C147" s="63">
        <v>135</v>
      </c>
      <c r="D147" s="197" t="s">
        <v>190</v>
      </c>
      <c r="E147" s="189" t="s">
        <v>1054</v>
      </c>
      <c r="F147" s="190" t="s">
        <v>123</v>
      </c>
      <c r="G147" s="189" t="s">
        <v>204</v>
      </c>
      <c r="H147" s="191">
        <v>50592</v>
      </c>
      <c r="I147" s="189" t="s">
        <v>907</v>
      </c>
      <c r="J147" s="189">
        <v>0</v>
      </c>
      <c r="K147" s="189">
        <v>10013</v>
      </c>
      <c r="L147" s="191">
        <v>10</v>
      </c>
      <c r="M147" s="192">
        <v>46092</v>
      </c>
      <c r="N147" s="193">
        <v>1</v>
      </c>
      <c r="O147" s="194">
        <v>1</v>
      </c>
      <c r="P147" s="195"/>
      <c r="Q147" s="196" t="s">
        <v>38</v>
      </c>
      <c r="R147" s="197">
        <v>1</v>
      </c>
      <c r="S147" s="198" t="s">
        <v>33</v>
      </c>
      <c r="T147" s="199"/>
      <c r="U147" s="200"/>
      <c r="V147" s="200"/>
      <c r="W147" s="200"/>
      <c r="X147" s="200"/>
      <c r="Y147" s="200"/>
      <c r="Z147" s="200"/>
      <c r="AA147" s="200"/>
      <c r="AB147" s="200"/>
      <c r="AC147" s="208"/>
      <c r="AD147" s="11" t="str">
        <f t="shared" si="6"/>
        <v>10</v>
      </c>
      <c r="AF147" t="str">
        <f t="shared" si="7"/>
        <v>80.01.ZZ.010</v>
      </c>
      <c r="AH147" t="str">
        <f t="shared" si="8"/>
        <v>00 de 01</v>
      </c>
    </row>
    <row r="148" spans="1:34" ht="34.5" x14ac:dyDescent="0.25">
      <c r="A148" s="139" t="s">
        <v>116</v>
      </c>
      <c r="B148" s="105" t="s">
        <v>122</v>
      </c>
      <c r="C148" s="63">
        <v>136</v>
      </c>
      <c r="D148" s="197" t="s">
        <v>190</v>
      </c>
      <c r="E148" s="189" t="s">
        <v>1055</v>
      </c>
      <c r="F148" s="190" t="s">
        <v>123</v>
      </c>
      <c r="G148" s="189" t="s">
        <v>204</v>
      </c>
      <c r="H148" s="191">
        <v>50592</v>
      </c>
      <c r="I148" s="189" t="s">
        <v>907</v>
      </c>
      <c r="J148" s="189">
        <v>0</v>
      </c>
      <c r="K148" s="189">
        <v>10013</v>
      </c>
      <c r="L148" s="191">
        <v>10</v>
      </c>
      <c r="M148" s="192">
        <v>46092</v>
      </c>
      <c r="N148" s="193">
        <v>1</v>
      </c>
      <c r="O148" s="194">
        <v>1</v>
      </c>
      <c r="P148" s="195"/>
      <c r="Q148" s="196" t="s">
        <v>38</v>
      </c>
      <c r="R148" s="197">
        <v>1</v>
      </c>
      <c r="S148" s="198" t="s">
        <v>33</v>
      </c>
      <c r="T148" s="199"/>
      <c r="U148" s="200"/>
      <c r="V148" s="200"/>
      <c r="W148" s="200"/>
      <c r="X148" s="200"/>
      <c r="Y148" s="200"/>
      <c r="Z148" s="200"/>
      <c r="AA148" s="200"/>
      <c r="AB148" s="200"/>
      <c r="AC148" s="208"/>
      <c r="AD148" s="11" t="str">
        <f t="shared" si="6"/>
        <v>10</v>
      </c>
      <c r="AF148" t="str">
        <f t="shared" si="7"/>
        <v>80.01.ZZ.010</v>
      </c>
      <c r="AH148" t="str">
        <f t="shared" si="8"/>
        <v>00 de 01</v>
      </c>
    </row>
    <row r="149" spans="1:34" ht="34.5" x14ac:dyDescent="0.25">
      <c r="A149" s="139" t="s">
        <v>116</v>
      </c>
      <c r="B149" s="105" t="s">
        <v>122</v>
      </c>
      <c r="C149" s="63">
        <v>137</v>
      </c>
      <c r="D149" s="197" t="s">
        <v>190</v>
      </c>
      <c r="E149" s="189" t="s">
        <v>1056</v>
      </c>
      <c r="F149" s="190" t="s">
        <v>123</v>
      </c>
      <c r="G149" s="189" t="s">
        <v>204</v>
      </c>
      <c r="H149" s="191">
        <v>50592</v>
      </c>
      <c r="I149" s="189" t="s">
        <v>907</v>
      </c>
      <c r="J149" s="189">
        <v>0</v>
      </c>
      <c r="K149" s="189">
        <v>10014</v>
      </c>
      <c r="L149" s="191">
        <v>10</v>
      </c>
      <c r="M149" s="192">
        <v>46092</v>
      </c>
      <c r="N149" s="193">
        <v>1</v>
      </c>
      <c r="O149" s="194">
        <v>1</v>
      </c>
      <c r="P149" s="195"/>
      <c r="Q149" s="196" t="s">
        <v>38</v>
      </c>
      <c r="R149" s="197">
        <v>1</v>
      </c>
      <c r="S149" s="198" t="s">
        <v>33</v>
      </c>
      <c r="T149" s="199"/>
      <c r="U149" s="200"/>
      <c r="V149" s="200"/>
      <c r="W149" s="200"/>
      <c r="X149" s="200"/>
      <c r="Y149" s="200"/>
      <c r="Z149" s="200"/>
      <c r="AA149" s="200"/>
      <c r="AB149" s="200"/>
      <c r="AC149" s="208"/>
      <c r="AD149" s="11" t="str">
        <f t="shared" si="6"/>
        <v>10</v>
      </c>
      <c r="AF149" t="str">
        <f t="shared" si="7"/>
        <v>80.01.ZZ.010</v>
      </c>
      <c r="AH149" t="str">
        <f t="shared" si="8"/>
        <v>00 de 01</v>
      </c>
    </row>
    <row r="150" spans="1:34" ht="34.5" x14ac:dyDescent="0.25">
      <c r="A150" s="139" t="s">
        <v>116</v>
      </c>
      <c r="B150" s="105" t="s">
        <v>122</v>
      </c>
      <c r="C150" s="63">
        <v>138</v>
      </c>
      <c r="D150" s="197" t="s">
        <v>190</v>
      </c>
      <c r="E150" s="189" t="s">
        <v>1057</v>
      </c>
      <c r="F150" s="190" t="s">
        <v>123</v>
      </c>
      <c r="G150" s="189" t="s">
        <v>204</v>
      </c>
      <c r="H150" s="191">
        <v>50592</v>
      </c>
      <c r="I150" s="189" t="s">
        <v>907</v>
      </c>
      <c r="J150" s="189">
        <v>0</v>
      </c>
      <c r="K150" s="189">
        <v>10014</v>
      </c>
      <c r="L150" s="191">
        <v>10</v>
      </c>
      <c r="M150" s="192">
        <v>46092</v>
      </c>
      <c r="N150" s="193">
        <v>1</v>
      </c>
      <c r="O150" s="194">
        <v>1</v>
      </c>
      <c r="P150" s="195"/>
      <c r="Q150" s="196" t="s">
        <v>38</v>
      </c>
      <c r="R150" s="197">
        <v>1</v>
      </c>
      <c r="S150" s="198" t="s">
        <v>33</v>
      </c>
      <c r="T150" s="199"/>
      <c r="U150" s="200"/>
      <c r="V150" s="200"/>
      <c r="W150" s="200"/>
      <c r="X150" s="200"/>
      <c r="Y150" s="200"/>
      <c r="Z150" s="200"/>
      <c r="AA150" s="200"/>
      <c r="AB150" s="200"/>
      <c r="AC150" s="208"/>
      <c r="AD150" s="11" t="str">
        <f t="shared" si="6"/>
        <v>10</v>
      </c>
      <c r="AF150" t="str">
        <f t="shared" si="7"/>
        <v>80.01.ZZ.010</v>
      </c>
      <c r="AH150" t="str">
        <f t="shared" si="8"/>
        <v>00 de 01</v>
      </c>
    </row>
    <row r="151" spans="1:34" ht="34.5" x14ac:dyDescent="0.25">
      <c r="A151" s="139" t="s">
        <v>116</v>
      </c>
      <c r="B151" s="105" t="s">
        <v>122</v>
      </c>
      <c r="C151" s="63">
        <v>139</v>
      </c>
      <c r="D151" s="197" t="s">
        <v>190</v>
      </c>
      <c r="E151" s="189" t="s">
        <v>1058</v>
      </c>
      <c r="F151" s="190" t="s">
        <v>123</v>
      </c>
      <c r="G151" s="189" t="s">
        <v>204</v>
      </c>
      <c r="H151" s="191">
        <v>50592</v>
      </c>
      <c r="I151" s="189" t="s">
        <v>907</v>
      </c>
      <c r="J151" s="189">
        <v>0</v>
      </c>
      <c r="K151" s="189">
        <v>10015</v>
      </c>
      <c r="L151" s="191">
        <v>10</v>
      </c>
      <c r="M151" s="192">
        <v>46092</v>
      </c>
      <c r="N151" s="193">
        <v>1</v>
      </c>
      <c r="O151" s="194">
        <v>1</v>
      </c>
      <c r="P151" s="195"/>
      <c r="Q151" s="196" t="s">
        <v>38</v>
      </c>
      <c r="R151" s="197">
        <v>1</v>
      </c>
      <c r="S151" s="198" t="s">
        <v>33</v>
      </c>
      <c r="T151" s="199"/>
      <c r="U151" s="200"/>
      <c r="V151" s="200"/>
      <c r="W151" s="200"/>
      <c r="X151" s="200"/>
      <c r="Y151" s="200"/>
      <c r="Z151" s="200"/>
      <c r="AA151" s="200"/>
      <c r="AB151" s="200"/>
      <c r="AC151" s="208"/>
      <c r="AD151" s="11" t="str">
        <f t="shared" si="6"/>
        <v>10</v>
      </c>
      <c r="AF151" t="str">
        <f t="shared" si="7"/>
        <v>80.01.ZZ.010</v>
      </c>
      <c r="AH151" t="str">
        <f t="shared" si="8"/>
        <v>00 de 01</v>
      </c>
    </row>
    <row r="152" spans="1:34" ht="34.5" x14ac:dyDescent="0.25">
      <c r="A152" s="139" t="s">
        <v>116</v>
      </c>
      <c r="B152" s="105" t="s">
        <v>122</v>
      </c>
      <c r="C152" s="63">
        <v>140</v>
      </c>
      <c r="D152" s="197" t="s">
        <v>190</v>
      </c>
      <c r="E152" s="189" t="s">
        <v>1059</v>
      </c>
      <c r="F152" s="190" t="s">
        <v>123</v>
      </c>
      <c r="G152" s="189" t="s">
        <v>204</v>
      </c>
      <c r="H152" s="191">
        <v>50592</v>
      </c>
      <c r="I152" s="189" t="s">
        <v>907</v>
      </c>
      <c r="J152" s="189">
        <v>0</v>
      </c>
      <c r="K152" s="189">
        <v>10015</v>
      </c>
      <c r="L152" s="191">
        <v>10</v>
      </c>
      <c r="M152" s="192">
        <v>46092</v>
      </c>
      <c r="N152" s="193">
        <v>1</v>
      </c>
      <c r="O152" s="194">
        <v>1</v>
      </c>
      <c r="P152" s="195"/>
      <c r="Q152" s="196" t="s">
        <v>38</v>
      </c>
      <c r="R152" s="197">
        <v>1</v>
      </c>
      <c r="S152" s="198" t="s">
        <v>33</v>
      </c>
      <c r="T152" s="199"/>
      <c r="U152" s="200"/>
      <c r="V152" s="200"/>
      <c r="W152" s="200"/>
      <c r="X152" s="200"/>
      <c r="Y152" s="200"/>
      <c r="Z152" s="200"/>
      <c r="AA152" s="200"/>
      <c r="AB152" s="200"/>
      <c r="AC152" s="208"/>
      <c r="AD152" s="11" t="str">
        <f t="shared" si="6"/>
        <v>10</v>
      </c>
      <c r="AF152" t="str">
        <f t="shared" si="7"/>
        <v>80.01.ZZ.010</v>
      </c>
      <c r="AH152" t="str">
        <f t="shared" si="8"/>
        <v>00 de 01</v>
      </c>
    </row>
    <row r="153" spans="1:34" ht="34.5" x14ac:dyDescent="0.25">
      <c r="A153" s="139" t="s">
        <v>116</v>
      </c>
      <c r="B153" s="105" t="s">
        <v>122</v>
      </c>
      <c r="C153" s="63">
        <v>141</v>
      </c>
      <c r="D153" s="197" t="s">
        <v>190</v>
      </c>
      <c r="E153" s="189" t="s">
        <v>1060</v>
      </c>
      <c r="F153" s="190" t="s">
        <v>123</v>
      </c>
      <c r="G153" s="189" t="s">
        <v>204</v>
      </c>
      <c r="H153" s="191">
        <v>50592</v>
      </c>
      <c r="I153" s="189" t="s">
        <v>907</v>
      </c>
      <c r="J153" s="189">
        <v>0</v>
      </c>
      <c r="K153" s="189">
        <v>10016</v>
      </c>
      <c r="L153" s="191">
        <v>10</v>
      </c>
      <c r="M153" s="192">
        <v>46092</v>
      </c>
      <c r="N153" s="193">
        <v>1</v>
      </c>
      <c r="O153" s="194">
        <v>1</v>
      </c>
      <c r="P153" s="195"/>
      <c r="Q153" s="196" t="s">
        <v>38</v>
      </c>
      <c r="R153" s="197">
        <v>1</v>
      </c>
      <c r="S153" s="198" t="s">
        <v>33</v>
      </c>
      <c r="T153" s="199"/>
      <c r="U153" s="200"/>
      <c r="V153" s="200"/>
      <c r="W153" s="200"/>
      <c r="X153" s="200"/>
      <c r="Y153" s="200"/>
      <c r="Z153" s="200"/>
      <c r="AA153" s="200"/>
      <c r="AB153" s="200"/>
      <c r="AC153" s="208"/>
      <c r="AD153" s="11" t="str">
        <f t="shared" si="6"/>
        <v>10</v>
      </c>
      <c r="AF153" t="str">
        <f t="shared" si="7"/>
        <v>80.01.ZZ.010</v>
      </c>
      <c r="AH153" t="str">
        <f t="shared" si="8"/>
        <v>00 de 01</v>
      </c>
    </row>
    <row r="154" spans="1:34" ht="34.5" x14ac:dyDescent="0.25">
      <c r="A154" s="139" t="s">
        <v>116</v>
      </c>
      <c r="B154" s="105" t="s">
        <v>122</v>
      </c>
      <c r="C154" s="63">
        <v>142</v>
      </c>
      <c r="D154" s="197" t="s">
        <v>190</v>
      </c>
      <c r="E154" s="189" t="s">
        <v>1061</v>
      </c>
      <c r="F154" s="190" t="s">
        <v>123</v>
      </c>
      <c r="G154" s="189" t="s">
        <v>204</v>
      </c>
      <c r="H154" s="191">
        <v>50592</v>
      </c>
      <c r="I154" s="189" t="s">
        <v>907</v>
      </c>
      <c r="J154" s="189">
        <v>0</v>
      </c>
      <c r="K154" s="189">
        <v>10016</v>
      </c>
      <c r="L154" s="191">
        <v>10</v>
      </c>
      <c r="M154" s="192">
        <v>46092</v>
      </c>
      <c r="N154" s="193">
        <v>1</v>
      </c>
      <c r="O154" s="194">
        <v>1</v>
      </c>
      <c r="P154" s="195"/>
      <c r="Q154" s="196" t="s">
        <v>38</v>
      </c>
      <c r="R154" s="197">
        <v>1</v>
      </c>
      <c r="S154" s="198" t="s">
        <v>33</v>
      </c>
      <c r="T154" s="199"/>
      <c r="U154" s="200"/>
      <c r="V154" s="200"/>
      <c r="W154" s="200"/>
      <c r="X154" s="200"/>
      <c r="Y154" s="200"/>
      <c r="Z154" s="200"/>
      <c r="AA154" s="200"/>
      <c r="AB154" s="200"/>
      <c r="AC154" s="208"/>
      <c r="AD154" s="11" t="str">
        <f t="shared" si="6"/>
        <v>10</v>
      </c>
      <c r="AF154" t="str">
        <f t="shared" si="7"/>
        <v>80.01.ZZ.010</v>
      </c>
      <c r="AH154" t="str">
        <f t="shared" si="8"/>
        <v>00 de 01</v>
      </c>
    </row>
    <row r="155" spans="1:34" ht="34.5" x14ac:dyDescent="0.25">
      <c r="A155" s="139" t="s">
        <v>116</v>
      </c>
      <c r="B155" s="105" t="s">
        <v>122</v>
      </c>
      <c r="C155" s="63">
        <v>143</v>
      </c>
      <c r="D155" s="197" t="s">
        <v>190</v>
      </c>
      <c r="E155" s="189" t="s">
        <v>1062</v>
      </c>
      <c r="F155" s="190" t="s">
        <v>123</v>
      </c>
      <c r="G155" s="189" t="s">
        <v>204</v>
      </c>
      <c r="H155" s="191">
        <v>50592</v>
      </c>
      <c r="I155" s="189" t="s">
        <v>907</v>
      </c>
      <c r="J155" s="189">
        <v>0</v>
      </c>
      <c r="K155" s="189">
        <v>10017</v>
      </c>
      <c r="L155" s="191">
        <v>10</v>
      </c>
      <c r="M155" s="192">
        <v>46092</v>
      </c>
      <c r="N155" s="193">
        <v>1</v>
      </c>
      <c r="O155" s="194">
        <v>1</v>
      </c>
      <c r="P155" s="195"/>
      <c r="Q155" s="196" t="s">
        <v>38</v>
      </c>
      <c r="R155" s="197">
        <v>1</v>
      </c>
      <c r="S155" s="198" t="s">
        <v>33</v>
      </c>
      <c r="T155" s="199"/>
      <c r="U155" s="200"/>
      <c r="V155" s="200"/>
      <c r="W155" s="200"/>
      <c r="X155" s="200"/>
      <c r="Y155" s="200"/>
      <c r="Z155" s="200"/>
      <c r="AA155" s="200"/>
      <c r="AB155" s="200"/>
      <c r="AC155" s="208"/>
      <c r="AD155" s="11" t="str">
        <f t="shared" si="6"/>
        <v>10</v>
      </c>
      <c r="AF155" t="str">
        <f t="shared" si="7"/>
        <v>80.01.ZZ.010</v>
      </c>
      <c r="AH155" t="str">
        <f t="shared" si="8"/>
        <v>00 de 01</v>
      </c>
    </row>
    <row r="156" spans="1:34" ht="34.5" x14ac:dyDescent="0.25">
      <c r="A156" s="139" t="s">
        <v>116</v>
      </c>
      <c r="B156" s="105" t="s">
        <v>122</v>
      </c>
      <c r="C156" s="63">
        <v>144</v>
      </c>
      <c r="D156" s="197" t="s">
        <v>190</v>
      </c>
      <c r="E156" s="189" t="s">
        <v>1063</v>
      </c>
      <c r="F156" s="190" t="s">
        <v>123</v>
      </c>
      <c r="G156" s="189" t="s">
        <v>204</v>
      </c>
      <c r="H156" s="191">
        <v>50592</v>
      </c>
      <c r="I156" s="189" t="s">
        <v>907</v>
      </c>
      <c r="J156" s="189">
        <v>0</v>
      </c>
      <c r="K156" s="189">
        <v>10017</v>
      </c>
      <c r="L156" s="191">
        <v>10</v>
      </c>
      <c r="M156" s="192">
        <v>46092</v>
      </c>
      <c r="N156" s="193">
        <v>1</v>
      </c>
      <c r="O156" s="194">
        <v>1</v>
      </c>
      <c r="P156" s="195"/>
      <c r="Q156" s="196" t="s">
        <v>38</v>
      </c>
      <c r="R156" s="197">
        <v>1</v>
      </c>
      <c r="S156" s="198" t="s">
        <v>33</v>
      </c>
      <c r="T156" s="199"/>
      <c r="U156" s="200"/>
      <c r="V156" s="200"/>
      <c r="W156" s="200"/>
      <c r="X156" s="200"/>
      <c r="Y156" s="200"/>
      <c r="Z156" s="200"/>
      <c r="AA156" s="200"/>
      <c r="AB156" s="200"/>
      <c r="AC156" s="208"/>
      <c r="AD156" s="11" t="str">
        <f t="shared" si="6"/>
        <v>10</v>
      </c>
      <c r="AF156" t="str">
        <f t="shared" si="7"/>
        <v>80.01.ZZ.010</v>
      </c>
      <c r="AH156" t="str">
        <f t="shared" si="8"/>
        <v>00 de 01</v>
      </c>
    </row>
    <row r="157" spans="1:34" ht="34.5" x14ac:dyDescent="0.25">
      <c r="A157" s="139" t="s">
        <v>116</v>
      </c>
      <c r="B157" s="105" t="s">
        <v>122</v>
      </c>
      <c r="C157" s="63">
        <v>145</v>
      </c>
      <c r="D157" s="197" t="s">
        <v>190</v>
      </c>
      <c r="E157" s="189" t="s">
        <v>1064</v>
      </c>
      <c r="F157" s="190" t="s">
        <v>123</v>
      </c>
      <c r="G157" s="189" t="s">
        <v>204</v>
      </c>
      <c r="H157" s="191">
        <v>50592</v>
      </c>
      <c r="I157" s="189" t="s">
        <v>907</v>
      </c>
      <c r="J157" s="189">
        <v>0</v>
      </c>
      <c r="K157" s="189">
        <v>10018</v>
      </c>
      <c r="L157" s="191">
        <v>10</v>
      </c>
      <c r="M157" s="192">
        <v>46092</v>
      </c>
      <c r="N157" s="193">
        <v>1</v>
      </c>
      <c r="O157" s="194">
        <v>1</v>
      </c>
      <c r="P157" s="195"/>
      <c r="Q157" s="196" t="s">
        <v>38</v>
      </c>
      <c r="R157" s="197">
        <v>1</v>
      </c>
      <c r="S157" s="198" t="s">
        <v>33</v>
      </c>
      <c r="T157" s="199"/>
      <c r="U157" s="200"/>
      <c r="V157" s="200"/>
      <c r="W157" s="200"/>
      <c r="X157" s="200"/>
      <c r="Y157" s="200"/>
      <c r="Z157" s="200"/>
      <c r="AA157" s="200"/>
      <c r="AB157" s="200"/>
      <c r="AC157" s="208"/>
      <c r="AD157" s="11" t="str">
        <f t="shared" si="6"/>
        <v>10</v>
      </c>
      <c r="AF157" t="str">
        <f t="shared" si="7"/>
        <v>80.01.ZZ.010</v>
      </c>
      <c r="AH157" t="str">
        <f t="shared" si="8"/>
        <v>00 de 01</v>
      </c>
    </row>
    <row r="158" spans="1:34" ht="34.5" x14ac:dyDescent="0.25">
      <c r="A158" s="139" t="s">
        <v>116</v>
      </c>
      <c r="B158" s="105" t="s">
        <v>122</v>
      </c>
      <c r="C158" s="63">
        <v>146</v>
      </c>
      <c r="D158" s="197" t="s">
        <v>190</v>
      </c>
      <c r="E158" s="189" t="s">
        <v>1065</v>
      </c>
      <c r="F158" s="190" t="s">
        <v>123</v>
      </c>
      <c r="G158" s="189" t="s">
        <v>204</v>
      </c>
      <c r="H158" s="191">
        <v>50592</v>
      </c>
      <c r="I158" s="189" t="s">
        <v>907</v>
      </c>
      <c r="J158" s="189">
        <v>0</v>
      </c>
      <c r="K158" s="189">
        <v>10018</v>
      </c>
      <c r="L158" s="191">
        <v>10</v>
      </c>
      <c r="M158" s="192">
        <v>46092</v>
      </c>
      <c r="N158" s="193">
        <v>1</v>
      </c>
      <c r="O158" s="194">
        <v>1</v>
      </c>
      <c r="P158" s="195"/>
      <c r="Q158" s="196" t="s">
        <v>38</v>
      </c>
      <c r="R158" s="197">
        <v>1</v>
      </c>
      <c r="S158" s="198" t="s">
        <v>33</v>
      </c>
      <c r="T158" s="199"/>
      <c r="U158" s="200"/>
      <c r="V158" s="200"/>
      <c r="W158" s="200"/>
      <c r="X158" s="200"/>
      <c r="Y158" s="200"/>
      <c r="Z158" s="200"/>
      <c r="AA158" s="200"/>
      <c r="AB158" s="200"/>
      <c r="AC158" s="208"/>
      <c r="AD158" s="11" t="str">
        <f t="shared" si="6"/>
        <v>10</v>
      </c>
      <c r="AF158" t="str">
        <f t="shared" si="7"/>
        <v>80.01.ZZ.010</v>
      </c>
      <c r="AH158" t="str">
        <f t="shared" si="8"/>
        <v>00 de 01</v>
      </c>
    </row>
    <row r="159" spans="1:34" ht="34.5" x14ac:dyDescent="0.25">
      <c r="A159" s="139" t="s">
        <v>116</v>
      </c>
      <c r="B159" s="105" t="s">
        <v>122</v>
      </c>
      <c r="C159" s="63">
        <v>147</v>
      </c>
      <c r="D159" s="197" t="s">
        <v>190</v>
      </c>
      <c r="E159" s="189" t="s">
        <v>1066</v>
      </c>
      <c r="F159" s="190" t="s">
        <v>123</v>
      </c>
      <c r="G159" s="189" t="s">
        <v>204</v>
      </c>
      <c r="H159" s="191">
        <v>50592</v>
      </c>
      <c r="I159" s="189" t="s">
        <v>907</v>
      </c>
      <c r="J159" s="189">
        <v>0</v>
      </c>
      <c r="K159" s="189">
        <v>10019</v>
      </c>
      <c r="L159" s="191">
        <v>10</v>
      </c>
      <c r="M159" s="192">
        <v>46092</v>
      </c>
      <c r="N159" s="193">
        <v>1</v>
      </c>
      <c r="O159" s="194">
        <v>1</v>
      </c>
      <c r="P159" s="195"/>
      <c r="Q159" s="196" t="s">
        <v>38</v>
      </c>
      <c r="R159" s="197">
        <v>1</v>
      </c>
      <c r="S159" s="198" t="s">
        <v>33</v>
      </c>
      <c r="T159" s="199"/>
      <c r="U159" s="200"/>
      <c r="V159" s="200"/>
      <c r="W159" s="200"/>
      <c r="X159" s="200"/>
      <c r="Y159" s="200"/>
      <c r="Z159" s="200"/>
      <c r="AA159" s="200"/>
      <c r="AB159" s="200"/>
      <c r="AC159" s="208"/>
      <c r="AD159" s="11" t="str">
        <f t="shared" si="6"/>
        <v>10</v>
      </c>
      <c r="AF159" t="str">
        <f t="shared" si="7"/>
        <v>80.01.ZZ.010</v>
      </c>
      <c r="AH159" t="str">
        <f t="shared" si="8"/>
        <v>00 de 01</v>
      </c>
    </row>
    <row r="160" spans="1:34" ht="34.5" x14ac:dyDescent="0.25">
      <c r="A160" s="139" t="s">
        <v>116</v>
      </c>
      <c r="B160" s="105" t="s">
        <v>122</v>
      </c>
      <c r="C160" s="63">
        <v>148</v>
      </c>
      <c r="D160" s="197" t="s">
        <v>190</v>
      </c>
      <c r="E160" s="189" t="s">
        <v>1067</v>
      </c>
      <c r="F160" s="190" t="s">
        <v>123</v>
      </c>
      <c r="G160" s="189" t="s">
        <v>204</v>
      </c>
      <c r="H160" s="191">
        <v>50592</v>
      </c>
      <c r="I160" s="189" t="s">
        <v>907</v>
      </c>
      <c r="J160" s="189">
        <v>0</v>
      </c>
      <c r="K160" s="189">
        <v>10019</v>
      </c>
      <c r="L160" s="191">
        <v>10</v>
      </c>
      <c r="M160" s="192">
        <v>46092</v>
      </c>
      <c r="N160" s="193">
        <v>1</v>
      </c>
      <c r="O160" s="194">
        <v>1</v>
      </c>
      <c r="P160" s="195"/>
      <c r="Q160" s="196" t="s">
        <v>38</v>
      </c>
      <c r="R160" s="197">
        <v>1</v>
      </c>
      <c r="S160" s="198" t="s">
        <v>33</v>
      </c>
      <c r="T160" s="199"/>
      <c r="U160" s="200"/>
      <c r="V160" s="200"/>
      <c r="W160" s="200"/>
      <c r="X160" s="200"/>
      <c r="Y160" s="200"/>
      <c r="Z160" s="200"/>
      <c r="AA160" s="200"/>
      <c r="AB160" s="200"/>
      <c r="AC160" s="208"/>
      <c r="AD160" s="11" t="str">
        <f t="shared" si="6"/>
        <v>10</v>
      </c>
      <c r="AF160" t="str">
        <f t="shared" si="7"/>
        <v>80.01.ZZ.010</v>
      </c>
      <c r="AH160" t="str">
        <f t="shared" si="8"/>
        <v>00 de 01</v>
      </c>
    </row>
    <row r="161" spans="1:34" ht="34.5" x14ac:dyDescent="0.25">
      <c r="A161" s="139" t="s">
        <v>116</v>
      </c>
      <c r="B161" s="105" t="s">
        <v>122</v>
      </c>
      <c r="C161" s="63">
        <v>149</v>
      </c>
      <c r="D161" s="197" t="s">
        <v>190</v>
      </c>
      <c r="E161" s="189" t="s">
        <v>1068</v>
      </c>
      <c r="F161" s="190" t="s">
        <v>123</v>
      </c>
      <c r="G161" s="189" t="s">
        <v>204</v>
      </c>
      <c r="H161" s="191">
        <v>50592</v>
      </c>
      <c r="I161" s="189" t="s">
        <v>907</v>
      </c>
      <c r="J161" s="189">
        <v>0</v>
      </c>
      <c r="K161" s="189">
        <v>10020</v>
      </c>
      <c r="L161" s="191">
        <v>10</v>
      </c>
      <c r="M161" s="192">
        <v>46092</v>
      </c>
      <c r="N161" s="193">
        <v>1</v>
      </c>
      <c r="O161" s="194">
        <v>1</v>
      </c>
      <c r="P161" s="195"/>
      <c r="Q161" s="196" t="s">
        <v>38</v>
      </c>
      <c r="R161" s="197">
        <v>1</v>
      </c>
      <c r="S161" s="198" t="s">
        <v>33</v>
      </c>
      <c r="T161" s="199"/>
      <c r="U161" s="200"/>
      <c r="V161" s="200"/>
      <c r="W161" s="200"/>
      <c r="X161" s="200"/>
      <c r="Y161" s="200"/>
      <c r="Z161" s="200"/>
      <c r="AA161" s="200"/>
      <c r="AB161" s="200"/>
      <c r="AC161" s="208"/>
      <c r="AD161" s="11" t="str">
        <f t="shared" si="6"/>
        <v>10</v>
      </c>
      <c r="AF161" t="str">
        <f t="shared" si="7"/>
        <v>80.01.ZZ.010</v>
      </c>
      <c r="AH161" t="str">
        <f t="shared" si="8"/>
        <v>00 de 01</v>
      </c>
    </row>
    <row r="162" spans="1:34" ht="34.5" x14ac:dyDescent="0.25">
      <c r="A162" s="139" t="s">
        <v>116</v>
      </c>
      <c r="B162" s="105" t="s">
        <v>122</v>
      </c>
      <c r="C162" s="63">
        <v>150</v>
      </c>
      <c r="D162" s="197" t="s">
        <v>190</v>
      </c>
      <c r="E162" s="189" t="s">
        <v>1069</v>
      </c>
      <c r="F162" s="190" t="s">
        <v>123</v>
      </c>
      <c r="G162" s="189" t="s">
        <v>204</v>
      </c>
      <c r="H162" s="191">
        <v>50592</v>
      </c>
      <c r="I162" s="189" t="s">
        <v>907</v>
      </c>
      <c r="J162" s="189">
        <v>0</v>
      </c>
      <c r="K162" s="189">
        <v>10020</v>
      </c>
      <c r="L162" s="191">
        <v>10</v>
      </c>
      <c r="M162" s="192">
        <v>46092</v>
      </c>
      <c r="N162" s="193">
        <v>1</v>
      </c>
      <c r="O162" s="194">
        <v>1</v>
      </c>
      <c r="P162" s="195"/>
      <c r="Q162" s="196" t="s">
        <v>38</v>
      </c>
      <c r="R162" s="197">
        <v>1</v>
      </c>
      <c r="S162" s="198" t="s">
        <v>33</v>
      </c>
      <c r="T162" s="199"/>
      <c r="U162" s="200"/>
      <c r="V162" s="200"/>
      <c r="W162" s="200"/>
      <c r="X162" s="200"/>
      <c r="Y162" s="200"/>
      <c r="Z162" s="200"/>
      <c r="AA162" s="200"/>
      <c r="AB162" s="200"/>
      <c r="AC162" s="208"/>
      <c r="AD162" s="11" t="str">
        <f t="shared" si="6"/>
        <v>10</v>
      </c>
      <c r="AF162" t="str">
        <f t="shared" si="7"/>
        <v>80.01.ZZ.010</v>
      </c>
      <c r="AH162" t="str">
        <f t="shared" si="8"/>
        <v>00 de 01</v>
      </c>
    </row>
    <row r="163" spans="1:34" ht="34.5" x14ac:dyDescent="0.25">
      <c r="A163" s="139" t="s">
        <v>116</v>
      </c>
      <c r="B163" s="105" t="s">
        <v>122</v>
      </c>
      <c r="C163" s="63">
        <v>151</v>
      </c>
      <c r="D163" s="197" t="s">
        <v>190</v>
      </c>
      <c r="E163" s="189" t="s">
        <v>1070</v>
      </c>
      <c r="F163" s="190" t="s">
        <v>123</v>
      </c>
      <c r="G163" s="189" t="s">
        <v>204</v>
      </c>
      <c r="H163" s="191">
        <v>50592</v>
      </c>
      <c r="I163" s="189" t="s">
        <v>907</v>
      </c>
      <c r="J163" s="189">
        <v>0</v>
      </c>
      <c r="K163" s="189">
        <v>10021</v>
      </c>
      <c r="L163" s="191">
        <v>10</v>
      </c>
      <c r="M163" s="192">
        <v>46092</v>
      </c>
      <c r="N163" s="193">
        <v>1</v>
      </c>
      <c r="O163" s="194">
        <v>1</v>
      </c>
      <c r="P163" s="195"/>
      <c r="Q163" s="196" t="s">
        <v>38</v>
      </c>
      <c r="R163" s="197">
        <v>1</v>
      </c>
      <c r="S163" s="198" t="s">
        <v>33</v>
      </c>
      <c r="T163" s="199"/>
      <c r="U163" s="200"/>
      <c r="V163" s="200"/>
      <c r="W163" s="200"/>
      <c r="X163" s="200"/>
      <c r="Y163" s="200"/>
      <c r="Z163" s="200"/>
      <c r="AA163" s="200"/>
      <c r="AB163" s="200"/>
      <c r="AC163" s="208"/>
      <c r="AD163" s="11" t="str">
        <f t="shared" si="6"/>
        <v>10</v>
      </c>
      <c r="AF163" t="str">
        <f t="shared" si="7"/>
        <v>80.01.ZZ.010</v>
      </c>
      <c r="AH163" t="str">
        <f t="shared" si="8"/>
        <v>00 de 01</v>
      </c>
    </row>
    <row r="164" spans="1:34" ht="34.5" x14ac:dyDescent="0.25">
      <c r="A164" s="139" t="s">
        <v>116</v>
      </c>
      <c r="B164" s="105" t="s">
        <v>122</v>
      </c>
      <c r="C164" s="63">
        <v>152</v>
      </c>
      <c r="D164" s="197" t="s">
        <v>190</v>
      </c>
      <c r="E164" s="189" t="s">
        <v>1071</v>
      </c>
      <c r="F164" s="190" t="s">
        <v>123</v>
      </c>
      <c r="G164" s="189" t="s">
        <v>204</v>
      </c>
      <c r="H164" s="191">
        <v>50592</v>
      </c>
      <c r="I164" s="189" t="s">
        <v>907</v>
      </c>
      <c r="J164" s="189">
        <v>0</v>
      </c>
      <c r="K164" s="189">
        <v>10021</v>
      </c>
      <c r="L164" s="191">
        <v>10</v>
      </c>
      <c r="M164" s="192">
        <v>46092</v>
      </c>
      <c r="N164" s="193">
        <v>1</v>
      </c>
      <c r="O164" s="194">
        <v>1</v>
      </c>
      <c r="P164" s="195"/>
      <c r="Q164" s="196" t="s">
        <v>38</v>
      </c>
      <c r="R164" s="197">
        <v>1</v>
      </c>
      <c r="S164" s="198" t="s">
        <v>33</v>
      </c>
      <c r="T164" s="199"/>
      <c r="U164" s="200"/>
      <c r="V164" s="200"/>
      <c r="W164" s="200"/>
      <c r="X164" s="200"/>
      <c r="Y164" s="200"/>
      <c r="Z164" s="200"/>
      <c r="AA164" s="200"/>
      <c r="AB164" s="200"/>
      <c r="AC164" s="208"/>
      <c r="AD164" s="11" t="str">
        <f t="shared" si="6"/>
        <v>10</v>
      </c>
      <c r="AF164" t="str">
        <f t="shared" si="7"/>
        <v>80.01.ZZ.010</v>
      </c>
      <c r="AH164" t="str">
        <f t="shared" si="8"/>
        <v>00 de 01</v>
      </c>
    </row>
    <row r="165" spans="1:34" ht="34.5" x14ac:dyDescent="0.25">
      <c r="A165" s="139" t="s">
        <v>116</v>
      </c>
      <c r="B165" s="105" t="s">
        <v>122</v>
      </c>
      <c r="C165" s="63">
        <v>153</v>
      </c>
      <c r="D165" s="197" t="s">
        <v>190</v>
      </c>
      <c r="E165" s="189" t="s">
        <v>1072</v>
      </c>
      <c r="F165" s="190" t="s">
        <v>123</v>
      </c>
      <c r="G165" s="189" t="s">
        <v>204</v>
      </c>
      <c r="H165" s="191">
        <v>50592</v>
      </c>
      <c r="I165" s="189" t="s">
        <v>907</v>
      </c>
      <c r="J165" s="189">
        <v>0</v>
      </c>
      <c r="K165" s="189">
        <v>10022</v>
      </c>
      <c r="L165" s="191">
        <v>10</v>
      </c>
      <c r="M165" s="192">
        <v>46092</v>
      </c>
      <c r="N165" s="193">
        <v>1</v>
      </c>
      <c r="O165" s="194">
        <v>1</v>
      </c>
      <c r="P165" s="195"/>
      <c r="Q165" s="196" t="s">
        <v>38</v>
      </c>
      <c r="R165" s="197">
        <v>1</v>
      </c>
      <c r="S165" s="198" t="s">
        <v>33</v>
      </c>
      <c r="T165" s="199"/>
      <c r="U165" s="200"/>
      <c r="V165" s="200"/>
      <c r="W165" s="200"/>
      <c r="X165" s="200"/>
      <c r="Y165" s="200"/>
      <c r="Z165" s="200"/>
      <c r="AA165" s="200"/>
      <c r="AB165" s="200"/>
      <c r="AC165" s="208"/>
      <c r="AD165" s="11" t="str">
        <f t="shared" si="6"/>
        <v>10</v>
      </c>
      <c r="AF165" t="str">
        <f t="shared" si="7"/>
        <v>80.01.ZZ.010</v>
      </c>
      <c r="AH165" t="str">
        <f t="shared" si="8"/>
        <v>00 de 01</v>
      </c>
    </row>
    <row r="166" spans="1:34" ht="34.5" x14ac:dyDescent="0.25">
      <c r="A166" s="139" t="s">
        <v>116</v>
      </c>
      <c r="B166" s="105" t="s">
        <v>122</v>
      </c>
      <c r="C166" s="63">
        <v>154</v>
      </c>
      <c r="D166" s="197" t="s">
        <v>190</v>
      </c>
      <c r="E166" s="189" t="s">
        <v>1073</v>
      </c>
      <c r="F166" s="190" t="s">
        <v>123</v>
      </c>
      <c r="G166" s="189" t="s">
        <v>204</v>
      </c>
      <c r="H166" s="191">
        <v>50592</v>
      </c>
      <c r="I166" s="189" t="s">
        <v>907</v>
      </c>
      <c r="J166" s="189">
        <v>0</v>
      </c>
      <c r="K166" s="189">
        <v>10022</v>
      </c>
      <c r="L166" s="191">
        <v>10</v>
      </c>
      <c r="M166" s="192">
        <v>46092</v>
      </c>
      <c r="N166" s="193">
        <v>1</v>
      </c>
      <c r="O166" s="194">
        <v>1</v>
      </c>
      <c r="P166" s="195"/>
      <c r="Q166" s="196" t="s">
        <v>38</v>
      </c>
      <c r="R166" s="197">
        <v>1</v>
      </c>
      <c r="S166" s="198" t="s">
        <v>33</v>
      </c>
      <c r="T166" s="199"/>
      <c r="U166" s="200"/>
      <c r="V166" s="200"/>
      <c r="W166" s="200"/>
      <c r="X166" s="200"/>
      <c r="Y166" s="200"/>
      <c r="Z166" s="200"/>
      <c r="AA166" s="200"/>
      <c r="AB166" s="200"/>
      <c r="AC166" s="208"/>
      <c r="AD166" s="11" t="str">
        <f t="shared" si="6"/>
        <v>10</v>
      </c>
      <c r="AF166" t="str">
        <f t="shared" si="7"/>
        <v>80.01.ZZ.010</v>
      </c>
      <c r="AH166" t="str">
        <f t="shared" si="8"/>
        <v>00 de 01</v>
      </c>
    </row>
    <row r="167" spans="1:34" ht="34.5" x14ac:dyDescent="0.25">
      <c r="A167" s="139" t="s">
        <v>116</v>
      </c>
      <c r="B167" s="105" t="s">
        <v>122</v>
      </c>
      <c r="C167" s="63">
        <v>155</v>
      </c>
      <c r="D167" s="197" t="s">
        <v>190</v>
      </c>
      <c r="E167" s="189" t="s">
        <v>1074</v>
      </c>
      <c r="F167" s="190" t="s">
        <v>123</v>
      </c>
      <c r="G167" s="189" t="s">
        <v>204</v>
      </c>
      <c r="H167" s="191">
        <v>50592</v>
      </c>
      <c r="I167" s="189" t="s">
        <v>907</v>
      </c>
      <c r="J167" s="189">
        <v>0</v>
      </c>
      <c r="K167" s="189">
        <v>10023</v>
      </c>
      <c r="L167" s="191">
        <v>10</v>
      </c>
      <c r="M167" s="192">
        <v>46092</v>
      </c>
      <c r="N167" s="193">
        <v>1</v>
      </c>
      <c r="O167" s="194">
        <v>1</v>
      </c>
      <c r="P167" s="195"/>
      <c r="Q167" s="196" t="s">
        <v>38</v>
      </c>
      <c r="R167" s="197">
        <v>1</v>
      </c>
      <c r="S167" s="198" t="s">
        <v>33</v>
      </c>
      <c r="T167" s="199"/>
      <c r="U167" s="200"/>
      <c r="V167" s="200"/>
      <c r="W167" s="200"/>
      <c r="X167" s="200"/>
      <c r="Y167" s="200"/>
      <c r="Z167" s="200"/>
      <c r="AA167" s="200"/>
      <c r="AB167" s="200"/>
      <c r="AC167" s="208"/>
      <c r="AD167" s="11" t="str">
        <f t="shared" si="6"/>
        <v>10</v>
      </c>
      <c r="AF167" t="str">
        <f t="shared" si="7"/>
        <v>80.01.ZZ.010</v>
      </c>
      <c r="AH167" t="str">
        <f t="shared" si="8"/>
        <v>00 de 01</v>
      </c>
    </row>
    <row r="168" spans="1:34" ht="34.5" x14ac:dyDescent="0.25">
      <c r="A168" s="139" t="s">
        <v>116</v>
      </c>
      <c r="B168" s="105" t="s">
        <v>122</v>
      </c>
      <c r="C168" s="63">
        <v>156</v>
      </c>
      <c r="D168" s="197" t="s">
        <v>190</v>
      </c>
      <c r="E168" s="189" t="s">
        <v>1075</v>
      </c>
      <c r="F168" s="190" t="s">
        <v>123</v>
      </c>
      <c r="G168" s="189" t="s">
        <v>204</v>
      </c>
      <c r="H168" s="191">
        <v>50592</v>
      </c>
      <c r="I168" s="189" t="s">
        <v>907</v>
      </c>
      <c r="J168" s="189">
        <v>0</v>
      </c>
      <c r="K168" s="189">
        <v>10023</v>
      </c>
      <c r="L168" s="191">
        <v>10</v>
      </c>
      <c r="M168" s="192">
        <v>46092</v>
      </c>
      <c r="N168" s="193">
        <v>1</v>
      </c>
      <c r="O168" s="194">
        <v>1</v>
      </c>
      <c r="P168" s="195"/>
      <c r="Q168" s="196" t="s">
        <v>38</v>
      </c>
      <c r="R168" s="197">
        <v>1</v>
      </c>
      <c r="S168" s="198" t="s">
        <v>33</v>
      </c>
      <c r="T168" s="199"/>
      <c r="U168" s="200"/>
      <c r="V168" s="200"/>
      <c r="W168" s="200"/>
      <c r="X168" s="200"/>
      <c r="Y168" s="200"/>
      <c r="Z168" s="200"/>
      <c r="AA168" s="200"/>
      <c r="AB168" s="200"/>
      <c r="AC168" s="208"/>
      <c r="AD168" s="11" t="str">
        <f t="shared" si="6"/>
        <v>10</v>
      </c>
      <c r="AF168" t="str">
        <f t="shared" si="7"/>
        <v>80.01.ZZ.010</v>
      </c>
      <c r="AH168" t="str">
        <f t="shared" si="8"/>
        <v>00 de 01</v>
      </c>
    </row>
    <row r="169" spans="1:34" ht="34.5" x14ac:dyDescent="0.25">
      <c r="A169" s="139" t="s">
        <v>116</v>
      </c>
      <c r="B169" s="105" t="s">
        <v>122</v>
      </c>
      <c r="C169" s="63">
        <v>157</v>
      </c>
      <c r="D169" s="197" t="s">
        <v>190</v>
      </c>
      <c r="E169" s="189" t="s">
        <v>1076</v>
      </c>
      <c r="F169" s="190" t="s">
        <v>123</v>
      </c>
      <c r="G169" s="189" t="s">
        <v>204</v>
      </c>
      <c r="H169" s="191">
        <v>50592</v>
      </c>
      <c r="I169" s="189" t="s">
        <v>907</v>
      </c>
      <c r="J169" s="189">
        <v>0</v>
      </c>
      <c r="K169" s="189">
        <v>10024</v>
      </c>
      <c r="L169" s="191">
        <v>10</v>
      </c>
      <c r="M169" s="192">
        <v>46092</v>
      </c>
      <c r="N169" s="193">
        <v>1</v>
      </c>
      <c r="O169" s="194">
        <v>1</v>
      </c>
      <c r="P169" s="195"/>
      <c r="Q169" s="196" t="s">
        <v>38</v>
      </c>
      <c r="R169" s="197">
        <v>1</v>
      </c>
      <c r="S169" s="198" t="s">
        <v>33</v>
      </c>
      <c r="T169" s="199"/>
      <c r="U169" s="200"/>
      <c r="V169" s="200"/>
      <c r="W169" s="200"/>
      <c r="X169" s="200"/>
      <c r="Y169" s="200"/>
      <c r="Z169" s="200"/>
      <c r="AA169" s="200"/>
      <c r="AB169" s="200"/>
      <c r="AC169" s="208"/>
      <c r="AD169" s="11" t="str">
        <f t="shared" si="6"/>
        <v>10</v>
      </c>
      <c r="AF169" t="str">
        <f t="shared" si="7"/>
        <v>80.01.ZZ.010</v>
      </c>
      <c r="AH169" t="str">
        <f t="shared" si="8"/>
        <v>00 de 01</v>
      </c>
    </row>
    <row r="170" spans="1:34" ht="34.5" x14ac:dyDescent="0.25">
      <c r="A170" s="139" t="s">
        <v>116</v>
      </c>
      <c r="B170" s="105" t="s">
        <v>122</v>
      </c>
      <c r="C170" s="63">
        <v>158</v>
      </c>
      <c r="D170" s="197" t="s">
        <v>190</v>
      </c>
      <c r="E170" s="189" t="s">
        <v>1077</v>
      </c>
      <c r="F170" s="190" t="s">
        <v>123</v>
      </c>
      <c r="G170" s="189" t="s">
        <v>204</v>
      </c>
      <c r="H170" s="191">
        <v>50592</v>
      </c>
      <c r="I170" s="189" t="s">
        <v>907</v>
      </c>
      <c r="J170" s="189">
        <v>0</v>
      </c>
      <c r="K170" s="189">
        <v>10024</v>
      </c>
      <c r="L170" s="191">
        <v>10</v>
      </c>
      <c r="M170" s="192">
        <v>46092</v>
      </c>
      <c r="N170" s="193">
        <v>1</v>
      </c>
      <c r="O170" s="194">
        <v>1</v>
      </c>
      <c r="P170" s="195"/>
      <c r="Q170" s="196" t="s">
        <v>38</v>
      </c>
      <c r="R170" s="197">
        <v>1</v>
      </c>
      <c r="S170" s="198" t="s">
        <v>33</v>
      </c>
      <c r="T170" s="199"/>
      <c r="U170" s="200"/>
      <c r="V170" s="200"/>
      <c r="W170" s="200"/>
      <c r="X170" s="200"/>
      <c r="Y170" s="200"/>
      <c r="Z170" s="200"/>
      <c r="AA170" s="200"/>
      <c r="AB170" s="200"/>
      <c r="AC170" s="208"/>
      <c r="AD170" s="11" t="str">
        <f t="shared" si="6"/>
        <v>10</v>
      </c>
      <c r="AF170" t="str">
        <f t="shared" si="7"/>
        <v>80.01.ZZ.010</v>
      </c>
      <c r="AH170" t="str">
        <f t="shared" si="8"/>
        <v>00 de 01</v>
      </c>
    </row>
    <row r="171" spans="1:34" ht="34.5" x14ac:dyDescent="0.25">
      <c r="A171" s="139" t="s">
        <v>116</v>
      </c>
      <c r="B171" s="105" t="s">
        <v>122</v>
      </c>
      <c r="C171" s="63">
        <v>159</v>
      </c>
      <c r="D171" s="197" t="s">
        <v>191</v>
      </c>
      <c r="E171" s="189" t="s">
        <v>207</v>
      </c>
      <c r="F171" s="190" t="s">
        <v>123</v>
      </c>
      <c r="G171" s="189" t="s">
        <v>183</v>
      </c>
      <c r="H171" s="191">
        <v>61792</v>
      </c>
      <c r="I171" s="189" t="s">
        <v>215</v>
      </c>
      <c r="J171" s="189">
        <v>0</v>
      </c>
      <c r="K171" s="189" t="s">
        <v>916</v>
      </c>
      <c r="L171" s="191">
        <v>7</v>
      </c>
      <c r="M171" s="192">
        <v>46092</v>
      </c>
      <c r="N171" s="193">
        <v>1</v>
      </c>
      <c r="O171" s="194">
        <v>1</v>
      </c>
      <c r="P171" s="195"/>
      <c r="Q171" s="196" t="s">
        <v>38</v>
      </c>
      <c r="R171" s="197">
        <v>1</v>
      </c>
      <c r="S171" s="198" t="s">
        <v>33</v>
      </c>
      <c r="T171" s="199"/>
      <c r="U171" s="200"/>
      <c r="V171" s="200"/>
      <c r="W171" s="200"/>
      <c r="X171" s="200"/>
      <c r="Y171" s="200"/>
      <c r="Z171" s="200"/>
      <c r="AA171" s="200"/>
      <c r="AB171" s="200"/>
      <c r="AC171" s="208"/>
      <c r="AD171" s="11" t="str">
        <f t="shared" si="6"/>
        <v>7</v>
      </c>
      <c r="AF171" t="str">
        <f t="shared" si="7"/>
        <v>80.01.ZZ.07</v>
      </c>
      <c r="AH171" t="str">
        <f t="shared" si="8"/>
        <v>00 de 01</v>
      </c>
    </row>
    <row r="172" spans="1:34" ht="34.5" x14ac:dyDescent="0.25">
      <c r="A172" s="139" t="s">
        <v>116</v>
      </c>
      <c r="B172" s="105" t="s">
        <v>122</v>
      </c>
      <c r="C172" s="63">
        <v>160</v>
      </c>
      <c r="D172" s="197" t="s">
        <v>191</v>
      </c>
      <c r="E172" s="189" t="s">
        <v>208</v>
      </c>
      <c r="F172" s="190" t="s">
        <v>123</v>
      </c>
      <c r="G172" s="189" t="s">
        <v>183</v>
      </c>
      <c r="H172" s="191">
        <v>61792</v>
      </c>
      <c r="I172" s="189" t="s">
        <v>215</v>
      </c>
      <c r="J172" s="189">
        <v>0</v>
      </c>
      <c r="K172" s="189" t="s">
        <v>917</v>
      </c>
      <c r="L172" s="191">
        <v>7</v>
      </c>
      <c r="M172" s="192">
        <v>46092</v>
      </c>
      <c r="N172" s="193">
        <v>1</v>
      </c>
      <c r="O172" s="194">
        <v>1</v>
      </c>
      <c r="P172" s="195"/>
      <c r="Q172" s="196" t="s">
        <v>38</v>
      </c>
      <c r="R172" s="197">
        <v>1</v>
      </c>
      <c r="S172" s="198" t="s">
        <v>33</v>
      </c>
      <c r="T172" s="199"/>
      <c r="U172" s="200"/>
      <c r="V172" s="200"/>
      <c r="W172" s="200"/>
      <c r="X172" s="200"/>
      <c r="Y172" s="200"/>
      <c r="Z172" s="200"/>
      <c r="AA172" s="200"/>
      <c r="AB172" s="200"/>
      <c r="AC172" s="208"/>
      <c r="AD172" s="11" t="str">
        <f t="shared" si="6"/>
        <v>7</v>
      </c>
      <c r="AF172" t="str">
        <f t="shared" si="7"/>
        <v>80.01.ZZ.07</v>
      </c>
      <c r="AH172" t="str">
        <f t="shared" si="8"/>
        <v>00 de 01</v>
      </c>
    </row>
    <row r="173" spans="1:34" ht="34.5" x14ac:dyDescent="0.25">
      <c r="A173" s="139" t="s">
        <v>116</v>
      </c>
      <c r="B173" s="105" t="s">
        <v>122</v>
      </c>
      <c r="C173" s="63">
        <v>161</v>
      </c>
      <c r="D173" s="197" t="s">
        <v>191</v>
      </c>
      <c r="E173" s="189" t="s">
        <v>209</v>
      </c>
      <c r="F173" s="190" t="s">
        <v>123</v>
      </c>
      <c r="G173" s="189" t="s">
        <v>183</v>
      </c>
      <c r="H173" s="191">
        <v>61792</v>
      </c>
      <c r="I173" s="189" t="s">
        <v>215</v>
      </c>
      <c r="J173" s="189">
        <v>0</v>
      </c>
      <c r="K173" s="189" t="s">
        <v>918</v>
      </c>
      <c r="L173" s="191">
        <v>7</v>
      </c>
      <c r="M173" s="192">
        <v>46092</v>
      </c>
      <c r="N173" s="193">
        <v>1</v>
      </c>
      <c r="O173" s="194">
        <v>1</v>
      </c>
      <c r="P173" s="195"/>
      <c r="Q173" s="196" t="s">
        <v>38</v>
      </c>
      <c r="R173" s="197">
        <v>1</v>
      </c>
      <c r="S173" s="198" t="s">
        <v>33</v>
      </c>
      <c r="T173" s="199"/>
      <c r="U173" s="200"/>
      <c r="V173" s="200"/>
      <c r="W173" s="200"/>
      <c r="X173" s="200"/>
      <c r="Y173" s="200"/>
      <c r="Z173" s="200"/>
      <c r="AA173" s="200"/>
      <c r="AB173" s="200"/>
      <c r="AC173" s="208"/>
      <c r="AD173" s="11" t="str">
        <f t="shared" si="6"/>
        <v>7</v>
      </c>
      <c r="AF173" t="str">
        <f t="shared" si="7"/>
        <v>80.01.ZZ.07</v>
      </c>
      <c r="AH173" t="str">
        <f t="shared" si="8"/>
        <v>00 de 01</v>
      </c>
    </row>
    <row r="174" spans="1:34" ht="34.5" x14ac:dyDescent="0.25">
      <c r="A174" s="139" t="s">
        <v>116</v>
      </c>
      <c r="B174" s="105" t="s">
        <v>122</v>
      </c>
      <c r="C174" s="63">
        <v>162</v>
      </c>
      <c r="D174" s="197" t="s">
        <v>133</v>
      </c>
      <c r="E174" s="189" t="s">
        <v>1078</v>
      </c>
      <c r="F174" s="190" t="s">
        <v>123</v>
      </c>
      <c r="G174" s="189" t="s">
        <v>204</v>
      </c>
      <c r="H174" s="191">
        <v>61792</v>
      </c>
      <c r="I174" s="189" t="s">
        <v>908</v>
      </c>
      <c r="J174" s="189">
        <v>0</v>
      </c>
      <c r="K174" s="189" t="s">
        <v>919</v>
      </c>
      <c r="L174" s="191">
        <v>10</v>
      </c>
      <c r="M174" s="192">
        <v>46092</v>
      </c>
      <c r="N174" s="193">
        <v>1</v>
      </c>
      <c r="O174" s="194">
        <v>1</v>
      </c>
      <c r="P174" s="195"/>
      <c r="Q174" s="196" t="s">
        <v>38</v>
      </c>
      <c r="R174" s="197">
        <v>1</v>
      </c>
      <c r="S174" s="198" t="s">
        <v>33</v>
      </c>
      <c r="T174" s="199"/>
      <c r="U174" s="200"/>
      <c r="V174" s="200"/>
      <c r="W174" s="200"/>
      <c r="X174" s="200"/>
      <c r="Y174" s="200"/>
      <c r="Z174" s="200"/>
      <c r="AA174" s="200"/>
      <c r="AB174" s="200"/>
      <c r="AC174" s="208"/>
      <c r="AD174" s="11" t="str">
        <f t="shared" si="6"/>
        <v>10</v>
      </c>
      <c r="AF174" t="str">
        <f t="shared" si="7"/>
        <v>80.01.ZZ.010</v>
      </c>
      <c r="AH174" t="str">
        <f t="shared" si="8"/>
        <v>00 de 01</v>
      </c>
    </row>
    <row r="175" spans="1:34" ht="34.5" x14ac:dyDescent="0.25">
      <c r="A175" s="139" t="s">
        <v>116</v>
      </c>
      <c r="B175" s="105" t="s">
        <v>122</v>
      </c>
      <c r="C175" s="63">
        <v>163</v>
      </c>
      <c r="D175" s="197" t="s">
        <v>190</v>
      </c>
      <c r="E175" s="189" t="s">
        <v>1079</v>
      </c>
      <c r="F175" s="190" t="s">
        <v>123</v>
      </c>
      <c r="G175" s="189" t="s">
        <v>204</v>
      </c>
      <c r="H175" s="191">
        <v>61792</v>
      </c>
      <c r="I175" s="189" t="s">
        <v>908</v>
      </c>
      <c r="J175" s="189">
        <v>0</v>
      </c>
      <c r="K175" s="189" t="s">
        <v>919</v>
      </c>
      <c r="L175" s="191">
        <v>10</v>
      </c>
      <c r="M175" s="192">
        <v>46092</v>
      </c>
      <c r="N175" s="193">
        <v>1</v>
      </c>
      <c r="O175" s="194">
        <v>1</v>
      </c>
      <c r="P175" s="195"/>
      <c r="Q175" s="196" t="s">
        <v>38</v>
      </c>
      <c r="R175" s="197">
        <v>1</v>
      </c>
      <c r="S175" s="198" t="s">
        <v>33</v>
      </c>
      <c r="T175" s="199"/>
      <c r="U175" s="200"/>
      <c r="V175" s="200"/>
      <c r="W175" s="200"/>
      <c r="X175" s="200"/>
      <c r="Y175" s="200"/>
      <c r="Z175" s="200"/>
      <c r="AA175" s="200"/>
      <c r="AB175" s="200"/>
      <c r="AC175" s="208"/>
      <c r="AD175" s="11" t="str">
        <f t="shared" si="6"/>
        <v>10</v>
      </c>
      <c r="AF175" t="str">
        <f t="shared" si="7"/>
        <v>80.01.ZZ.010</v>
      </c>
      <c r="AH175" t="str">
        <f t="shared" si="8"/>
        <v>00 de 01</v>
      </c>
    </row>
    <row r="176" spans="1:34" ht="34.5" x14ac:dyDescent="0.25">
      <c r="A176" s="139" t="s">
        <v>116</v>
      </c>
      <c r="B176" s="105" t="s">
        <v>122</v>
      </c>
      <c r="C176" s="63">
        <v>164</v>
      </c>
      <c r="D176" s="197" t="s">
        <v>190</v>
      </c>
      <c r="E176" s="189" t="s">
        <v>1080</v>
      </c>
      <c r="F176" s="190" t="s">
        <v>123</v>
      </c>
      <c r="G176" s="189" t="s">
        <v>204</v>
      </c>
      <c r="H176" s="191">
        <v>61792</v>
      </c>
      <c r="I176" s="189" t="s">
        <v>908</v>
      </c>
      <c r="J176" s="189">
        <v>0</v>
      </c>
      <c r="K176" s="189" t="s">
        <v>919</v>
      </c>
      <c r="L176" s="191">
        <v>10</v>
      </c>
      <c r="M176" s="192">
        <v>46092</v>
      </c>
      <c r="N176" s="193">
        <v>1</v>
      </c>
      <c r="O176" s="194">
        <v>1</v>
      </c>
      <c r="P176" s="195"/>
      <c r="Q176" s="196" t="s">
        <v>38</v>
      </c>
      <c r="R176" s="197">
        <v>1</v>
      </c>
      <c r="S176" s="198" t="s">
        <v>33</v>
      </c>
      <c r="T176" s="199"/>
      <c r="U176" s="200"/>
      <c r="V176" s="200"/>
      <c r="W176" s="200"/>
      <c r="X176" s="200"/>
      <c r="Y176" s="200"/>
      <c r="Z176" s="200"/>
      <c r="AA176" s="200"/>
      <c r="AB176" s="200"/>
      <c r="AC176" s="208"/>
      <c r="AD176" s="11" t="str">
        <f t="shared" si="6"/>
        <v>10</v>
      </c>
      <c r="AF176" t="str">
        <f t="shared" si="7"/>
        <v>80.01.ZZ.010</v>
      </c>
      <c r="AH176" t="str">
        <f t="shared" si="8"/>
        <v>00 de 01</v>
      </c>
    </row>
    <row r="177" spans="1:34" ht="34.5" x14ac:dyDescent="0.25">
      <c r="A177" s="139" t="s">
        <v>116</v>
      </c>
      <c r="B177" s="105" t="s">
        <v>122</v>
      </c>
      <c r="C177" s="63">
        <v>165</v>
      </c>
      <c r="D177" s="197" t="s">
        <v>190</v>
      </c>
      <c r="E177" s="189" t="s">
        <v>1081</v>
      </c>
      <c r="F177" s="190" t="s">
        <v>123</v>
      </c>
      <c r="G177" s="189" t="s">
        <v>204</v>
      </c>
      <c r="H177" s="191">
        <v>61792</v>
      </c>
      <c r="I177" s="189" t="s">
        <v>908</v>
      </c>
      <c r="J177" s="189">
        <v>0</v>
      </c>
      <c r="K177" s="189" t="s">
        <v>919</v>
      </c>
      <c r="L177" s="191">
        <v>10</v>
      </c>
      <c r="M177" s="192">
        <v>46092</v>
      </c>
      <c r="N177" s="193">
        <v>1</v>
      </c>
      <c r="O177" s="194">
        <v>1</v>
      </c>
      <c r="P177" s="195"/>
      <c r="Q177" s="196" t="s">
        <v>38</v>
      </c>
      <c r="R177" s="197">
        <v>1</v>
      </c>
      <c r="S177" s="198" t="s">
        <v>33</v>
      </c>
      <c r="T177" s="199"/>
      <c r="U177" s="200"/>
      <c r="V177" s="200"/>
      <c r="W177" s="200"/>
      <c r="X177" s="200"/>
      <c r="Y177" s="200"/>
      <c r="Z177" s="200"/>
      <c r="AA177" s="200"/>
      <c r="AB177" s="200"/>
      <c r="AC177" s="208"/>
      <c r="AD177" s="11" t="str">
        <f t="shared" si="6"/>
        <v>10</v>
      </c>
      <c r="AF177" t="str">
        <f t="shared" si="7"/>
        <v>80.01.ZZ.010</v>
      </c>
      <c r="AH177" t="str">
        <f t="shared" si="8"/>
        <v>00 de 01</v>
      </c>
    </row>
    <row r="178" spans="1:34" ht="34.5" x14ac:dyDescent="0.25">
      <c r="A178" s="139" t="s">
        <v>116</v>
      </c>
      <c r="B178" s="105" t="s">
        <v>122</v>
      </c>
      <c r="C178" s="63">
        <v>166</v>
      </c>
      <c r="D178" s="197" t="s">
        <v>190</v>
      </c>
      <c r="E178" s="189" t="s">
        <v>1082</v>
      </c>
      <c r="F178" s="190" t="s">
        <v>123</v>
      </c>
      <c r="G178" s="189" t="s">
        <v>204</v>
      </c>
      <c r="H178" s="191">
        <v>61792</v>
      </c>
      <c r="I178" s="189" t="s">
        <v>908</v>
      </c>
      <c r="J178" s="189">
        <v>0</v>
      </c>
      <c r="K178" s="189" t="s">
        <v>919</v>
      </c>
      <c r="L178" s="191">
        <v>10</v>
      </c>
      <c r="M178" s="192">
        <v>46092</v>
      </c>
      <c r="N178" s="193">
        <v>1</v>
      </c>
      <c r="O178" s="194">
        <v>1</v>
      </c>
      <c r="P178" s="195"/>
      <c r="Q178" s="196" t="s">
        <v>38</v>
      </c>
      <c r="R178" s="197">
        <v>1</v>
      </c>
      <c r="S178" s="198" t="s">
        <v>33</v>
      </c>
      <c r="T178" s="199"/>
      <c r="U178" s="200"/>
      <c r="V178" s="200"/>
      <c r="W178" s="200"/>
      <c r="X178" s="200"/>
      <c r="Y178" s="200"/>
      <c r="Z178" s="200"/>
      <c r="AA178" s="200"/>
      <c r="AB178" s="200"/>
      <c r="AC178" s="208"/>
      <c r="AD178" s="11" t="str">
        <f t="shared" si="6"/>
        <v>10</v>
      </c>
      <c r="AF178" t="str">
        <f t="shared" si="7"/>
        <v>80.01.ZZ.010</v>
      </c>
      <c r="AH178" t="str">
        <f t="shared" si="8"/>
        <v>00 de 01</v>
      </c>
    </row>
    <row r="179" spans="1:34" ht="34.5" x14ac:dyDescent="0.25">
      <c r="A179" s="139" t="s">
        <v>116</v>
      </c>
      <c r="B179" s="105" t="s">
        <v>122</v>
      </c>
      <c r="C179" s="63">
        <v>167</v>
      </c>
      <c r="D179" s="197" t="s">
        <v>190</v>
      </c>
      <c r="E179" s="189" t="s">
        <v>1083</v>
      </c>
      <c r="F179" s="190" t="s">
        <v>123</v>
      </c>
      <c r="G179" s="189" t="s">
        <v>204</v>
      </c>
      <c r="H179" s="191">
        <v>61792</v>
      </c>
      <c r="I179" s="189" t="s">
        <v>908</v>
      </c>
      <c r="J179" s="189">
        <v>0</v>
      </c>
      <c r="K179" s="189" t="s">
        <v>919</v>
      </c>
      <c r="L179" s="191">
        <v>10</v>
      </c>
      <c r="M179" s="192">
        <v>46092</v>
      </c>
      <c r="N179" s="193">
        <v>1</v>
      </c>
      <c r="O179" s="194">
        <v>1</v>
      </c>
      <c r="P179" s="195"/>
      <c r="Q179" s="196" t="s">
        <v>38</v>
      </c>
      <c r="R179" s="197">
        <v>1</v>
      </c>
      <c r="S179" s="198" t="s">
        <v>33</v>
      </c>
      <c r="T179" s="199"/>
      <c r="U179" s="200"/>
      <c r="V179" s="200"/>
      <c r="W179" s="200"/>
      <c r="X179" s="200"/>
      <c r="Y179" s="200"/>
      <c r="Z179" s="200"/>
      <c r="AA179" s="200"/>
      <c r="AB179" s="200"/>
      <c r="AC179" s="208"/>
      <c r="AD179" s="11" t="str">
        <f t="shared" si="6"/>
        <v>10</v>
      </c>
      <c r="AF179" t="str">
        <f t="shared" si="7"/>
        <v>80.01.ZZ.010</v>
      </c>
      <c r="AH179" t="str">
        <f t="shared" si="8"/>
        <v>00 de 01</v>
      </c>
    </row>
    <row r="180" spans="1:34" ht="34.5" x14ac:dyDescent="0.25">
      <c r="A180" s="139" t="s">
        <v>116</v>
      </c>
      <c r="B180" s="105" t="s">
        <v>122</v>
      </c>
      <c r="C180" s="63">
        <v>168</v>
      </c>
      <c r="D180" s="197" t="s">
        <v>190</v>
      </c>
      <c r="E180" s="189" t="s">
        <v>1084</v>
      </c>
      <c r="F180" s="190" t="s">
        <v>123</v>
      </c>
      <c r="G180" s="189" t="s">
        <v>204</v>
      </c>
      <c r="H180" s="191">
        <v>61792</v>
      </c>
      <c r="I180" s="189" t="s">
        <v>908</v>
      </c>
      <c r="J180" s="189">
        <v>0</v>
      </c>
      <c r="K180" s="189" t="s">
        <v>919</v>
      </c>
      <c r="L180" s="191">
        <v>10</v>
      </c>
      <c r="M180" s="192">
        <v>46092</v>
      </c>
      <c r="N180" s="193">
        <v>1</v>
      </c>
      <c r="O180" s="194">
        <v>1</v>
      </c>
      <c r="P180" s="195"/>
      <c r="Q180" s="196" t="s">
        <v>38</v>
      </c>
      <c r="R180" s="197">
        <v>1</v>
      </c>
      <c r="S180" s="198" t="s">
        <v>33</v>
      </c>
      <c r="T180" s="199"/>
      <c r="U180" s="200"/>
      <c r="V180" s="200"/>
      <c r="W180" s="200"/>
      <c r="X180" s="200"/>
      <c r="Y180" s="200"/>
      <c r="Z180" s="200"/>
      <c r="AA180" s="200"/>
      <c r="AB180" s="200"/>
      <c r="AC180" s="208"/>
      <c r="AD180" s="11" t="str">
        <f t="shared" si="6"/>
        <v>10</v>
      </c>
      <c r="AF180" t="str">
        <f t="shared" si="7"/>
        <v>80.01.ZZ.010</v>
      </c>
      <c r="AH180" t="str">
        <f t="shared" si="8"/>
        <v>00 de 01</v>
      </c>
    </row>
    <row r="181" spans="1:34" ht="34.5" x14ac:dyDescent="0.25">
      <c r="A181" s="139" t="s">
        <v>116</v>
      </c>
      <c r="B181" s="105" t="s">
        <v>122</v>
      </c>
      <c r="C181" s="63">
        <v>169</v>
      </c>
      <c r="D181" s="197" t="s">
        <v>190</v>
      </c>
      <c r="E181" s="189" t="s">
        <v>1085</v>
      </c>
      <c r="F181" s="190" t="s">
        <v>123</v>
      </c>
      <c r="G181" s="189" t="s">
        <v>204</v>
      </c>
      <c r="H181" s="191">
        <v>61792</v>
      </c>
      <c r="I181" s="189" t="s">
        <v>908</v>
      </c>
      <c r="J181" s="189">
        <v>0</v>
      </c>
      <c r="K181" s="189" t="s">
        <v>919</v>
      </c>
      <c r="L181" s="191">
        <v>10</v>
      </c>
      <c r="M181" s="192">
        <v>46092</v>
      </c>
      <c r="N181" s="193">
        <v>1</v>
      </c>
      <c r="O181" s="194">
        <v>1</v>
      </c>
      <c r="P181" s="195"/>
      <c r="Q181" s="196" t="s">
        <v>38</v>
      </c>
      <c r="R181" s="197">
        <v>1</v>
      </c>
      <c r="S181" s="198" t="s">
        <v>33</v>
      </c>
      <c r="T181" s="199"/>
      <c r="U181" s="200"/>
      <c r="V181" s="200"/>
      <c r="W181" s="200"/>
      <c r="X181" s="200"/>
      <c r="Y181" s="200"/>
      <c r="Z181" s="200"/>
      <c r="AA181" s="200"/>
      <c r="AB181" s="200"/>
      <c r="AC181" s="208"/>
      <c r="AD181" s="11" t="str">
        <f t="shared" si="6"/>
        <v>10</v>
      </c>
      <c r="AF181" t="str">
        <f t="shared" si="7"/>
        <v>80.01.ZZ.010</v>
      </c>
      <c r="AH181" t="str">
        <f t="shared" si="8"/>
        <v>00 de 01</v>
      </c>
    </row>
    <row r="182" spans="1:34" ht="34.5" x14ac:dyDescent="0.25">
      <c r="A182" s="139" t="s">
        <v>116</v>
      </c>
      <c r="B182" s="105" t="s">
        <v>122</v>
      </c>
      <c r="C182" s="63">
        <v>170</v>
      </c>
      <c r="D182" s="197" t="s">
        <v>190</v>
      </c>
      <c r="E182" s="189" t="s">
        <v>1086</v>
      </c>
      <c r="F182" s="190" t="s">
        <v>123</v>
      </c>
      <c r="G182" s="189" t="s">
        <v>204</v>
      </c>
      <c r="H182" s="191">
        <v>61792</v>
      </c>
      <c r="I182" s="189" t="s">
        <v>908</v>
      </c>
      <c r="J182" s="189">
        <v>0</v>
      </c>
      <c r="K182" s="189" t="s">
        <v>919</v>
      </c>
      <c r="L182" s="191">
        <v>10</v>
      </c>
      <c r="M182" s="192">
        <v>46092</v>
      </c>
      <c r="N182" s="193">
        <v>1</v>
      </c>
      <c r="O182" s="194">
        <v>1</v>
      </c>
      <c r="P182" s="195"/>
      <c r="Q182" s="196" t="s">
        <v>38</v>
      </c>
      <c r="R182" s="197">
        <v>1</v>
      </c>
      <c r="S182" s="198" t="s">
        <v>33</v>
      </c>
      <c r="T182" s="199"/>
      <c r="U182" s="200"/>
      <c r="V182" s="200"/>
      <c r="W182" s="200"/>
      <c r="X182" s="200"/>
      <c r="Y182" s="200"/>
      <c r="Z182" s="200"/>
      <c r="AA182" s="200"/>
      <c r="AB182" s="200"/>
      <c r="AC182" s="208"/>
      <c r="AD182" s="11" t="str">
        <f t="shared" si="6"/>
        <v>10</v>
      </c>
      <c r="AF182" t="str">
        <f t="shared" si="7"/>
        <v>80.01.ZZ.010</v>
      </c>
      <c r="AH182" t="str">
        <f t="shared" si="8"/>
        <v>00 de 01</v>
      </c>
    </row>
    <row r="183" spans="1:34" ht="34.5" x14ac:dyDescent="0.25">
      <c r="A183" s="139" t="s">
        <v>116</v>
      </c>
      <c r="B183" s="105" t="s">
        <v>122</v>
      </c>
      <c r="C183" s="63">
        <v>171</v>
      </c>
      <c r="D183" s="197" t="s">
        <v>190</v>
      </c>
      <c r="E183" s="189" t="s">
        <v>1087</v>
      </c>
      <c r="F183" s="190" t="s">
        <v>123</v>
      </c>
      <c r="G183" s="189" t="s">
        <v>204</v>
      </c>
      <c r="H183" s="191">
        <v>61792</v>
      </c>
      <c r="I183" s="189" t="s">
        <v>908</v>
      </c>
      <c r="J183" s="189">
        <v>0</v>
      </c>
      <c r="K183" s="189" t="s">
        <v>919</v>
      </c>
      <c r="L183" s="191">
        <v>10</v>
      </c>
      <c r="M183" s="192">
        <v>46092</v>
      </c>
      <c r="N183" s="193">
        <v>1</v>
      </c>
      <c r="O183" s="194">
        <v>1</v>
      </c>
      <c r="P183" s="195"/>
      <c r="Q183" s="196" t="s">
        <v>38</v>
      </c>
      <c r="R183" s="197">
        <v>1</v>
      </c>
      <c r="S183" s="198" t="s">
        <v>33</v>
      </c>
      <c r="T183" s="199"/>
      <c r="U183" s="200"/>
      <c r="V183" s="200"/>
      <c r="W183" s="200"/>
      <c r="X183" s="200"/>
      <c r="Y183" s="200"/>
      <c r="Z183" s="200"/>
      <c r="AA183" s="200"/>
      <c r="AB183" s="200"/>
      <c r="AC183" s="208"/>
      <c r="AD183" s="11" t="str">
        <f t="shared" si="6"/>
        <v>10</v>
      </c>
      <c r="AF183" t="str">
        <f t="shared" si="7"/>
        <v>80.01.ZZ.010</v>
      </c>
      <c r="AH183" t="str">
        <f t="shared" si="8"/>
        <v>00 de 01</v>
      </c>
    </row>
    <row r="184" spans="1:34" ht="34.5" x14ac:dyDescent="0.25">
      <c r="A184" s="139" t="s">
        <v>116</v>
      </c>
      <c r="B184" s="105" t="s">
        <v>122</v>
      </c>
      <c r="C184" s="63">
        <v>172</v>
      </c>
      <c r="D184" s="197" t="s">
        <v>190</v>
      </c>
      <c r="E184" s="189" t="s">
        <v>1088</v>
      </c>
      <c r="F184" s="190" t="s">
        <v>123</v>
      </c>
      <c r="G184" s="189" t="s">
        <v>204</v>
      </c>
      <c r="H184" s="191">
        <v>61792</v>
      </c>
      <c r="I184" s="189" t="s">
        <v>908</v>
      </c>
      <c r="J184" s="189">
        <v>0</v>
      </c>
      <c r="K184" s="189" t="s">
        <v>919</v>
      </c>
      <c r="L184" s="191">
        <v>10</v>
      </c>
      <c r="M184" s="192">
        <v>46092</v>
      </c>
      <c r="N184" s="193">
        <v>1</v>
      </c>
      <c r="O184" s="194">
        <v>1</v>
      </c>
      <c r="P184" s="195"/>
      <c r="Q184" s="196" t="s">
        <v>38</v>
      </c>
      <c r="R184" s="197">
        <v>1</v>
      </c>
      <c r="S184" s="198" t="s">
        <v>33</v>
      </c>
      <c r="T184" s="199"/>
      <c r="U184" s="200"/>
      <c r="V184" s="200"/>
      <c r="W184" s="200"/>
      <c r="X184" s="200"/>
      <c r="Y184" s="200"/>
      <c r="Z184" s="200"/>
      <c r="AA184" s="200"/>
      <c r="AB184" s="200"/>
      <c r="AC184" s="208"/>
      <c r="AD184" s="11" t="str">
        <f t="shared" si="6"/>
        <v>10</v>
      </c>
      <c r="AF184" t="str">
        <f t="shared" si="7"/>
        <v>80.01.ZZ.010</v>
      </c>
      <c r="AH184" t="str">
        <f t="shared" si="8"/>
        <v>00 de 01</v>
      </c>
    </row>
    <row r="185" spans="1:34" ht="34.5" x14ac:dyDescent="0.25">
      <c r="A185" s="139" t="s">
        <v>116</v>
      </c>
      <c r="B185" s="105" t="s">
        <v>122</v>
      </c>
      <c r="C185" s="63">
        <v>173</v>
      </c>
      <c r="D185" s="197" t="s">
        <v>190</v>
      </c>
      <c r="E185" s="189" t="s">
        <v>1089</v>
      </c>
      <c r="F185" s="190" t="s">
        <v>123</v>
      </c>
      <c r="G185" s="189" t="s">
        <v>204</v>
      </c>
      <c r="H185" s="191">
        <v>61792</v>
      </c>
      <c r="I185" s="189" t="s">
        <v>908</v>
      </c>
      <c r="J185" s="189">
        <v>0</v>
      </c>
      <c r="K185" s="189" t="s">
        <v>919</v>
      </c>
      <c r="L185" s="191">
        <v>10</v>
      </c>
      <c r="M185" s="192">
        <v>46092</v>
      </c>
      <c r="N185" s="193">
        <v>1</v>
      </c>
      <c r="O185" s="194">
        <v>1</v>
      </c>
      <c r="P185" s="195"/>
      <c r="Q185" s="196" t="s">
        <v>38</v>
      </c>
      <c r="R185" s="197">
        <v>1</v>
      </c>
      <c r="S185" s="198" t="s">
        <v>33</v>
      </c>
      <c r="T185" s="199"/>
      <c r="U185" s="200"/>
      <c r="V185" s="200"/>
      <c r="W185" s="200"/>
      <c r="X185" s="200"/>
      <c r="Y185" s="200"/>
      <c r="Z185" s="200"/>
      <c r="AA185" s="200"/>
      <c r="AB185" s="200"/>
      <c r="AC185" s="208"/>
      <c r="AD185" s="11" t="str">
        <f t="shared" si="6"/>
        <v>10</v>
      </c>
      <c r="AF185" t="str">
        <f t="shared" si="7"/>
        <v>80.01.ZZ.010</v>
      </c>
      <c r="AH185" t="str">
        <f t="shared" si="8"/>
        <v>00 de 01</v>
      </c>
    </row>
    <row r="186" spans="1:34" ht="34.5" x14ac:dyDescent="0.25">
      <c r="A186" s="139" t="s">
        <v>116</v>
      </c>
      <c r="B186" s="105" t="s">
        <v>122</v>
      </c>
      <c r="C186" s="63">
        <v>174</v>
      </c>
      <c r="D186" s="197" t="s">
        <v>190</v>
      </c>
      <c r="E186" s="189" t="s">
        <v>1090</v>
      </c>
      <c r="F186" s="190" t="s">
        <v>123</v>
      </c>
      <c r="G186" s="189" t="s">
        <v>204</v>
      </c>
      <c r="H186" s="191">
        <v>61792</v>
      </c>
      <c r="I186" s="189" t="s">
        <v>908</v>
      </c>
      <c r="J186" s="189">
        <v>0</v>
      </c>
      <c r="K186" s="189" t="s">
        <v>919</v>
      </c>
      <c r="L186" s="191">
        <v>10</v>
      </c>
      <c r="M186" s="192">
        <v>46092</v>
      </c>
      <c r="N186" s="193">
        <v>1</v>
      </c>
      <c r="O186" s="194">
        <v>1</v>
      </c>
      <c r="P186" s="195"/>
      <c r="Q186" s="196" t="s">
        <v>38</v>
      </c>
      <c r="R186" s="197">
        <v>1</v>
      </c>
      <c r="S186" s="198" t="s">
        <v>33</v>
      </c>
      <c r="T186" s="199"/>
      <c r="U186" s="200"/>
      <c r="V186" s="200"/>
      <c r="W186" s="200"/>
      <c r="X186" s="200"/>
      <c r="Y186" s="200"/>
      <c r="Z186" s="200"/>
      <c r="AA186" s="200"/>
      <c r="AB186" s="200"/>
      <c r="AC186" s="208"/>
      <c r="AD186" s="11" t="str">
        <f t="shared" si="6"/>
        <v>10</v>
      </c>
      <c r="AF186" t="str">
        <f t="shared" si="7"/>
        <v>80.01.ZZ.010</v>
      </c>
      <c r="AH186" t="str">
        <f t="shared" si="8"/>
        <v>00 de 01</v>
      </c>
    </row>
    <row r="187" spans="1:34" ht="34.5" x14ac:dyDescent="0.25">
      <c r="A187" s="139" t="s">
        <v>116</v>
      </c>
      <c r="B187" s="105" t="s">
        <v>122</v>
      </c>
      <c r="C187" s="63">
        <v>175</v>
      </c>
      <c r="D187" s="197" t="s">
        <v>133</v>
      </c>
      <c r="E187" s="189" t="s">
        <v>1091</v>
      </c>
      <c r="F187" s="190" t="s">
        <v>123</v>
      </c>
      <c r="G187" s="189" t="s">
        <v>204</v>
      </c>
      <c r="H187" s="191">
        <v>61792</v>
      </c>
      <c r="I187" s="189" t="s">
        <v>908</v>
      </c>
      <c r="J187" s="189">
        <v>0</v>
      </c>
      <c r="K187" s="189" t="s">
        <v>920</v>
      </c>
      <c r="L187" s="191">
        <v>10</v>
      </c>
      <c r="M187" s="192">
        <v>46092</v>
      </c>
      <c r="N187" s="193">
        <v>1</v>
      </c>
      <c r="O187" s="194">
        <v>1</v>
      </c>
      <c r="P187" s="195"/>
      <c r="Q187" s="196" t="s">
        <v>38</v>
      </c>
      <c r="R187" s="197">
        <v>1</v>
      </c>
      <c r="S187" s="198" t="s">
        <v>33</v>
      </c>
      <c r="T187" s="199"/>
      <c r="U187" s="200"/>
      <c r="V187" s="200"/>
      <c r="W187" s="200"/>
      <c r="X187" s="200"/>
      <c r="Y187" s="200"/>
      <c r="Z187" s="200"/>
      <c r="AA187" s="200"/>
      <c r="AB187" s="200"/>
      <c r="AC187" s="208"/>
      <c r="AD187" s="11" t="str">
        <f t="shared" si="6"/>
        <v>10</v>
      </c>
      <c r="AF187" t="str">
        <f t="shared" si="7"/>
        <v>80.01.ZZ.010</v>
      </c>
      <c r="AH187" t="str">
        <f t="shared" si="8"/>
        <v>00 de 01</v>
      </c>
    </row>
    <row r="188" spans="1:34" ht="34.5" x14ac:dyDescent="0.25">
      <c r="A188" s="139" t="s">
        <v>116</v>
      </c>
      <c r="B188" s="105" t="s">
        <v>122</v>
      </c>
      <c r="C188" s="63">
        <v>176</v>
      </c>
      <c r="D188" s="197" t="s">
        <v>190</v>
      </c>
      <c r="E188" s="189" t="s">
        <v>1092</v>
      </c>
      <c r="F188" s="190" t="s">
        <v>123</v>
      </c>
      <c r="G188" s="189" t="s">
        <v>204</v>
      </c>
      <c r="H188" s="191">
        <v>61792</v>
      </c>
      <c r="I188" s="189" t="s">
        <v>908</v>
      </c>
      <c r="J188" s="189">
        <v>0</v>
      </c>
      <c r="K188" s="189" t="s">
        <v>920</v>
      </c>
      <c r="L188" s="191">
        <v>10</v>
      </c>
      <c r="M188" s="192">
        <v>46092</v>
      </c>
      <c r="N188" s="193">
        <v>1</v>
      </c>
      <c r="O188" s="194">
        <v>1</v>
      </c>
      <c r="P188" s="195"/>
      <c r="Q188" s="196" t="s">
        <v>38</v>
      </c>
      <c r="R188" s="197">
        <v>1</v>
      </c>
      <c r="S188" s="198" t="s">
        <v>33</v>
      </c>
      <c r="T188" s="199"/>
      <c r="U188" s="200"/>
      <c r="V188" s="200"/>
      <c r="W188" s="200"/>
      <c r="X188" s="200"/>
      <c r="Y188" s="200"/>
      <c r="Z188" s="200"/>
      <c r="AA188" s="200"/>
      <c r="AB188" s="200"/>
      <c r="AC188" s="208"/>
      <c r="AD188" s="11" t="str">
        <f t="shared" si="6"/>
        <v>10</v>
      </c>
      <c r="AF188" t="str">
        <f t="shared" si="7"/>
        <v>80.01.ZZ.010</v>
      </c>
      <c r="AH188" t="str">
        <f t="shared" si="8"/>
        <v>00 de 01</v>
      </c>
    </row>
    <row r="189" spans="1:34" ht="34.5" x14ac:dyDescent="0.25">
      <c r="A189" s="139" t="s">
        <v>116</v>
      </c>
      <c r="B189" s="105" t="s">
        <v>122</v>
      </c>
      <c r="C189" s="63">
        <v>177</v>
      </c>
      <c r="D189" s="197" t="s">
        <v>190</v>
      </c>
      <c r="E189" s="189" t="s">
        <v>1093</v>
      </c>
      <c r="F189" s="190" t="s">
        <v>123</v>
      </c>
      <c r="G189" s="189" t="s">
        <v>204</v>
      </c>
      <c r="H189" s="191">
        <v>61792</v>
      </c>
      <c r="I189" s="189" t="s">
        <v>908</v>
      </c>
      <c r="J189" s="189">
        <v>0</v>
      </c>
      <c r="K189" s="189" t="s">
        <v>920</v>
      </c>
      <c r="L189" s="191">
        <v>10</v>
      </c>
      <c r="M189" s="192">
        <v>46092</v>
      </c>
      <c r="N189" s="193">
        <v>1</v>
      </c>
      <c r="O189" s="194">
        <v>1</v>
      </c>
      <c r="P189" s="195"/>
      <c r="Q189" s="196" t="s">
        <v>38</v>
      </c>
      <c r="R189" s="197">
        <v>1</v>
      </c>
      <c r="S189" s="198" t="s">
        <v>33</v>
      </c>
      <c r="T189" s="199"/>
      <c r="U189" s="200"/>
      <c r="V189" s="200"/>
      <c r="W189" s="200"/>
      <c r="X189" s="200"/>
      <c r="Y189" s="200"/>
      <c r="Z189" s="200"/>
      <c r="AA189" s="200"/>
      <c r="AB189" s="200"/>
      <c r="AC189" s="208"/>
      <c r="AD189" s="11" t="str">
        <f t="shared" si="6"/>
        <v>10</v>
      </c>
      <c r="AF189" t="str">
        <f t="shared" si="7"/>
        <v>80.01.ZZ.010</v>
      </c>
      <c r="AH189" t="str">
        <f t="shared" si="8"/>
        <v>00 de 01</v>
      </c>
    </row>
    <row r="190" spans="1:34" ht="34.5" x14ac:dyDescent="0.25">
      <c r="A190" s="139" t="s">
        <v>116</v>
      </c>
      <c r="B190" s="105" t="s">
        <v>122</v>
      </c>
      <c r="C190" s="63">
        <v>178</v>
      </c>
      <c r="D190" s="197" t="s">
        <v>190</v>
      </c>
      <c r="E190" s="189" t="s">
        <v>1094</v>
      </c>
      <c r="F190" s="190" t="s">
        <v>123</v>
      </c>
      <c r="G190" s="189" t="s">
        <v>204</v>
      </c>
      <c r="H190" s="191">
        <v>61792</v>
      </c>
      <c r="I190" s="189" t="s">
        <v>908</v>
      </c>
      <c r="J190" s="189">
        <v>0</v>
      </c>
      <c r="K190" s="189" t="s">
        <v>920</v>
      </c>
      <c r="L190" s="191">
        <v>10</v>
      </c>
      <c r="M190" s="192">
        <v>46092</v>
      </c>
      <c r="N190" s="193">
        <v>1</v>
      </c>
      <c r="O190" s="194">
        <v>1</v>
      </c>
      <c r="P190" s="195"/>
      <c r="Q190" s="196" t="s">
        <v>38</v>
      </c>
      <c r="R190" s="197">
        <v>1</v>
      </c>
      <c r="S190" s="198" t="s">
        <v>33</v>
      </c>
      <c r="T190" s="199"/>
      <c r="U190" s="200"/>
      <c r="V190" s="200"/>
      <c r="W190" s="200"/>
      <c r="X190" s="200"/>
      <c r="Y190" s="200"/>
      <c r="Z190" s="200"/>
      <c r="AA190" s="200"/>
      <c r="AB190" s="200"/>
      <c r="AC190" s="208"/>
      <c r="AD190" s="11" t="str">
        <f t="shared" si="6"/>
        <v>10</v>
      </c>
      <c r="AF190" t="str">
        <f t="shared" si="7"/>
        <v>80.01.ZZ.010</v>
      </c>
      <c r="AH190" t="str">
        <f t="shared" si="8"/>
        <v>00 de 01</v>
      </c>
    </row>
    <row r="191" spans="1:34" ht="34.5" x14ac:dyDescent="0.25">
      <c r="A191" s="139" t="s">
        <v>116</v>
      </c>
      <c r="B191" s="105" t="s">
        <v>122</v>
      </c>
      <c r="C191" s="63">
        <v>179</v>
      </c>
      <c r="D191" s="197" t="s">
        <v>190</v>
      </c>
      <c r="E191" s="189" t="s">
        <v>1095</v>
      </c>
      <c r="F191" s="190" t="s">
        <v>123</v>
      </c>
      <c r="G191" s="189" t="s">
        <v>204</v>
      </c>
      <c r="H191" s="191">
        <v>61792</v>
      </c>
      <c r="I191" s="189" t="s">
        <v>908</v>
      </c>
      <c r="J191" s="189">
        <v>0</v>
      </c>
      <c r="K191" s="189" t="s">
        <v>920</v>
      </c>
      <c r="L191" s="191">
        <v>10</v>
      </c>
      <c r="M191" s="192">
        <v>46092</v>
      </c>
      <c r="N191" s="193">
        <v>1</v>
      </c>
      <c r="O191" s="194">
        <v>1</v>
      </c>
      <c r="P191" s="195"/>
      <c r="Q191" s="196" t="s">
        <v>38</v>
      </c>
      <c r="R191" s="197">
        <v>1</v>
      </c>
      <c r="S191" s="198" t="s">
        <v>33</v>
      </c>
      <c r="T191" s="199"/>
      <c r="U191" s="200"/>
      <c r="V191" s="200"/>
      <c r="W191" s="200"/>
      <c r="X191" s="200"/>
      <c r="Y191" s="200"/>
      <c r="Z191" s="200"/>
      <c r="AA191" s="200"/>
      <c r="AB191" s="200"/>
      <c r="AC191" s="208"/>
      <c r="AD191" s="11" t="str">
        <f t="shared" si="6"/>
        <v>10</v>
      </c>
      <c r="AF191" t="str">
        <f t="shared" si="7"/>
        <v>80.01.ZZ.010</v>
      </c>
      <c r="AH191" t="str">
        <f t="shared" si="8"/>
        <v>00 de 01</v>
      </c>
    </row>
    <row r="192" spans="1:34" ht="34.5" x14ac:dyDescent="0.25">
      <c r="A192" s="139" t="s">
        <v>116</v>
      </c>
      <c r="B192" s="105" t="s">
        <v>122</v>
      </c>
      <c r="C192" s="63">
        <v>180</v>
      </c>
      <c r="D192" s="197" t="s">
        <v>190</v>
      </c>
      <c r="E192" s="189" t="s">
        <v>1096</v>
      </c>
      <c r="F192" s="190" t="s">
        <v>123</v>
      </c>
      <c r="G192" s="189" t="s">
        <v>204</v>
      </c>
      <c r="H192" s="191">
        <v>61792</v>
      </c>
      <c r="I192" s="189" t="s">
        <v>908</v>
      </c>
      <c r="J192" s="189">
        <v>0</v>
      </c>
      <c r="K192" s="189" t="s">
        <v>920</v>
      </c>
      <c r="L192" s="191">
        <v>10</v>
      </c>
      <c r="M192" s="192">
        <v>46092</v>
      </c>
      <c r="N192" s="193">
        <v>1</v>
      </c>
      <c r="O192" s="194">
        <v>1</v>
      </c>
      <c r="P192" s="195"/>
      <c r="Q192" s="196" t="s">
        <v>38</v>
      </c>
      <c r="R192" s="197">
        <v>1</v>
      </c>
      <c r="S192" s="198" t="s">
        <v>33</v>
      </c>
      <c r="T192" s="199"/>
      <c r="U192" s="200"/>
      <c r="V192" s="200"/>
      <c r="W192" s="200"/>
      <c r="X192" s="200"/>
      <c r="Y192" s="200"/>
      <c r="Z192" s="200"/>
      <c r="AA192" s="200"/>
      <c r="AB192" s="200"/>
      <c r="AC192" s="208"/>
      <c r="AD192" s="11" t="str">
        <f t="shared" si="6"/>
        <v>10</v>
      </c>
      <c r="AF192" t="str">
        <f t="shared" si="7"/>
        <v>80.01.ZZ.010</v>
      </c>
      <c r="AH192" t="str">
        <f t="shared" si="8"/>
        <v>00 de 01</v>
      </c>
    </row>
    <row r="193" spans="1:34" ht="34.5" x14ac:dyDescent="0.25">
      <c r="A193" s="139" t="s">
        <v>116</v>
      </c>
      <c r="B193" s="105" t="s">
        <v>122</v>
      </c>
      <c r="C193" s="63">
        <v>181</v>
      </c>
      <c r="D193" s="197" t="s">
        <v>190</v>
      </c>
      <c r="E193" s="189" t="s">
        <v>1097</v>
      </c>
      <c r="F193" s="190" t="s">
        <v>123</v>
      </c>
      <c r="G193" s="189" t="s">
        <v>204</v>
      </c>
      <c r="H193" s="191">
        <v>61792</v>
      </c>
      <c r="I193" s="189" t="s">
        <v>908</v>
      </c>
      <c r="J193" s="189">
        <v>0</v>
      </c>
      <c r="K193" s="189" t="s">
        <v>920</v>
      </c>
      <c r="L193" s="191">
        <v>10</v>
      </c>
      <c r="M193" s="192">
        <v>46092</v>
      </c>
      <c r="N193" s="193">
        <v>1</v>
      </c>
      <c r="O193" s="194">
        <v>1</v>
      </c>
      <c r="P193" s="195"/>
      <c r="Q193" s="196" t="s">
        <v>38</v>
      </c>
      <c r="R193" s="197">
        <v>1</v>
      </c>
      <c r="S193" s="198" t="s">
        <v>33</v>
      </c>
      <c r="T193" s="199"/>
      <c r="U193" s="200"/>
      <c r="V193" s="200"/>
      <c r="W193" s="200"/>
      <c r="X193" s="200"/>
      <c r="Y193" s="200"/>
      <c r="Z193" s="200"/>
      <c r="AA193" s="200"/>
      <c r="AB193" s="200"/>
      <c r="AC193" s="208"/>
      <c r="AD193" s="11" t="str">
        <f t="shared" si="6"/>
        <v>10</v>
      </c>
      <c r="AF193" t="str">
        <f t="shared" si="7"/>
        <v>80.01.ZZ.010</v>
      </c>
      <c r="AH193" t="str">
        <f t="shared" si="8"/>
        <v>00 de 01</v>
      </c>
    </row>
    <row r="194" spans="1:34" ht="34.5" x14ac:dyDescent="0.25">
      <c r="A194" s="139" t="s">
        <v>116</v>
      </c>
      <c r="B194" s="105" t="s">
        <v>122</v>
      </c>
      <c r="C194" s="63">
        <v>182</v>
      </c>
      <c r="D194" s="197" t="s">
        <v>190</v>
      </c>
      <c r="E194" s="189" t="s">
        <v>1098</v>
      </c>
      <c r="F194" s="190" t="s">
        <v>123</v>
      </c>
      <c r="G194" s="189" t="s">
        <v>204</v>
      </c>
      <c r="H194" s="191">
        <v>61792</v>
      </c>
      <c r="I194" s="189" t="s">
        <v>908</v>
      </c>
      <c r="J194" s="189">
        <v>0</v>
      </c>
      <c r="K194" s="189" t="s">
        <v>920</v>
      </c>
      <c r="L194" s="191">
        <v>10</v>
      </c>
      <c r="M194" s="192">
        <v>46092</v>
      </c>
      <c r="N194" s="193">
        <v>1</v>
      </c>
      <c r="O194" s="194">
        <v>1</v>
      </c>
      <c r="P194" s="195"/>
      <c r="Q194" s="196" t="s">
        <v>38</v>
      </c>
      <c r="R194" s="197">
        <v>1</v>
      </c>
      <c r="S194" s="198" t="s">
        <v>33</v>
      </c>
      <c r="T194" s="199"/>
      <c r="U194" s="200"/>
      <c r="V194" s="200"/>
      <c r="W194" s="200"/>
      <c r="X194" s="200"/>
      <c r="Y194" s="200"/>
      <c r="Z194" s="200"/>
      <c r="AA194" s="200"/>
      <c r="AB194" s="200"/>
      <c r="AC194" s="208"/>
      <c r="AD194" s="11" t="str">
        <f t="shared" si="6"/>
        <v>10</v>
      </c>
      <c r="AF194" t="str">
        <f t="shared" si="7"/>
        <v>80.01.ZZ.010</v>
      </c>
      <c r="AH194" t="str">
        <f t="shared" si="8"/>
        <v>00 de 01</v>
      </c>
    </row>
    <row r="195" spans="1:34" ht="34.5" x14ac:dyDescent="0.25">
      <c r="A195" s="139" t="s">
        <v>116</v>
      </c>
      <c r="B195" s="105" t="s">
        <v>122</v>
      </c>
      <c r="C195" s="63">
        <v>183</v>
      </c>
      <c r="D195" s="197" t="s">
        <v>190</v>
      </c>
      <c r="E195" s="189" t="s">
        <v>1099</v>
      </c>
      <c r="F195" s="190" t="s">
        <v>123</v>
      </c>
      <c r="G195" s="189" t="s">
        <v>204</v>
      </c>
      <c r="H195" s="191">
        <v>61792</v>
      </c>
      <c r="I195" s="189" t="s">
        <v>908</v>
      </c>
      <c r="J195" s="189">
        <v>0</v>
      </c>
      <c r="K195" s="189" t="s">
        <v>920</v>
      </c>
      <c r="L195" s="191">
        <v>10</v>
      </c>
      <c r="M195" s="192">
        <v>46092</v>
      </c>
      <c r="N195" s="193">
        <v>1</v>
      </c>
      <c r="O195" s="194">
        <v>1</v>
      </c>
      <c r="P195" s="195"/>
      <c r="Q195" s="196" t="s">
        <v>38</v>
      </c>
      <c r="R195" s="197">
        <v>1</v>
      </c>
      <c r="S195" s="198" t="s">
        <v>33</v>
      </c>
      <c r="T195" s="199"/>
      <c r="U195" s="200"/>
      <c r="V195" s="200"/>
      <c r="W195" s="200"/>
      <c r="X195" s="200"/>
      <c r="Y195" s="200"/>
      <c r="Z195" s="200"/>
      <c r="AA195" s="200"/>
      <c r="AB195" s="200"/>
      <c r="AC195" s="208"/>
      <c r="AD195" s="11" t="str">
        <f t="shared" si="6"/>
        <v>10</v>
      </c>
      <c r="AF195" t="str">
        <f t="shared" si="7"/>
        <v>80.01.ZZ.010</v>
      </c>
      <c r="AH195" t="str">
        <f t="shared" si="8"/>
        <v>00 de 01</v>
      </c>
    </row>
    <row r="196" spans="1:34" ht="34.5" x14ac:dyDescent="0.25">
      <c r="A196" s="139" t="s">
        <v>116</v>
      </c>
      <c r="B196" s="105" t="s">
        <v>122</v>
      </c>
      <c r="C196" s="63">
        <v>184</v>
      </c>
      <c r="D196" s="197" t="s">
        <v>190</v>
      </c>
      <c r="E196" s="189" t="s">
        <v>1100</v>
      </c>
      <c r="F196" s="190" t="s">
        <v>123</v>
      </c>
      <c r="G196" s="189" t="s">
        <v>204</v>
      </c>
      <c r="H196" s="191">
        <v>61792</v>
      </c>
      <c r="I196" s="189" t="s">
        <v>908</v>
      </c>
      <c r="J196" s="189">
        <v>0</v>
      </c>
      <c r="K196" s="189" t="s">
        <v>920</v>
      </c>
      <c r="L196" s="191">
        <v>10</v>
      </c>
      <c r="M196" s="192">
        <v>46092</v>
      </c>
      <c r="N196" s="193">
        <v>1</v>
      </c>
      <c r="O196" s="194">
        <v>1</v>
      </c>
      <c r="P196" s="195"/>
      <c r="Q196" s="196" t="s">
        <v>38</v>
      </c>
      <c r="R196" s="197">
        <v>1</v>
      </c>
      <c r="S196" s="198" t="s">
        <v>33</v>
      </c>
      <c r="T196" s="199"/>
      <c r="U196" s="200"/>
      <c r="V196" s="200"/>
      <c r="W196" s="200"/>
      <c r="X196" s="200"/>
      <c r="Y196" s="200"/>
      <c r="Z196" s="200"/>
      <c r="AA196" s="200"/>
      <c r="AB196" s="200"/>
      <c r="AC196" s="208"/>
      <c r="AD196" s="11" t="str">
        <f t="shared" si="6"/>
        <v>10</v>
      </c>
      <c r="AF196" t="str">
        <f t="shared" si="7"/>
        <v>80.01.ZZ.010</v>
      </c>
      <c r="AH196" t="str">
        <f t="shared" si="8"/>
        <v>00 de 01</v>
      </c>
    </row>
    <row r="197" spans="1:34" ht="34.5" x14ac:dyDescent="0.25">
      <c r="A197" s="139" t="s">
        <v>116</v>
      </c>
      <c r="B197" s="105" t="s">
        <v>122</v>
      </c>
      <c r="C197" s="63">
        <v>185</v>
      </c>
      <c r="D197" s="197" t="s">
        <v>190</v>
      </c>
      <c r="E197" s="189" t="s">
        <v>1101</v>
      </c>
      <c r="F197" s="190" t="s">
        <v>123</v>
      </c>
      <c r="G197" s="189" t="s">
        <v>204</v>
      </c>
      <c r="H197" s="191">
        <v>61792</v>
      </c>
      <c r="I197" s="189" t="s">
        <v>908</v>
      </c>
      <c r="J197" s="189">
        <v>0</v>
      </c>
      <c r="K197" s="189" t="s">
        <v>920</v>
      </c>
      <c r="L197" s="191">
        <v>10</v>
      </c>
      <c r="M197" s="192">
        <v>46092</v>
      </c>
      <c r="N197" s="193">
        <v>1</v>
      </c>
      <c r="O197" s="194">
        <v>1</v>
      </c>
      <c r="P197" s="195"/>
      <c r="Q197" s="196" t="s">
        <v>38</v>
      </c>
      <c r="R197" s="197">
        <v>1</v>
      </c>
      <c r="S197" s="198" t="s">
        <v>33</v>
      </c>
      <c r="T197" s="199"/>
      <c r="U197" s="200"/>
      <c r="V197" s="200"/>
      <c r="W197" s="200"/>
      <c r="X197" s="200"/>
      <c r="Y197" s="200"/>
      <c r="Z197" s="200"/>
      <c r="AA197" s="200"/>
      <c r="AB197" s="200"/>
      <c r="AC197" s="208"/>
      <c r="AD197" s="11" t="str">
        <f t="shared" si="6"/>
        <v>10</v>
      </c>
      <c r="AF197" t="str">
        <f t="shared" si="7"/>
        <v>80.01.ZZ.010</v>
      </c>
      <c r="AH197" t="str">
        <f t="shared" si="8"/>
        <v>00 de 01</v>
      </c>
    </row>
    <row r="198" spans="1:34" ht="34.5" x14ac:dyDescent="0.25">
      <c r="A198" s="139" t="s">
        <v>116</v>
      </c>
      <c r="B198" s="105" t="s">
        <v>122</v>
      </c>
      <c r="C198" s="63">
        <v>186</v>
      </c>
      <c r="D198" s="197" t="s">
        <v>190</v>
      </c>
      <c r="E198" s="189" t="s">
        <v>1102</v>
      </c>
      <c r="F198" s="190" t="s">
        <v>123</v>
      </c>
      <c r="G198" s="189" t="s">
        <v>204</v>
      </c>
      <c r="H198" s="191">
        <v>61792</v>
      </c>
      <c r="I198" s="189" t="s">
        <v>908</v>
      </c>
      <c r="J198" s="189">
        <v>0</v>
      </c>
      <c r="K198" s="189" t="s">
        <v>920</v>
      </c>
      <c r="L198" s="191">
        <v>10</v>
      </c>
      <c r="M198" s="192">
        <v>46092</v>
      </c>
      <c r="N198" s="193">
        <v>1</v>
      </c>
      <c r="O198" s="194">
        <v>1</v>
      </c>
      <c r="P198" s="195"/>
      <c r="Q198" s="196" t="s">
        <v>38</v>
      </c>
      <c r="R198" s="197">
        <v>1</v>
      </c>
      <c r="S198" s="198" t="s">
        <v>33</v>
      </c>
      <c r="T198" s="199"/>
      <c r="U198" s="200"/>
      <c r="V198" s="200"/>
      <c r="W198" s="200"/>
      <c r="X198" s="200"/>
      <c r="Y198" s="200"/>
      <c r="Z198" s="200"/>
      <c r="AA198" s="200"/>
      <c r="AB198" s="200"/>
      <c r="AC198" s="208"/>
      <c r="AD198" s="11" t="str">
        <f t="shared" si="6"/>
        <v>10</v>
      </c>
      <c r="AF198" t="str">
        <f t="shared" si="7"/>
        <v>80.01.ZZ.010</v>
      </c>
      <c r="AH198" t="str">
        <f t="shared" si="8"/>
        <v>00 de 01</v>
      </c>
    </row>
    <row r="199" spans="1:34" ht="34.5" x14ac:dyDescent="0.25">
      <c r="A199" s="139" t="s">
        <v>116</v>
      </c>
      <c r="B199" s="105" t="s">
        <v>122</v>
      </c>
      <c r="C199" s="63">
        <v>187</v>
      </c>
      <c r="D199" s="197" t="s">
        <v>190</v>
      </c>
      <c r="E199" s="189" t="s">
        <v>1103</v>
      </c>
      <c r="F199" s="190" t="s">
        <v>123</v>
      </c>
      <c r="G199" s="189" t="s">
        <v>204</v>
      </c>
      <c r="H199" s="191">
        <v>61792</v>
      </c>
      <c r="I199" s="189" t="s">
        <v>908</v>
      </c>
      <c r="J199" s="189">
        <v>0</v>
      </c>
      <c r="K199" s="189" t="s">
        <v>920</v>
      </c>
      <c r="L199" s="191">
        <v>10</v>
      </c>
      <c r="M199" s="192">
        <v>46092</v>
      </c>
      <c r="N199" s="193">
        <v>1</v>
      </c>
      <c r="O199" s="194">
        <v>1</v>
      </c>
      <c r="P199" s="195"/>
      <c r="Q199" s="196" t="s">
        <v>38</v>
      </c>
      <c r="R199" s="197">
        <v>1</v>
      </c>
      <c r="S199" s="198" t="s">
        <v>33</v>
      </c>
      <c r="T199" s="199"/>
      <c r="U199" s="200"/>
      <c r="V199" s="200"/>
      <c r="W199" s="200"/>
      <c r="X199" s="200"/>
      <c r="Y199" s="200"/>
      <c r="Z199" s="200"/>
      <c r="AA199" s="200"/>
      <c r="AB199" s="200"/>
      <c r="AC199" s="208"/>
      <c r="AD199" s="11" t="str">
        <f t="shared" si="6"/>
        <v>10</v>
      </c>
      <c r="AF199" t="str">
        <f t="shared" si="7"/>
        <v>80.01.ZZ.010</v>
      </c>
      <c r="AH199" t="str">
        <f t="shared" si="8"/>
        <v>00 de 01</v>
      </c>
    </row>
    <row r="200" spans="1:34" ht="34.5" x14ac:dyDescent="0.25">
      <c r="A200" s="139" t="s">
        <v>116</v>
      </c>
      <c r="B200" s="105" t="s">
        <v>122</v>
      </c>
      <c r="C200" s="63">
        <v>188</v>
      </c>
      <c r="D200" s="197" t="s">
        <v>190</v>
      </c>
      <c r="E200" s="189" t="s">
        <v>1104</v>
      </c>
      <c r="F200" s="190" t="s">
        <v>123</v>
      </c>
      <c r="G200" s="189" t="s">
        <v>204</v>
      </c>
      <c r="H200" s="191">
        <v>61792</v>
      </c>
      <c r="I200" s="189" t="s">
        <v>908</v>
      </c>
      <c r="J200" s="189">
        <v>0</v>
      </c>
      <c r="K200" s="189" t="s">
        <v>920</v>
      </c>
      <c r="L200" s="191">
        <v>10</v>
      </c>
      <c r="M200" s="192">
        <v>46092</v>
      </c>
      <c r="N200" s="193">
        <v>1</v>
      </c>
      <c r="O200" s="194">
        <v>1</v>
      </c>
      <c r="P200" s="195"/>
      <c r="Q200" s="196" t="s">
        <v>38</v>
      </c>
      <c r="R200" s="197">
        <v>1</v>
      </c>
      <c r="S200" s="198" t="s">
        <v>33</v>
      </c>
      <c r="T200" s="199"/>
      <c r="U200" s="200"/>
      <c r="V200" s="200"/>
      <c r="W200" s="200"/>
      <c r="X200" s="200"/>
      <c r="Y200" s="200"/>
      <c r="Z200" s="200"/>
      <c r="AA200" s="200"/>
      <c r="AB200" s="200"/>
      <c r="AC200" s="208"/>
      <c r="AD200" s="11" t="str">
        <f t="shared" si="6"/>
        <v>10</v>
      </c>
      <c r="AF200" t="str">
        <f t="shared" si="7"/>
        <v>80.01.ZZ.010</v>
      </c>
      <c r="AH200" t="str">
        <f t="shared" si="8"/>
        <v>00 de 01</v>
      </c>
    </row>
    <row r="201" spans="1:34" ht="34.5" x14ac:dyDescent="0.25">
      <c r="A201" s="139" t="s">
        <v>116</v>
      </c>
      <c r="B201" s="105" t="s">
        <v>122</v>
      </c>
      <c r="C201" s="63">
        <v>189</v>
      </c>
      <c r="D201" s="197" t="s">
        <v>190</v>
      </c>
      <c r="E201" s="189" t="s">
        <v>1105</v>
      </c>
      <c r="F201" s="190" t="s">
        <v>123</v>
      </c>
      <c r="G201" s="189" t="s">
        <v>204</v>
      </c>
      <c r="H201" s="191">
        <v>61792</v>
      </c>
      <c r="I201" s="189" t="s">
        <v>908</v>
      </c>
      <c r="J201" s="189">
        <v>0</v>
      </c>
      <c r="K201" s="189" t="s">
        <v>920</v>
      </c>
      <c r="L201" s="191">
        <v>10</v>
      </c>
      <c r="M201" s="192">
        <v>46092</v>
      </c>
      <c r="N201" s="193">
        <v>1</v>
      </c>
      <c r="O201" s="194">
        <v>1</v>
      </c>
      <c r="P201" s="195"/>
      <c r="Q201" s="196" t="s">
        <v>38</v>
      </c>
      <c r="R201" s="197">
        <v>1</v>
      </c>
      <c r="S201" s="198" t="s">
        <v>33</v>
      </c>
      <c r="T201" s="199"/>
      <c r="U201" s="200"/>
      <c r="V201" s="200"/>
      <c r="W201" s="200"/>
      <c r="X201" s="200"/>
      <c r="Y201" s="200"/>
      <c r="Z201" s="200"/>
      <c r="AA201" s="200"/>
      <c r="AB201" s="200"/>
      <c r="AC201" s="208"/>
      <c r="AD201" s="11" t="str">
        <f t="shared" si="6"/>
        <v>10</v>
      </c>
      <c r="AF201" t="str">
        <f t="shared" si="7"/>
        <v>80.01.ZZ.010</v>
      </c>
      <c r="AH201" t="str">
        <f t="shared" si="8"/>
        <v>00 de 01</v>
      </c>
    </row>
    <row r="202" spans="1:34" ht="34.5" x14ac:dyDescent="0.25">
      <c r="A202" s="139" t="s">
        <v>116</v>
      </c>
      <c r="B202" s="105" t="s">
        <v>122</v>
      </c>
      <c r="C202" s="63">
        <v>190</v>
      </c>
      <c r="D202" s="197" t="s">
        <v>133</v>
      </c>
      <c r="E202" s="189" t="s">
        <v>1106</v>
      </c>
      <c r="F202" s="190" t="s">
        <v>123</v>
      </c>
      <c r="G202" s="189" t="s">
        <v>204</v>
      </c>
      <c r="H202" s="191">
        <v>61792</v>
      </c>
      <c r="I202" s="189" t="s">
        <v>908</v>
      </c>
      <c r="J202" s="189">
        <v>0</v>
      </c>
      <c r="K202" s="189" t="s">
        <v>921</v>
      </c>
      <c r="L202" s="191">
        <v>10</v>
      </c>
      <c r="M202" s="192">
        <v>46092</v>
      </c>
      <c r="N202" s="193">
        <v>1</v>
      </c>
      <c r="O202" s="194">
        <v>1</v>
      </c>
      <c r="P202" s="195"/>
      <c r="Q202" s="196" t="s">
        <v>38</v>
      </c>
      <c r="R202" s="197">
        <v>1</v>
      </c>
      <c r="S202" s="198" t="s">
        <v>33</v>
      </c>
      <c r="T202" s="199"/>
      <c r="U202" s="200"/>
      <c r="V202" s="200"/>
      <c r="W202" s="200"/>
      <c r="X202" s="200"/>
      <c r="Y202" s="200"/>
      <c r="Z202" s="200"/>
      <c r="AA202" s="200"/>
      <c r="AB202" s="200"/>
      <c r="AC202" s="208"/>
      <c r="AD202" s="11" t="str">
        <f t="shared" si="6"/>
        <v>10</v>
      </c>
      <c r="AF202" t="str">
        <f t="shared" si="7"/>
        <v>80.01.ZZ.010</v>
      </c>
      <c r="AH202" t="str">
        <f t="shared" si="8"/>
        <v>00 de 01</v>
      </c>
    </row>
    <row r="203" spans="1:34" ht="34.5" x14ac:dyDescent="0.25">
      <c r="A203" s="139" t="s">
        <v>116</v>
      </c>
      <c r="B203" s="105" t="s">
        <v>122</v>
      </c>
      <c r="C203" s="63">
        <v>191</v>
      </c>
      <c r="D203" s="197" t="s">
        <v>190</v>
      </c>
      <c r="E203" s="189" t="s">
        <v>1107</v>
      </c>
      <c r="F203" s="190" t="s">
        <v>123</v>
      </c>
      <c r="G203" s="189" t="s">
        <v>204</v>
      </c>
      <c r="H203" s="191">
        <v>61792</v>
      </c>
      <c r="I203" s="189" t="s">
        <v>908</v>
      </c>
      <c r="J203" s="189">
        <v>0</v>
      </c>
      <c r="K203" s="189" t="s">
        <v>921</v>
      </c>
      <c r="L203" s="191">
        <v>10</v>
      </c>
      <c r="M203" s="192">
        <v>46092</v>
      </c>
      <c r="N203" s="193">
        <v>1</v>
      </c>
      <c r="O203" s="194">
        <v>1</v>
      </c>
      <c r="P203" s="195"/>
      <c r="Q203" s="196" t="s">
        <v>38</v>
      </c>
      <c r="R203" s="197">
        <v>1</v>
      </c>
      <c r="S203" s="198" t="s">
        <v>33</v>
      </c>
      <c r="T203" s="199"/>
      <c r="U203" s="200"/>
      <c r="V203" s="200"/>
      <c r="W203" s="200"/>
      <c r="X203" s="200"/>
      <c r="Y203" s="200"/>
      <c r="Z203" s="200"/>
      <c r="AA203" s="200"/>
      <c r="AB203" s="200"/>
      <c r="AC203" s="208"/>
      <c r="AD203" s="11" t="str">
        <f t="shared" si="6"/>
        <v>10</v>
      </c>
      <c r="AF203" t="str">
        <f t="shared" si="7"/>
        <v>80.01.ZZ.010</v>
      </c>
      <c r="AH203" t="str">
        <f t="shared" si="8"/>
        <v>00 de 01</v>
      </c>
    </row>
    <row r="204" spans="1:34" ht="34.5" x14ac:dyDescent="0.25">
      <c r="A204" s="139" t="s">
        <v>116</v>
      </c>
      <c r="B204" s="105" t="s">
        <v>122</v>
      </c>
      <c r="C204" s="63">
        <v>192</v>
      </c>
      <c r="D204" s="197" t="s">
        <v>190</v>
      </c>
      <c r="E204" s="189" t="s">
        <v>1108</v>
      </c>
      <c r="F204" s="190" t="s">
        <v>123</v>
      </c>
      <c r="G204" s="189" t="s">
        <v>204</v>
      </c>
      <c r="H204" s="191">
        <v>61792</v>
      </c>
      <c r="I204" s="189" t="s">
        <v>908</v>
      </c>
      <c r="J204" s="189">
        <v>0</v>
      </c>
      <c r="K204" s="189" t="s">
        <v>921</v>
      </c>
      <c r="L204" s="191">
        <v>10</v>
      </c>
      <c r="M204" s="192">
        <v>46092</v>
      </c>
      <c r="N204" s="193">
        <v>1</v>
      </c>
      <c r="O204" s="194">
        <v>1</v>
      </c>
      <c r="P204" s="195"/>
      <c r="Q204" s="196" t="s">
        <v>38</v>
      </c>
      <c r="R204" s="197">
        <v>1</v>
      </c>
      <c r="S204" s="198" t="s">
        <v>33</v>
      </c>
      <c r="T204" s="199"/>
      <c r="U204" s="200"/>
      <c r="V204" s="200"/>
      <c r="W204" s="200"/>
      <c r="X204" s="200"/>
      <c r="Y204" s="200"/>
      <c r="Z204" s="200"/>
      <c r="AA204" s="200"/>
      <c r="AB204" s="200"/>
      <c r="AC204" s="208"/>
      <c r="AD204" s="11" t="str">
        <f t="shared" si="6"/>
        <v>10</v>
      </c>
      <c r="AF204" t="str">
        <f t="shared" si="7"/>
        <v>80.01.ZZ.010</v>
      </c>
      <c r="AH204" t="str">
        <f t="shared" si="8"/>
        <v>00 de 01</v>
      </c>
    </row>
    <row r="205" spans="1:34" ht="34.5" x14ac:dyDescent="0.25">
      <c r="A205" s="139" t="s">
        <v>116</v>
      </c>
      <c r="B205" s="105" t="s">
        <v>122</v>
      </c>
      <c r="C205" s="63">
        <v>193</v>
      </c>
      <c r="D205" s="197" t="s">
        <v>190</v>
      </c>
      <c r="E205" s="189" t="s">
        <v>1109</v>
      </c>
      <c r="F205" s="190" t="s">
        <v>123</v>
      </c>
      <c r="G205" s="189" t="s">
        <v>204</v>
      </c>
      <c r="H205" s="191">
        <v>61792</v>
      </c>
      <c r="I205" s="189" t="s">
        <v>908</v>
      </c>
      <c r="J205" s="189">
        <v>0</v>
      </c>
      <c r="K205" s="189" t="s">
        <v>921</v>
      </c>
      <c r="L205" s="191">
        <v>10</v>
      </c>
      <c r="M205" s="192">
        <v>46092</v>
      </c>
      <c r="N205" s="193">
        <v>1</v>
      </c>
      <c r="O205" s="194">
        <v>1</v>
      </c>
      <c r="P205" s="195"/>
      <c r="Q205" s="196" t="s">
        <v>38</v>
      </c>
      <c r="R205" s="197">
        <v>1</v>
      </c>
      <c r="S205" s="198" t="s">
        <v>33</v>
      </c>
      <c r="T205" s="199"/>
      <c r="U205" s="200"/>
      <c r="V205" s="200"/>
      <c r="W205" s="200"/>
      <c r="X205" s="200"/>
      <c r="Y205" s="200"/>
      <c r="Z205" s="200"/>
      <c r="AA205" s="200"/>
      <c r="AB205" s="200"/>
      <c r="AC205" s="208"/>
      <c r="AD205" s="11" t="str">
        <f t="shared" si="6"/>
        <v>10</v>
      </c>
      <c r="AF205" t="str">
        <f t="shared" si="7"/>
        <v>80.01.ZZ.010</v>
      </c>
      <c r="AH205" t="str">
        <f t="shared" si="8"/>
        <v>00 de 01</v>
      </c>
    </row>
    <row r="206" spans="1:34" ht="34.5" x14ac:dyDescent="0.25">
      <c r="A206" s="139" t="s">
        <v>116</v>
      </c>
      <c r="B206" s="105" t="s">
        <v>122</v>
      </c>
      <c r="C206" s="63">
        <v>194</v>
      </c>
      <c r="D206" s="197" t="s">
        <v>190</v>
      </c>
      <c r="E206" s="189" t="s">
        <v>1110</v>
      </c>
      <c r="F206" s="190" t="s">
        <v>123</v>
      </c>
      <c r="G206" s="189" t="s">
        <v>204</v>
      </c>
      <c r="H206" s="191">
        <v>61792</v>
      </c>
      <c r="I206" s="189" t="s">
        <v>908</v>
      </c>
      <c r="J206" s="189">
        <v>0</v>
      </c>
      <c r="K206" s="189" t="s">
        <v>921</v>
      </c>
      <c r="L206" s="191">
        <v>10</v>
      </c>
      <c r="M206" s="192">
        <v>46092</v>
      </c>
      <c r="N206" s="193">
        <v>1</v>
      </c>
      <c r="O206" s="194">
        <v>1</v>
      </c>
      <c r="P206" s="195"/>
      <c r="Q206" s="196" t="s">
        <v>38</v>
      </c>
      <c r="R206" s="197">
        <v>1</v>
      </c>
      <c r="S206" s="198" t="s">
        <v>33</v>
      </c>
      <c r="T206" s="199"/>
      <c r="U206" s="200"/>
      <c r="V206" s="200"/>
      <c r="W206" s="200"/>
      <c r="X206" s="200"/>
      <c r="Y206" s="200"/>
      <c r="Z206" s="200"/>
      <c r="AA206" s="200"/>
      <c r="AB206" s="200"/>
      <c r="AC206" s="208"/>
      <c r="AD206" s="11" t="str">
        <f t="shared" ref="AD206:AD269" si="9">RIGHT(L206,2)</f>
        <v>10</v>
      </c>
      <c r="AF206" t="str">
        <f t="shared" ref="AF206:AF269" si="10">CONCATENATE("80.01.ZZ.0",L206)</f>
        <v>80.01.ZZ.010</v>
      </c>
      <c r="AH206" t="str">
        <f t="shared" ref="AH206:AH269" si="11">CONCATENATE("00 de 0",R206)</f>
        <v>00 de 01</v>
      </c>
    </row>
    <row r="207" spans="1:34" ht="34.5" x14ac:dyDescent="0.25">
      <c r="A207" s="139" t="s">
        <v>116</v>
      </c>
      <c r="B207" s="105" t="s">
        <v>122</v>
      </c>
      <c r="C207" s="63">
        <v>195</v>
      </c>
      <c r="D207" s="197" t="s">
        <v>190</v>
      </c>
      <c r="E207" s="189" t="s">
        <v>1111</v>
      </c>
      <c r="F207" s="190" t="s">
        <v>123</v>
      </c>
      <c r="G207" s="189" t="s">
        <v>204</v>
      </c>
      <c r="H207" s="191">
        <v>61792</v>
      </c>
      <c r="I207" s="189" t="s">
        <v>908</v>
      </c>
      <c r="J207" s="189">
        <v>0</v>
      </c>
      <c r="K207" s="189" t="s">
        <v>921</v>
      </c>
      <c r="L207" s="191">
        <v>10</v>
      </c>
      <c r="M207" s="192">
        <v>46092</v>
      </c>
      <c r="N207" s="193">
        <v>1</v>
      </c>
      <c r="O207" s="194">
        <v>1</v>
      </c>
      <c r="P207" s="195"/>
      <c r="Q207" s="196" t="s">
        <v>38</v>
      </c>
      <c r="R207" s="197">
        <v>1</v>
      </c>
      <c r="S207" s="198" t="s">
        <v>33</v>
      </c>
      <c r="T207" s="199"/>
      <c r="U207" s="200"/>
      <c r="V207" s="200"/>
      <c r="W207" s="200"/>
      <c r="X207" s="200"/>
      <c r="Y207" s="200"/>
      <c r="Z207" s="200"/>
      <c r="AA207" s="200"/>
      <c r="AB207" s="200"/>
      <c r="AC207" s="208"/>
      <c r="AD207" s="11" t="str">
        <f t="shared" si="9"/>
        <v>10</v>
      </c>
      <c r="AF207" t="str">
        <f t="shared" si="10"/>
        <v>80.01.ZZ.010</v>
      </c>
      <c r="AH207" t="str">
        <f t="shared" si="11"/>
        <v>00 de 01</v>
      </c>
    </row>
    <row r="208" spans="1:34" ht="34.5" x14ac:dyDescent="0.25">
      <c r="A208" s="139" t="s">
        <v>116</v>
      </c>
      <c r="B208" s="105" t="s">
        <v>122</v>
      </c>
      <c r="C208" s="63">
        <v>196</v>
      </c>
      <c r="D208" s="197" t="s">
        <v>190</v>
      </c>
      <c r="E208" s="189" t="s">
        <v>1112</v>
      </c>
      <c r="F208" s="190" t="s">
        <v>123</v>
      </c>
      <c r="G208" s="189" t="s">
        <v>204</v>
      </c>
      <c r="H208" s="191">
        <v>61792</v>
      </c>
      <c r="I208" s="189" t="s">
        <v>908</v>
      </c>
      <c r="J208" s="189">
        <v>0</v>
      </c>
      <c r="K208" s="189" t="s">
        <v>921</v>
      </c>
      <c r="L208" s="191">
        <v>10</v>
      </c>
      <c r="M208" s="192">
        <v>46092</v>
      </c>
      <c r="N208" s="193">
        <v>1</v>
      </c>
      <c r="O208" s="194">
        <v>1</v>
      </c>
      <c r="P208" s="195"/>
      <c r="Q208" s="196" t="s">
        <v>38</v>
      </c>
      <c r="R208" s="197">
        <v>1</v>
      </c>
      <c r="S208" s="198" t="s">
        <v>33</v>
      </c>
      <c r="T208" s="199"/>
      <c r="U208" s="200"/>
      <c r="V208" s="200"/>
      <c r="W208" s="200"/>
      <c r="X208" s="200"/>
      <c r="Y208" s="200"/>
      <c r="Z208" s="200"/>
      <c r="AA208" s="200"/>
      <c r="AB208" s="200"/>
      <c r="AC208" s="208"/>
      <c r="AD208" s="11" t="str">
        <f t="shared" si="9"/>
        <v>10</v>
      </c>
      <c r="AF208" t="str">
        <f t="shared" si="10"/>
        <v>80.01.ZZ.010</v>
      </c>
      <c r="AH208" t="str">
        <f t="shared" si="11"/>
        <v>00 de 01</v>
      </c>
    </row>
    <row r="209" spans="1:34" ht="34.5" x14ac:dyDescent="0.25">
      <c r="A209" s="139" t="s">
        <v>116</v>
      </c>
      <c r="B209" s="105" t="s">
        <v>122</v>
      </c>
      <c r="C209" s="63">
        <v>197</v>
      </c>
      <c r="D209" s="197" t="s">
        <v>190</v>
      </c>
      <c r="E209" s="189" t="s">
        <v>1113</v>
      </c>
      <c r="F209" s="190" t="s">
        <v>123</v>
      </c>
      <c r="G209" s="189" t="s">
        <v>204</v>
      </c>
      <c r="H209" s="191">
        <v>61792</v>
      </c>
      <c r="I209" s="189" t="s">
        <v>908</v>
      </c>
      <c r="J209" s="189">
        <v>0</v>
      </c>
      <c r="K209" s="189" t="s">
        <v>921</v>
      </c>
      <c r="L209" s="191">
        <v>10</v>
      </c>
      <c r="M209" s="192">
        <v>46092</v>
      </c>
      <c r="N209" s="193">
        <v>1</v>
      </c>
      <c r="O209" s="194">
        <v>1</v>
      </c>
      <c r="P209" s="195"/>
      <c r="Q209" s="196" t="s">
        <v>38</v>
      </c>
      <c r="R209" s="197">
        <v>1</v>
      </c>
      <c r="S209" s="198" t="s">
        <v>33</v>
      </c>
      <c r="T209" s="199"/>
      <c r="U209" s="200"/>
      <c r="V209" s="200"/>
      <c r="W209" s="200"/>
      <c r="X209" s="200"/>
      <c r="Y209" s="200"/>
      <c r="Z209" s="200"/>
      <c r="AA209" s="200"/>
      <c r="AB209" s="200"/>
      <c r="AC209" s="208"/>
      <c r="AD209" s="11" t="str">
        <f t="shared" si="9"/>
        <v>10</v>
      </c>
      <c r="AF209" t="str">
        <f t="shared" si="10"/>
        <v>80.01.ZZ.010</v>
      </c>
      <c r="AH209" t="str">
        <f t="shared" si="11"/>
        <v>00 de 01</v>
      </c>
    </row>
    <row r="210" spans="1:34" ht="34.5" x14ac:dyDescent="0.25">
      <c r="A210" s="139" t="s">
        <v>116</v>
      </c>
      <c r="B210" s="105" t="s">
        <v>122</v>
      </c>
      <c r="C210" s="63">
        <v>198</v>
      </c>
      <c r="D210" s="197" t="s">
        <v>190</v>
      </c>
      <c r="E210" s="189" t="s">
        <v>1114</v>
      </c>
      <c r="F210" s="190" t="s">
        <v>123</v>
      </c>
      <c r="G210" s="189" t="s">
        <v>204</v>
      </c>
      <c r="H210" s="191">
        <v>61792</v>
      </c>
      <c r="I210" s="189" t="s">
        <v>908</v>
      </c>
      <c r="J210" s="189">
        <v>0</v>
      </c>
      <c r="K210" s="189" t="s">
        <v>921</v>
      </c>
      <c r="L210" s="191">
        <v>10</v>
      </c>
      <c r="M210" s="192">
        <v>46092</v>
      </c>
      <c r="N210" s="193">
        <v>1</v>
      </c>
      <c r="O210" s="194">
        <v>1</v>
      </c>
      <c r="P210" s="195"/>
      <c r="Q210" s="196" t="s">
        <v>38</v>
      </c>
      <c r="R210" s="197">
        <v>1</v>
      </c>
      <c r="S210" s="198" t="s">
        <v>33</v>
      </c>
      <c r="T210" s="199"/>
      <c r="U210" s="200"/>
      <c r="V210" s="200"/>
      <c r="W210" s="200"/>
      <c r="X210" s="200"/>
      <c r="Y210" s="200"/>
      <c r="Z210" s="200"/>
      <c r="AA210" s="200"/>
      <c r="AB210" s="200"/>
      <c r="AC210" s="208"/>
      <c r="AD210" s="11" t="str">
        <f t="shared" si="9"/>
        <v>10</v>
      </c>
      <c r="AF210" t="str">
        <f t="shared" si="10"/>
        <v>80.01.ZZ.010</v>
      </c>
      <c r="AH210" t="str">
        <f t="shared" si="11"/>
        <v>00 de 01</v>
      </c>
    </row>
    <row r="211" spans="1:34" ht="34.5" x14ac:dyDescent="0.25">
      <c r="A211" s="139" t="s">
        <v>116</v>
      </c>
      <c r="B211" s="105" t="s">
        <v>122</v>
      </c>
      <c r="C211" s="63">
        <v>199</v>
      </c>
      <c r="D211" s="197" t="s">
        <v>190</v>
      </c>
      <c r="E211" s="189" t="s">
        <v>1115</v>
      </c>
      <c r="F211" s="190" t="s">
        <v>123</v>
      </c>
      <c r="G211" s="189" t="s">
        <v>204</v>
      </c>
      <c r="H211" s="191">
        <v>61792</v>
      </c>
      <c r="I211" s="189" t="s">
        <v>908</v>
      </c>
      <c r="J211" s="189">
        <v>0</v>
      </c>
      <c r="K211" s="189" t="s">
        <v>921</v>
      </c>
      <c r="L211" s="191">
        <v>10</v>
      </c>
      <c r="M211" s="192">
        <v>46092</v>
      </c>
      <c r="N211" s="193">
        <v>1</v>
      </c>
      <c r="O211" s="194">
        <v>1</v>
      </c>
      <c r="P211" s="195"/>
      <c r="Q211" s="196" t="s">
        <v>38</v>
      </c>
      <c r="R211" s="197">
        <v>1</v>
      </c>
      <c r="S211" s="198" t="s">
        <v>33</v>
      </c>
      <c r="T211" s="199"/>
      <c r="U211" s="200"/>
      <c r="V211" s="200"/>
      <c r="W211" s="200"/>
      <c r="X211" s="200"/>
      <c r="Y211" s="200"/>
      <c r="Z211" s="200"/>
      <c r="AA211" s="200"/>
      <c r="AB211" s="200"/>
      <c r="AC211" s="208"/>
      <c r="AD211" s="11" t="str">
        <f t="shared" si="9"/>
        <v>10</v>
      </c>
      <c r="AF211" t="str">
        <f t="shared" si="10"/>
        <v>80.01.ZZ.010</v>
      </c>
      <c r="AH211" t="str">
        <f t="shared" si="11"/>
        <v>00 de 01</v>
      </c>
    </row>
    <row r="212" spans="1:34" ht="34.5" x14ac:dyDescent="0.25">
      <c r="A212" s="139" t="s">
        <v>116</v>
      </c>
      <c r="B212" s="105" t="s">
        <v>122</v>
      </c>
      <c r="C212" s="63">
        <v>200</v>
      </c>
      <c r="D212" s="197" t="s">
        <v>190</v>
      </c>
      <c r="E212" s="189" t="s">
        <v>1116</v>
      </c>
      <c r="F212" s="190" t="s">
        <v>123</v>
      </c>
      <c r="G212" s="189" t="s">
        <v>204</v>
      </c>
      <c r="H212" s="191">
        <v>61792</v>
      </c>
      <c r="I212" s="189" t="s">
        <v>908</v>
      </c>
      <c r="J212" s="189">
        <v>0</v>
      </c>
      <c r="K212" s="189" t="s">
        <v>921</v>
      </c>
      <c r="L212" s="191">
        <v>10</v>
      </c>
      <c r="M212" s="192">
        <v>46092</v>
      </c>
      <c r="N212" s="193">
        <v>1</v>
      </c>
      <c r="O212" s="194">
        <v>1</v>
      </c>
      <c r="P212" s="195"/>
      <c r="Q212" s="196" t="s">
        <v>38</v>
      </c>
      <c r="R212" s="197">
        <v>1</v>
      </c>
      <c r="S212" s="198" t="s">
        <v>33</v>
      </c>
      <c r="T212" s="199"/>
      <c r="U212" s="200"/>
      <c r="V212" s="200"/>
      <c r="W212" s="200"/>
      <c r="X212" s="200"/>
      <c r="Y212" s="200"/>
      <c r="Z212" s="200"/>
      <c r="AA212" s="200"/>
      <c r="AB212" s="200"/>
      <c r="AC212" s="208"/>
      <c r="AD212" s="11" t="str">
        <f t="shared" si="9"/>
        <v>10</v>
      </c>
      <c r="AF212" t="str">
        <f t="shared" si="10"/>
        <v>80.01.ZZ.010</v>
      </c>
      <c r="AH212" t="str">
        <f t="shared" si="11"/>
        <v>00 de 01</v>
      </c>
    </row>
    <row r="213" spans="1:34" ht="34.5" x14ac:dyDescent="0.25">
      <c r="A213" s="139" t="s">
        <v>116</v>
      </c>
      <c r="B213" s="105" t="s">
        <v>122</v>
      </c>
      <c r="C213" s="63">
        <v>201</v>
      </c>
      <c r="D213" s="197" t="s">
        <v>133</v>
      </c>
      <c r="E213" s="189" t="s">
        <v>1117</v>
      </c>
      <c r="F213" s="190" t="s">
        <v>123</v>
      </c>
      <c r="G213" s="189" t="s">
        <v>204</v>
      </c>
      <c r="H213" s="191">
        <v>61792</v>
      </c>
      <c r="I213" s="189" t="s">
        <v>908</v>
      </c>
      <c r="J213" s="189">
        <v>0</v>
      </c>
      <c r="K213" s="189" t="s">
        <v>922</v>
      </c>
      <c r="L213" s="191">
        <v>10</v>
      </c>
      <c r="M213" s="192">
        <v>46092</v>
      </c>
      <c r="N213" s="193">
        <v>1</v>
      </c>
      <c r="O213" s="194">
        <v>1</v>
      </c>
      <c r="P213" s="195"/>
      <c r="Q213" s="196" t="s">
        <v>38</v>
      </c>
      <c r="R213" s="197">
        <v>1</v>
      </c>
      <c r="S213" s="198" t="s">
        <v>33</v>
      </c>
      <c r="T213" s="199"/>
      <c r="U213" s="200"/>
      <c r="V213" s="200"/>
      <c r="W213" s="200"/>
      <c r="X213" s="200"/>
      <c r="Y213" s="200"/>
      <c r="Z213" s="200"/>
      <c r="AA213" s="200"/>
      <c r="AB213" s="200"/>
      <c r="AC213" s="208"/>
      <c r="AD213" s="11" t="str">
        <f t="shared" si="9"/>
        <v>10</v>
      </c>
      <c r="AF213" t="str">
        <f t="shared" si="10"/>
        <v>80.01.ZZ.010</v>
      </c>
      <c r="AH213" t="str">
        <f t="shared" si="11"/>
        <v>00 de 01</v>
      </c>
    </row>
    <row r="214" spans="1:34" ht="34.5" x14ac:dyDescent="0.25">
      <c r="A214" s="139" t="s">
        <v>116</v>
      </c>
      <c r="B214" s="105" t="s">
        <v>122</v>
      </c>
      <c r="C214" s="63">
        <v>202</v>
      </c>
      <c r="D214" s="197" t="s">
        <v>190</v>
      </c>
      <c r="E214" s="189" t="s">
        <v>1118</v>
      </c>
      <c r="F214" s="190" t="s">
        <v>123</v>
      </c>
      <c r="G214" s="189" t="s">
        <v>204</v>
      </c>
      <c r="H214" s="191">
        <v>61792</v>
      </c>
      <c r="I214" s="189" t="s">
        <v>908</v>
      </c>
      <c r="J214" s="189">
        <v>0</v>
      </c>
      <c r="K214" s="189" t="s">
        <v>922</v>
      </c>
      <c r="L214" s="191">
        <v>10</v>
      </c>
      <c r="M214" s="192">
        <v>46092</v>
      </c>
      <c r="N214" s="193">
        <v>1</v>
      </c>
      <c r="O214" s="194">
        <v>1</v>
      </c>
      <c r="P214" s="195"/>
      <c r="Q214" s="196" t="s">
        <v>38</v>
      </c>
      <c r="R214" s="197">
        <v>1</v>
      </c>
      <c r="S214" s="198" t="s">
        <v>33</v>
      </c>
      <c r="T214" s="199"/>
      <c r="U214" s="200"/>
      <c r="V214" s="200"/>
      <c r="W214" s="200"/>
      <c r="X214" s="200"/>
      <c r="Y214" s="200"/>
      <c r="Z214" s="200"/>
      <c r="AA214" s="200"/>
      <c r="AB214" s="200"/>
      <c r="AC214" s="208"/>
      <c r="AD214" s="11" t="str">
        <f t="shared" si="9"/>
        <v>10</v>
      </c>
      <c r="AF214" t="str">
        <f t="shared" si="10"/>
        <v>80.01.ZZ.010</v>
      </c>
      <c r="AH214" t="str">
        <f t="shared" si="11"/>
        <v>00 de 01</v>
      </c>
    </row>
    <row r="215" spans="1:34" ht="34.5" x14ac:dyDescent="0.25">
      <c r="A215" s="139" t="s">
        <v>116</v>
      </c>
      <c r="B215" s="105" t="s">
        <v>122</v>
      </c>
      <c r="C215" s="63">
        <v>203</v>
      </c>
      <c r="D215" s="197" t="s">
        <v>190</v>
      </c>
      <c r="E215" s="189" t="s">
        <v>1119</v>
      </c>
      <c r="F215" s="190" t="s">
        <v>123</v>
      </c>
      <c r="G215" s="189" t="s">
        <v>204</v>
      </c>
      <c r="H215" s="191">
        <v>61792</v>
      </c>
      <c r="I215" s="189" t="s">
        <v>908</v>
      </c>
      <c r="J215" s="189">
        <v>0</v>
      </c>
      <c r="K215" s="189" t="s">
        <v>922</v>
      </c>
      <c r="L215" s="191">
        <v>10</v>
      </c>
      <c r="M215" s="192">
        <v>46092</v>
      </c>
      <c r="N215" s="193">
        <v>1</v>
      </c>
      <c r="O215" s="194">
        <v>1</v>
      </c>
      <c r="P215" s="195"/>
      <c r="Q215" s="196" t="s">
        <v>38</v>
      </c>
      <c r="R215" s="197">
        <v>1</v>
      </c>
      <c r="S215" s="198" t="s">
        <v>33</v>
      </c>
      <c r="T215" s="199"/>
      <c r="U215" s="200"/>
      <c r="V215" s="200"/>
      <c r="W215" s="200"/>
      <c r="X215" s="200"/>
      <c r="Y215" s="200"/>
      <c r="Z215" s="200"/>
      <c r="AA215" s="200"/>
      <c r="AB215" s="200"/>
      <c r="AC215" s="208"/>
      <c r="AD215" s="11" t="str">
        <f t="shared" si="9"/>
        <v>10</v>
      </c>
      <c r="AF215" t="str">
        <f t="shared" si="10"/>
        <v>80.01.ZZ.010</v>
      </c>
      <c r="AH215" t="str">
        <f t="shared" si="11"/>
        <v>00 de 01</v>
      </c>
    </row>
    <row r="216" spans="1:34" ht="34.5" x14ac:dyDescent="0.25">
      <c r="A216" s="139" t="s">
        <v>116</v>
      </c>
      <c r="B216" s="105" t="s">
        <v>122</v>
      </c>
      <c r="C216" s="63">
        <v>204</v>
      </c>
      <c r="D216" s="197" t="s">
        <v>190</v>
      </c>
      <c r="E216" s="189" t="s">
        <v>1120</v>
      </c>
      <c r="F216" s="190" t="s">
        <v>123</v>
      </c>
      <c r="G216" s="189" t="s">
        <v>204</v>
      </c>
      <c r="H216" s="191">
        <v>61792</v>
      </c>
      <c r="I216" s="189" t="s">
        <v>908</v>
      </c>
      <c r="J216" s="189">
        <v>0</v>
      </c>
      <c r="K216" s="189" t="s">
        <v>922</v>
      </c>
      <c r="L216" s="191">
        <v>10</v>
      </c>
      <c r="M216" s="192">
        <v>46092</v>
      </c>
      <c r="N216" s="193">
        <v>1</v>
      </c>
      <c r="O216" s="194">
        <v>1</v>
      </c>
      <c r="P216" s="195"/>
      <c r="Q216" s="196" t="s">
        <v>38</v>
      </c>
      <c r="R216" s="197">
        <v>1</v>
      </c>
      <c r="S216" s="198" t="s">
        <v>33</v>
      </c>
      <c r="T216" s="199"/>
      <c r="U216" s="200"/>
      <c r="V216" s="200"/>
      <c r="W216" s="200"/>
      <c r="X216" s="200"/>
      <c r="Y216" s="200"/>
      <c r="Z216" s="200"/>
      <c r="AA216" s="200"/>
      <c r="AB216" s="200"/>
      <c r="AC216" s="208"/>
      <c r="AD216" s="11" t="str">
        <f t="shared" si="9"/>
        <v>10</v>
      </c>
      <c r="AF216" t="str">
        <f t="shared" si="10"/>
        <v>80.01.ZZ.010</v>
      </c>
      <c r="AH216" t="str">
        <f t="shared" si="11"/>
        <v>00 de 01</v>
      </c>
    </row>
    <row r="217" spans="1:34" ht="34.5" x14ac:dyDescent="0.25">
      <c r="A217" s="139" t="s">
        <v>116</v>
      </c>
      <c r="B217" s="105" t="s">
        <v>122</v>
      </c>
      <c r="C217" s="63">
        <v>205</v>
      </c>
      <c r="D217" s="197" t="s">
        <v>190</v>
      </c>
      <c r="E217" s="189" t="s">
        <v>1121</v>
      </c>
      <c r="F217" s="190" t="s">
        <v>123</v>
      </c>
      <c r="G217" s="189" t="s">
        <v>204</v>
      </c>
      <c r="H217" s="191">
        <v>61792</v>
      </c>
      <c r="I217" s="189" t="s">
        <v>908</v>
      </c>
      <c r="J217" s="189">
        <v>0</v>
      </c>
      <c r="K217" s="189" t="s">
        <v>922</v>
      </c>
      <c r="L217" s="191">
        <v>10</v>
      </c>
      <c r="M217" s="192">
        <v>46092</v>
      </c>
      <c r="N217" s="193">
        <v>1</v>
      </c>
      <c r="O217" s="194">
        <v>1</v>
      </c>
      <c r="P217" s="195"/>
      <c r="Q217" s="196" t="s">
        <v>38</v>
      </c>
      <c r="R217" s="197">
        <v>1</v>
      </c>
      <c r="S217" s="198" t="s">
        <v>33</v>
      </c>
      <c r="T217" s="199"/>
      <c r="U217" s="200"/>
      <c r="V217" s="200"/>
      <c r="W217" s="200"/>
      <c r="X217" s="200"/>
      <c r="Y217" s="200"/>
      <c r="Z217" s="200"/>
      <c r="AA217" s="200"/>
      <c r="AB217" s="200"/>
      <c r="AC217" s="208"/>
      <c r="AD217" s="11" t="str">
        <f t="shared" si="9"/>
        <v>10</v>
      </c>
      <c r="AF217" t="str">
        <f t="shared" si="10"/>
        <v>80.01.ZZ.010</v>
      </c>
      <c r="AH217" t="str">
        <f t="shared" si="11"/>
        <v>00 de 01</v>
      </c>
    </row>
    <row r="218" spans="1:34" ht="34.5" x14ac:dyDescent="0.25">
      <c r="A218" s="139" t="s">
        <v>116</v>
      </c>
      <c r="B218" s="105" t="s">
        <v>122</v>
      </c>
      <c r="C218" s="63">
        <v>206</v>
      </c>
      <c r="D218" s="197" t="s">
        <v>190</v>
      </c>
      <c r="E218" s="189" t="s">
        <v>1122</v>
      </c>
      <c r="F218" s="190" t="s">
        <v>123</v>
      </c>
      <c r="G218" s="189" t="s">
        <v>204</v>
      </c>
      <c r="H218" s="191">
        <v>61792</v>
      </c>
      <c r="I218" s="189" t="s">
        <v>908</v>
      </c>
      <c r="J218" s="189">
        <v>0</v>
      </c>
      <c r="K218" s="189" t="s">
        <v>922</v>
      </c>
      <c r="L218" s="191">
        <v>10</v>
      </c>
      <c r="M218" s="192">
        <v>46092</v>
      </c>
      <c r="N218" s="193">
        <v>1</v>
      </c>
      <c r="O218" s="194">
        <v>1</v>
      </c>
      <c r="P218" s="195"/>
      <c r="Q218" s="196" t="s">
        <v>38</v>
      </c>
      <c r="R218" s="197">
        <v>1</v>
      </c>
      <c r="S218" s="198" t="s">
        <v>33</v>
      </c>
      <c r="T218" s="199"/>
      <c r="U218" s="200"/>
      <c r="V218" s="200"/>
      <c r="W218" s="200"/>
      <c r="X218" s="200"/>
      <c r="Y218" s="200"/>
      <c r="Z218" s="200"/>
      <c r="AA218" s="200"/>
      <c r="AB218" s="200"/>
      <c r="AC218" s="208"/>
      <c r="AD218" s="11" t="str">
        <f t="shared" si="9"/>
        <v>10</v>
      </c>
      <c r="AF218" t="str">
        <f t="shared" si="10"/>
        <v>80.01.ZZ.010</v>
      </c>
      <c r="AH218" t="str">
        <f t="shared" si="11"/>
        <v>00 de 01</v>
      </c>
    </row>
    <row r="219" spans="1:34" ht="34.5" x14ac:dyDescent="0.25">
      <c r="A219" s="139" t="s">
        <v>116</v>
      </c>
      <c r="B219" s="105" t="s">
        <v>122</v>
      </c>
      <c r="C219" s="63">
        <v>207</v>
      </c>
      <c r="D219" s="197" t="s">
        <v>190</v>
      </c>
      <c r="E219" s="189" t="s">
        <v>1123</v>
      </c>
      <c r="F219" s="190" t="s">
        <v>123</v>
      </c>
      <c r="G219" s="189" t="s">
        <v>204</v>
      </c>
      <c r="H219" s="191">
        <v>61792</v>
      </c>
      <c r="I219" s="189" t="s">
        <v>908</v>
      </c>
      <c r="J219" s="189">
        <v>0</v>
      </c>
      <c r="K219" s="189" t="s">
        <v>922</v>
      </c>
      <c r="L219" s="191">
        <v>10</v>
      </c>
      <c r="M219" s="192">
        <v>46092</v>
      </c>
      <c r="N219" s="193">
        <v>1</v>
      </c>
      <c r="O219" s="194">
        <v>1</v>
      </c>
      <c r="P219" s="195"/>
      <c r="Q219" s="196" t="s">
        <v>38</v>
      </c>
      <c r="R219" s="197">
        <v>1</v>
      </c>
      <c r="S219" s="198" t="s">
        <v>33</v>
      </c>
      <c r="T219" s="199"/>
      <c r="U219" s="200"/>
      <c r="V219" s="200"/>
      <c r="W219" s="200"/>
      <c r="X219" s="200"/>
      <c r="Y219" s="200"/>
      <c r="Z219" s="200"/>
      <c r="AA219" s="200"/>
      <c r="AB219" s="200"/>
      <c r="AC219" s="208"/>
      <c r="AD219" s="11" t="str">
        <f t="shared" si="9"/>
        <v>10</v>
      </c>
      <c r="AF219" t="str">
        <f t="shared" si="10"/>
        <v>80.01.ZZ.010</v>
      </c>
      <c r="AH219" t="str">
        <f t="shared" si="11"/>
        <v>00 de 01</v>
      </c>
    </row>
    <row r="220" spans="1:34" ht="34.5" x14ac:dyDescent="0.25">
      <c r="A220" s="139" t="s">
        <v>116</v>
      </c>
      <c r="B220" s="105" t="s">
        <v>122</v>
      </c>
      <c r="C220" s="63">
        <v>208</v>
      </c>
      <c r="D220" s="197" t="s">
        <v>190</v>
      </c>
      <c r="E220" s="189" t="s">
        <v>1124</v>
      </c>
      <c r="F220" s="190" t="s">
        <v>123</v>
      </c>
      <c r="G220" s="189" t="s">
        <v>204</v>
      </c>
      <c r="H220" s="191">
        <v>61792</v>
      </c>
      <c r="I220" s="189" t="s">
        <v>908</v>
      </c>
      <c r="J220" s="189">
        <v>0</v>
      </c>
      <c r="K220" s="189" t="s">
        <v>922</v>
      </c>
      <c r="L220" s="191">
        <v>10</v>
      </c>
      <c r="M220" s="192">
        <v>46092</v>
      </c>
      <c r="N220" s="193">
        <v>1</v>
      </c>
      <c r="O220" s="194">
        <v>1</v>
      </c>
      <c r="P220" s="195"/>
      <c r="Q220" s="196" t="s">
        <v>38</v>
      </c>
      <c r="R220" s="197">
        <v>1</v>
      </c>
      <c r="S220" s="198" t="s">
        <v>33</v>
      </c>
      <c r="T220" s="199"/>
      <c r="U220" s="200"/>
      <c r="V220" s="200"/>
      <c r="W220" s="200"/>
      <c r="X220" s="200"/>
      <c r="Y220" s="200"/>
      <c r="Z220" s="200"/>
      <c r="AA220" s="200"/>
      <c r="AB220" s="200"/>
      <c r="AC220" s="208"/>
      <c r="AD220" s="11" t="str">
        <f t="shared" si="9"/>
        <v>10</v>
      </c>
      <c r="AF220" t="str">
        <f t="shared" si="10"/>
        <v>80.01.ZZ.010</v>
      </c>
      <c r="AH220" t="str">
        <f t="shared" si="11"/>
        <v>00 de 01</v>
      </c>
    </row>
    <row r="221" spans="1:34" ht="34.5" x14ac:dyDescent="0.25">
      <c r="A221" s="139" t="s">
        <v>116</v>
      </c>
      <c r="B221" s="105" t="s">
        <v>122</v>
      </c>
      <c r="C221" s="63">
        <v>209</v>
      </c>
      <c r="D221" s="197" t="s">
        <v>190</v>
      </c>
      <c r="E221" s="189" t="s">
        <v>1125</v>
      </c>
      <c r="F221" s="190" t="s">
        <v>123</v>
      </c>
      <c r="G221" s="189" t="s">
        <v>204</v>
      </c>
      <c r="H221" s="191">
        <v>61792</v>
      </c>
      <c r="I221" s="189" t="s">
        <v>908</v>
      </c>
      <c r="J221" s="189">
        <v>0</v>
      </c>
      <c r="K221" s="189" t="s">
        <v>922</v>
      </c>
      <c r="L221" s="191">
        <v>10</v>
      </c>
      <c r="M221" s="192">
        <v>46092</v>
      </c>
      <c r="N221" s="193">
        <v>1</v>
      </c>
      <c r="O221" s="194">
        <v>1</v>
      </c>
      <c r="P221" s="195"/>
      <c r="Q221" s="196" t="s">
        <v>38</v>
      </c>
      <c r="R221" s="197">
        <v>1</v>
      </c>
      <c r="S221" s="198" t="s">
        <v>33</v>
      </c>
      <c r="T221" s="199"/>
      <c r="U221" s="200"/>
      <c r="V221" s="200"/>
      <c r="W221" s="200"/>
      <c r="X221" s="200"/>
      <c r="Y221" s="200"/>
      <c r="Z221" s="200"/>
      <c r="AA221" s="200"/>
      <c r="AB221" s="200"/>
      <c r="AC221" s="208"/>
      <c r="AD221" s="11" t="str">
        <f t="shared" si="9"/>
        <v>10</v>
      </c>
      <c r="AF221" t="str">
        <f t="shared" si="10"/>
        <v>80.01.ZZ.010</v>
      </c>
      <c r="AH221" t="str">
        <f t="shared" si="11"/>
        <v>00 de 01</v>
      </c>
    </row>
    <row r="222" spans="1:34" ht="34.5" x14ac:dyDescent="0.25">
      <c r="A222" s="139" t="s">
        <v>116</v>
      </c>
      <c r="B222" s="105" t="s">
        <v>122</v>
      </c>
      <c r="C222" s="63">
        <v>210</v>
      </c>
      <c r="D222" s="197" t="s">
        <v>190</v>
      </c>
      <c r="E222" s="189" t="s">
        <v>1126</v>
      </c>
      <c r="F222" s="190" t="s">
        <v>123</v>
      </c>
      <c r="G222" s="189" t="s">
        <v>204</v>
      </c>
      <c r="H222" s="191">
        <v>61792</v>
      </c>
      <c r="I222" s="189" t="s">
        <v>908</v>
      </c>
      <c r="J222" s="189">
        <v>0</v>
      </c>
      <c r="K222" s="189" t="s">
        <v>922</v>
      </c>
      <c r="L222" s="191">
        <v>10</v>
      </c>
      <c r="M222" s="192">
        <v>46092</v>
      </c>
      <c r="N222" s="193">
        <v>1</v>
      </c>
      <c r="O222" s="194">
        <v>1</v>
      </c>
      <c r="P222" s="195"/>
      <c r="Q222" s="196" t="s">
        <v>38</v>
      </c>
      <c r="R222" s="197">
        <v>1</v>
      </c>
      <c r="S222" s="198" t="s">
        <v>33</v>
      </c>
      <c r="T222" s="199"/>
      <c r="U222" s="200"/>
      <c r="V222" s="200"/>
      <c r="W222" s="200"/>
      <c r="X222" s="200"/>
      <c r="Y222" s="200"/>
      <c r="Z222" s="200"/>
      <c r="AA222" s="200"/>
      <c r="AB222" s="200"/>
      <c r="AC222" s="208"/>
      <c r="AD222" s="11" t="str">
        <f t="shared" si="9"/>
        <v>10</v>
      </c>
      <c r="AF222" t="str">
        <f t="shared" si="10"/>
        <v>80.01.ZZ.010</v>
      </c>
      <c r="AH222" t="str">
        <f t="shared" si="11"/>
        <v>00 de 01</v>
      </c>
    </row>
    <row r="223" spans="1:34" ht="34.5" x14ac:dyDescent="0.25">
      <c r="A223" s="139" t="s">
        <v>116</v>
      </c>
      <c r="B223" s="105" t="s">
        <v>122</v>
      </c>
      <c r="C223" s="63">
        <v>211</v>
      </c>
      <c r="D223" s="197" t="s">
        <v>190</v>
      </c>
      <c r="E223" s="189" t="s">
        <v>1127</v>
      </c>
      <c r="F223" s="190" t="s">
        <v>123</v>
      </c>
      <c r="G223" s="189" t="s">
        <v>204</v>
      </c>
      <c r="H223" s="191">
        <v>61792</v>
      </c>
      <c r="I223" s="189" t="s">
        <v>908</v>
      </c>
      <c r="J223" s="189">
        <v>0</v>
      </c>
      <c r="K223" s="189" t="s">
        <v>922</v>
      </c>
      <c r="L223" s="191">
        <v>10</v>
      </c>
      <c r="M223" s="192">
        <v>46092</v>
      </c>
      <c r="N223" s="193">
        <v>1</v>
      </c>
      <c r="O223" s="194">
        <v>1</v>
      </c>
      <c r="P223" s="195"/>
      <c r="Q223" s="196" t="s">
        <v>38</v>
      </c>
      <c r="R223" s="197">
        <v>1</v>
      </c>
      <c r="S223" s="198" t="s">
        <v>33</v>
      </c>
      <c r="T223" s="199"/>
      <c r="U223" s="200"/>
      <c r="V223" s="200"/>
      <c r="W223" s="200"/>
      <c r="X223" s="200"/>
      <c r="Y223" s="200"/>
      <c r="Z223" s="200"/>
      <c r="AA223" s="200"/>
      <c r="AB223" s="200"/>
      <c r="AC223" s="208"/>
      <c r="AD223" s="11" t="str">
        <f t="shared" si="9"/>
        <v>10</v>
      </c>
      <c r="AF223" t="str">
        <f t="shared" si="10"/>
        <v>80.01.ZZ.010</v>
      </c>
      <c r="AH223" t="str">
        <f t="shared" si="11"/>
        <v>00 de 01</v>
      </c>
    </row>
    <row r="224" spans="1:34" ht="34.5" x14ac:dyDescent="0.25">
      <c r="A224" s="139" t="s">
        <v>116</v>
      </c>
      <c r="B224" s="105" t="s">
        <v>122</v>
      </c>
      <c r="C224" s="63">
        <v>212</v>
      </c>
      <c r="D224" s="197" t="s">
        <v>133</v>
      </c>
      <c r="E224" s="189" t="s">
        <v>1128</v>
      </c>
      <c r="F224" s="190" t="s">
        <v>123</v>
      </c>
      <c r="G224" s="189" t="s">
        <v>204</v>
      </c>
      <c r="H224" s="191">
        <v>61792</v>
      </c>
      <c r="I224" s="189" t="s">
        <v>908</v>
      </c>
      <c r="J224" s="189">
        <v>0</v>
      </c>
      <c r="K224" s="189" t="s">
        <v>923</v>
      </c>
      <c r="L224" s="191">
        <v>10</v>
      </c>
      <c r="M224" s="192">
        <v>46092</v>
      </c>
      <c r="N224" s="193">
        <v>1</v>
      </c>
      <c r="O224" s="194">
        <v>1</v>
      </c>
      <c r="P224" s="195"/>
      <c r="Q224" s="196" t="s">
        <v>38</v>
      </c>
      <c r="R224" s="197">
        <v>1</v>
      </c>
      <c r="S224" s="198" t="s">
        <v>33</v>
      </c>
      <c r="T224" s="199"/>
      <c r="U224" s="200"/>
      <c r="V224" s="200"/>
      <c r="W224" s="200"/>
      <c r="X224" s="200"/>
      <c r="Y224" s="200"/>
      <c r="Z224" s="200"/>
      <c r="AA224" s="200"/>
      <c r="AB224" s="200"/>
      <c r="AC224" s="208"/>
      <c r="AD224" s="11" t="str">
        <f t="shared" si="9"/>
        <v>10</v>
      </c>
      <c r="AF224" t="str">
        <f t="shared" si="10"/>
        <v>80.01.ZZ.010</v>
      </c>
      <c r="AH224" t="str">
        <f t="shared" si="11"/>
        <v>00 de 01</v>
      </c>
    </row>
    <row r="225" spans="1:34" ht="34.5" x14ac:dyDescent="0.25">
      <c r="A225" s="139" t="s">
        <v>116</v>
      </c>
      <c r="B225" s="105" t="s">
        <v>122</v>
      </c>
      <c r="C225" s="63">
        <v>213</v>
      </c>
      <c r="D225" s="197" t="s">
        <v>190</v>
      </c>
      <c r="E225" s="189" t="s">
        <v>1129</v>
      </c>
      <c r="F225" s="190" t="s">
        <v>123</v>
      </c>
      <c r="G225" s="189" t="s">
        <v>204</v>
      </c>
      <c r="H225" s="191">
        <v>61792</v>
      </c>
      <c r="I225" s="189" t="s">
        <v>908</v>
      </c>
      <c r="J225" s="189">
        <v>0</v>
      </c>
      <c r="K225" s="189" t="s">
        <v>923</v>
      </c>
      <c r="L225" s="191">
        <v>10</v>
      </c>
      <c r="M225" s="192">
        <v>46092</v>
      </c>
      <c r="N225" s="193">
        <v>1</v>
      </c>
      <c r="O225" s="194">
        <v>1</v>
      </c>
      <c r="P225" s="195"/>
      <c r="Q225" s="196" t="s">
        <v>38</v>
      </c>
      <c r="R225" s="197">
        <v>1</v>
      </c>
      <c r="S225" s="198" t="s">
        <v>33</v>
      </c>
      <c r="T225" s="199"/>
      <c r="U225" s="200"/>
      <c r="V225" s="200"/>
      <c r="W225" s="200"/>
      <c r="X225" s="200"/>
      <c r="Y225" s="200"/>
      <c r="Z225" s="200"/>
      <c r="AA225" s="200"/>
      <c r="AB225" s="200"/>
      <c r="AC225" s="208"/>
      <c r="AD225" s="11" t="str">
        <f t="shared" si="9"/>
        <v>10</v>
      </c>
      <c r="AF225" t="str">
        <f t="shared" si="10"/>
        <v>80.01.ZZ.010</v>
      </c>
      <c r="AH225" t="str">
        <f t="shared" si="11"/>
        <v>00 de 01</v>
      </c>
    </row>
    <row r="226" spans="1:34" ht="34.5" x14ac:dyDescent="0.25">
      <c r="A226" s="139" t="s">
        <v>116</v>
      </c>
      <c r="B226" s="105" t="s">
        <v>122</v>
      </c>
      <c r="C226" s="63">
        <v>214</v>
      </c>
      <c r="D226" s="197" t="s">
        <v>190</v>
      </c>
      <c r="E226" s="189" t="s">
        <v>1130</v>
      </c>
      <c r="F226" s="190" t="s">
        <v>123</v>
      </c>
      <c r="G226" s="189" t="s">
        <v>204</v>
      </c>
      <c r="H226" s="191">
        <v>61792</v>
      </c>
      <c r="I226" s="189" t="s">
        <v>908</v>
      </c>
      <c r="J226" s="189">
        <v>0</v>
      </c>
      <c r="K226" s="189" t="s">
        <v>923</v>
      </c>
      <c r="L226" s="191">
        <v>10</v>
      </c>
      <c r="M226" s="192">
        <v>46092</v>
      </c>
      <c r="N226" s="193">
        <v>1</v>
      </c>
      <c r="O226" s="194">
        <v>1</v>
      </c>
      <c r="P226" s="195"/>
      <c r="Q226" s="196" t="s">
        <v>38</v>
      </c>
      <c r="R226" s="197">
        <v>1</v>
      </c>
      <c r="S226" s="198" t="s">
        <v>33</v>
      </c>
      <c r="T226" s="199"/>
      <c r="U226" s="200"/>
      <c r="V226" s="200"/>
      <c r="W226" s="200"/>
      <c r="X226" s="200"/>
      <c r="Y226" s="200"/>
      <c r="Z226" s="200"/>
      <c r="AA226" s="200"/>
      <c r="AB226" s="200"/>
      <c r="AC226" s="208"/>
      <c r="AD226" s="11" t="str">
        <f t="shared" si="9"/>
        <v>10</v>
      </c>
      <c r="AF226" t="str">
        <f t="shared" si="10"/>
        <v>80.01.ZZ.010</v>
      </c>
      <c r="AH226" t="str">
        <f t="shared" si="11"/>
        <v>00 de 01</v>
      </c>
    </row>
    <row r="227" spans="1:34" ht="34.5" x14ac:dyDescent="0.25">
      <c r="A227" s="139" t="s">
        <v>116</v>
      </c>
      <c r="B227" s="105" t="s">
        <v>122</v>
      </c>
      <c r="C227" s="63">
        <v>215</v>
      </c>
      <c r="D227" s="197" t="s">
        <v>190</v>
      </c>
      <c r="E227" s="189" t="s">
        <v>1131</v>
      </c>
      <c r="F227" s="190" t="s">
        <v>123</v>
      </c>
      <c r="G227" s="189" t="s">
        <v>204</v>
      </c>
      <c r="H227" s="191">
        <v>61792</v>
      </c>
      <c r="I227" s="189" t="s">
        <v>908</v>
      </c>
      <c r="J227" s="189">
        <v>0</v>
      </c>
      <c r="K227" s="189" t="s">
        <v>923</v>
      </c>
      <c r="L227" s="191">
        <v>10</v>
      </c>
      <c r="M227" s="192">
        <v>46092</v>
      </c>
      <c r="N227" s="193">
        <v>1</v>
      </c>
      <c r="O227" s="194">
        <v>1</v>
      </c>
      <c r="P227" s="195"/>
      <c r="Q227" s="196" t="s">
        <v>38</v>
      </c>
      <c r="R227" s="197">
        <v>1</v>
      </c>
      <c r="S227" s="198" t="s">
        <v>33</v>
      </c>
      <c r="T227" s="199"/>
      <c r="U227" s="200"/>
      <c r="V227" s="200"/>
      <c r="W227" s="200"/>
      <c r="X227" s="200"/>
      <c r="Y227" s="200"/>
      <c r="Z227" s="200"/>
      <c r="AA227" s="200"/>
      <c r="AB227" s="200"/>
      <c r="AC227" s="208"/>
      <c r="AD227" s="11" t="str">
        <f t="shared" si="9"/>
        <v>10</v>
      </c>
      <c r="AF227" t="str">
        <f t="shared" si="10"/>
        <v>80.01.ZZ.010</v>
      </c>
      <c r="AH227" t="str">
        <f t="shared" si="11"/>
        <v>00 de 01</v>
      </c>
    </row>
    <row r="228" spans="1:34" ht="34.5" x14ac:dyDescent="0.25">
      <c r="A228" s="139" t="s">
        <v>116</v>
      </c>
      <c r="B228" s="105" t="s">
        <v>122</v>
      </c>
      <c r="C228" s="63">
        <v>216</v>
      </c>
      <c r="D228" s="197" t="s">
        <v>190</v>
      </c>
      <c r="E228" s="189" t="s">
        <v>1132</v>
      </c>
      <c r="F228" s="190" t="s">
        <v>123</v>
      </c>
      <c r="G228" s="189" t="s">
        <v>204</v>
      </c>
      <c r="H228" s="191">
        <v>61792</v>
      </c>
      <c r="I228" s="189" t="s">
        <v>908</v>
      </c>
      <c r="J228" s="189">
        <v>0</v>
      </c>
      <c r="K228" s="189" t="s">
        <v>923</v>
      </c>
      <c r="L228" s="191">
        <v>10</v>
      </c>
      <c r="M228" s="192">
        <v>46092</v>
      </c>
      <c r="N228" s="193">
        <v>1</v>
      </c>
      <c r="O228" s="194">
        <v>1</v>
      </c>
      <c r="P228" s="195"/>
      <c r="Q228" s="196" t="s">
        <v>38</v>
      </c>
      <c r="R228" s="197">
        <v>1</v>
      </c>
      <c r="S228" s="198" t="s">
        <v>33</v>
      </c>
      <c r="T228" s="199"/>
      <c r="U228" s="200"/>
      <c r="V228" s="200"/>
      <c r="W228" s="200"/>
      <c r="X228" s="200"/>
      <c r="Y228" s="200"/>
      <c r="Z228" s="200"/>
      <c r="AA228" s="200"/>
      <c r="AB228" s="200"/>
      <c r="AC228" s="208"/>
      <c r="AD228" s="11" t="str">
        <f t="shared" si="9"/>
        <v>10</v>
      </c>
      <c r="AF228" t="str">
        <f t="shared" si="10"/>
        <v>80.01.ZZ.010</v>
      </c>
      <c r="AH228" t="str">
        <f t="shared" si="11"/>
        <v>00 de 01</v>
      </c>
    </row>
    <row r="229" spans="1:34" ht="34.5" x14ac:dyDescent="0.25">
      <c r="A229" s="139" t="s">
        <v>116</v>
      </c>
      <c r="B229" s="105" t="s">
        <v>122</v>
      </c>
      <c r="C229" s="63">
        <v>217</v>
      </c>
      <c r="D229" s="197" t="s">
        <v>190</v>
      </c>
      <c r="E229" s="189" t="s">
        <v>1133</v>
      </c>
      <c r="F229" s="190" t="s">
        <v>123</v>
      </c>
      <c r="G229" s="189" t="s">
        <v>204</v>
      </c>
      <c r="H229" s="191">
        <v>61792</v>
      </c>
      <c r="I229" s="189" t="s">
        <v>908</v>
      </c>
      <c r="J229" s="189">
        <v>0</v>
      </c>
      <c r="K229" s="189" t="s">
        <v>923</v>
      </c>
      <c r="L229" s="191">
        <v>10</v>
      </c>
      <c r="M229" s="192">
        <v>46092</v>
      </c>
      <c r="N229" s="193">
        <v>1</v>
      </c>
      <c r="O229" s="194">
        <v>1</v>
      </c>
      <c r="P229" s="195"/>
      <c r="Q229" s="196" t="s">
        <v>38</v>
      </c>
      <c r="R229" s="197">
        <v>1</v>
      </c>
      <c r="S229" s="198" t="s">
        <v>33</v>
      </c>
      <c r="T229" s="199"/>
      <c r="U229" s="200"/>
      <c r="V229" s="200"/>
      <c r="W229" s="200"/>
      <c r="X229" s="200"/>
      <c r="Y229" s="200"/>
      <c r="Z229" s="200"/>
      <c r="AA229" s="200"/>
      <c r="AB229" s="200"/>
      <c r="AC229" s="208"/>
      <c r="AD229" s="11" t="str">
        <f t="shared" si="9"/>
        <v>10</v>
      </c>
      <c r="AF229" t="str">
        <f t="shared" si="10"/>
        <v>80.01.ZZ.010</v>
      </c>
      <c r="AH229" t="str">
        <f t="shared" si="11"/>
        <v>00 de 01</v>
      </c>
    </row>
    <row r="230" spans="1:34" ht="34.5" x14ac:dyDescent="0.25">
      <c r="A230" s="139" t="s">
        <v>116</v>
      </c>
      <c r="B230" s="105" t="s">
        <v>122</v>
      </c>
      <c r="C230" s="63">
        <v>218</v>
      </c>
      <c r="D230" s="197" t="s">
        <v>190</v>
      </c>
      <c r="E230" s="189" t="s">
        <v>1134</v>
      </c>
      <c r="F230" s="190" t="s">
        <v>123</v>
      </c>
      <c r="G230" s="189" t="s">
        <v>204</v>
      </c>
      <c r="H230" s="191">
        <v>61792</v>
      </c>
      <c r="I230" s="189" t="s">
        <v>908</v>
      </c>
      <c r="J230" s="189">
        <v>0</v>
      </c>
      <c r="K230" s="189" t="s">
        <v>923</v>
      </c>
      <c r="L230" s="191">
        <v>10</v>
      </c>
      <c r="M230" s="192">
        <v>46092</v>
      </c>
      <c r="N230" s="193">
        <v>1</v>
      </c>
      <c r="O230" s="194">
        <v>1</v>
      </c>
      <c r="P230" s="195"/>
      <c r="Q230" s="196" t="s">
        <v>38</v>
      </c>
      <c r="R230" s="197">
        <v>1</v>
      </c>
      <c r="S230" s="198" t="s">
        <v>33</v>
      </c>
      <c r="T230" s="199"/>
      <c r="U230" s="200"/>
      <c r="V230" s="200"/>
      <c r="W230" s="200"/>
      <c r="X230" s="200"/>
      <c r="Y230" s="200"/>
      <c r="Z230" s="200"/>
      <c r="AA230" s="200"/>
      <c r="AB230" s="200"/>
      <c r="AC230" s="208"/>
      <c r="AD230" s="11" t="str">
        <f t="shared" si="9"/>
        <v>10</v>
      </c>
      <c r="AF230" t="str">
        <f t="shared" si="10"/>
        <v>80.01.ZZ.010</v>
      </c>
      <c r="AH230" t="str">
        <f t="shared" si="11"/>
        <v>00 de 01</v>
      </c>
    </row>
    <row r="231" spans="1:34" ht="34.5" x14ac:dyDescent="0.25">
      <c r="A231" s="139" t="s">
        <v>116</v>
      </c>
      <c r="B231" s="105" t="s">
        <v>122</v>
      </c>
      <c r="C231" s="63">
        <v>219</v>
      </c>
      <c r="D231" s="197" t="s">
        <v>190</v>
      </c>
      <c r="E231" s="189" t="s">
        <v>1135</v>
      </c>
      <c r="F231" s="190" t="s">
        <v>123</v>
      </c>
      <c r="G231" s="189" t="s">
        <v>204</v>
      </c>
      <c r="H231" s="191">
        <v>61792</v>
      </c>
      <c r="I231" s="189" t="s">
        <v>908</v>
      </c>
      <c r="J231" s="189">
        <v>0</v>
      </c>
      <c r="K231" s="189" t="s">
        <v>923</v>
      </c>
      <c r="L231" s="191">
        <v>10</v>
      </c>
      <c r="M231" s="192">
        <v>46092</v>
      </c>
      <c r="N231" s="193">
        <v>1</v>
      </c>
      <c r="O231" s="194">
        <v>1</v>
      </c>
      <c r="P231" s="195"/>
      <c r="Q231" s="196" t="s">
        <v>38</v>
      </c>
      <c r="R231" s="197">
        <v>1</v>
      </c>
      <c r="S231" s="198" t="s">
        <v>33</v>
      </c>
      <c r="T231" s="199"/>
      <c r="U231" s="200"/>
      <c r="V231" s="200"/>
      <c r="W231" s="200"/>
      <c r="X231" s="200"/>
      <c r="Y231" s="200"/>
      <c r="Z231" s="200"/>
      <c r="AA231" s="200"/>
      <c r="AB231" s="200"/>
      <c r="AC231" s="208"/>
      <c r="AD231" s="11" t="str">
        <f t="shared" si="9"/>
        <v>10</v>
      </c>
      <c r="AF231" t="str">
        <f t="shared" si="10"/>
        <v>80.01.ZZ.010</v>
      </c>
      <c r="AH231" t="str">
        <f t="shared" si="11"/>
        <v>00 de 01</v>
      </c>
    </row>
    <row r="232" spans="1:34" ht="34.5" x14ac:dyDescent="0.25">
      <c r="A232" s="139" t="s">
        <v>116</v>
      </c>
      <c r="B232" s="105" t="s">
        <v>122</v>
      </c>
      <c r="C232" s="63">
        <v>220</v>
      </c>
      <c r="D232" s="197" t="s">
        <v>190</v>
      </c>
      <c r="E232" s="189" t="s">
        <v>1136</v>
      </c>
      <c r="F232" s="190" t="s">
        <v>123</v>
      </c>
      <c r="G232" s="189" t="s">
        <v>204</v>
      </c>
      <c r="H232" s="191">
        <v>61792</v>
      </c>
      <c r="I232" s="189" t="s">
        <v>908</v>
      </c>
      <c r="J232" s="189">
        <v>0</v>
      </c>
      <c r="K232" s="189" t="s">
        <v>923</v>
      </c>
      <c r="L232" s="191">
        <v>10</v>
      </c>
      <c r="M232" s="192">
        <v>46092</v>
      </c>
      <c r="N232" s="193">
        <v>1</v>
      </c>
      <c r="O232" s="194">
        <v>1</v>
      </c>
      <c r="P232" s="195"/>
      <c r="Q232" s="196" t="s">
        <v>38</v>
      </c>
      <c r="R232" s="197">
        <v>1</v>
      </c>
      <c r="S232" s="198" t="s">
        <v>33</v>
      </c>
      <c r="T232" s="199"/>
      <c r="U232" s="200"/>
      <c r="V232" s="200"/>
      <c r="W232" s="200"/>
      <c r="X232" s="200"/>
      <c r="Y232" s="200"/>
      <c r="Z232" s="200"/>
      <c r="AA232" s="200"/>
      <c r="AB232" s="200"/>
      <c r="AC232" s="208"/>
      <c r="AD232" s="11" t="str">
        <f t="shared" si="9"/>
        <v>10</v>
      </c>
      <c r="AF232" t="str">
        <f t="shared" si="10"/>
        <v>80.01.ZZ.010</v>
      </c>
      <c r="AH232" t="str">
        <f t="shared" si="11"/>
        <v>00 de 01</v>
      </c>
    </row>
    <row r="233" spans="1:34" ht="34.5" x14ac:dyDescent="0.25">
      <c r="A233" s="139" t="s">
        <v>116</v>
      </c>
      <c r="B233" s="105" t="s">
        <v>122</v>
      </c>
      <c r="C233" s="63">
        <v>221</v>
      </c>
      <c r="D233" s="197" t="s">
        <v>205</v>
      </c>
      <c r="E233" s="189" t="s">
        <v>1269</v>
      </c>
      <c r="F233" s="190" t="s">
        <v>123</v>
      </c>
      <c r="G233" s="189" t="s">
        <v>74</v>
      </c>
      <c r="H233" s="191">
        <v>67392</v>
      </c>
      <c r="I233" s="189" t="s">
        <v>216</v>
      </c>
      <c r="J233" s="189">
        <v>0</v>
      </c>
      <c r="K233" s="189" t="s">
        <v>1250</v>
      </c>
      <c r="L233" s="191">
        <v>7</v>
      </c>
      <c r="M233" s="192">
        <v>46092</v>
      </c>
      <c r="N233" s="193">
        <v>0.5</v>
      </c>
      <c r="O233" s="194">
        <v>0.5</v>
      </c>
      <c r="P233" s="195"/>
      <c r="Q233" s="196" t="s">
        <v>38</v>
      </c>
      <c r="R233" s="197">
        <v>1</v>
      </c>
      <c r="S233" s="198" t="s">
        <v>33</v>
      </c>
      <c r="T233" s="199"/>
      <c r="U233" s="200"/>
      <c r="V233" s="200"/>
      <c r="W233" s="200"/>
      <c r="X233" s="200"/>
      <c r="Y233" s="200"/>
      <c r="Z233" s="200"/>
      <c r="AA233" s="200"/>
      <c r="AB233" s="200"/>
      <c r="AC233" s="208"/>
      <c r="AD233" s="11" t="str">
        <f t="shared" si="9"/>
        <v>7</v>
      </c>
      <c r="AF233" t="str">
        <f t="shared" si="10"/>
        <v>80.01.ZZ.07</v>
      </c>
      <c r="AH233" t="str">
        <f t="shared" si="11"/>
        <v>00 de 01</v>
      </c>
    </row>
    <row r="234" spans="1:34" ht="34.5" x14ac:dyDescent="0.25">
      <c r="A234" s="139" t="s">
        <v>116</v>
      </c>
      <c r="B234" s="105" t="s">
        <v>122</v>
      </c>
      <c r="C234" s="63">
        <v>222</v>
      </c>
      <c r="D234" s="197" t="s">
        <v>205</v>
      </c>
      <c r="E234" s="189" t="s">
        <v>1270</v>
      </c>
      <c r="F234" s="190" t="s">
        <v>123</v>
      </c>
      <c r="G234" s="189" t="s">
        <v>74</v>
      </c>
      <c r="H234" s="191">
        <v>67392</v>
      </c>
      <c r="I234" s="189" t="s">
        <v>216</v>
      </c>
      <c r="J234" s="189">
        <v>0</v>
      </c>
      <c r="K234" s="189" t="s">
        <v>1251</v>
      </c>
      <c r="L234" s="191">
        <v>7</v>
      </c>
      <c r="M234" s="192">
        <v>46092</v>
      </c>
      <c r="N234" s="193">
        <v>0.5</v>
      </c>
      <c r="O234" s="194">
        <v>0.5</v>
      </c>
      <c r="P234" s="195"/>
      <c r="Q234" s="196" t="s">
        <v>38</v>
      </c>
      <c r="R234" s="197">
        <v>1</v>
      </c>
      <c r="S234" s="198" t="s">
        <v>33</v>
      </c>
      <c r="T234" s="199"/>
      <c r="U234" s="200"/>
      <c r="V234" s="200"/>
      <c r="W234" s="200"/>
      <c r="X234" s="200"/>
      <c r="Y234" s="200"/>
      <c r="Z234" s="200"/>
      <c r="AA234" s="200"/>
      <c r="AB234" s="200"/>
      <c r="AC234" s="208"/>
      <c r="AD234" s="11" t="str">
        <f t="shared" si="9"/>
        <v>7</v>
      </c>
      <c r="AF234" t="str">
        <f t="shared" si="10"/>
        <v>80.01.ZZ.07</v>
      </c>
      <c r="AH234" t="str">
        <f t="shared" si="11"/>
        <v>00 de 01</v>
      </c>
    </row>
    <row r="235" spans="1:34" ht="34.5" x14ac:dyDescent="0.25">
      <c r="A235" s="139" t="s">
        <v>116</v>
      </c>
      <c r="B235" s="105" t="s">
        <v>122</v>
      </c>
      <c r="C235" s="63">
        <v>223</v>
      </c>
      <c r="D235" s="197" t="s">
        <v>205</v>
      </c>
      <c r="E235" s="189" t="s">
        <v>210</v>
      </c>
      <c r="F235" s="190" t="s">
        <v>123</v>
      </c>
      <c r="G235" s="189" t="s">
        <v>74</v>
      </c>
      <c r="H235" s="191">
        <v>67392</v>
      </c>
      <c r="I235" s="189" t="s">
        <v>216</v>
      </c>
      <c r="J235" s="189">
        <v>0</v>
      </c>
      <c r="K235" s="189" t="s">
        <v>220</v>
      </c>
      <c r="L235" s="191">
        <v>7</v>
      </c>
      <c r="M235" s="192">
        <v>46092</v>
      </c>
      <c r="N235" s="193">
        <v>1</v>
      </c>
      <c r="O235" s="194">
        <v>1</v>
      </c>
      <c r="P235" s="195"/>
      <c r="Q235" s="196" t="s">
        <v>38</v>
      </c>
      <c r="R235" s="197">
        <v>1</v>
      </c>
      <c r="S235" s="198" t="s">
        <v>33</v>
      </c>
      <c r="T235" s="199"/>
      <c r="U235" s="200"/>
      <c r="V235" s="200"/>
      <c r="W235" s="200"/>
      <c r="X235" s="200"/>
      <c r="Y235" s="200"/>
      <c r="Z235" s="200"/>
      <c r="AA235" s="200"/>
      <c r="AB235" s="200"/>
      <c r="AC235" s="208"/>
      <c r="AD235" s="11" t="str">
        <f t="shared" si="9"/>
        <v>7</v>
      </c>
      <c r="AF235" t="str">
        <f t="shared" si="10"/>
        <v>80.01.ZZ.07</v>
      </c>
      <c r="AH235" t="str">
        <f t="shared" si="11"/>
        <v>00 de 01</v>
      </c>
    </row>
    <row r="236" spans="1:34" ht="34.5" x14ac:dyDescent="0.25">
      <c r="A236" s="139" t="s">
        <v>116</v>
      </c>
      <c r="B236" s="105" t="s">
        <v>122</v>
      </c>
      <c r="C236" s="63">
        <v>224</v>
      </c>
      <c r="D236" s="197" t="s">
        <v>190</v>
      </c>
      <c r="E236" s="189" t="s">
        <v>1137</v>
      </c>
      <c r="F236" s="190" t="s">
        <v>123</v>
      </c>
      <c r="G236" s="189" t="s">
        <v>74</v>
      </c>
      <c r="H236" s="191">
        <v>67392</v>
      </c>
      <c r="I236" s="189" t="s">
        <v>216</v>
      </c>
      <c r="J236" s="189">
        <v>0</v>
      </c>
      <c r="K236" s="189" t="s">
        <v>220</v>
      </c>
      <c r="L236" s="191">
        <v>7</v>
      </c>
      <c r="M236" s="192">
        <v>46092</v>
      </c>
      <c r="N236" s="193">
        <v>1</v>
      </c>
      <c r="O236" s="194">
        <v>1</v>
      </c>
      <c r="P236" s="195"/>
      <c r="Q236" s="196" t="s">
        <v>38</v>
      </c>
      <c r="R236" s="197">
        <v>1</v>
      </c>
      <c r="S236" s="198" t="s">
        <v>33</v>
      </c>
      <c r="T236" s="199"/>
      <c r="U236" s="200"/>
      <c r="V236" s="200"/>
      <c r="W236" s="200"/>
      <c r="X236" s="200"/>
      <c r="Y236" s="200"/>
      <c r="Z236" s="200"/>
      <c r="AA236" s="200"/>
      <c r="AB236" s="200"/>
      <c r="AC236" s="208"/>
      <c r="AD236" s="11" t="str">
        <f t="shared" si="9"/>
        <v>7</v>
      </c>
      <c r="AF236" t="str">
        <f t="shared" si="10"/>
        <v>80.01.ZZ.07</v>
      </c>
      <c r="AH236" t="str">
        <f t="shared" si="11"/>
        <v>00 de 01</v>
      </c>
    </row>
    <row r="237" spans="1:34" ht="34.5" x14ac:dyDescent="0.25">
      <c r="A237" s="139" t="s">
        <v>116</v>
      </c>
      <c r="B237" s="105" t="s">
        <v>122</v>
      </c>
      <c r="C237" s="63">
        <v>225</v>
      </c>
      <c r="D237" s="197" t="s">
        <v>190</v>
      </c>
      <c r="E237" s="189" t="s">
        <v>1138</v>
      </c>
      <c r="F237" s="190" t="s">
        <v>123</v>
      </c>
      <c r="G237" s="189" t="s">
        <v>74</v>
      </c>
      <c r="H237" s="191">
        <v>67392</v>
      </c>
      <c r="I237" s="189" t="s">
        <v>216</v>
      </c>
      <c r="J237" s="189">
        <v>0</v>
      </c>
      <c r="K237" s="189" t="s">
        <v>220</v>
      </c>
      <c r="L237" s="191">
        <v>7</v>
      </c>
      <c r="M237" s="192">
        <v>46092</v>
      </c>
      <c r="N237" s="193">
        <v>1</v>
      </c>
      <c r="O237" s="194">
        <v>1</v>
      </c>
      <c r="P237" s="195"/>
      <c r="Q237" s="196" t="s">
        <v>38</v>
      </c>
      <c r="R237" s="197">
        <v>1</v>
      </c>
      <c r="S237" s="198" t="s">
        <v>33</v>
      </c>
      <c r="T237" s="199"/>
      <c r="U237" s="200"/>
      <c r="V237" s="200"/>
      <c r="W237" s="200"/>
      <c r="X237" s="200"/>
      <c r="Y237" s="200"/>
      <c r="Z237" s="200"/>
      <c r="AA237" s="200"/>
      <c r="AB237" s="200"/>
      <c r="AC237" s="208"/>
      <c r="AD237" s="11" t="str">
        <f t="shared" si="9"/>
        <v>7</v>
      </c>
      <c r="AF237" t="str">
        <f t="shared" si="10"/>
        <v>80.01.ZZ.07</v>
      </c>
      <c r="AH237" t="str">
        <f t="shared" si="11"/>
        <v>00 de 01</v>
      </c>
    </row>
    <row r="238" spans="1:34" ht="34.5" x14ac:dyDescent="0.25">
      <c r="A238" s="139" t="s">
        <v>116</v>
      </c>
      <c r="B238" s="105" t="s">
        <v>122</v>
      </c>
      <c r="C238" s="63">
        <v>226</v>
      </c>
      <c r="D238" s="197" t="s">
        <v>934</v>
      </c>
      <c r="E238" s="189" t="s">
        <v>1139</v>
      </c>
      <c r="F238" s="190" t="s">
        <v>123</v>
      </c>
      <c r="G238" s="189" t="s">
        <v>74</v>
      </c>
      <c r="H238" s="191">
        <v>67392</v>
      </c>
      <c r="I238" s="189" t="s">
        <v>216</v>
      </c>
      <c r="J238" s="189">
        <v>0</v>
      </c>
      <c r="K238" s="189" t="s">
        <v>924</v>
      </c>
      <c r="L238" s="191">
        <v>7</v>
      </c>
      <c r="M238" s="192">
        <v>46092</v>
      </c>
      <c r="N238" s="193">
        <v>1</v>
      </c>
      <c r="O238" s="194">
        <v>1</v>
      </c>
      <c r="P238" s="195"/>
      <c r="Q238" s="196" t="s">
        <v>38</v>
      </c>
      <c r="R238" s="197">
        <v>1</v>
      </c>
      <c r="S238" s="198" t="s">
        <v>33</v>
      </c>
      <c r="T238" s="199"/>
      <c r="U238" s="200"/>
      <c r="V238" s="200"/>
      <c r="W238" s="200"/>
      <c r="X238" s="200"/>
      <c r="Y238" s="200"/>
      <c r="Z238" s="200"/>
      <c r="AA238" s="200"/>
      <c r="AB238" s="200"/>
      <c r="AC238" s="208"/>
      <c r="AD238" s="11" t="str">
        <f t="shared" si="9"/>
        <v>7</v>
      </c>
      <c r="AF238" t="str">
        <f t="shared" si="10"/>
        <v>80.01.ZZ.07</v>
      </c>
      <c r="AH238" t="str">
        <f t="shared" si="11"/>
        <v>00 de 01</v>
      </c>
    </row>
    <row r="239" spans="1:34" ht="34.5" x14ac:dyDescent="0.25">
      <c r="A239" s="139" t="s">
        <v>116</v>
      </c>
      <c r="B239" s="105" t="s">
        <v>122</v>
      </c>
      <c r="C239" s="63">
        <v>227</v>
      </c>
      <c r="D239" s="197" t="s">
        <v>934</v>
      </c>
      <c r="E239" s="189" t="s">
        <v>1140</v>
      </c>
      <c r="F239" s="190" t="s">
        <v>123</v>
      </c>
      <c r="G239" s="189" t="s">
        <v>74</v>
      </c>
      <c r="H239" s="191">
        <v>67392</v>
      </c>
      <c r="I239" s="189" t="s">
        <v>216</v>
      </c>
      <c r="J239" s="189">
        <v>0</v>
      </c>
      <c r="K239" s="189" t="s">
        <v>925</v>
      </c>
      <c r="L239" s="191">
        <v>7</v>
      </c>
      <c r="M239" s="192">
        <v>46092</v>
      </c>
      <c r="N239" s="193">
        <v>1</v>
      </c>
      <c r="O239" s="194">
        <v>1</v>
      </c>
      <c r="P239" s="195"/>
      <c r="Q239" s="196" t="s">
        <v>38</v>
      </c>
      <c r="R239" s="197">
        <v>1</v>
      </c>
      <c r="S239" s="198" t="s">
        <v>33</v>
      </c>
      <c r="T239" s="199"/>
      <c r="U239" s="200"/>
      <c r="V239" s="200"/>
      <c r="W239" s="200"/>
      <c r="X239" s="200"/>
      <c r="Y239" s="200"/>
      <c r="Z239" s="200"/>
      <c r="AA239" s="200"/>
      <c r="AB239" s="200"/>
      <c r="AC239" s="208"/>
      <c r="AD239" s="11" t="str">
        <f t="shared" si="9"/>
        <v>7</v>
      </c>
      <c r="AF239" t="str">
        <f t="shared" si="10"/>
        <v>80.01.ZZ.07</v>
      </c>
      <c r="AH239" t="str">
        <f t="shared" si="11"/>
        <v>00 de 01</v>
      </c>
    </row>
    <row r="240" spans="1:34" ht="34.5" x14ac:dyDescent="0.25">
      <c r="A240" s="139" t="s">
        <v>116</v>
      </c>
      <c r="B240" s="105" t="s">
        <v>122</v>
      </c>
      <c r="C240" s="63">
        <v>228</v>
      </c>
      <c r="D240" s="197" t="s">
        <v>205</v>
      </c>
      <c r="E240" s="189" t="s">
        <v>211</v>
      </c>
      <c r="F240" s="190" t="s">
        <v>123</v>
      </c>
      <c r="G240" s="189" t="s">
        <v>74</v>
      </c>
      <c r="H240" s="191">
        <v>67392</v>
      </c>
      <c r="I240" s="189" t="s">
        <v>216</v>
      </c>
      <c r="J240" s="189">
        <v>0</v>
      </c>
      <c r="K240" s="189" t="s">
        <v>221</v>
      </c>
      <c r="L240" s="191">
        <v>7</v>
      </c>
      <c r="M240" s="192">
        <v>46092</v>
      </c>
      <c r="N240" s="193">
        <v>1</v>
      </c>
      <c r="O240" s="194">
        <v>1</v>
      </c>
      <c r="P240" s="195"/>
      <c r="Q240" s="196" t="s">
        <v>38</v>
      </c>
      <c r="R240" s="197">
        <v>1</v>
      </c>
      <c r="S240" s="198" t="s">
        <v>33</v>
      </c>
      <c r="T240" s="199"/>
      <c r="U240" s="200"/>
      <c r="V240" s="200"/>
      <c r="W240" s="200"/>
      <c r="X240" s="200"/>
      <c r="Y240" s="200"/>
      <c r="Z240" s="200"/>
      <c r="AA240" s="200"/>
      <c r="AB240" s="200"/>
      <c r="AC240" s="208"/>
      <c r="AD240" s="11" t="str">
        <f t="shared" si="9"/>
        <v>7</v>
      </c>
      <c r="AF240" t="str">
        <f t="shared" si="10"/>
        <v>80.01.ZZ.07</v>
      </c>
      <c r="AH240" t="str">
        <f t="shared" si="11"/>
        <v>00 de 01</v>
      </c>
    </row>
    <row r="241" spans="1:34" ht="34.5" x14ac:dyDescent="0.25">
      <c r="A241" s="139" t="s">
        <v>116</v>
      </c>
      <c r="B241" s="105" t="s">
        <v>122</v>
      </c>
      <c r="C241" s="63">
        <v>229</v>
      </c>
      <c r="D241" s="197" t="s">
        <v>190</v>
      </c>
      <c r="E241" s="189" t="s">
        <v>1141</v>
      </c>
      <c r="F241" s="190" t="s">
        <v>123</v>
      </c>
      <c r="G241" s="189" t="s">
        <v>74</v>
      </c>
      <c r="H241" s="191">
        <v>67392</v>
      </c>
      <c r="I241" s="189" t="s">
        <v>216</v>
      </c>
      <c r="J241" s="189">
        <v>0</v>
      </c>
      <c r="K241" s="189" t="s">
        <v>221</v>
      </c>
      <c r="L241" s="191">
        <v>7</v>
      </c>
      <c r="M241" s="192">
        <v>46092</v>
      </c>
      <c r="N241" s="193">
        <v>1</v>
      </c>
      <c r="O241" s="194">
        <v>1</v>
      </c>
      <c r="P241" s="195"/>
      <c r="Q241" s="196" t="s">
        <v>38</v>
      </c>
      <c r="R241" s="197">
        <v>1</v>
      </c>
      <c r="S241" s="198" t="s">
        <v>33</v>
      </c>
      <c r="T241" s="199"/>
      <c r="U241" s="200"/>
      <c r="V241" s="200"/>
      <c r="W241" s="200"/>
      <c r="X241" s="200"/>
      <c r="Y241" s="200"/>
      <c r="Z241" s="200"/>
      <c r="AA241" s="200"/>
      <c r="AB241" s="200"/>
      <c r="AC241" s="208"/>
      <c r="AD241" s="11" t="str">
        <f t="shared" si="9"/>
        <v>7</v>
      </c>
      <c r="AF241" t="str">
        <f t="shared" si="10"/>
        <v>80.01.ZZ.07</v>
      </c>
      <c r="AH241" t="str">
        <f t="shared" si="11"/>
        <v>00 de 01</v>
      </c>
    </row>
    <row r="242" spans="1:34" ht="34.5" x14ac:dyDescent="0.25">
      <c r="A242" s="139" t="s">
        <v>116</v>
      </c>
      <c r="B242" s="105" t="s">
        <v>122</v>
      </c>
      <c r="C242" s="63">
        <v>230</v>
      </c>
      <c r="D242" s="197" t="s">
        <v>190</v>
      </c>
      <c r="E242" s="189" t="s">
        <v>1142</v>
      </c>
      <c r="F242" s="190" t="s">
        <v>123</v>
      </c>
      <c r="G242" s="189" t="s">
        <v>74</v>
      </c>
      <c r="H242" s="191">
        <v>67392</v>
      </c>
      <c r="I242" s="189" t="s">
        <v>216</v>
      </c>
      <c r="J242" s="189">
        <v>0</v>
      </c>
      <c r="K242" s="189" t="s">
        <v>221</v>
      </c>
      <c r="L242" s="191">
        <v>7</v>
      </c>
      <c r="M242" s="192">
        <v>46092</v>
      </c>
      <c r="N242" s="193">
        <v>1</v>
      </c>
      <c r="O242" s="194">
        <v>1</v>
      </c>
      <c r="P242" s="195"/>
      <c r="Q242" s="196" t="s">
        <v>38</v>
      </c>
      <c r="R242" s="197">
        <v>1</v>
      </c>
      <c r="S242" s="198" t="s">
        <v>33</v>
      </c>
      <c r="T242" s="199"/>
      <c r="U242" s="200"/>
      <c r="V242" s="200"/>
      <c r="W242" s="200"/>
      <c r="X242" s="200"/>
      <c r="Y242" s="200"/>
      <c r="Z242" s="200"/>
      <c r="AA242" s="200"/>
      <c r="AB242" s="200"/>
      <c r="AC242" s="208"/>
      <c r="AD242" s="11" t="str">
        <f t="shared" si="9"/>
        <v>7</v>
      </c>
      <c r="AF242" t="str">
        <f t="shared" si="10"/>
        <v>80.01.ZZ.07</v>
      </c>
      <c r="AH242" t="str">
        <f t="shared" si="11"/>
        <v>00 de 01</v>
      </c>
    </row>
    <row r="243" spans="1:34" ht="34.5" x14ac:dyDescent="0.25">
      <c r="A243" s="139" t="s">
        <v>116</v>
      </c>
      <c r="B243" s="105" t="s">
        <v>122</v>
      </c>
      <c r="C243" s="63">
        <v>231</v>
      </c>
      <c r="D243" s="197" t="s">
        <v>190</v>
      </c>
      <c r="E243" s="189" t="s">
        <v>1143</v>
      </c>
      <c r="F243" s="190" t="s">
        <v>123</v>
      </c>
      <c r="G243" s="189" t="s">
        <v>74</v>
      </c>
      <c r="H243" s="191">
        <v>67392</v>
      </c>
      <c r="I243" s="189" t="s">
        <v>216</v>
      </c>
      <c r="J243" s="189">
        <v>0</v>
      </c>
      <c r="K243" s="189" t="s">
        <v>221</v>
      </c>
      <c r="L243" s="191">
        <v>7</v>
      </c>
      <c r="M243" s="192">
        <v>46092</v>
      </c>
      <c r="N243" s="193">
        <v>1</v>
      </c>
      <c r="O243" s="194">
        <v>1</v>
      </c>
      <c r="P243" s="195"/>
      <c r="Q243" s="196" t="s">
        <v>38</v>
      </c>
      <c r="R243" s="197">
        <v>1</v>
      </c>
      <c r="S243" s="198" t="s">
        <v>33</v>
      </c>
      <c r="T243" s="199"/>
      <c r="U243" s="200"/>
      <c r="V243" s="200"/>
      <c r="W243" s="200"/>
      <c r="X243" s="200"/>
      <c r="Y243" s="200"/>
      <c r="Z243" s="200"/>
      <c r="AA243" s="200"/>
      <c r="AB243" s="200"/>
      <c r="AC243" s="208"/>
      <c r="AD243" s="11" t="str">
        <f t="shared" si="9"/>
        <v>7</v>
      </c>
      <c r="AF243" t="str">
        <f t="shared" si="10"/>
        <v>80.01.ZZ.07</v>
      </c>
      <c r="AH243" t="str">
        <f t="shared" si="11"/>
        <v>00 de 01</v>
      </c>
    </row>
    <row r="244" spans="1:34" ht="34.5" x14ac:dyDescent="0.25">
      <c r="A244" s="139" t="s">
        <v>116</v>
      </c>
      <c r="B244" s="105" t="s">
        <v>122</v>
      </c>
      <c r="C244" s="63">
        <v>232</v>
      </c>
      <c r="D244" s="197" t="s">
        <v>190</v>
      </c>
      <c r="E244" s="189" t="s">
        <v>1144</v>
      </c>
      <c r="F244" s="190" t="s">
        <v>123</v>
      </c>
      <c r="G244" s="189" t="s">
        <v>74</v>
      </c>
      <c r="H244" s="191">
        <v>67392</v>
      </c>
      <c r="I244" s="189" t="s">
        <v>216</v>
      </c>
      <c r="J244" s="189">
        <v>0</v>
      </c>
      <c r="K244" s="189" t="s">
        <v>221</v>
      </c>
      <c r="L244" s="191">
        <v>7</v>
      </c>
      <c r="M244" s="192">
        <v>46092</v>
      </c>
      <c r="N244" s="193">
        <v>1</v>
      </c>
      <c r="O244" s="194">
        <v>1</v>
      </c>
      <c r="P244" s="195"/>
      <c r="Q244" s="196" t="s">
        <v>38</v>
      </c>
      <c r="R244" s="197">
        <v>1</v>
      </c>
      <c r="S244" s="198" t="s">
        <v>33</v>
      </c>
      <c r="T244" s="199"/>
      <c r="U244" s="200"/>
      <c r="V244" s="200"/>
      <c r="W244" s="200"/>
      <c r="X244" s="200"/>
      <c r="Y244" s="200"/>
      <c r="Z244" s="200"/>
      <c r="AA244" s="200"/>
      <c r="AB244" s="200"/>
      <c r="AC244" s="208"/>
      <c r="AD244" s="11" t="str">
        <f t="shared" si="9"/>
        <v>7</v>
      </c>
      <c r="AF244" t="str">
        <f t="shared" si="10"/>
        <v>80.01.ZZ.07</v>
      </c>
      <c r="AH244" t="str">
        <f t="shared" si="11"/>
        <v>00 de 01</v>
      </c>
    </row>
    <row r="245" spans="1:34" ht="34.5" x14ac:dyDescent="0.25">
      <c r="A245" s="139" t="s">
        <v>116</v>
      </c>
      <c r="B245" s="105" t="s">
        <v>122</v>
      </c>
      <c r="C245" s="63">
        <v>233</v>
      </c>
      <c r="D245" s="197" t="s">
        <v>934</v>
      </c>
      <c r="E245" s="189" t="s">
        <v>1145</v>
      </c>
      <c r="F245" s="190" t="s">
        <v>123</v>
      </c>
      <c r="G245" s="189" t="s">
        <v>74</v>
      </c>
      <c r="H245" s="191">
        <v>67392</v>
      </c>
      <c r="I245" s="189" t="s">
        <v>216</v>
      </c>
      <c r="J245" s="189">
        <v>0</v>
      </c>
      <c r="K245" s="189" t="s">
        <v>926</v>
      </c>
      <c r="L245" s="191">
        <v>7</v>
      </c>
      <c r="M245" s="192">
        <v>46092</v>
      </c>
      <c r="N245" s="193">
        <v>1</v>
      </c>
      <c r="O245" s="194">
        <v>1</v>
      </c>
      <c r="P245" s="195"/>
      <c r="Q245" s="196" t="s">
        <v>38</v>
      </c>
      <c r="R245" s="197">
        <v>1</v>
      </c>
      <c r="S245" s="198" t="s">
        <v>33</v>
      </c>
      <c r="T245" s="199"/>
      <c r="U245" s="200"/>
      <c r="V245" s="200"/>
      <c r="W245" s="200"/>
      <c r="X245" s="200"/>
      <c r="Y245" s="200"/>
      <c r="Z245" s="200"/>
      <c r="AA245" s="200"/>
      <c r="AB245" s="200"/>
      <c r="AC245" s="208"/>
      <c r="AD245" s="11" t="str">
        <f t="shared" si="9"/>
        <v>7</v>
      </c>
      <c r="AF245" t="str">
        <f t="shared" si="10"/>
        <v>80.01.ZZ.07</v>
      </c>
      <c r="AH245" t="str">
        <f t="shared" si="11"/>
        <v>00 de 01</v>
      </c>
    </row>
    <row r="246" spans="1:34" ht="34.5" x14ac:dyDescent="0.25">
      <c r="A246" s="139" t="s">
        <v>116</v>
      </c>
      <c r="B246" s="105" t="s">
        <v>122</v>
      </c>
      <c r="C246" s="63">
        <v>234</v>
      </c>
      <c r="D246" s="197" t="s">
        <v>934</v>
      </c>
      <c r="E246" s="189" t="s">
        <v>1146</v>
      </c>
      <c r="F246" s="190" t="s">
        <v>123</v>
      </c>
      <c r="G246" s="189" t="s">
        <v>74</v>
      </c>
      <c r="H246" s="191">
        <v>67392</v>
      </c>
      <c r="I246" s="189" t="s">
        <v>216</v>
      </c>
      <c r="J246" s="189">
        <v>0</v>
      </c>
      <c r="K246" s="189" t="s">
        <v>927</v>
      </c>
      <c r="L246" s="191">
        <v>7</v>
      </c>
      <c r="M246" s="192">
        <v>46092</v>
      </c>
      <c r="N246" s="193">
        <v>1</v>
      </c>
      <c r="O246" s="194">
        <v>1</v>
      </c>
      <c r="P246" s="195"/>
      <c r="Q246" s="196" t="s">
        <v>38</v>
      </c>
      <c r="R246" s="197">
        <v>1</v>
      </c>
      <c r="S246" s="198" t="s">
        <v>33</v>
      </c>
      <c r="T246" s="199"/>
      <c r="U246" s="200"/>
      <c r="V246" s="200"/>
      <c r="W246" s="200"/>
      <c r="X246" s="200"/>
      <c r="Y246" s="200"/>
      <c r="Z246" s="200"/>
      <c r="AA246" s="200"/>
      <c r="AB246" s="200"/>
      <c r="AC246" s="208"/>
      <c r="AD246" s="11" t="str">
        <f t="shared" si="9"/>
        <v>7</v>
      </c>
      <c r="AF246" t="str">
        <f t="shared" si="10"/>
        <v>80.01.ZZ.07</v>
      </c>
      <c r="AH246" t="str">
        <f t="shared" si="11"/>
        <v>00 de 01</v>
      </c>
    </row>
    <row r="247" spans="1:34" ht="34.5" x14ac:dyDescent="0.25">
      <c r="A247" s="139" t="s">
        <v>116</v>
      </c>
      <c r="B247" s="105" t="s">
        <v>122</v>
      </c>
      <c r="C247" s="63">
        <v>235</v>
      </c>
      <c r="D247" s="197" t="s">
        <v>205</v>
      </c>
      <c r="E247" s="189" t="s">
        <v>1271</v>
      </c>
      <c r="F247" s="190" t="s">
        <v>123</v>
      </c>
      <c r="G247" s="189" t="s">
        <v>74</v>
      </c>
      <c r="H247" s="191">
        <v>67392</v>
      </c>
      <c r="I247" s="189" t="s">
        <v>216</v>
      </c>
      <c r="J247" s="189">
        <v>0</v>
      </c>
      <c r="K247" s="189" t="s">
        <v>1252</v>
      </c>
      <c r="L247" s="191">
        <v>7</v>
      </c>
      <c r="M247" s="192">
        <v>46092</v>
      </c>
      <c r="N247" s="193">
        <v>0.5</v>
      </c>
      <c r="O247" s="194">
        <v>0.5</v>
      </c>
      <c r="P247" s="195"/>
      <c r="Q247" s="196" t="s">
        <v>38</v>
      </c>
      <c r="R247" s="197">
        <v>1</v>
      </c>
      <c r="S247" s="198" t="s">
        <v>33</v>
      </c>
      <c r="T247" s="199"/>
      <c r="U247" s="200"/>
      <c r="V247" s="200"/>
      <c r="W247" s="200"/>
      <c r="X247" s="200"/>
      <c r="Y247" s="200"/>
      <c r="Z247" s="200"/>
      <c r="AA247" s="200"/>
      <c r="AB247" s="200"/>
      <c r="AC247" s="208"/>
      <c r="AD247" s="11" t="str">
        <f t="shared" si="9"/>
        <v>7</v>
      </c>
      <c r="AF247" t="str">
        <f t="shared" si="10"/>
        <v>80.01.ZZ.07</v>
      </c>
      <c r="AH247" t="str">
        <f t="shared" si="11"/>
        <v>00 de 01</v>
      </c>
    </row>
    <row r="248" spans="1:34" ht="34.5" x14ac:dyDescent="0.25">
      <c r="A248" s="139" t="s">
        <v>116</v>
      </c>
      <c r="B248" s="105" t="s">
        <v>122</v>
      </c>
      <c r="C248" s="63">
        <v>236</v>
      </c>
      <c r="D248" s="197" t="s">
        <v>205</v>
      </c>
      <c r="E248" s="189" t="s">
        <v>1272</v>
      </c>
      <c r="F248" s="190" t="s">
        <v>123</v>
      </c>
      <c r="G248" s="189" t="s">
        <v>74</v>
      </c>
      <c r="H248" s="191">
        <v>67392</v>
      </c>
      <c r="I248" s="189" t="s">
        <v>216</v>
      </c>
      <c r="J248" s="189">
        <v>0</v>
      </c>
      <c r="K248" s="189" t="s">
        <v>1253</v>
      </c>
      <c r="L248" s="191">
        <v>7</v>
      </c>
      <c r="M248" s="192">
        <v>46092</v>
      </c>
      <c r="N248" s="193">
        <v>0.5</v>
      </c>
      <c r="O248" s="194">
        <v>0.5</v>
      </c>
      <c r="P248" s="195"/>
      <c r="Q248" s="196" t="s">
        <v>38</v>
      </c>
      <c r="R248" s="197">
        <v>1</v>
      </c>
      <c r="S248" s="198" t="s">
        <v>33</v>
      </c>
      <c r="T248" s="199"/>
      <c r="U248" s="200"/>
      <c r="V248" s="200"/>
      <c r="W248" s="200"/>
      <c r="X248" s="200"/>
      <c r="Y248" s="200"/>
      <c r="Z248" s="200"/>
      <c r="AA248" s="200"/>
      <c r="AB248" s="200"/>
      <c r="AC248" s="208"/>
      <c r="AD248" s="11" t="str">
        <f t="shared" si="9"/>
        <v>7</v>
      </c>
      <c r="AF248" t="str">
        <f t="shared" si="10"/>
        <v>80.01.ZZ.07</v>
      </c>
      <c r="AH248" t="str">
        <f t="shared" si="11"/>
        <v>00 de 01</v>
      </c>
    </row>
    <row r="249" spans="1:34" ht="34.5" x14ac:dyDescent="0.25">
      <c r="A249" s="139" t="s">
        <v>116</v>
      </c>
      <c r="B249" s="105" t="s">
        <v>122</v>
      </c>
      <c r="C249" s="63">
        <v>237</v>
      </c>
      <c r="D249" s="197" t="s">
        <v>133</v>
      </c>
      <c r="E249" s="189" t="s">
        <v>1147</v>
      </c>
      <c r="F249" s="190" t="s">
        <v>123</v>
      </c>
      <c r="G249" s="189" t="s">
        <v>135</v>
      </c>
      <c r="H249" s="191">
        <v>61792</v>
      </c>
      <c r="I249" s="189" t="s">
        <v>909</v>
      </c>
      <c r="J249" s="189">
        <v>0</v>
      </c>
      <c r="K249" s="189" t="s">
        <v>928</v>
      </c>
      <c r="L249" s="191">
        <v>10</v>
      </c>
      <c r="M249" s="192">
        <v>46092</v>
      </c>
      <c r="N249" s="193">
        <v>1</v>
      </c>
      <c r="O249" s="194">
        <v>1</v>
      </c>
      <c r="P249" s="195"/>
      <c r="Q249" s="196" t="s">
        <v>38</v>
      </c>
      <c r="R249" s="197">
        <v>1</v>
      </c>
      <c r="S249" s="198" t="s">
        <v>33</v>
      </c>
      <c r="T249" s="199"/>
      <c r="U249" s="200"/>
      <c r="V249" s="200"/>
      <c r="W249" s="200"/>
      <c r="X249" s="200"/>
      <c r="Y249" s="200"/>
      <c r="Z249" s="200"/>
      <c r="AA249" s="200"/>
      <c r="AB249" s="200"/>
      <c r="AC249" s="208"/>
      <c r="AD249" s="11" t="str">
        <f t="shared" si="9"/>
        <v>10</v>
      </c>
      <c r="AF249" t="str">
        <f t="shared" si="10"/>
        <v>80.01.ZZ.010</v>
      </c>
      <c r="AH249" t="str">
        <f t="shared" si="11"/>
        <v>00 de 01</v>
      </c>
    </row>
    <row r="250" spans="1:34" ht="34.5" x14ac:dyDescent="0.25">
      <c r="A250" s="139" t="s">
        <v>116</v>
      </c>
      <c r="B250" s="105" t="s">
        <v>122</v>
      </c>
      <c r="C250" s="63">
        <v>238</v>
      </c>
      <c r="D250" s="197" t="s">
        <v>190</v>
      </c>
      <c r="E250" s="189" t="s">
        <v>1148</v>
      </c>
      <c r="F250" s="190" t="s">
        <v>123</v>
      </c>
      <c r="G250" s="189" t="s">
        <v>135</v>
      </c>
      <c r="H250" s="191">
        <v>61792</v>
      </c>
      <c r="I250" s="189" t="s">
        <v>909</v>
      </c>
      <c r="J250" s="189">
        <v>0</v>
      </c>
      <c r="K250" s="189" t="s">
        <v>928</v>
      </c>
      <c r="L250" s="191">
        <v>10</v>
      </c>
      <c r="M250" s="192">
        <v>46092</v>
      </c>
      <c r="N250" s="193">
        <v>1</v>
      </c>
      <c r="O250" s="194">
        <v>1</v>
      </c>
      <c r="P250" s="195"/>
      <c r="Q250" s="196" t="s">
        <v>38</v>
      </c>
      <c r="R250" s="197">
        <v>1</v>
      </c>
      <c r="S250" s="198" t="s">
        <v>33</v>
      </c>
      <c r="T250" s="199"/>
      <c r="U250" s="200"/>
      <c r="V250" s="200"/>
      <c r="W250" s="200"/>
      <c r="X250" s="200"/>
      <c r="Y250" s="200"/>
      <c r="Z250" s="200"/>
      <c r="AA250" s="200"/>
      <c r="AB250" s="200"/>
      <c r="AC250" s="208"/>
      <c r="AD250" s="11" t="str">
        <f t="shared" si="9"/>
        <v>10</v>
      </c>
      <c r="AF250" t="str">
        <f t="shared" si="10"/>
        <v>80.01.ZZ.010</v>
      </c>
      <c r="AH250" t="str">
        <f t="shared" si="11"/>
        <v>00 de 01</v>
      </c>
    </row>
    <row r="251" spans="1:34" ht="34.5" x14ac:dyDescent="0.25">
      <c r="A251" s="139" t="s">
        <v>116</v>
      </c>
      <c r="B251" s="105" t="s">
        <v>122</v>
      </c>
      <c r="C251" s="63">
        <v>239</v>
      </c>
      <c r="D251" s="197" t="s">
        <v>190</v>
      </c>
      <c r="E251" s="189" t="s">
        <v>1149</v>
      </c>
      <c r="F251" s="190" t="s">
        <v>123</v>
      </c>
      <c r="G251" s="189" t="s">
        <v>135</v>
      </c>
      <c r="H251" s="191">
        <v>61792</v>
      </c>
      <c r="I251" s="189" t="s">
        <v>909</v>
      </c>
      <c r="J251" s="189">
        <v>0</v>
      </c>
      <c r="K251" s="189" t="s">
        <v>928</v>
      </c>
      <c r="L251" s="191">
        <v>10</v>
      </c>
      <c r="M251" s="192">
        <v>46092</v>
      </c>
      <c r="N251" s="193">
        <v>1</v>
      </c>
      <c r="O251" s="194">
        <v>1</v>
      </c>
      <c r="P251" s="195"/>
      <c r="Q251" s="196" t="s">
        <v>38</v>
      </c>
      <c r="R251" s="197">
        <v>1</v>
      </c>
      <c r="S251" s="198" t="s">
        <v>33</v>
      </c>
      <c r="T251" s="199"/>
      <c r="U251" s="200"/>
      <c r="V251" s="200"/>
      <c r="W251" s="200"/>
      <c r="X251" s="200"/>
      <c r="Y251" s="200"/>
      <c r="Z251" s="200"/>
      <c r="AA251" s="200"/>
      <c r="AB251" s="200"/>
      <c r="AC251" s="208"/>
      <c r="AD251" s="11" t="str">
        <f t="shared" si="9"/>
        <v>10</v>
      </c>
      <c r="AF251" t="str">
        <f t="shared" si="10"/>
        <v>80.01.ZZ.010</v>
      </c>
      <c r="AH251" t="str">
        <f t="shared" si="11"/>
        <v>00 de 01</v>
      </c>
    </row>
    <row r="252" spans="1:34" ht="34.5" x14ac:dyDescent="0.25">
      <c r="A252" s="139" t="s">
        <v>116</v>
      </c>
      <c r="B252" s="105" t="s">
        <v>122</v>
      </c>
      <c r="C252" s="63">
        <v>240</v>
      </c>
      <c r="D252" s="197" t="s">
        <v>190</v>
      </c>
      <c r="E252" s="189" t="s">
        <v>1150</v>
      </c>
      <c r="F252" s="190" t="s">
        <v>123</v>
      </c>
      <c r="G252" s="189" t="s">
        <v>135</v>
      </c>
      <c r="H252" s="191">
        <v>61792</v>
      </c>
      <c r="I252" s="189" t="s">
        <v>909</v>
      </c>
      <c r="J252" s="189">
        <v>0</v>
      </c>
      <c r="K252" s="189" t="s">
        <v>928</v>
      </c>
      <c r="L252" s="191">
        <v>10</v>
      </c>
      <c r="M252" s="192">
        <v>46092</v>
      </c>
      <c r="N252" s="193">
        <v>1</v>
      </c>
      <c r="O252" s="194">
        <v>1</v>
      </c>
      <c r="P252" s="195"/>
      <c r="Q252" s="196" t="s">
        <v>38</v>
      </c>
      <c r="R252" s="197">
        <v>1</v>
      </c>
      <c r="S252" s="198" t="s">
        <v>33</v>
      </c>
      <c r="T252" s="199"/>
      <c r="U252" s="200"/>
      <c r="V252" s="200"/>
      <c r="W252" s="200"/>
      <c r="X252" s="200"/>
      <c r="Y252" s="200"/>
      <c r="Z252" s="200"/>
      <c r="AA252" s="200"/>
      <c r="AB252" s="200"/>
      <c r="AC252" s="208"/>
      <c r="AD252" s="11" t="str">
        <f t="shared" si="9"/>
        <v>10</v>
      </c>
      <c r="AF252" t="str">
        <f t="shared" si="10"/>
        <v>80.01.ZZ.010</v>
      </c>
      <c r="AH252" t="str">
        <f t="shared" si="11"/>
        <v>00 de 01</v>
      </c>
    </row>
    <row r="253" spans="1:34" ht="34.5" x14ac:dyDescent="0.25">
      <c r="A253" s="139" t="s">
        <v>116</v>
      </c>
      <c r="B253" s="105" t="s">
        <v>122</v>
      </c>
      <c r="C253" s="63">
        <v>241</v>
      </c>
      <c r="D253" s="197" t="s">
        <v>190</v>
      </c>
      <c r="E253" s="189" t="s">
        <v>1151</v>
      </c>
      <c r="F253" s="190" t="s">
        <v>123</v>
      </c>
      <c r="G253" s="189" t="s">
        <v>135</v>
      </c>
      <c r="H253" s="191">
        <v>61792</v>
      </c>
      <c r="I253" s="189" t="s">
        <v>909</v>
      </c>
      <c r="J253" s="189">
        <v>0</v>
      </c>
      <c r="K253" s="189" t="s">
        <v>928</v>
      </c>
      <c r="L253" s="191">
        <v>10</v>
      </c>
      <c r="M253" s="192">
        <v>46092</v>
      </c>
      <c r="N253" s="193">
        <v>1</v>
      </c>
      <c r="O253" s="194">
        <v>1</v>
      </c>
      <c r="P253" s="195"/>
      <c r="Q253" s="196" t="s">
        <v>38</v>
      </c>
      <c r="R253" s="197">
        <v>1</v>
      </c>
      <c r="S253" s="198" t="s">
        <v>33</v>
      </c>
      <c r="T253" s="199"/>
      <c r="U253" s="200"/>
      <c r="V253" s="200"/>
      <c r="W253" s="200"/>
      <c r="X253" s="200"/>
      <c r="Y253" s="200"/>
      <c r="Z253" s="200"/>
      <c r="AA253" s="200"/>
      <c r="AB253" s="200"/>
      <c r="AC253" s="208"/>
      <c r="AD253" s="11" t="str">
        <f t="shared" si="9"/>
        <v>10</v>
      </c>
      <c r="AF253" t="str">
        <f t="shared" si="10"/>
        <v>80.01.ZZ.010</v>
      </c>
      <c r="AH253" t="str">
        <f t="shared" si="11"/>
        <v>00 de 01</v>
      </c>
    </row>
    <row r="254" spans="1:34" ht="34.5" x14ac:dyDescent="0.25">
      <c r="A254" s="139" t="s">
        <v>116</v>
      </c>
      <c r="B254" s="105" t="s">
        <v>122</v>
      </c>
      <c r="C254" s="63">
        <v>242</v>
      </c>
      <c r="D254" s="197" t="s">
        <v>190</v>
      </c>
      <c r="E254" s="189" t="s">
        <v>1152</v>
      </c>
      <c r="F254" s="190" t="s">
        <v>123</v>
      </c>
      <c r="G254" s="189" t="s">
        <v>135</v>
      </c>
      <c r="H254" s="191">
        <v>61792</v>
      </c>
      <c r="I254" s="189" t="s">
        <v>909</v>
      </c>
      <c r="J254" s="189">
        <v>0</v>
      </c>
      <c r="K254" s="189" t="s">
        <v>928</v>
      </c>
      <c r="L254" s="191">
        <v>10</v>
      </c>
      <c r="M254" s="192">
        <v>46092</v>
      </c>
      <c r="N254" s="193">
        <v>1</v>
      </c>
      <c r="O254" s="194">
        <v>1</v>
      </c>
      <c r="P254" s="195"/>
      <c r="Q254" s="196" t="s">
        <v>38</v>
      </c>
      <c r="R254" s="197">
        <v>1</v>
      </c>
      <c r="S254" s="198" t="s">
        <v>33</v>
      </c>
      <c r="T254" s="199"/>
      <c r="U254" s="200"/>
      <c r="V254" s="200"/>
      <c r="W254" s="200"/>
      <c r="X254" s="200"/>
      <c r="Y254" s="200"/>
      <c r="Z254" s="200"/>
      <c r="AA254" s="200"/>
      <c r="AB254" s="200"/>
      <c r="AC254" s="208"/>
      <c r="AD254" s="11" t="str">
        <f t="shared" si="9"/>
        <v>10</v>
      </c>
      <c r="AF254" t="str">
        <f t="shared" si="10"/>
        <v>80.01.ZZ.010</v>
      </c>
      <c r="AH254" t="str">
        <f t="shared" si="11"/>
        <v>00 de 01</v>
      </c>
    </row>
    <row r="255" spans="1:34" ht="34.5" x14ac:dyDescent="0.25">
      <c r="A255" s="139" t="s">
        <v>116</v>
      </c>
      <c r="B255" s="105" t="s">
        <v>122</v>
      </c>
      <c r="C255" s="63">
        <v>243</v>
      </c>
      <c r="D255" s="197" t="s">
        <v>190</v>
      </c>
      <c r="E255" s="189" t="s">
        <v>1153</v>
      </c>
      <c r="F255" s="190" t="s">
        <v>123</v>
      </c>
      <c r="G255" s="189" t="s">
        <v>135</v>
      </c>
      <c r="H255" s="191">
        <v>61792</v>
      </c>
      <c r="I255" s="189" t="s">
        <v>909</v>
      </c>
      <c r="J255" s="189">
        <v>0</v>
      </c>
      <c r="K255" s="189" t="s">
        <v>928</v>
      </c>
      <c r="L255" s="191">
        <v>10</v>
      </c>
      <c r="M255" s="192">
        <v>46092</v>
      </c>
      <c r="N255" s="193">
        <v>1</v>
      </c>
      <c r="O255" s="194">
        <v>1</v>
      </c>
      <c r="P255" s="195"/>
      <c r="Q255" s="196" t="s">
        <v>38</v>
      </c>
      <c r="R255" s="197">
        <v>1</v>
      </c>
      <c r="S255" s="198" t="s">
        <v>33</v>
      </c>
      <c r="T255" s="199"/>
      <c r="U255" s="200"/>
      <c r="V255" s="200"/>
      <c r="W255" s="200"/>
      <c r="X255" s="200"/>
      <c r="Y255" s="200"/>
      <c r="Z255" s="200"/>
      <c r="AA255" s="200"/>
      <c r="AB255" s="200"/>
      <c r="AC255" s="208"/>
      <c r="AD255" s="11" t="str">
        <f t="shared" si="9"/>
        <v>10</v>
      </c>
      <c r="AF255" t="str">
        <f t="shared" si="10"/>
        <v>80.01.ZZ.010</v>
      </c>
      <c r="AH255" t="str">
        <f t="shared" si="11"/>
        <v>00 de 01</v>
      </c>
    </row>
    <row r="256" spans="1:34" ht="34.5" x14ac:dyDescent="0.25">
      <c r="A256" s="139" t="s">
        <v>116</v>
      </c>
      <c r="B256" s="105" t="s">
        <v>122</v>
      </c>
      <c r="C256" s="63">
        <v>244</v>
      </c>
      <c r="D256" s="197" t="s">
        <v>190</v>
      </c>
      <c r="E256" s="189" t="s">
        <v>1154</v>
      </c>
      <c r="F256" s="190" t="s">
        <v>123</v>
      </c>
      <c r="G256" s="189" t="s">
        <v>135</v>
      </c>
      <c r="H256" s="191">
        <v>61792</v>
      </c>
      <c r="I256" s="189" t="s">
        <v>909</v>
      </c>
      <c r="J256" s="189">
        <v>0</v>
      </c>
      <c r="K256" s="189" t="s">
        <v>928</v>
      </c>
      <c r="L256" s="191">
        <v>10</v>
      </c>
      <c r="M256" s="192">
        <v>46092</v>
      </c>
      <c r="N256" s="193">
        <v>1</v>
      </c>
      <c r="O256" s="194">
        <v>1</v>
      </c>
      <c r="P256" s="195"/>
      <c r="Q256" s="196" t="s">
        <v>38</v>
      </c>
      <c r="R256" s="197">
        <v>1</v>
      </c>
      <c r="S256" s="198" t="s">
        <v>33</v>
      </c>
      <c r="T256" s="199"/>
      <c r="U256" s="200"/>
      <c r="V256" s="200"/>
      <c r="W256" s="200"/>
      <c r="X256" s="200"/>
      <c r="Y256" s="200"/>
      <c r="Z256" s="200"/>
      <c r="AA256" s="200"/>
      <c r="AB256" s="200"/>
      <c r="AC256" s="208"/>
      <c r="AD256" s="11" t="str">
        <f t="shared" si="9"/>
        <v>10</v>
      </c>
      <c r="AF256" t="str">
        <f t="shared" si="10"/>
        <v>80.01.ZZ.010</v>
      </c>
      <c r="AH256" t="str">
        <f t="shared" si="11"/>
        <v>00 de 01</v>
      </c>
    </row>
    <row r="257" spans="1:34" ht="34.5" x14ac:dyDescent="0.25">
      <c r="A257" s="139" t="s">
        <v>116</v>
      </c>
      <c r="B257" s="105" t="s">
        <v>122</v>
      </c>
      <c r="C257" s="63">
        <v>245</v>
      </c>
      <c r="D257" s="197" t="s">
        <v>190</v>
      </c>
      <c r="E257" s="189" t="s">
        <v>1155</v>
      </c>
      <c r="F257" s="190" t="s">
        <v>123</v>
      </c>
      <c r="G257" s="189" t="s">
        <v>135</v>
      </c>
      <c r="H257" s="191">
        <v>61792</v>
      </c>
      <c r="I257" s="189" t="s">
        <v>909</v>
      </c>
      <c r="J257" s="189">
        <v>0</v>
      </c>
      <c r="K257" s="189" t="s">
        <v>928</v>
      </c>
      <c r="L257" s="191">
        <v>10</v>
      </c>
      <c r="M257" s="192">
        <v>46092</v>
      </c>
      <c r="N257" s="193">
        <v>1</v>
      </c>
      <c r="O257" s="194">
        <v>1</v>
      </c>
      <c r="P257" s="195"/>
      <c r="Q257" s="196" t="s">
        <v>38</v>
      </c>
      <c r="R257" s="197">
        <v>1</v>
      </c>
      <c r="S257" s="198" t="s">
        <v>33</v>
      </c>
      <c r="T257" s="199"/>
      <c r="U257" s="200"/>
      <c r="V257" s="200"/>
      <c r="W257" s="200"/>
      <c r="X257" s="200"/>
      <c r="Y257" s="200"/>
      <c r="Z257" s="200"/>
      <c r="AA257" s="200"/>
      <c r="AB257" s="200"/>
      <c r="AC257" s="208"/>
      <c r="AD257" s="11" t="str">
        <f t="shared" si="9"/>
        <v>10</v>
      </c>
      <c r="AF257" t="str">
        <f t="shared" si="10"/>
        <v>80.01.ZZ.010</v>
      </c>
      <c r="AH257" t="str">
        <f t="shared" si="11"/>
        <v>00 de 01</v>
      </c>
    </row>
    <row r="258" spans="1:34" ht="34.5" x14ac:dyDescent="0.25">
      <c r="A258" s="139" t="s">
        <v>116</v>
      </c>
      <c r="B258" s="105" t="s">
        <v>122</v>
      </c>
      <c r="C258" s="63">
        <v>246</v>
      </c>
      <c r="D258" s="197" t="s">
        <v>190</v>
      </c>
      <c r="E258" s="189" t="s">
        <v>1156</v>
      </c>
      <c r="F258" s="190" t="s">
        <v>123</v>
      </c>
      <c r="G258" s="189" t="s">
        <v>135</v>
      </c>
      <c r="H258" s="191">
        <v>61792</v>
      </c>
      <c r="I258" s="189" t="s">
        <v>909</v>
      </c>
      <c r="J258" s="189">
        <v>0</v>
      </c>
      <c r="K258" s="189" t="s">
        <v>928</v>
      </c>
      <c r="L258" s="191">
        <v>10</v>
      </c>
      <c r="M258" s="192">
        <v>46092</v>
      </c>
      <c r="N258" s="193">
        <v>1</v>
      </c>
      <c r="O258" s="194">
        <v>1</v>
      </c>
      <c r="P258" s="195"/>
      <c r="Q258" s="196" t="s">
        <v>38</v>
      </c>
      <c r="R258" s="197">
        <v>1</v>
      </c>
      <c r="S258" s="198" t="s">
        <v>33</v>
      </c>
      <c r="T258" s="199"/>
      <c r="U258" s="200"/>
      <c r="V258" s="200"/>
      <c r="W258" s="200"/>
      <c r="X258" s="200"/>
      <c r="Y258" s="200"/>
      <c r="Z258" s="200"/>
      <c r="AA258" s="200"/>
      <c r="AB258" s="200"/>
      <c r="AC258" s="208"/>
      <c r="AD258" s="11" t="str">
        <f t="shared" si="9"/>
        <v>10</v>
      </c>
      <c r="AF258" t="str">
        <f t="shared" si="10"/>
        <v>80.01.ZZ.010</v>
      </c>
      <c r="AH258" t="str">
        <f t="shared" si="11"/>
        <v>00 de 01</v>
      </c>
    </row>
    <row r="259" spans="1:34" ht="34.5" x14ac:dyDescent="0.25">
      <c r="A259" s="139" t="s">
        <v>116</v>
      </c>
      <c r="B259" s="105" t="s">
        <v>122</v>
      </c>
      <c r="C259" s="63">
        <v>247</v>
      </c>
      <c r="D259" s="197" t="s">
        <v>190</v>
      </c>
      <c r="E259" s="189" t="s">
        <v>1157</v>
      </c>
      <c r="F259" s="190" t="s">
        <v>123</v>
      </c>
      <c r="G259" s="189" t="s">
        <v>135</v>
      </c>
      <c r="H259" s="191">
        <v>61792</v>
      </c>
      <c r="I259" s="189" t="s">
        <v>909</v>
      </c>
      <c r="J259" s="189">
        <v>0</v>
      </c>
      <c r="K259" s="189" t="s">
        <v>928</v>
      </c>
      <c r="L259" s="191">
        <v>10</v>
      </c>
      <c r="M259" s="192">
        <v>46092</v>
      </c>
      <c r="N259" s="193">
        <v>1</v>
      </c>
      <c r="O259" s="194">
        <v>1</v>
      </c>
      <c r="P259" s="195"/>
      <c r="Q259" s="196" t="s">
        <v>38</v>
      </c>
      <c r="R259" s="197">
        <v>1</v>
      </c>
      <c r="S259" s="198" t="s">
        <v>33</v>
      </c>
      <c r="T259" s="199"/>
      <c r="U259" s="200"/>
      <c r="V259" s="200"/>
      <c r="W259" s="200"/>
      <c r="X259" s="200"/>
      <c r="Y259" s="200"/>
      <c r="Z259" s="200"/>
      <c r="AA259" s="200"/>
      <c r="AB259" s="200"/>
      <c r="AC259" s="208"/>
      <c r="AD259" s="11" t="str">
        <f t="shared" si="9"/>
        <v>10</v>
      </c>
      <c r="AF259" t="str">
        <f t="shared" si="10"/>
        <v>80.01.ZZ.010</v>
      </c>
      <c r="AH259" t="str">
        <f t="shared" si="11"/>
        <v>00 de 01</v>
      </c>
    </row>
    <row r="260" spans="1:34" ht="34.5" x14ac:dyDescent="0.25">
      <c r="A260" s="139" t="s">
        <v>116</v>
      </c>
      <c r="B260" s="105" t="s">
        <v>122</v>
      </c>
      <c r="C260" s="63">
        <v>248</v>
      </c>
      <c r="D260" s="197" t="s">
        <v>190</v>
      </c>
      <c r="E260" s="189" t="s">
        <v>1158</v>
      </c>
      <c r="F260" s="190" t="s">
        <v>123</v>
      </c>
      <c r="G260" s="189" t="s">
        <v>135</v>
      </c>
      <c r="H260" s="191">
        <v>61792</v>
      </c>
      <c r="I260" s="189" t="s">
        <v>909</v>
      </c>
      <c r="J260" s="189">
        <v>0</v>
      </c>
      <c r="K260" s="189" t="s">
        <v>928</v>
      </c>
      <c r="L260" s="191">
        <v>10</v>
      </c>
      <c r="M260" s="192">
        <v>46092</v>
      </c>
      <c r="N260" s="193">
        <v>1</v>
      </c>
      <c r="O260" s="194">
        <v>1</v>
      </c>
      <c r="P260" s="195"/>
      <c r="Q260" s="196" t="s">
        <v>38</v>
      </c>
      <c r="R260" s="197">
        <v>1</v>
      </c>
      <c r="S260" s="198" t="s">
        <v>33</v>
      </c>
      <c r="T260" s="199"/>
      <c r="U260" s="200"/>
      <c r="V260" s="200"/>
      <c r="W260" s="200"/>
      <c r="X260" s="200"/>
      <c r="Y260" s="200"/>
      <c r="Z260" s="200"/>
      <c r="AA260" s="200"/>
      <c r="AB260" s="200"/>
      <c r="AC260" s="208"/>
      <c r="AD260" s="11" t="str">
        <f t="shared" si="9"/>
        <v>10</v>
      </c>
      <c r="AF260" t="str">
        <f t="shared" si="10"/>
        <v>80.01.ZZ.010</v>
      </c>
      <c r="AH260" t="str">
        <f t="shared" si="11"/>
        <v>00 de 01</v>
      </c>
    </row>
    <row r="261" spans="1:34" ht="34.5" x14ac:dyDescent="0.25">
      <c r="A261" s="139" t="s">
        <v>116</v>
      </c>
      <c r="B261" s="105" t="s">
        <v>122</v>
      </c>
      <c r="C261" s="63">
        <v>249</v>
      </c>
      <c r="D261" s="197" t="s">
        <v>190</v>
      </c>
      <c r="E261" s="189" t="s">
        <v>1159</v>
      </c>
      <c r="F261" s="190" t="s">
        <v>123</v>
      </c>
      <c r="G261" s="189" t="s">
        <v>135</v>
      </c>
      <c r="H261" s="191">
        <v>61792</v>
      </c>
      <c r="I261" s="189" t="s">
        <v>909</v>
      </c>
      <c r="J261" s="189">
        <v>0</v>
      </c>
      <c r="K261" s="189" t="s">
        <v>928</v>
      </c>
      <c r="L261" s="191">
        <v>10</v>
      </c>
      <c r="M261" s="192">
        <v>46092</v>
      </c>
      <c r="N261" s="193">
        <v>1</v>
      </c>
      <c r="O261" s="194">
        <v>1</v>
      </c>
      <c r="P261" s="195"/>
      <c r="Q261" s="196" t="s">
        <v>38</v>
      </c>
      <c r="R261" s="197">
        <v>1</v>
      </c>
      <c r="S261" s="198" t="s">
        <v>33</v>
      </c>
      <c r="T261" s="199"/>
      <c r="U261" s="200"/>
      <c r="V261" s="200"/>
      <c r="W261" s="200"/>
      <c r="X261" s="200"/>
      <c r="Y261" s="200"/>
      <c r="Z261" s="200"/>
      <c r="AA261" s="200"/>
      <c r="AB261" s="200"/>
      <c r="AC261" s="208"/>
      <c r="AD261" s="11" t="str">
        <f t="shared" si="9"/>
        <v>10</v>
      </c>
      <c r="AF261" t="str">
        <f t="shared" si="10"/>
        <v>80.01.ZZ.010</v>
      </c>
      <c r="AH261" t="str">
        <f t="shared" si="11"/>
        <v>00 de 01</v>
      </c>
    </row>
    <row r="262" spans="1:34" ht="34.5" x14ac:dyDescent="0.25">
      <c r="A262" s="139" t="s">
        <v>116</v>
      </c>
      <c r="B262" s="105" t="s">
        <v>122</v>
      </c>
      <c r="C262" s="63">
        <v>250</v>
      </c>
      <c r="D262" s="197" t="s">
        <v>190</v>
      </c>
      <c r="E262" s="189" t="s">
        <v>1160</v>
      </c>
      <c r="F262" s="190" t="s">
        <v>123</v>
      </c>
      <c r="G262" s="189" t="s">
        <v>135</v>
      </c>
      <c r="H262" s="191">
        <v>61792</v>
      </c>
      <c r="I262" s="189" t="s">
        <v>909</v>
      </c>
      <c r="J262" s="189">
        <v>0</v>
      </c>
      <c r="K262" s="189" t="s">
        <v>928</v>
      </c>
      <c r="L262" s="191">
        <v>10</v>
      </c>
      <c r="M262" s="192">
        <v>46092</v>
      </c>
      <c r="N262" s="193">
        <v>1</v>
      </c>
      <c r="O262" s="194">
        <v>1</v>
      </c>
      <c r="P262" s="195"/>
      <c r="Q262" s="196" t="s">
        <v>38</v>
      </c>
      <c r="R262" s="197">
        <v>1</v>
      </c>
      <c r="S262" s="198" t="s">
        <v>33</v>
      </c>
      <c r="T262" s="199"/>
      <c r="U262" s="200"/>
      <c r="V262" s="200"/>
      <c r="W262" s="200"/>
      <c r="X262" s="200"/>
      <c r="Y262" s="200"/>
      <c r="Z262" s="200"/>
      <c r="AA262" s="200"/>
      <c r="AB262" s="200"/>
      <c r="AC262" s="208"/>
      <c r="AD262" s="11" t="str">
        <f t="shared" si="9"/>
        <v>10</v>
      </c>
      <c r="AF262" t="str">
        <f t="shared" si="10"/>
        <v>80.01.ZZ.010</v>
      </c>
      <c r="AH262" t="str">
        <f t="shared" si="11"/>
        <v>00 de 01</v>
      </c>
    </row>
    <row r="263" spans="1:34" ht="34.5" x14ac:dyDescent="0.25">
      <c r="A263" s="139" t="s">
        <v>116</v>
      </c>
      <c r="B263" s="105" t="s">
        <v>122</v>
      </c>
      <c r="C263" s="63">
        <v>251</v>
      </c>
      <c r="D263" s="197" t="s">
        <v>190</v>
      </c>
      <c r="E263" s="189" t="s">
        <v>1161</v>
      </c>
      <c r="F263" s="190" t="s">
        <v>123</v>
      </c>
      <c r="G263" s="189" t="s">
        <v>135</v>
      </c>
      <c r="H263" s="191">
        <v>61792</v>
      </c>
      <c r="I263" s="189" t="s">
        <v>909</v>
      </c>
      <c r="J263" s="189">
        <v>0</v>
      </c>
      <c r="K263" s="189" t="s">
        <v>928</v>
      </c>
      <c r="L263" s="191">
        <v>10</v>
      </c>
      <c r="M263" s="192">
        <v>46092</v>
      </c>
      <c r="N263" s="193">
        <v>1</v>
      </c>
      <c r="O263" s="194">
        <v>1</v>
      </c>
      <c r="P263" s="195"/>
      <c r="Q263" s="196" t="s">
        <v>38</v>
      </c>
      <c r="R263" s="197">
        <v>1</v>
      </c>
      <c r="S263" s="198" t="s">
        <v>33</v>
      </c>
      <c r="T263" s="199"/>
      <c r="U263" s="200"/>
      <c r="V263" s="200"/>
      <c r="W263" s="200"/>
      <c r="X263" s="200"/>
      <c r="Y263" s="200"/>
      <c r="Z263" s="200"/>
      <c r="AA263" s="200"/>
      <c r="AB263" s="200"/>
      <c r="AC263" s="208"/>
      <c r="AD263" s="11" t="str">
        <f t="shared" si="9"/>
        <v>10</v>
      </c>
      <c r="AF263" t="str">
        <f t="shared" si="10"/>
        <v>80.01.ZZ.010</v>
      </c>
      <c r="AH263" t="str">
        <f t="shared" si="11"/>
        <v>00 de 01</v>
      </c>
    </row>
    <row r="264" spans="1:34" ht="34.5" x14ac:dyDescent="0.25">
      <c r="A264" s="139" t="s">
        <v>116</v>
      </c>
      <c r="B264" s="105" t="s">
        <v>122</v>
      </c>
      <c r="C264" s="63">
        <v>252</v>
      </c>
      <c r="D264" s="197" t="s">
        <v>133</v>
      </c>
      <c r="E264" s="189" t="s">
        <v>1162</v>
      </c>
      <c r="F264" s="190" t="s">
        <v>123</v>
      </c>
      <c r="G264" s="189" t="s">
        <v>135</v>
      </c>
      <c r="H264" s="191">
        <v>61792</v>
      </c>
      <c r="I264" s="189" t="s">
        <v>909</v>
      </c>
      <c r="J264" s="189">
        <v>0</v>
      </c>
      <c r="K264" s="189" t="s">
        <v>929</v>
      </c>
      <c r="L264" s="191">
        <v>10</v>
      </c>
      <c r="M264" s="192">
        <v>46092</v>
      </c>
      <c r="N264" s="193">
        <v>1</v>
      </c>
      <c r="O264" s="194">
        <v>1</v>
      </c>
      <c r="P264" s="195"/>
      <c r="Q264" s="196" t="s">
        <v>38</v>
      </c>
      <c r="R264" s="197">
        <v>1</v>
      </c>
      <c r="S264" s="198" t="s">
        <v>33</v>
      </c>
      <c r="T264" s="199"/>
      <c r="U264" s="200"/>
      <c r="V264" s="200"/>
      <c r="W264" s="200"/>
      <c r="X264" s="200"/>
      <c r="Y264" s="200"/>
      <c r="Z264" s="200"/>
      <c r="AA264" s="200"/>
      <c r="AB264" s="200"/>
      <c r="AC264" s="208"/>
      <c r="AD264" s="11" t="str">
        <f t="shared" si="9"/>
        <v>10</v>
      </c>
      <c r="AF264" t="str">
        <f t="shared" si="10"/>
        <v>80.01.ZZ.010</v>
      </c>
      <c r="AH264" t="str">
        <f t="shared" si="11"/>
        <v>00 de 01</v>
      </c>
    </row>
    <row r="265" spans="1:34" ht="34.5" x14ac:dyDescent="0.25">
      <c r="A265" s="139" t="s">
        <v>116</v>
      </c>
      <c r="B265" s="105" t="s">
        <v>122</v>
      </c>
      <c r="C265" s="63">
        <v>253</v>
      </c>
      <c r="D265" s="197" t="s">
        <v>190</v>
      </c>
      <c r="E265" s="189" t="s">
        <v>1163</v>
      </c>
      <c r="F265" s="190" t="s">
        <v>123</v>
      </c>
      <c r="G265" s="189" t="s">
        <v>135</v>
      </c>
      <c r="H265" s="191">
        <v>61792</v>
      </c>
      <c r="I265" s="189" t="s">
        <v>909</v>
      </c>
      <c r="J265" s="189">
        <v>0</v>
      </c>
      <c r="K265" s="189" t="s">
        <v>929</v>
      </c>
      <c r="L265" s="191">
        <v>10</v>
      </c>
      <c r="M265" s="192">
        <v>46092</v>
      </c>
      <c r="N265" s="193">
        <v>1</v>
      </c>
      <c r="O265" s="194">
        <v>1</v>
      </c>
      <c r="P265" s="195"/>
      <c r="Q265" s="196" t="s">
        <v>38</v>
      </c>
      <c r="R265" s="197">
        <v>1</v>
      </c>
      <c r="S265" s="198" t="s">
        <v>33</v>
      </c>
      <c r="T265" s="199"/>
      <c r="U265" s="200"/>
      <c r="V265" s="200"/>
      <c r="W265" s="200"/>
      <c r="X265" s="200"/>
      <c r="Y265" s="200"/>
      <c r="Z265" s="200"/>
      <c r="AA265" s="200"/>
      <c r="AB265" s="200"/>
      <c r="AC265" s="208"/>
      <c r="AD265" s="11" t="str">
        <f t="shared" si="9"/>
        <v>10</v>
      </c>
      <c r="AF265" t="str">
        <f t="shared" si="10"/>
        <v>80.01.ZZ.010</v>
      </c>
      <c r="AH265" t="str">
        <f t="shared" si="11"/>
        <v>00 de 01</v>
      </c>
    </row>
    <row r="266" spans="1:34" ht="34.5" x14ac:dyDescent="0.25">
      <c r="A266" s="139" t="s">
        <v>116</v>
      </c>
      <c r="B266" s="105" t="s">
        <v>122</v>
      </c>
      <c r="C266" s="63">
        <v>254</v>
      </c>
      <c r="D266" s="197" t="s">
        <v>190</v>
      </c>
      <c r="E266" s="189" t="s">
        <v>1164</v>
      </c>
      <c r="F266" s="190" t="s">
        <v>123</v>
      </c>
      <c r="G266" s="189" t="s">
        <v>135</v>
      </c>
      <c r="H266" s="191">
        <v>61792</v>
      </c>
      <c r="I266" s="189" t="s">
        <v>909</v>
      </c>
      <c r="J266" s="189">
        <v>0</v>
      </c>
      <c r="K266" s="189" t="s">
        <v>929</v>
      </c>
      <c r="L266" s="191">
        <v>10</v>
      </c>
      <c r="M266" s="192">
        <v>46092</v>
      </c>
      <c r="N266" s="193">
        <v>1</v>
      </c>
      <c r="O266" s="194">
        <v>1</v>
      </c>
      <c r="P266" s="195"/>
      <c r="Q266" s="196" t="s">
        <v>38</v>
      </c>
      <c r="R266" s="197">
        <v>1</v>
      </c>
      <c r="S266" s="198" t="s">
        <v>33</v>
      </c>
      <c r="T266" s="199"/>
      <c r="U266" s="200"/>
      <c r="V266" s="200"/>
      <c r="W266" s="200"/>
      <c r="X266" s="200"/>
      <c r="Y266" s="200"/>
      <c r="Z266" s="200"/>
      <c r="AA266" s="200"/>
      <c r="AB266" s="200"/>
      <c r="AC266" s="208"/>
      <c r="AD266" s="11" t="str">
        <f t="shared" si="9"/>
        <v>10</v>
      </c>
      <c r="AF266" t="str">
        <f t="shared" si="10"/>
        <v>80.01.ZZ.010</v>
      </c>
      <c r="AH266" t="str">
        <f t="shared" si="11"/>
        <v>00 de 01</v>
      </c>
    </row>
    <row r="267" spans="1:34" ht="34.5" x14ac:dyDescent="0.25">
      <c r="A267" s="139" t="s">
        <v>116</v>
      </c>
      <c r="B267" s="105" t="s">
        <v>122</v>
      </c>
      <c r="C267" s="63">
        <v>255</v>
      </c>
      <c r="D267" s="197" t="s">
        <v>190</v>
      </c>
      <c r="E267" s="189" t="s">
        <v>1165</v>
      </c>
      <c r="F267" s="190" t="s">
        <v>123</v>
      </c>
      <c r="G267" s="189" t="s">
        <v>135</v>
      </c>
      <c r="H267" s="191">
        <v>61792</v>
      </c>
      <c r="I267" s="189" t="s">
        <v>909</v>
      </c>
      <c r="J267" s="189">
        <v>0</v>
      </c>
      <c r="K267" s="189" t="s">
        <v>929</v>
      </c>
      <c r="L267" s="191">
        <v>10</v>
      </c>
      <c r="M267" s="192">
        <v>46092</v>
      </c>
      <c r="N267" s="193">
        <v>1</v>
      </c>
      <c r="O267" s="194">
        <v>1</v>
      </c>
      <c r="P267" s="195"/>
      <c r="Q267" s="196" t="s">
        <v>38</v>
      </c>
      <c r="R267" s="197">
        <v>1</v>
      </c>
      <c r="S267" s="198" t="s">
        <v>33</v>
      </c>
      <c r="T267" s="199"/>
      <c r="U267" s="200"/>
      <c r="V267" s="200"/>
      <c r="W267" s="200"/>
      <c r="X267" s="200"/>
      <c r="Y267" s="200"/>
      <c r="Z267" s="200"/>
      <c r="AA267" s="200"/>
      <c r="AB267" s="200"/>
      <c r="AC267" s="208"/>
      <c r="AD267" s="11" t="str">
        <f t="shared" si="9"/>
        <v>10</v>
      </c>
      <c r="AF267" t="str">
        <f t="shared" si="10"/>
        <v>80.01.ZZ.010</v>
      </c>
      <c r="AH267" t="str">
        <f t="shared" si="11"/>
        <v>00 de 01</v>
      </c>
    </row>
    <row r="268" spans="1:34" ht="34.5" x14ac:dyDescent="0.25">
      <c r="A268" s="139" t="s">
        <v>116</v>
      </c>
      <c r="B268" s="105" t="s">
        <v>122</v>
      </c>
      <c r="C268" s="63">
        <v>256</v>
      </c>
      <c r="D268" s="197" t="s">
        <v>190</v>
      </c>
      <c r="E268" s="189" t="s">
        <v>1166</v>
      </c>
      <c r="F268" s="190" t="s">
        <v>123</v>
      </c>
      <c r="G268" s="189" t="s">
        <v>135</v>
      </c>
      <c r="H268" s="191">
        <v>61792</v>
      </c>
      <c r="I268" s="189" t="s">
        <v>909</v>
      </c>
      <c r="J268" s="189">
        <v>0</v>
      </c>
      <c r="K268" s="189" t="s">
        <v>929</v>
      </c>
      <c r="L268" s="191">
        <v>10</v>
      </c>
      <c r="M268" s="192">
        <v>46092</v>
      </c>
      <c r="N268" s="193">
        <v>1</v>
      </c>
      <c r="O268" s="194">
        <v>1</v>
      </c>
      <c r="P268" s="195"/>
      <c r="Q268" s="196" t="s">
        <v>38</v>
      </c>
      <c r="R268" s="197">
        <v>1</v>
      </c>
      <c r="S268" s="198" t="s">
        <v>33</v>
      </c>
      <c r="T268" s="199"/>
      <c r="U268" s="200"/>
      <c r="V268" s="200"/>
      <c r="W268" s="200"/>
      <c r="X268" s="200"/>
      <c r="Y268" s="200"/>
      <c r="Z268" s="200"/>
      <c r="AA268" s="200"/>
      <c r="AB268" s="200"/>
      <c r="AC268" s="208"/>
      <c r="AD268" s="11" t="str">
        <f t="shared" si="9"/>
        <v>10</v>
      </c>
      <c r="AF268" t="str">
        <f t="shared" si="10"/>
        <v>80.01.ZZ.010</v>
      </c>
      <c r="AH268" t="str">
        <f t="shared" si="11"/>
        <v>00 de 01</v>
      </c>
    </row>
    <row r="269" spans="1:34" ht="34.5" x14ac:dyDescent="0.25">
      <c r="A269" s="139" t="s">
        <v>116</v>
      </c>
      <c r="B269" s="105" t="s">
        <v>122</v>
      </c>
      <c r="C269" s="63">
        <v>257</v>
      </c>
      <c r="D269" s="197" t="s">
        <v>190</v>
      </c>
      <c r="E269" s="189" t="s">
        <v>1167</v>
      </c>
      <c r="F269" s="190" t="s">
        <v>123</v>
      </c>
      <c r="G269" s="189" t="s">
        <v>135</v>
      </c>
      <c r="H269" s="191">
        <v>61792</v>
      </c>
      <c r="I269" s="189" t="s">
        <v>909</v>
      </c>
      <c r="J269" s="189">
        <v>0</v>
      </c>
      <c r="K269" s="189" t="s">
        <v>929</v>
      </c>
      <c r="L269" s="191">
        <v>10</v>
      </c>
      <c r="M269" s="192">
        <v>46092</v>
      </c>
      <c r="N269" s="193">
        <v>1</v>
      </c>
      <c r="O269" s="194">
        <v>1</v>
      </c>
      <c r="P269" s="195"/>
      <c r="Q269" s="196" t="s">
        <v>38</v>
      </c>
      <c r="R269" s="197">
        <v>1</v>
      </c>
      <c r="S269" s="198" t="s">
        <v>33</v>
      </c>
      <c r="T269" s="199"/>
      <c r="U269" s="200"/>
      <c r="V269" s="200"/>
      <c r="W269" s="200"/>
      <c r="X269" s="200"/>
      <c r="Y269" s="200"/>
      <c r="Z269" s="200"/>
      <c r="AA269" s="200"/>
      <c r="AB269" s="200"/>
      <c r="AC269" s="208"/>
      <c r="AD269" s="11" t="str">
        <f t="shared" si="9"/>
        <v>10</v>
      </c>
      <c r="AF269" t="str">
        <f t="shared" si="10"/>
        <v>80.01.ZZ.010</v>
      </c>
      <c r="AH269" t="str">
        <f t="shared" si="11"/>
        <v>00 de 01</v>
      </c>
    </row>
    <row r="270" spans="1:34" ht="34.5" x14ac:dyDescent="0.25">
      <c r="A270" s="139" t="s">
        <v>116</v>
      </c>
      <c r="B270" s="105" t="s">
        <v>122</v>
      </c>
      <c r="C270" s="63">
        <v>258</v>
      </c>
      <c r="D270" s="197" t="s">
        <v>190</v>
      </c>
      <c r="E270" s="189" t="s">
        <v>1168</v>
      </c>
      <c r="F270" s="190" t="s">
        <v>123</v>
      </c>
      <c r="G270" s="189" t="s">
        <v>135</v>
      </c>
      <c r="H270" s="191">
        <v>61792</v>
      </c>
      <c r="I270" s="189" t="s">
        <v>909</v>
      </c>
      <c r="J270" s="189">
        <v>0</v>
      </c>
      <c r="K270" s="189" t="s">
        <v>929</v>
      </c>
      <c r="L270" s="191">
        <v>10</v>
      </c>
      <c r="M270" s="192">
        <v>46092</v>
      </c>
      <c r="N270" s="193">
        <v>1</v>
      </c>
      <c r="O270" s="194">
        <v>1</v>
      </c>
      <c r="P270" s="195"/>
      <c r="Q270" s="196" t="s">
        <v>38</v>
      </c>
      <c r="R270" s="197">
        <v>1</v>
      </c>
      <c r="S270" s="198" t="s">
        <v>33</v>
      </c>
      <c r="T270" s="199"/>
      <c r="U270" s="200"/>
      <c r="V270" s="200"/>
      <c r="W270" s="200"/>
      <c r="X270" s="200"/>
      <c r="Y270" s="200"/>
      <c r="Z270" s="200"/>
      <c r="AA270" s="200"/>
      <c r="AB270" s="200"/>
      <c r="AC270" s="208"/>
      <c r="AD270" s="11" t="str">
        <f t="shared" ref="AD270:AD333" si="12">RIGHT(L270,2)</f>
        <v>10</v>
      </c>
      <c r="AF270" t="str">
        <f t="shared" ref="AF270:AF333" si="13">CONCATENATE("80.01.ZZ.0",L270)</f>
        <v>80.01.ZZ.010</v>
      </c>
      <c r="AH270" t="str">
        <f t="shared" ref="AH270:AH333" si="14">CONCATENATE("00 de 0",R270)</f>
        <v>00 de 01</v>
      </c>
    </row>
    <row r="271" spans="1:34" ht="34.5" x14ac:dyDescent="0.25">
      <c r="A271" s="139" t="s">
        <v>116</v>
      </c>
      <c r="B271" s="105" t="s">
        <v>122</v>
      </c>
      <c r="C271" s="63">
        <v>259</v>
      </c>
      <c r="D271" s="197" t="s">
        <v>190</v>
      </c>
      <c r="E271" s="189" t="s">
        <v>1169</v>
      </c>
      <c r="F271" s="190" t="s">
        <v>123</v>
      </c>
      <c r="G271" s="189" t="s">
        <v>135</v>
      </c>
      <c r="H271" s="191">
        <v>61792</v>
      </c>
      <c r="I271" s="189" t="s">
        <v>909</v>
      </c>
      <c r="J271" s="189">
        <v>0</v>
      </c>
      <c r="K271" s="189" t="s">
        <v>929</v>
      </c>
      <c r="L271" s="191">
        <v>10</v>
      </c>
      <c r="M271" s="192">
        <v>46092</v>
      </c>
      <c r="N271" s="193">
        <v>1</v>
      </c>
      <c r="O271" s="194">
        <v>1</v>
      </c>
      <c r="P271" s="195"/>
      <c r="Q271" s="196" t="s">
        <v>38</v>
      </c>
      <c r="R271" s="197">
        <v>1</v>
      </c>
      <c r="S271" s="198" t="s">
        <v>33</v>
      </c>
      <c r="T271" s="199"/>
      <c r="U271" s="200"/>
      <c r="V271" s="200"/>
      <c r="W271" s="200"/>
      <c r="X271" s="200"/>
      <c r="Y271" s="200"/>
      <c r="Z271" s="200"/>
      <c r="AA271" s="200"/>
      <c r="AB271" s="200"/>
      <c r="AC271" s="208"/>
      <c r="AD271" s="11" t="str">
        <f t="shared" si="12"/>
        <v>10</v>
      </c>
      <c r="AF271" t="str">
        <f t="shared" si="13"/>
        <v>80.01.ZZ.010</v>
      </c>
      <c r="AH271" t="str">
        <f t="shared" si="14"/>
        <v>00 de 01</v>
      </c>
    </row>
    <row r="272" spans="1:34" ht="34.5" x14ac:dyDescent="0.25">
      <c r="A272" s="139" t="s">
        <v>116</v>
      </c>
      <c r="B272" s="105" t="s">
        <v>122</v>
      </c>
      <c r="C272" s="63">
        <v>260</v>
      </c>
      <c r="D272" s="197" t="s">
        <v>190</v>
      </c>
      <c r="E272" s="189" t="s">
        <v>1170</v>
      </c>
      <c r="F272" s="190" t="s">
        <v>123</v>
      </c>
      <c r="G272" s="189" t="s">
        <v>135</v>
      </c>
      <c r="H272" s="191">
        <v>61792</v>
      </c>
      <c r="I272" s="189" t="s">
        <v>909</v>
      </c>
      <c r="J272" s="189">
        <v>0</v>
      </c>
      <c r="K272" s="189" t="s">
        <v>929</v>
      </c>
      <c r="L272" s="191">
        <v>10</v>
      </c>
      <c r="M272" s="192">
        <v>46092</v>
      </c>
      <c r="N272" s="193">
        <v>1</v>
      </c>
      <c r="O272" s="194">
        <v>1</v>
      </c>
      <c r="P272" s="195"/>
      <c r="Q272" s="196" t="s">
        <v>38</v>
      </c>
      <c r="R272" s="197">
        <v>1</v>
      </c>
      <c r="S272" s="198" t="s">
        <v>33</v>
      </c>
      <c r="T272" s="199"/>
      <c r="U272" s="200"/>
      <c r="V272" s="200"/>
      <c r="W272" s="200"/>
      <c r="X272" s="200"/>
      <c r="Y272" s="200"/>
      <c r="Z272" s="200"/>
      <c r="AA272" s="200"/>
      <c r="AB272" s="200"/>
      <c r="AC272" s="208"/>
      <c r="AD272" s="11" t="str">
        <f t="shared" si="12"/>
        <v>10</v>
      </c>
      <c r="AF272" t="str">
        <f t="shared" si="13"/>
        <v>80.01.ZZ.010</v>
      </c>
      <c r="AH272" t="str">
        <f t="shared" si="14"/>
        <v>00 de 01</v>
      </c>
    </row>
    <row r="273" spans="1:34" ht="34.5" x14ac:dyDescent="0.25">
      <c r="A273" s="139" t="s">
        <v>116</v>
      </c>
      <c r="B273" s="105" t="s">
        <v>122</v>
      </c>
      <c r="C273" s="63">
        <v>261</v>
      </c>
      <c r="D273" s="197" t="s">
        <v>190</v>
      </c>
      <c r="E273" s="189" t="s">
        <v>1171</v>
      </c>
      <c r="F273" s="190" t="s">
        <v>123</v>
      </c>
      <c r="G273" s="189" t="s">
        <v>135</v>
      </c>
      <c r="H273" s="191">
        <v>61792</v>
      </c>
      <c r="I273" s="189" t="s">
        <v>909</v>
      </c>
      <c r="J273" s="189">
        <v>0</v>
      </c>
      <c r="K273" s="189" t="s">
        <v>929</v>
      </c>
      <c r="L273" s="191">
        <v>10</v>
      </c>
      <c r="M273" s="192">
        <v>46092</v>
      </c>
      <c r="N273" s="193">
        <v>1</v>
      </c>
      <c r="O273" s="194">
        <v>1</v>
      </c>
      <c r="P273" s="195"/>
      <c r="Q273" s="196" t="s">
        <v>38</v>
      </c>
      <c r="R273" s="197">
        <v>1</v>
      </c>
      <c r="S273" s="198" t="s">
        <v>33</v>
      </c>
      <c r="T273" s="199"/>
      <c r="U273" s="200"/>
      <c r="V273" s="200"/>
      <c r="W273" s="200"/>
      <c r="X273" s="200"/>
      <c r="Y273" s="200"/>
      <c r="Z273" s="200"/>
      <c r="AA273" s="200"/>
      <c r="AB273" s="200"/>
      <c r="AC273" s="208"/>
      <c r="AD273" s="11" t="str">
        <f t="shared" si="12"/>
        <v>10</v>
      </c>
      <c r="AF273" t="str">
        <f t="shared" si="13"/>
        <v>80.01.ZZ.010</v>
      </c>
      <c r="AH273" t="str">
        <f t="shared" si="14"/>
        <v>00 de 01</v>
      </c>
    </row>
    <row r="274" spans="1:34" ht="34.5" x14ac:dyDescent="0.25">
      <c r="A274" s="139" t="s">
        <v>116</v>
      </c>
      <c r="B274" s="105" t="s">
        <v>122</v>
      </c>
      <c r="C274" s="63">
        <v>262</v>
      </c>
      <c r="D274" s="197" t="s">
        <v>190</v>
      </c>
      <c r="E274" s="189" t="s">
        <v>1172</v>
      </c>
      <c r="F274" s="190" t="s">
        <v>123</v>
      </c>
      <c r="G274" s="189" t="s">
        <v>135</v>
      </c>
      <c r="H274" s="191">
        <v>61792</v>
      </c>
      <c r="I274" s="189" t="s">
        <v>909</v>
      </c>
      <c r="J274" s="189">
        <v>0</v>
      </c>
      <c r="K274" s="189" t="s">
        <v>929</v>
      </c>
      <c r="L274" s="191">
        <v>10</v>
      </c>
      <c r="M274" s="192">
        <v>46092</v>
      </c>
      <c r="N274" s="193">
        <v>1</v>
      </c>
      <c r="O274" s="194">
        <v>1</v>
      </c>
      <c r="P274" s="195"/>
      <c r="Q274" s="196" t="s">
        <v>38</v>
      </c>
      <c r="R274" s="197">
        <v>1</v>
      </c>
      <c r="S274" s="198" t="s">
        <v>33</v>
      </c>
      <c r="T274" s="199"/>
      <c r="U274" s="200"/>
      <c r="V274" s="200"/>
      <c r="W274" s="200"/>
      <c r="X274" s="200"/>
      <c r="Y274" s="200"/>
      <c r="Z274" s="200"/>
      <c r="AA274" s="200"/>
      <c r="AB274" s="200"/>
      <c r="AC274" s="208"/>
      <c r="AD274" s="11" t="str">
        <f t="shared" si="12"/>
        <v>10</v>
      </c>
      <c r="AF274" t="str">
        <f t="shared" si="13"/>
        <v>80.01.ZZ.010</v>
      </c>
      <c r="AH274" t="str">
        <f t="shared" si="14"/>
        <v>00 de 01</v>
      </c>
    </row>
    <row r="275" spans="1:34" ht="34.5" x14ac:dyDescent="0.25">
      <c r="A275" s="139" t="s">
        <v>116</v>
      </c>
      <c r="B275" s="105" t="s">
        <v>122</v>
      </c>
      <c r="C275" s="63">
        <v>263</v>
      </c>
      <c r="D275" s="197" t="s">
        <v>190</v>
      </c>
      <c r="E275" s="189" t="s">
        <v>1173</v>
      </c>
      <c r="F275" s="190" t="s">
        <v>123</v>
      </c>
      <c r="G275" s="189" t="s">
        <v>135</v>
      </c>
      <c r="H275" s="191">
        <v>61792</v>
      </c>
      <c r="I275" s="189" t="s">
        <v>909</v>
      </c>
      <c r="J275" s="189">
        <v>0</v>
      </c>
      <c r="K275" s="189" t="s">
        <v>929</v>
      </c>
      <c r="L275" s="191">
        <v>10</v>
      </c>
      <c r="M275" s="192">
        <v>46092</v>
      </c>
      <c r="N275" s="193">
        <v>1</v>
      </c>
      <c r="O275" s="194">
        <v>1</v>
      </c>
      <c r="P275" s="195"/>
      <c r="Q275" s="196" t="s">
        <v>38</v>
      </c>
      <c r="R275" s="197">
        <v>1</v>
      </c>
      <c r="S275" s="198" t="s">
        <v>33</v>
      </c>
      <c r="T275" s="199"/>
      <c r="U275" s="200"/>
      <c r="V275" s="200"/>
      <c r="W275" s="200"/>
      <c r="X275" s="200"/>
      <c r="Y275" s="200"/>
      <c r="Z275" s="200"/>
      <c r="AA275" s="200"/>
      <c r="AB275" s="200"/>
      <c r="AC275" s="208"/>
      <c r="AD275" s="11" t="str">
        <f t="shared" si="12"/>
        <v>10</v>
      </c>
      <c r="AF275" t="str">
        <f t="shared" si="13"/>
        <v>80.01.ZZ.010</v>
      </c>
      <c r="AH275" t="str">
        <f t="shared" si="14"/>
        <v>00 de 01</v>
      </c>
    </row>
    <row r="276" spans="1:34" ht="34.5" x14ac:dyDescent="0.25">
      <c r="A276" s="139" t="s">
        <v>116</v>
      </c>
      <c r="B276" s="105" t="s">
        <v>122</v>
      </c>
      <c r="C276" s="63">
        <v>264</v>
      </c>
      <c r="D276" s="197" t="s">
        <v>190</v>
      </c>
      <c r="E276" s="189" t="s">
        <v>1174</v>
      </c>
      <c r="F276" s="190" t="s">
        <v>123</v>
      </c>
      <c r="G276" s="189" t="s">
        <v>135</v>
      </c>
      <c r="H276" s="191">
        <v>61792</v>
      </c>
      <c r="I276" s="189" t="s">
        <v>909</v>
      </c>
      <c r="J276" s="189">
        <v>0</v>
      </c>
      <c r="K276" s="189" t="s">
        <v>929</v>
      </c>
      <c r="L276" s="191">
        <v>10</v>
      </c>
      <c r="M276" s="192">
        <v>46092</v>
      </c>
      <c r="N276" s="193">
        <v>1</v>
      </c>
      <c r="O276" s="194">
        <v>1</v>
      </c>
      <c r="P276" s="195"/>
      <c r="Q276" s="196" t="s">
        <v>38</v>
      </c>
      <c r="R276" s="197">
        <v>1</v>
      </c>
      <c r="S276" s="198" t="s">
        <v>33</v>
      </c>
      <c r="T276" s="199"/>
      <c r="U276" s="200"/>
      <c r="V276" s="200"/>
      <c r="W276" s="200"/>
      <c r="X276" s="200"/>
      <c r="Y276" s="200"/>
      <c r="Z276" s="200"/>
      <c r="AA276" s="200"/>
      <c r="AB276" s="200"/>
      <c r="AC276" s="208"/>
      <c r="AD276" s="11" t="str">
        <f t="shared" si="12"/>
        <v>10</v>
      </c>
      <c r="AF276" t="str">
        <f t="shared" si="13"/>
        <v>80.01.ZZ.010</v>
      </c>
      <c r="AH276" t="str">
        <f t="shared" si="14"/>
        <v>00 de 01</v>
      </c>
    </row>
    <row r="277" spans="1:34" ht="34.5" x14ac:dyDescent="0.25">
      <c r="A277" s="139" t="s">
        <v>116</v>
      </c>
      <c r="B277" s="105" t="s">
        <v>122</v>
      </c>
      <c r="C277" s="63">
        <v>265</v>
      </c>
      <c r="D277" s="197" t="s">
        <v>190</v>
      </c>
      <c r="E277" s="189" t="s">
        <v>1175</v>
      </c>
      <c r="F277" s="190" t="s">
        <v>123</v>
      </c>
      <c r="G277" s="189" t="s">
        <v>135</v>
      </c>
      <c r="H277" s="191">
        <v>61792</v>
      </c>
      <c r="I277" s="189" t="s">
        <v>909</v>
      </c>
      <c r="J277" s="189">
        <v>0</v>
      </c>
      <c r="K277" s="189" t="s">
        <v>929</v>
      </c>
      <c r="L277" s="191">
        <v>10</v>
      </c>
      <c r="M277" s="192">
        <v>46092</v>
      </c>
      <c r="N277" s="193">
        <v>1</v>
      </c>
      <c r="O277" s="194">
        <v>1</v>
      </c>
      <c r="P277" s="195"/>
      <c r="Q277" s="196" t="s">
        <v>38</v>
      </c>
      <c r="R277" s="197">
        <v>1</v>
      </c>
      <c r="S277" s="198" t="s">
        <v>33</v>
      </c>
      <c r="T277" s="199"/>
      <c r="U277" s="200"/>
      <c r="V277" s="200"/>
      <c r="W277" s="200"/>
      <c r="X277" s="200"/>
      <c r="Y277" s="200"/>
      <c r="Z277" s="200"/>
      <c r="AA277" s="200"/>
      <c r="AB277" s="200"/>
      <c r="AC277" s="208"/>
      <c r="AD277" s="11" t="str">
        <f t="shared" si="12"/>
        <v>10</v>
      </c>
      <c r="AF277" t="str">
        <f t="shared" si="13"/>
        <v>80.01.ZZ.010</v>
      </c>
      <c r="AH277" t="str">
        <f t="shared" si="14"/>
        <v>00 de 01</v>
      </c>
    </row>
    <row r="278" spans="1:34" ht="34.5" x14ac:dyDescent="0.25">
      <c r="A278" s="139" t="s">
        <v>116</v>
      </c>
      <c r="B278" s="105" t="s">
        <v>122</v>
      </c>
      <c r="C278" s="63">
        <v>266</v>
      </c>
      <c r="D278" s="197" t="s">
        <v>190</v>
      </c>
      <c r="E278" s="189" t="s">
        <v>1176</v>
      </c>
      <c r="F278" s="190" t="s">
        <v>123</v>
      </c>
      <c r="G278" s="189" t="s">
        <v>135</v>
      </c>
      <c r="H278" s="191">
        <v>61792</v>
      </c>
      <c r="I278" s="189" t="s">
        <v>909</v>
      </c>
      <c r="J278" s="189">
        <v>0</v>
      </c>
      <c r="K278" s="189" t="s">
        <v>929</v>
      </c>
      <c r="L278" s="191">
        <v>10</v>
      </c>
      <c r="M278" s="192">
        <v>46092</v>
      </c>
      <c r="N278" s="193">
        <v>1</v>
      </c>
      <c r="O278" s="194">
        <v>1</v>
      </c>
      <c r="P278" s="195"/>
      <c r="Q278" s="196" t="s">
        <v>38</v>
      </c>
      <c r="R278" s="197">
        <v>1</v>
      </c>
      <c r="S278" s="198" t="s">
        <v>33</v>
      </c>
      <c r="T278" s="199"/>
      <c r="U278" s="200"/>
      <c r="V278" s="200"/>
      <c r="W278" s="200"/>
      <c r="X278" s="200"/>
      <c r="Y278" s="200"/>
      <c r="Z278" s="200"/>
      <c r="AA278" s="200"/>
      <c r="AB278" s="200"/>
      <c r="AC278" s="208"/>
      <c r="AD278" s="11" t="str">
        <f t="shared" si="12"/>
        <v>10</v>
      </c>
      <c r="AF278" t="str">
        <f t="shared" si="13"/>
        <v>80.01.ZZ.010</v>
      </c>
      <c r="AH278" t="str">
        <f t="shared" si="14"/>
        <v>00 de 01</v>
      </c>
    </row>
    <row r="279" spans="1:34" ht="34.5" x14ac:dyDescent="0.25">
      <c r="A279" s="139" t="s">
        <v>116</v>
      </c>
      <c r="B279" s="105" t="s">
        <v>122</v>
      </c>
      <c r="C279" s="63">
        <v>267</v>
      </c>
      <c r="D279" s="197" t="s">
        <v>190</v>
      </c>
      <c r="E279" s="189" t="s">
        <v>1177</v>
      </c>
      <c r="F279" s="190" t="s">
        <v>123</v>
      </c>
      <c r="G279" s="189" t="s">
        <v>135</v>
      </c>
      <c r="H279" s="191">
        <v>61792</v>
      </c>
      <c r="I279" s="189" t="s">
        <v>909</v>
      </c>
      <c r="J279" s="189">
        <v>0</v>
      </c>
      <c r="K279" s="189" t="s">
        <v>929</v>
      </c>
      <c r="L279" s="191">
        <v>10</v>
      </c>
      <c r="M279" s="192">
        <v>46092</v>
      </c>
      <c r="N279" s="193">
        <v>1</v>
      </c>
      <c r="O279" s="194">
        <v>1</v>
      </c>
      <c r="P279" s="195"/>
      <c r="Q279" s="196" t="s">
        <v>38</v>
      </c>
      <c r="R279" s="197">
        <v>1</v>
      </c>
      <c r="S279" s="198" t="s">
        <v>33</v>
      </c>
      <c r="T279" s="199"/>
      <c r="U279" s="200"/>
      <c r="V279" s="200"/>
      <c r="W279" s="200"/>
      <c r="X279" s="200"/>
      <c r="Y279" s="200"/>
      <c r="Z279" s="200"/>
      <c r="AA279" s="200"/>
      <c r="AB279" s="200"/>
      <c r="AC279" s="208"/>
      <c r="AD279" s="11" t="str">
        <f t="shared" si="12"/>
        <v>10</v>
      </c>
      <c r="AF279" t="str">
        <f t="shared" si="13"/>
        <v>80.01.ZZ.010</v>
      </c>
      <c r="AH279" t="str">
        <f t="shared" si="14"/>
        <v>00 de 01</v>
      </c>
    </row>
    <row r="280" spans="1:34" ht="34.5" x14ac:dyDescent="0.25">
      <c r="A280" s="139" t="s">
        <v>116</v>
      </c>
      <c r="B280" s="105" t="s">
        <v>122</v>
      </c>
      <c r="C280" s="63">
        <v>268</v>
      </c>
      <c r="D280" s="197" t="s">
        <v>190</v>
      </c>
      <c r="E280" s="189" t="s">
        <v>1178</v>
      </c>
      <c r="F280" s="190" t="s">
        <v>123</v>
      </c>
      <c r="G280" s="189" t="s">
        <v>135</v>
      </c>
      <c r="H280" s="191">
        <v>61792</v>
      </c>
      <c r="I280" s="189" t="s">
        <v>909</v>
      </c>
      <c r="J280" s="189">
        <v>0</v>
      </c>
      <c r="K280" s="189" t="s">
        <v>929</v>
      </c>
      <c r="L280" s="191">
        <v>10</v>
      </c>
      <c r="M280" s="192">
        <v>46092</v>
      </c>
      <c r="N280" s="193">
        <v>1</v>
      </c>
      <c r="O280" s="194">
        <v>1</v>
      </c>
      <c r="P280" s="195"/>
      <c r="Q280" s="196" t="s">
        <v>38</v>
      </c>
      <c r="R280" s="197">
        <v>1</v>
      </c>
      <c r="S280" s="198" t="s">
        <v>33</v>
      </c>
      <c r="T280" s="199"/>
      <c r="U280" s="200"/>
      <c r="V280" s="200"/>
      <c r="W280" s="200"/>
      <c r="X280" s="200"/>
      <c r="Y280" s="200"/>
      <c r="Z280" s="200"/>
      <c r="AA280" s="200"/>
      <c r="AB280" s="200"/>
      <c r="AC280" s="208"/>
      <c r="AD280" s="11" t="str">
        <f t="shared" si="12"/>
        <v>10</v>
      </c>
      <c r="AF280" t="str">
        <f t="shared" si="13"/>
        <v>80.01.ZZ.010</v>
      </c>
      <c r="AH280" t="str">
        <f t="shared" si="14"/>
        <v>00 de 01</v>
      </c>
    </row>
    <row r="281" spans="1:34" ht="34.5" x14ac:dyDescent="0.25">
      <c r="A281" s="139" t="s">
        <v>116</v>
      </c>
      <c r="B281" s="105" t="s">
        <v>122</v>
      </c>
      <c r="C281" s="63">
        <v>269</v>
      </c>
      <c r="D281" s="197" t="s">
        <v>133</v>
      </c>
      <c r="E281" s="189" t="s">
        <v>1179</v>
      </c>
      <c r="F281" s="190" t="s">
        <v>123</v>
      </c>
      <c r="G281" s="189" t="s">
        <v>135</v>
      </c>
      <c r="H281" s="191">
        <v>61792</v>
      </c>
      <c r="I281" s="189" t="s">
        <v>909</v>
      </c>
      <c r="J281" s="189">
        <v>0</v>
      </c>
      <c r="K281" s="189" t="s">
        <v>930</v>
      </c>
      <c r="L281" s="191">
        <v>10</v>
      </c>
      <c r="M281" s="192">
        <v>46092</v>
      </c>
      <c r="N281" s="193">
        <v>1</v>
      </c>
      <c r="O281" s="194">
        <v>1</v>
      </c>
      <c r="P281" s="195"/>
      <c r="Q281" s="196" t="s">
        <v>38</v>
      </c>
      <c r="R281" s="197">
        <v>1</v>
      </c>
      <c r="S281" s="198" t="s">
        <v>33</v>
      </c>
      <c r="T281" s="199"/>
      <c r="U281" s="200"/>
      <c r="V281" s="200"/>
      <c r="W281" s="200"/>
      <c r="X281" s="200"/>
      <c r="Y281" s="200"/>
      <c r="Z281" s="200"/>
      <c r="AA281" s="200"/>
      <c r="AB281" s="200"/>
      <c r="AC281" s="208"/>
      <c r="AD281" s="11" t="str">
        <f t="shared" si="12"/>
        <v>10</v>
      </c>
      <c r="AF281" t="str">
        <f t="shared" si="13"/>
        <v>80.01.ZZ.010</v>
      </c>
      <c r="AH281" t="str">
        <f t="shared" si="14"/>
        <v>00 de 01</v>
      </c>
    </row>
    <row r="282" spans="1:34" ht="34.5" x14ac:dyDescent="0.25">
      <c r="A282" s="139" t="s">
        <v>116</v>
      </c>
      <c r="B282" s="105" t="s">
        <v>122</v>
      </c>
      <c r="C282" s="63">
        <v>270</v>
      </c>
      <c r="D282" s="197" t="s">
        <v>190</v>
      </c>
      <c r="E282" s="189" t="s">
        <v>1180</v>
      </c>
      <c r="F282" s="190" t="s">
        <v>123</v>
      </c>
      <c r="G282" s="189" t="s">
        <v>135</v>
      </c>
      <c r="H282" s="191">
        <v>61792</v>
      </c>
      <c r="I282" s="189" t="s">
        <v>909</v>
      </c>
      <c r="J282" s="189">
        <v>0</v>
      </c>
      <c r="K282" s="189" t="s">
        <v>930</v>
      </c>
      <c r="L282" s="191">
        <v>10</v>
      </c>
      <c r="M282" s="192">
        <v>46092</v>
      </c>
      <c r="N282" s="193">
        <v>1</v>
      </c>
      <c r="O282" s="194">
        <v>1</v>
      </c>
      <c r="P282" s="195"/>
      <c r="Q282" s="196" t="s">
        <v>38</v>
      </c>
      <c r="R282" s="197">
        <v>1</v>
      </c>
      <c r="S282" s="198" t="s">
        <v>33</v>
      </c>
      <c r="T282" s="199"/>
      <c r="U282" s="200"/>
      <c r="V282" s="200"/>
      <c r="W282" s="200"/>
      <c r="X282" s="200"/>
      <c r="Y282" s="200"/>
      <c r="Z282" s="200"/>
      <c r="AA282" s="200"/>
      <c r="AB282" s="200"/>
      <c r="AC282" s="208"/>
      <c r="AD282" s="11" t="str">
        <f t="shared" si="12"/>
        <v>10</v>
      </c>
      <c r="AF282" t="str">
        <f t="shared" si="13"/>
        <v>80.01.ZZ.010</v>
      </c>
      <c r="AH282" t="str">
        <f t="shared" si="14"/>
        <v>00 de 01</v>
      </c>
    </row>
    <row r="283" spans="1:34" ht="34.5" x14ac:dyDescent="0.25">
      <c r="A283" s="139" t="s">
        <v>116</v>
      </c>
      <c r="B283" s="105" t="s">
        <v>122</v>
      </c>
      <c r="C283" s="63">
        <v>271</v>
      </c>
      <c r="D283" s="197" t="s">
        <v>190</v>
      </c>
      <c r="E283" s="189" t="s">
        <v>1181</v>
      </c>
      <c r="F283" s="190" t="s">
        <v>123</v>
      </c>
      <c r="G283" s="189" t="s">
        <v>135</v>
      </c>
      <c r="H283" s="191">
        <v>61792</v>
      </c>
      <c r="I283" s="189" t="s">
        <v>909</v>
      </c>
      <c r="J283" s="189">
        <v>0</v>
      </c>
      <c r="K283" s="189" t="s">
        <v>930</v>
      </c>
      <c r="L283" s="191">
        <v>10</v>
      </c>
      <c r="M283" s="192">
        <v>46092</v>
      </c>
      <c r="N283" s="193">
        <v>1</v>
      </c>
      <c r="O283" s="194">
        <v>1</v>
      </c>
      <c r="P283" s="195"/>
      <c r="Q283" s="196" t="s">
        <v>38</v>
      </c>
      <c r="R283" s="197">
        <v>1</v>
      </c>
      <c r="S283" s="198" t="s">
        <v>33</v>
      </c>
      <c r="T283" s="199"/>
      <c r="U283" s="200"/>
      <c r="V283" s="200"/>
      <c r="W283" s="200"/>
      <c r="X283" s="200"/>
      <c r="Y283" s="200"/>
      <c r="Z283" s="200"/>
      <c r="AA283" s="200"/>
      <c r="AB283" s="200"/>
      <c r="AC283" s="208"/>
      <c r="AD283" s="11" t="str">
        <f t="shared" si="12"/>
        <v>10</v>
      </c>
      <c r="AF283" t="str">
        <f t="shared" si="13"/>
        <v>80.01.ZZ.010</v>
      </c>
      <c r="AH283" t="str">
        <f t="shared" si="14"/>
        <v>00 de 01</v>
      </c>
    </row>
    <row r="284" spans="1:34" ht="34.5" x14ac:dyDescent="0.25">
      <c r="A284" s="139" t="s">
        <v>116</v>
      </c>
      <c r="B284" s="105" t="s">
        <v>122</v>
      </c>
      <c r="C284" s="63">
        <v>272</v>
      </c>
      <c r="D284" s="197" t="s">
        <v>190</v>
      </c>
      <c r="E284" s="189" t="s">
        <v>1182</v>
      </c>
      <c r="F284" s="190" t="s">
        <v>123</v>
      </c>
      <c r="G284" s="189" t="s">
        <v>135</v>
      </c>
      <c r="H284" s="191">
        <v>61792</v>
      </c>
      <c r="I284" s="189" t="s">
        <v>909</v>
      </c>
      <c r="J284" s="189">
        <v>0</v>
      </c>
      <c r="K284" s="189" t="s">
        <v>930</v>
      </c>
      <c r="L284" s="191">
        <v>10</v>
      </c>
      <c r="M284" s="192">
        <v>46092</v>
      </c>
      <c r="N284" s="193">
        <v>1</v>
      </c>
      <c r="O284" s="194">
        <v>1</v>
      </c>
      <c r="P284" s="195"/>
      <c r="Q284" s="196" t="s">
        <v>38</v>
      </c>
      <c r="R284" s="197">
        <v>1</v>
      </c>
      <c r="S284" s="198" t="s">
        <v>33</v>
      </c>
      <c r="T284" s="199"/>
      <c r="U284" s="200"/>
      <c r="V284" s="200"/>
      <c r="W284" s="200"/>
      <c r="X284" s="200"/>
      <c r="Y284" s="200"/>
      <c r="Z284" s="200"/>
      <c r="AA284" s="200"/>
      <c r="AB284" s="200"/>
      <c r="AC284" s="208"/>
      <c r="AD284" s="11" t="str">
        <f t="shared" si="12"/>
        <v>10</v>
      </c>
      <c r="AF284" t="str">
        <f t="shared" si="13"/>
        <v>80.01.ZZ.010</v>
      </c>
      <c r="AH284" t="str">
        <f t="shared" si="14"/>
        <v>00 de 01</v>
      </c>
    </row>
    <row r="285" spans="1:34" ht="34.5" x14ac:dyDescent="0.25">
      <c r="A285" s="139" t="s">
        <v>116</v>
      </c>
      <c r="B285" s="105" t="s">
        <v>122</v>
      </c>
      <c r="C285" s="63">
        <v>273</v>
      </c>
      <c r="D285" s="197" t="s">
        <v>190</v>
      </c>
      <c r="E285" s="189" t="s">
        <v>1183</v>
      </c>
      <c r="F285" s="190" t="s">
        <v>123</v>
      </c>
      <c r="G285" s="189" t="s">
        <v>135</v>
      </c>
      <c r="H285" s="191">
        <v>61792</v>
      </c>
      <c r="I285" s="189" t="s">
        <v>909</v>
      </c>
      <c r="J285" s="189">
        <v>0</v>
      </c>
      <c r="K285" s="189" t="s">
        <v>930</v>
      </c>
      <c r="L285" s="191">
        <v>10</v>
      </c>
      <c r="M285" s="192">
        <v>46092</v>
      </c>
      <c r="N285" s="193">
        <v>1</v>
      </c>
      <c r="O285" s="194">
        <v>1</v>
      </c>
      <c r="P285" s="195"/>
      <c r="Q285" s="196" t="s">
        <v>38</v>
      </c>
      <c r="R285" s="197">
        <v>1</v>
      </c>
      <c r="S285" s="198" t="s">
        <v>33</v>
      </c>
      <c r="T285" s="199"/>
      <c r="U285" s="200"/>
      <c r="V285" s="200"/>
      <c r="W285" s="200"/>
      <c r="X285" s="200"/>
      <c r="Y285" s="200"/>
      <c r="Z285" s="200"/>
      <c r="AA285" s="200"/>
      <c r="AB285" s="200"/>
      <c r="AC285" s="208"/>
      <c r="AD285" s="11" t="str">
        <f t="shared" si="12"/>
        <v>10</v>
      </c>
      <c r="AF285" t="str">
        <f t="shared" si="13"/>
        <v>80.01.ZZ.010</v>
      </c>
      <c r="AH285" t="str">
        <f t="shared" si="14"/>
        <v>00 de 01</v>
      </c>
    </row>
    <row r="286" spans="1:34" ht="34.5" x14ac:dyDescent="0.25">
      <c r="A286" s="139" t="s">
        <v>116</v>
      </c>
      <c r="B286" s="105" t="s">
        <v>122</v>
      </c>
      <c r="C286" s="63">
        <v>274</v>
      </c>
      <c r="D286" s="197" t="s">
        <v>190</v>
      </c>
      <c r="E286" s="189" t="s">
        <v>1184</v>
      </c>
      <c r="F286" s="190" t="s">
        <v>123</v>
      </c>
      <c r="G286" s="189" t="s">
        <v>135</v>
      </c>
      <c r="H286" s="191">
        <v>61792</v>
      </c>
      <c r="I286" s="189" t="s">
        <v>909</v>
      </c>
      <c r="J286" s="189">
        <v>0</v>
      </c>
      <c r="K286" s="189" t="s">
        <v>930</v>
      </c>
      <c r="L286" s="191">
        <v>10</v>
      </c>
      <c r="M286" s="192">
        <v>46092</v>
      </c>
      <c r="N286" s="193">
        <v>1</v>
      </c>
      <c r="O286" s="194">
        <v>1</v>
      </c>
      <c r="P286" s="195"/>
      <c r="Q286" s="196" t="s">
        <v>38</v>
      </c>
      <c r="R286" s="197">
        <v>1</v>
      </c>
      <c r="S286" s="198" t="s">
        <v>33</v>
      </c>
      <c r="T286" s="199"/>
      <c r="U286" s="200"/>
      <c r="V286" s="200"/>
      <c r="W286" s="200"/>
      <c r="X286" s="200"/>
      <c r="Y286" s="200"/>
      <c r="Z286" s="200"/>
      <c r="AA286" s="200"/>
      <c r="AB286" s="200"/>
      <c r="AC286" s="208"/>
      <c r="AD286" s="11" t="str">
        <f t="shared" si="12"/>
        <v>10</v>
      </c>
      <c r="AF286" t="str">
        <f t="shared" si="13"/>
        <v>80.01.ZZ.010</v>
      </c>
      <c r="AH286" t="str">
        <f t="shared" si="14"/>
        <v>00 de 01</v>
      </c>
    </row>
    <row r="287" spans="1:34" ht="34.5" x14ac:dyDescent="0.25">
      <c r="A287" s="139" t="s">
        <v>116</v>
      </c>
      <c r="B287" s="105" t="s">
        <v>122</v>
      </c>
      <c r="C287" s="63">
        <v>275</v>
      </c>
      <c r="D287" s="197" t="s">
        <v>190</v>
      </c>
      <c r="E287" s="189" t="s">
        <v>1185</v>
      </c>
      <c r="F287" s="190" t="s">
        <v>123</v>
      </c>
      <c r="G287" s="189" t="s">
        <v>135</v>
      </c>
      <c r="H287" s="191">
        <v>61792</v>
      </c>
      <c r="I287" s="189" t="s">
        <v>909</v>
      </c>
      <c r="J287" s="189">
        <v>0</v>
      </c>
      <c r="K287" s="189" t="s">
        <v>930</v>
      </c>
      <c r="L287" s="191">
        <v>10</v>
      </c>
      <c r="M287" s="192">
        <v>46092</v>
      </c>
      <c r="N287" s="193">
        <v>1</v>
      </c>
      <c r="O287" s="194">
        <v>1</v>
      </c>
      <c r="P287" s="195"/>
      <c r="Q287" s="196" t="s">
        <v>38</v>
      </c>
      <c r="R287" s="197">
        <v>1</v>
      </c>
      <c r="S287" s="198" t="s">
        <v>33</v>
      </c>
      <c r="T287" s="199"/>
      <c r="U287" s="200"/>
      <c r="V287" s="200"/>
      <c r="W287" s="200"/>
      <c r="X287" s="200"/>
      <c r="Y287" s="200"/>
      <c r="Z287" s="200"/>
      <c r="AA287" s="200"/>
      <c r="AB287" s="200"/>
      <c r="AC287" s="208"/>
      <c r="AD287" s="11" t="str">
        <f t="shared" si="12"/>
        <v>10</v>
      </c>
      <c r="AF287" t="str">
        <f t="shared" si="13"/>
        <v>80.01.ZZ.010</v>
      </c>
      <c r="AH287" t="str">
        <f t="shared" si="14"/>
        <v>00 de 01</v>
      </c>
    </row>
    <row r="288" spans="1:34" ht="34.5" x14ac:dyDescent="0.25">
      <c r="A288" s="139" t="s">
        <v>116</v>
      </c>
      <c r="B288" s="105" t="s">
        <v>122</v>
      </c>
      <c r="C288" s="63">
        <v>276</v>
      </c>
      <c r="D288" s="197" t="s">
        <v>190</v>
      </c>
      <c r="E288" s="189" t="s">
        <v>1186</v>
      </c>
      <c r="F288" s="190" t="s">
        <v>123</v>
      </c>
      <c r="G288" s="189" t="s">
        <v>135</v>
      </c>
      <c r="H288" s="191">
        <v>61792</v>
      </c>
      <c r="I288" s="189" t="s">
        <v>909</v>
      </c>
      <c r="J288" s="189">
        <v>0</v>
      </c>
      <c r="K288" s="189" t="s">
        <v>930</v>
      </c>
      <c r="L288" s="191">
        <v>10</v>
      </c>
      <c r="M288" s="192">
        <v>46092</v>
      </c>
      <c r="N288" s="193">
        <v>1</v>
      </c>
      <c r="O288" s="194">
        <v>1</v>
      </c>
      <c r="P288" s="195"/>
      <c r="Q288" s="196" t="s">
        <v>38</v>
      </c>
      <c r="R288" s="197">
        <v>1</v>
      </c>
      <c r="S288" s="198" t="s">
        <v>33</v>
      </c>
      <c r="T288" s="199"/>
      <c r="U288" s="200"/>
      <c r="V288" s="200"/>
      <c r="W288" s="200"/>
      <c r="X288" s="200"/>
      <c r="Y288" s="200"/>
      <c r="Z288" s="200"/>
      <c r="AA288" s="200"/>
      <c r="AB288" s="200"/>
      <c r="AC288" s="208"/>
      <c r="AD288" s="11" t="str">
        <f t="shared" si="12"/>
        <v>10</v>
      </c>
      <c r="AF288" t="str">
        <f t="shared" si="13"/>
        <v>80.01.ZZ.010</v>
      </c>
      <c r="AH288" t="str">
        <f t="shared" si="14"/>
        <v>00 de 01</v>
      </c>
    </row>
    <row r="289" spans="1:34" ht="34.5" x14ac:dyDescent="0.25">
      <c r="A289" s="139" t="s">
        <v>116</v>
      </c>
      <c r="B289" s="105" t="s">
        <v>122</v>
      </c>
      <c r="C289" s="63">
        <v>277</v>
      </c>
      <c r="D289" s="197" t="s">
        <v>190</v>
      </c>
      <c r="E289" s="189" t="s">
        <v>1187</v>
      </c>
      <c r="F289" s="190" t="s">
        <v>123</v>
      </c>
      <c r="G289" s="189" t="s">
        <v>135</v>
      </c>
      <c r="H289" s="191">
        <v>61792</v>
      </c>
      <c r="I289" s="189" t="s">
        <v>909</v>
      </c>
      <c r="J289" s="189">
        <v>0</v>
      </c>
      <c r="K289" s="189" t="s">
        <v>930</v>
      </c>
      <c r="L289" s="191">
        <v>10</v>
      </c>
      <c r="M289" s="192">
        <v>46092</v>
      </c>
      <c r="N289" s="193">
        <v>1</v>
      </c>
      <c r="O289" s="194">
        <v>1</v>
      </c>
      <c r="P289" s="195"/>
      <c r="Q289" s="196" t="s">
        <v>38</v>
      </c>
      <c r="R289" s="197">
        <v>1</v>
      </c>
      <c r="S289" s="198" t="s">
        <v>33</v>
      </c>
      <c r="T289" s="199"/>
      <c r="U289" s="200"/>
      <c r="V289" s="200"/>
      <c r="W289" s="200"/>
      <c r="X289" s="200"/>
      <c r="Y289" s="200"/>
      <c r="Z289" s="200"/>
      <c r="AA289" s="200"/>
      <c r="AB289" s="200"/>
      <c r="AC289" s="208"/>
      <c r="AD289" s="11" t="str">
        <f t="shared" si="12"/>
        <v>10</v>
      </c>
      <c r="AF289" t="str">
        <f t="shared" si="13"/>
        <v>80.01.ZZ.010</v>
      </c>
      <c r="AH289" t="str">
        <f t="shared" si="14"/>
        <v>00 de 01</v>
      </c>
    </row>
    <row r="290" spans="1:34" ht="34.5" x14ac:dyDescent="0.25">
      <c r="A290" s="139" t="s">
        <v>116</v>
      </c>
      <c r="B290" s="105" t="s">
        <v>122</v>
      </c>
      <c r="C290" s="63">
        <v>278</v>
      </c>
      <c r="D290" s="197" t="s">
        <v>190</v>
      </c>
      <c r="E290" s="189" t="s">
        <v>1188</v>
      </c>
      <c r="F290" s="190" t="s">
        <v>123</v>
      </c>
      <c r="G290" s="189" t="s">
        <v>135</v>
      </c>
      <c r="H290" s="191">
        <v>61792</v>
      </c>
      <c r="I290" s="189" t="s">
        <v>909</v>
      </c>
      <c r="J290" s="189">
        <v>0</v>
      </c>
      <c r="K290" s="189" t="s">
        <v>930</v>
      </c>
      <c r="L290" s="191">
        <v>10</v>
      </c>
      <c r="M290" s="192">
        <v>46092</v>
      </c>
      <c r="N290" s="193">
        <v>1</v>
      </c>
      <c r="O290" s="194">
        <v>1</v>
      </c>
      <c r="P290" s="195"/>
      <c r="Q290" s="196" t="s">
        <v>38</v>
      </c>
      <c r="R290" s="197">
        <v>1</v>
      </c>
      <c r="S290" s="198" t="s">
        <v>33</v>
      </c>
      <c r="T290" s="199"/>
      <c r="U290" s="200"/>
      <c r="V290" s="200"/>
      <c r="W290" s="200"/>
      <c r="X290" s="200"/>
      <c r="Y290" s="200"/>
      <c r="Z290" s="200"/>
      <c r="AA290" s="200"/>
      <c r="AB290" s="200"/>
      <c r="AC290" s="208"/>
      <c r="AD290" s="11" t="str">
        <f t="shared" si="12"/>
        <v>10</v>
      </c>
      <c r="AF290" t="str">
        <f t="shared" si="13"/>
        <v>80.01.ZZ.010</v>
      </c>
      <c r="AH290" t="str">
        <f t="shared" si="14"/>
        <v>00 de 01</v>
      </c>
    </row>
    <row r="291" spans="1:34" ht="34.5" x14ac:dyDescent="0.25">
      <c r="A291" s="139" t="s">
        <v>116</v>
      </c>
      <c r="B291" s="105" t="s">
        <v>122</v>
      </c>
      <c r="C291" s="63">
        <v>279</v>
      </c>
      <c r="D291" s="197" t="s">
        <v>190</v>
      </c>
      <c r="E291" s="189" t="s">
        <v>1189</v>
      </c>
      <c r="F291" s="190" t="s">
        <v>123</v>
      </c>
      <c r="G291" s="189" t="s">
        <v>135</v>
      </c>
      <c r="H291" s="191">
        <v>61792</v>
      </c>
      <c r="I291" s="189" t="s">
        <v>909</v>
      </c>
      <c r="J291" s="189">
        <v>0</v>
      </c>
      <c r="K291" s="189" t="s">
        <v>930</v>
      </c>
      <c r="L291" s="191">
        <v>10</v>
      </c>
      <c r="M291" s="192">
        <v>46092</v>
      </c>
      <c r="N291" s="193">
        <v>1</v>
      </c>
      <c r="O291" s="194">
        <v>1</v>
      </c>
      <c r="P291" s="195"/>
      <c r="Q291" s="196" t="s">
        <v>38</v>
      </c>
      <c r="R291" s="197">
        <v>1</v>
      </c>
      <c r="S291" s="198" t="s">
        <v>33</v>
      </c>
      <c r="T291" s="199"/>
      <c r="U291" s="200"/>
      <c r="V291" s="200"/>
      <c r="W291" s="200"/>
      <c r="X291" s="200"/>
      <c r="Y291" s="200"/>
      <c r="Z291" s="200"/>
      <c r="AA291" s="200"/>
      <c r="AB291" s="200"/>
      <c r="AC291" s="208"/>
      <c r="AD291" s="11" t="str">
        <f t="shared" si="12"/>
        <v>10</v>
      </c>
      <c r="AF291" t="str">
        <f t="shared" si="13"/>
        <v>80.01.ZZ.010</v>
      </c>
      <c r="AH291" t="str">
        <f t="shared" si="14"/>
        <v>00 de 01</v>
      </c>
    </row>
    <row r="292" spans="1:34" ht="34.5" x14ac:dyDescent="0.25">
      <c r="A292" s="139" t="s">
        <v>116</v>
      </c>
      <c r="B292" s="105" t="s">
        <v>122</v>
      </c>
      <c r="C292" s="63">
        <v>280</v>
      </c>
      <c r="D292" s="197" t="s">
        <v>190</v>
      </c>
      <c r="E292" s="189" t="s">
        <v>1190</v>
      </c>
      <c r="F292" s="190" t="s">
        <v>123</v>
      </c>
      <c r="G292" s="189" t="s">
        <v>135</v>
      </c>
      <c r="H292" s="191">
        <v>61792</v>
      </c>
      <c r="I292" s="189" t="s">
        <v>909</v>
      </c>
      <c r="J292" s="189">
        <v>0</v>
      </c>
      <c r="K292" s="189" t="s">
        <v>930</v>
      </c>
      <c r="L292" s="191">
        <v>10</v>
      </c>
      <c r="M292" s="192">
        <v>46092</v>
      </c>
      <c r="N292" s="193">
        <v>1</v>
      </c>
      <c r="O292" s="194">
        <v>1</v>
      </c>
      <c r="P292" s="195"/>
      <c r="Q292" s="196" t="s">
        <v>38</v>
      </c>
      <c r="R292" s="197">
        <v>1</v>
      </c>
      <c r="S292" s="198" t="s">
        <v>33</v>
      </c>
      <c r="T292" s="199"/>
      <c r="U292" s="200"/>
      <c r="V292" s="200"/>
      <c r="W292" s="200"/>
      <c r="X292" s="200"/>
      <c r="Y292" s="200"/>
      <c r="Z292" s="200"/>
      <c r="AA292" s="200"/>
      <c r="AB292" s="200"/>
      <c r="AC292" s="208"/>
      <c r="AD292" s="11" t="str">
        <f t="shared" si="12"/>
        <v>10</v>
      </c>
      <c r="AF292" t="str">
        <f t="shared" si="13"/>
        <v>80.01.ZZ.010</v>
      </c>
      <c r="AH292" t="str">
        <f t="shared" si="14"/>
        <v>00 de 01</v>
      </c>
    </row>
    <row r="293" spans="1:34" ht="34.5" x14ac:dyDescent="0.25">
      <c r="A293" s="139" t="s">
        <v>116</v>
      </c>
      <c r="B293" s="105" t="s">
        <v>122</v>
      </c>
      <c r="C293" s="63">
        <v>281</v>
      </c>
      <c r="D293" s="197" t="s">
        <v>190</v>
      </c>
      <c r="E293" s="189" t="s">
        <v>1191</v>
      </c>
      <c r="F293" s="190" t="s">
        <v>123</v>
      </c>
      <c r="G293" s="189" t="s">
        <v>135</v>
      </c>
      <c r="H293" s="191">
        <v>61792</v>
      </c>
      <c r="I293" s="189" t="s">
        <v>909</v>
      </c>
      <c r="J293" s="189">
        <v>0</v>
      </c>
      <c r="K293" s="189" t="s">
        <v>930</v>
      </c>
      <c r="L293" s="191">
        <v>10</v>
      </c>
      <c r="M293" s="192">
        <v>46092</v>
      </c>
      <c r="N293" s="193">
        <v>1</v>
      </c>
      <c r="O293" s="194">
        <v>1</v>
      </c>
      <c r="P293" s="195"/>
      <c r="Q293" s="196" t="s">
        <v>38</v>
      </c>
      <c r="R293" s="197">
        <v>1</v>
      </c>
      <c r="S293" s="198" t="s">
        <v>33</v>
      </c>
      <c r="T293" s="199"/>
      <c r="U293" s="200"/>
      <c r="V293" s="200"/>
      <c r="W293" s="200"/>
      <c r="X293" s="200"/>
      <c r="Y293" s="200"/>
      <c r="Z293" s="200"/>
      <c r="AA293" s="200"/>
      <c r="AB293" s="200"/>
      <c r="AC293" s="208"/>
      <c r="AD293" s="11" t="str">
        <f t="shared" si="12"/>
        <v>10</v>
      </c>
      <c r="AF293" t="str">
        <f t="shared" si="13"/>
        <v>80.01.ZZ.010</v>
      </c>
      <c r="AH293" t="str">
        <f t="shared" si="14"/>
        <v>00 de 01</v>
      </c>
    </row>
    <row r="294" spans="1:34" ht="34.5" x14ac:dyDescent="0.25">
      <c r="A294" s="139" t="s">
        <v>116</v>
      </c>
      <c r="B294" s="105" t="s">
        <v>122</v>
      </c>
      <c r="C294" s="63">
        <v>282</v>
      </c>
      <c r="D294" s="197" t="s">
        <v>190</v>
      </c>
      <c r="E294" s="189" t="s">
        <v>1192</v>
      </c>
      <c r="F294" s="190" t="s">
        <v>123</v>
      </c>
      <c r="G294" s="189" t="s">
        <v>135</v>
      </c>
      <c r="H294" s="191">
        <v>61792</v>
      </c>
      <c r="I294" s="189" t="s">
        <v>909</v>
      </c>
      <c r="J294" s="189">
        <v>0</v>
      </c>
      <c r="K294" s="189" t="s">
        <v>930</v>
      </c>
      <c r="L294" s="191">
        <v>10</v>
      </c>
      <c r="M294" s="192">
        <v>46092</v>
      </c>
      <c r="N294" s="193">
        <v>1</v>
      </c>
      <c r="O294" s="194">
        <v>1</v>
      </c>
      <c r="P294" s="195"/>
      <c r="Q294" s="196" t="s">
        <v>38</v>
      </c>
      <c r="R294" s="197">
        <v>1</v>
      </c>
      <c r="S294" s="198" t="s">
        <v>33</v>
      </c>
      <c r="T294" s="199"/>
      <c r="U294" s="200"/>
      <c r="V294" s="200"/>
      <c r="W294" s="200"/>
      <c r="X294" s="200"/>
      <c r="Y294" s="200"/>
      <c r="Z294" s="200"/>
      <c r="AA294" s="200"/>
      <c r="AB294" s="200"/>
      <c r="AC294" s="208"/>
      <c r="AD294" s="11" t="str">
        <f t="shared" si="12"/>
        <v>10</v>
      </c>
      <c r="AF294" t="str">
        <f t="shared" si="13"/>
        <v>80.01.ZZ.010</v>
      </c>
      <c r="AH294" t="str">
        <f t="shared" si="14"/>
        <v>00 de 01</v>
      </c>
    </row>
    <row r="295" spans="1:34" ht="34.5" x14ac:dyDescent="0.25">
      <c r="A295" s="139" t="s">
        <v>116</v>
      </c>
      <c r="B295" s="105" t="s">
        <v>122</v>
      </c>
      <c r="C295" s="63">
        <v>283</v>
      </c>
      <c r="D295" s="197" t="s">
        <v>190</v>
      </c>
      <c r="E295" s="189" t="s">
        <v>1193</v>
      </c>
      <c r="F295" s="190" t="s">
        <v>123</v>
      </c>
      <c r="G295" s="189" t="s">
        <v>135</v>
      </c>
      <c r="H295" s="191">
        <v>61792</v>
      </c>
      <c r="I295" s="189" t="s">
        <v>909</v>
      </c>
      <c r="J295" s="189">
        <v>0</v>
      </c>
      <c r="K295" s="189" t="s">
        <v>930</v>
      </c>
      <c r="L295" s="191">
        <v>10</v>
      </c>
      <c r="M295" s="192">
        <v>46092</v>
      </c>
      <c r="N295" s="193">
        <v>1</v>
      </c>
      <c r="O295" s="194">
        <v>1</v>
      </c>
      <c r="P295" s="195"/>
      <c r="Q295" s="196" t="s">
        <v>38</v>
      </c>
      <c r="R295" s="197">
        <v>1</v>
      </c>
      <c r="S295" s="198" t="s">
        <v>33</v>
      </c>
      <c r="T295" s="199"/>
      <c r="U295" s="200"/>
      <c r="V295" s="200"/>
      <c r="W295" s="200"/>
      <c r="X295" s="200"/>
      <c r="Y295" s="200"/>
      <c r="Z295" s="200"/>
      <c r="AA295" s="200"/>
      <c r="AB295" s="200"/>
      <c r="AC295" s="208"/>
      <c r="AD295" s="11" t="str">
        <f t="shared" si="12"/>
        <v>10</v>
      </c>
      <c r="AF295" t="str">
        <f t="shared" si="13"/>
        <v>80.01.ZZ.010</v>
      </c>
      <c r="AH295" t="str">
        <f t="shared" si="14"/>
        <v>00 de 01</v>
      </c>
    </row>
    <row r="296" spans="1:34" ht="34.5" x14ac:dyDescent="0.25">
      <c r="A296" s="139" t="s">
        <v>116</v>
      </c>
      <c r="B296" s="105" t="s">
        <v>122</v>
      </c>
      <c r="C296" s="63">
        <v>284</v>
      </c>
      <c r="D296" s="197" t="s">
        <v>190</v>
      </c>
      <c r="E296" s="189" t="s">
        <v>1194</v>
      </c>
      <c r="F296" s="190" t="s">
        <v>123</v>
      </c>
      <c r="G296" s="189" t="s">
        <v>135</v>
      </c>
      <c r="H296" s="191">
        <v>61792</v>
      </c>
      <c r="I296" s="189" t="s">
        <v>909</v>
      </c>
      <c r="J296" s="189">
        <v>0</v>
      </c>
      <c r="K296" s="189" t="s">
        <v>930</v>
      </c>
      <c r="L296" s="191">
        <v>10</v>
      </c>
      <c r="M296" s="192">
        <v>46092</v>
      </c>
      <c r="N296" s="193">
        <v>1</v>
      </c>
      <c r="O296" s="194">
        <v>1</v>
      </c>
      <c r="P296" s="195"/>
      <c r="Q296" s="196" t="s">
        <v>38</v>
      </c>
      <c r="R296" s="197">
        <v>1</v>
      </c>
      <c r="S296" s="198" t="s">
        <v>33</v>
      </c>
      <c r="T296" s="199"/>
      <c r="U296" s="200"/>
      <c r="V296" s="200"/>
      <c r="W296" s="200"/>
      <c r="X296" s="200"/>
      <c r="Y296" s="200"/>
      <c r="Z296" s="200"/>
      <c r="AA296" s="200"/>
      <c r="AB296" s="200"/>
      <c r="AC296" s="208"/>
      <c r="AD296" s="11" t="str">
        <f t="shared" si="12"/>
        <v>10</v>
      </c>
      <c r="AF296" t="str">
        <f t="shared" si="13"/>
        <v>80.01.ZZ.010</v>
      </c>
      <c r="AH296" t="str">
        <f t="shared" si="14"/>
        <v>00 de 01</v>
      </c>
    </row>
    <row r="297" spans="1:34" ht="34.5" x14ac:dyDescent="0.25">
      <c r="A297" s="139" t="s">
        <v>116</v>
      </c>
      <c r="B297" s="105" t="s">
        <v>122</v>
      </c>
      <c r="C297" s="63">
        <v>285</v>
      </c>
      <c r="D297" s="197" t="s">
        <v>190</v>
      </c>
      <c r="E297" s="189" t="s">
        <v>1195</v>
      </c>
      <c r="F297" s="190" t="s">
        <v>123</v>
      </c>
      <c r="G297" s="189" t="s">
        <v>135</v>
      </c>
      <c r="H297" s="191">
        <v>61792</v>
      </c>
      <c r="I297" s="189" t="s">
        <v>909</v>
      </c>
      <c r="J297" s="189">
        <v>0</v>
      </c>
      <c r="K297" s="189" t="s">
        <v>930</v>
      </c>
      <c r="L297" s="191">
        <v>10</v>
      </c>
      <c r="M297" s="192">
        <v>46092</v>
      </c>
      <c r="N297" s="193">
        <v>1</v>
      </c>
      <c r="O297" s="194">
        <v>1</v>
      </c>
      <c r="P297" s="195"/>
      <c r="Q297" s="196" t="s">
        <v>38</v>
      </c>
      <c r="R297" s="197">
        <v>1</v>
      </c>
      <c r="S297" s="198" t="s">
        <v>33</v>
      </c>
      <c r="T297" s="199"/>
      <c r="U297" s="200"/>
      <c r="V297" s="200"/>
      <c r="W297" s="200"/>
      <c r="X297" s="200"/>
      <c r="Y297" s="200"/>
      <c r="Z297" s="200"/>
      <c r="AA297" s="200"/>
      <c r="AB297" s="200"/>
      <c r="AC297" s="208"/>
      <c r="AD297" s="11" t="str">
        <f t="shared" si="12"/>
        <v>10</v>
      </c>
      <c r="AF297" t="str">
        <f t="shared" si="13"/>
        <v>80.01.ZZ.010</v>
      </c>
      <c r="AH297" t="str">
        <f t="shared" si="14"/>
        <v>00 de 01</v>
      </c>
    </row>
    <row r="298" spans="1:34" ht="34.5" x14ac:dyDescent="0.25">
      <c r="A298" s="139" t="s">
        <v>116</v>
      </c>
      <c r="B298" s="105" t="s">
        <v>122</v>
      </c>
      <c r="C298" s="63">
        <v>286</v>
      </c>
      <c r="D298" s="197" t="s">
        <v>933</v>
      </c>
      <c r="E298" s="189" t="s">
        <v>1196</v>
      </c>
      <c r="F298" s="190" t="s">
        <v>123</v>
      </c>
      <c r="G298" s="189" t="s">
        <v>135</v>
      </c>
      <c r="H298" s="191">
        <v>61792</v>
      </c>
      <c r="I298" s="189" t="s">
        <v>909</v>
      </c>
      <c r="J298" s="189">
        <v>0</v>
      </c>
      <c r="K298" s="189" t="s">
        <v>930</v>
      </c>
      <c r="L298" s="191">
        <v>10</v>
      </c>
      <c r="M298" s="192">
        <v>46092</v>
      </c>
      <c r="N298" s="193">
        <v>1</v>
      </c>
      <c r="O298" s="194">
        <v>1</v>
      </c>
      <c r="P298" s="195"/>
      <c r="Q298" s="196" t="s">
        <v>38</v>
      </c>
      <c r="R298" s="197">
        <v>1</v>
      </c>
      <c r="S298" s="198" t="s">
        <v>33</v>
      </c>
      <c r="T298" s="199"/>
      <c r="U298" s="200"/>
      <c r="V298" s="200"/>
      <c r="W298" s="200"/>
      <c r="X298" s="200"/>
      <c r="Y298" s="200"/>
      <c r="Z298" s="200"/>
      <c r="AA298" s="200"/>
      <c r="AB298" s="200"/>
      <c r="AC298" s="208"/>
      <c r="AD298" s="11" t="str">
        <f t="shared" si="12"/>
        <v>10</v>
      </c>
      <c r="AF298" t="str">
        <f t="shared" si="13"/>
        <v>80.01.ZZ.010</v>
      </c>
      <c r="AH298" t="str">
        <f t="shared" si="14"/>
        <v>00 de 01</v>
      </c>
    </row>
    <row r="299" spans="1:34" ht="34.5" x14ac:dyDescent="0.25">
      <c r="A299" s="139" t="s">
        <v>116</v>
      </c>
      <c r="B299" s="105" t="s">
        <v>122</v>
      </c>
      <c r="C299" s="63">
        <v>287</v>
      </c>
      <c r="D299" s="197" t="s">
        <v>190</v>
      </c>
      <c r="E299" s="189" t="s">
        <v>1197</v>
      </c>
      <c r="F299" s="190" t="s">
        <v>123</v>
      </c>
      <c r="G299" s="189" t="s">
        <v>135</v>
      </c>
      <c r="H299" s="191">
        <v>61792</v>
      </c>
      <c r="I299" s="189" t="s">
        <v>909</v>
      </c>
      <c r="J299" s="189">
        <v>0</v>
      </c>
      <c r="K299" s="189" t="s">
        <v>930</v>
      </c>
      <c r="L299" s="191">
        <v>10</v>
      </c>
      <c r="M299" s="192">
        <v>46092</v>
      </c>
      <c r="N299" s="193">
        <v>1</v>
      </c>
      <c r="O299" s="194">
        <v>1</v>
      </c>
      <c r="P299" s="195"/>
      <c r="Q299" s="196" t="s">
        <v>38</v>
      </c>
      <c r="R299" s="197">
        <v>1</v>
      </c>
      <c r="S299" s="198" t="s">
        <v>33</v>
      </c>
      <c r="T299" s="199"/>
      <c r="U299" s="200"/>
      <c r="V299" s="200"/>
      <c r="W299" s="200"/>
      <c r="X299" s="200"/>
      <c r="Y299" s="200"/>
      <c r="Z299" s="200"/>
      <c r="AA299" s="200"/>
      <c r="AB299" s="200"/>
      <c r="AC299" s="208"/>
      <c r="AD299" s="11" t="str">
        <f t="shared" si="12"/>
        <v>10</v>
      </c>
      <c r="AF299" t="str">
        <f t="shared" si="13"/>
        <v>80.01.ZZ.010</v>
      </c>
      <c r="AH299" t="str">
        <f t="shared" si="14"/>
        <v>00 de 01</v>
      </c>
    </row>
    <row r="300" spans="1:34" ht="34.5" x14ac:dyDescent="0.25">
      <c r="A300" s="139" t="s">
        <v>116</v>
      </c>
      <c r="B300" s="105" t="s">
        <v>122</v>
      </c>
      <c r="C300" s="63">
        <v>288</v>
      </c>
      <c r="D300" s="197" t="s">
        <v>190</v>
      </c>
      <c r="E300" s="189" t="s">
        <v>1198</v>
      </c>
      <c r="F300" s="190" t="s">
        <v>123</v>
      </c>
      <c r="G300" s="189" t="s">
        <v>135</v>
      </c>
      <c r="H300" s="191">
        <v>61792</v>
      </c>
      <c r="I300" s="189" t="s">
        <v>909</v>
      </c>
      <c r="J300" s="189">
        <v>0</v>
      </c>
      <c r="K300" s="189" t="s">
        <v>930</v>
      </c>
      <c r="L300" s="191">
        <v>10</v>
      </c>
      <c r="M300" s="192">
        <v>46092</v>
      </c>
      <c r="N300" s="193">
        <v>1</v>
      </c>
      <c r="O300" s="194">
        <v>1</v>
      </c>
      <c r="P300" s="195"/>
      <c r="Q300" s="196" t="s">
        <v>38</v>
      </c>
      <c r="R300" s="197">
        <v>1</v>
      </c>
      <c r="S300" s="198" t="s">
        <v>33</v>
      </c>
      <c r="T300" s="199"/>
      <c r="U300" s="200"/>
      <c r="V300" s="200"/>
      <c r="W300" s="200"/>
      <c r="X300" s="200"/>
      <c r="Y300" s="200"/>
      <c r="Z300" s="200"/>
      <c r="AA300" s="200"/>
      <c r="AB300" s="200"/>
      <c r="AC300" s="208"/>
      <c r="AD300" s="11" t="str">
        <f t="shared" si="12"/>
        <v>10</v>
      </c>
      <c r="AF300" t="str">
        <f t="shared" si="13"/>
        <v>80.01.ZZ.010</v>
      </c>
      <c r="AH300" t="str">
        <f t="shared" si="14"/>
        <v>00 de 01</v>
      </c>
    </row>
    <row r="301" spans="1:34" ht="34.5" x14ac:dyDescent="0.25">
      <c r="A301" s="139" t="s">
        <v>116</v>
      </c>
      <c r="B301" s="105" t="s">
        <v>122</v>
      </c>
      <c r="C301" s="63">
        <v>289</v>
      </c>
      <c r="D301" s="197" t="s">
        <v>190</v>
      </c>
      <c r="E301" s="189" t="s">
        <v>1199</v>
      </c>
      <c r="F301" s="190" t="s">
        <v>123</v>
      </c>
      <c r="G301" s="189" t="s">
        <v>135</v>
      </c>
      <c r="H301" s="191">
        <v>61792</v>
      </c>
      <c r="I301" s="189" t="s">
        <v>909</v>
      </c>
      <c r="J301" s="189">
        <v>0</v>
      </c>
      <c r="K301" s="189" t="s">
        <v>930</v>
      </c>
      <c r="L301" s="191">
        <v>10</v>
      </c>
      <c r="M301" s="192">
        <v>46092</v>
      </c>
      <c r="N301" s="193">
        <v>1</v>
      </c>
      <c r="O301" s="194">
        <v>1</v>
      </c>
      <c r="P301" s="195"/>
      <c r="Q301" s="196" t="s">
        <v>38</v>
      </c>
      <c r="R301" s="197">
        <v>1</v>
      </c>
      <c r="S301" s="198" t="s">
        <v>33</v>
      </c>
      <c r="T301" s="199"/>
      <c r="U301" s="200"/>
      <c r="V301" s="200"/>
      <c r="W301" s="200"/>
      <c r="X301" s="200"/>
      <c r="Y301" s="200"/>
      <c r="Z301" s="200"/>
      <c r="AA301" s="200"/>
      <c r="AB301" s="200"/>
      <c r="AC301" s="208"/>
      <c r="AD301" s="11" t="str">
        <f t="shared" si="12"/>
        <v>10</v>
      </c>
      <c r="AF301" t="str">
        <f t="shared" si="13"/>
        <v>80.01.ZZ.010</v>
      </c>
      <c r="AH301" t="str">
        <f t="shared" si="14"/>
        <v>00 de 01</v>
      </c>
    </row>
    <row r="302" spans="1:34" ht="34.5" x14ac:dyDescent="0.25">
      <c r="A302" s="139" t="s">
        <v>116</v>
      </c>
      <c r="B302" s="105" t="s">
        <v>122</v>
      </c>
      <c r="C302" s="63">
        <v>290</v>
      </c>
      <c r="D302" s="197" t="s">
        <v>133</v>
      </c>
      <c r="E302" s="189" t="s">
        <v>1200</v>
      </c>
      <c r="F302" s="190" t="s">
        <v>123</v>
      </c>
      <c r="G302" s="189" t="s">
        <v>135</v>
      </c>
      <c r="H302" s="191">
        <v>61792</v>
      </c>
      <c r="I302" s="189" t="s">
        <v>909</v>
      </c>
      <c r="J302" s="189">
        <v>0</v>
      </c>
      <c r="K302" s="189" t="s">
        <v>931</v>
      </c>
      <c r="L302" s="191">
        <v>10</v>
      </c>
      <c r="M302" s="192">
        <v>46092</v>
      </c>
      <c r="N302" s="193">
        <v>1</v>
      </c>
      <c r="O302" s="194">
        <v>1</v>
      </c>
      <c r="P302" s="195"/>
      <c r="Q302" s="196" t="s">
        <v>38</v>
      </c>
      <c r="R302" s="197">
        <v>1</v>
      </c>
      <c r="S302" s="198" t="s">
        <v>33</v>
      </c>
      <c r="T302" s="199"/>
      <c r="U302" s="200"/>
      <c r="V302" s="200"/>
      <c r="W302" s="200"/>
      <c r="X302" s="200"/>
      <c r="Y302" s="200"/>
      <c r="Z302" s="200"/>
      <c r="AA302" s="200"/>
      <c r="AB302" s="200"/>
      <c r="AC302" s="208"/>
      <c r="AD302" s="11" t="str">
        <f t="shared" si="12"/>
        <v>10</v>
      </c>
      <c r="AF302" t="str">
        <f t="shared" si="13"/>
        <v>80.01.ZZ.010</v>
      </c>
      <c r="AH302" t="str">
        <f t="shared" si="14"/>
        <v>00 de 01</v>
      </c>
    </row>
    <row r="303" spans="1:34" ht="34.5" x14ac:dyDescent="0.25">
      <c r="A303" s="139" t="s">
        <v>116</v>
      </c>
      <c r="B303" s="105" t="s">
        <v>122</v>
      </c>
      <c r="C303" s="63">
        <v>291</v>
      </c>
      <c r="D303" s="197" t="s">
        <v>190</v>
      </c>
      <c r="E303" s="189" t="s">
        <v>1201</v>
      </c>
      <c r="F303" s="190" t="s">
        <v>123</v>
      </c>
      <c r="G303" s="189" t="s">
        <v>135</v>
      </c>
      <c r="H303" s="191">
        <v>61792</v>
      </c>
      <c r="I303" s="189" t="s">
        <v>909</v>
      </c>
      <c r="J303" s="189">
        <v>0</v>
      </c>
      <c r="K303" s="189" t="s">
        <v>931</v>
      </c>
      <c r="L303" s="191">
        <v>10</v>
      </c>
      <c r="M303" s="192">
        <v>46092</v>
      </c>
      <c r="N303" s="193">
        <v>1</v>
      </c>
      <c r="O303" s="194">
        <v>1</v>
      </c>
      <c r="P303" s="195"/>
      <c r="Q303" s="196" t="s">
        <v>38</v>
      </c>
      <c r="R303" s="197">
        <v>1</v>
      </c>
      <c r="S303" s="198" t="s">
        <v>33</v>
      </c>
      <c r="T303" s="199"/>
      <c r="U303" s="200"/>
      <c r="V303" s="200"/>
      <c r="W303" s="200"/>
      <c r="X303" s="200"/>
      <c r="Y303" s="200"/>
      <c r="Z303" s="200"/>
      <c r="AA303" s="200"/>
      <c r="AB303" s="200"/>
      <c r="AC303" s="208"/>
      <c r="AD303" s="11" t="str">
        <f t="shared" si="12"/>
        <v>10</v>
      </c>
      <c r="AF303" t="str">
        <f t="shared" si="13"/>
        <v>80.01.ZZ.010</v>
      </c>
      <c r="AH303" t="str">
        <f t="shared" si="14"/>
        <v>00 de 01</v>
      </c>
    </row>
    <row r="304" spans="1:34" ht="34.5" x14ac:dyDescent="0.25">
      <c r="A304" s="139" t="s">
        <v>116</v>
      </c>
      <c r="B304" s="105" t="s">
        <v>122</v>
      </c>
      <c r="C304" s="63">
        <v>292</v>
      </c>
      <c r="D304" s="197" t="s">
        <v>190</v>
      </c>
      <c r="E304" s="189" t="s">
        <v>1202</v>
      </c>
      <c r="F304" s="190" t="s">
        <v>123</v>
      </c>
      <c r="G304" s="189" t="s">
        <v>135</v>
      </c>
      <c r="H304" s="191">
        <v>61792</v>
      </c>
      <c r="I304" s="189" t="s">
        <v>909</v>
      </c>
      <c r="J304" s="189">
        <v>0</v>
      </c>
      <c r="K304" s="189" t="s">
        <v>931</v>
      </c>
      <c r="L304" s="191">
        <v>10</v>
      </c>
      <c r="M304" s="192">
        <v>46092</v>
      </c>
      <c r="N304" s="193">
        <v>1</v>
      </c>
      <c r="O304" s="194">
        <v>1</v>
      </c>
      <c r="P304" s="195"/>
      <c r="Q304" s="196" t="s">
        <v>38</v>
      </c>
      <c r="R304" s="197">
        <v>1</v>
      </c>
      <c r="S304" s="198" t="s">
        <v>33</v>
      </c>
      <c r="T304" s="199"/>
      <c r="U304" s="200"/>
      <c r="V304" s="200"/>
      <c r="W304" s="200"/>
      <c r="X304" s="200"/>
      <c r="Y304" s="200"/>
      <c r="Z304" s="200"/>
      <c r="AA304" s="200"/>
      <c r="AB304" s="200"/>
      <c r="AC304" s="208"/>
      <c r="AD304" s="11" t="str">
        <f t="shared" si="12"/>
        <v>10</v>
      </c>
      <c r="AF304" t="str">
        <f t="shared" si="13"/>
        <v>80.01.ZZ.010</v>
      </c>
      <c r="AH304" t="str">
        <f t="shared" si="14"/>
        <v>00 de 01</v>
      </c>
    </row>
    <row r="305" spans="1:34" ht="34.5" x14ac:dyDescent="0.25">
      <c r="A305" s="139" t="s">
        <v>116</v>
      </c>
      <c r="B305" s="105" t="s">
        <v>122</v>
      </c>
      <c r="C305" s="63">
        <v>293</v>
      </c>
      <c r="D305" s="197" t="s">
        <v>190</v>
      </c>
      <c r="E305" s="189" t="s">
        <v>1203</v>
      </c>
      <c r="F305" s="190" t="s">
        <v>123</v>
      </c>
      <c r="G305" s="189" t="s">
        <v>135</v>
      </c>
      <c r="H305" s="191">
        <v>61792</v>
      </c>
      <c r="I305" s="189" t="s">
        <v>909</v>
      </c>
      <c r="J305" s="189">
        <v>0</v>
      </c>
      <c r="K305" s="189" t="s">
        <v>931</v>
      </c>
      <c r="L305" s="191">
        <v>10</v>
      </c>
      <c r="M305" s="192">
        <v>46092</v>
      </c>
      <c r="N305" s="193">
        <v>1</v>
      </c>
      <c r="O305" s="194">
        <v>1</v>
      </c>
      <c r="P305" s="195"/>
      <c r="Q305" s="196" t="s">
        <v>38</v>
      </c>
      <c r="R305" s="197">
        <v>1</v>
      </c>
      <c r="S305" s="198" t="s">
        <v>33</v>
      </c>
      <c r="T305" s="199"/>
      <c r="U305" s="200"/>
      <c r="V305" s="200"/>
      <c r="W305" s="200"/>
      <c r="X305" s="200"/>
      <c r="Y305" s="200"/>
      <c r="Z305" s="200"/>
      <c r="AA305" s="200"/>
      <c r="AB305" s="200"/>
      <c r="AC305" s="208"/>
      <c r="AD305" s="11" t="str">
        <f t="shared" si="12"/>
        <v>10</v>
      </c>
      <c r="AF305" t="str">
        <f t="shared" si="13"/>
        <v>80.01.ZZ.010</v>
      </c>
      <c r="AH305" t="str">
        <f t="shared" si="14"/>
        <v>00 de 01</v>
      </c>
    </row>
    <row r="306" spans="1:34" ht="34.5" x14ac:dyDescent="0.25">
      <c r="A306" s="139" t="s">
        <v>116</v>
      </c>
      <c r="B306" s="105" t="s">
        <v>122</v>
      </c>
      <c r="C306" s="63">
        <v>294</v>
      </c>
      <c r="D306" s="197" t="s">
        <v>190</v>
      </c>
      <c r="E306" s="189" t="s">
        <v>1204</v>
      </c>
      <c r="F306" s="190" t="s">
        <v>123</v>
      </c>
      <c r="G306" s="189" t="s">
        <v>135</v>
      </c>
      <c r="H306" s="191">
        <v>61792</v>
      </c>
      <c r="I306" s="189" t="s">
        <v>909</v>
      </c>
      <c r="J306" s="189">
        <v>0</v>
      </c>
      <c r="K306" s="189" t="s">
        <v>931</v>
      </c>
      <c r="L306" s="191">
        <v>10</v>
      </c>
      <c r="M306" s="192">
        <v>46092</v>
      </c>
      <c r="N306" s="193">
        <v>1</v>
      </c>
      <c r="O306" s="194">
        <v>1</v>
      </c>
      <c r="P306" s="195"/>
      <c r="Q306" s="196" t="s">
        <v>38</v>
      </c>
      <c r="R306" s="197">
        <v>1</v>
      </c>
      <c r="S306" s="198" t="s">
        <v>33</v>
      </c>
      <c r="T306" s="199"/>
      <c r="U306" s="200"/>
      <c r="V306" s="200"/>
      <c r="W306" s="200"/>
      <c r="X306" s="200"/>
      <c r="Y306" s="200"/>
      <c r="Z306" s="200"/>
      <c r="AA306" s="200"/>
      <c r="AB306" s="200"/>
      <c r="AC306" s="208"/>
      <c r="AD306" s="11" t="str">
        <f t="shared" si="12"/>
        <v>10</v>
      </c>
      <c r="AF306" t="str">
        <f t="shared" si="13"/>
        <v>80.01.ZZ.010</v>
      </c>
      <c r="AH306" t="str">
        <f t="shared" si="14"/>
        <v>00 de 01</v>
      </c>
    </row>
    <row r="307" spans="1:34" ht="34.5" x14ac:dyDescent="0.25">
      <c r="A307" s="139" t="s">
        <v>116</v>
      </c>
      <c r="B307" s="105" t="s">
        <v>122</v>
      </c>
      <c r="C307" s="63">
        <v>295</v>
      </c>
      <c r="D307" s="197" t="s">
        <v>190</v>
      </c>
      <c r="E307" s="189" t="s">
        <v>1205</v>
      </c>
      <c r="F307" s="190" t="s">
        <v>123</v>
      </c>
      <c r="G307" s="189" t="s">
        <v>135</v>
      </c>
      <c r="H307" s="191">
        <v>61792</v>
      </c>
      <c r="I307" s="189" t="s">
        <v>909</v>
      </c>
      <c r="J307" s="189">
        <v>0</v>
      </c>
      <c r="K307" s="189" t="s">
        <v>931</v>
      </c>
      <c r="L307" s="191">
        <v>10</v>
      </c>
      <c r="M307" s="192">
        <v>46092</v>
      </c>
      <c r="N307" s="193">
        <v>1</v>
      </c>
      <c r="O307" s="194">
        <v>1</v>
      </c>
      <c r="P307" s="195"/>
      <c r="Q307" s="196" t="s">
        <v>38</v>
      </c>
      <c r="R307" s="197">
        <v>1</v>
      </c>
      <c r="S307" s="198" t="s">
        <v>33</v>
      </c>
      <c r="T307" s="199"/>
      <c r="U307" s="200"/>
      <c r="V307" s="200"/>
      <c r="W307" s="200"/>
      <c r="X307" s="200"/>
      <c r="Y307" s="200"/>
      <c r="Z307" s="200"/>
      <c r="AA307" s="200"/>
      <c r="AB307" s="200"/>
      <c r="AC307" s="208"/>
      <c r="AD307" s="11" t="str">
        <f t="shared" si="12"/>
        <v>10</v>
      </c>
      <c r="AF307" t="str">
        <f t="shared" si="13"/>
        <v>80.01.ZZ.010</v>
      </c>
      <c r="AH307" t="str">
        <f t="shared" si="14"/>
        <v>00 de 01</v>
      </c>
    </row>
    <row r="308" spans="1:34" ht="34.5" x14ac:dyDescent="0.25">
      <c r="A308" s="139" t="s">
        <v>116</v>
      </c>
      <c r="B308" s="105" t="s">
        <v>122</v>
      </c>
      <c r="C308" s="63">
        <v>296</v>
      </c>
      <c r="D308" s="197" t="s">
        <v>190</v>
      </c>
      <c r="E308" s="189" t="s">
        <v>1206</v>
      </c>
      <c r="F308" s="190" t="s">
        <v>123</v>
      </c>
      <c r="G308" s="189" t="s">
        <v>135</v>
      </c>
      <c r="H308" s="191">
        <v>61792</v>
      </c>
      <c r="I308" s="189" t="s">
        <v>909</v>
      </c>
      <c r="J308" s="189">
        <v>0</v>
      </c>
      <c r="K308" s="189" t="s">
        <v>931</v>
      </c>
      <c r="L308" s="191">
        <v>10</v>
      </c>
      <c r="M308" s="192">
        <v>46092</v>
      </c>
      <c r="N308" s="193">
        <v>1</v>
      </c>
      <c r="O308" s="194">
        <v>1</v>
      </c>
      <c r="P308" s="195"/>
      <c r="Q308" s="196" t="s">
        <v>38</v>
      </c>
      <c r="R308" s="197">
        <v>1</v>
      </c>
      <c r="S308" s="198" t="s">
        <v>33</v>
      </c>
      <c r="T308" s="199"/>
      <c r="U308" s="200"/>
      <c r="V308" s="200"/>
      <c r="W308" s="200"/>
      <c r="X308" s="200"/>
      <c r="Y308" s="200"/>
      <c r="Z308" s="200"/>
      <c r="AA308" s="200"/>
      <c r="AB308" s="200"/>
      <c r="AC308" s="208"/>
      <c r="AD308" s="11" t="str">
        <f t="shared" si="12"/>
        <v>10</v>
      </c>
      <c r="AF308" t="str">
        <f t="shared" si="13"/>
        <v>80.01.ZZ.010</v>
      </c>
      <c r="AH308" t="str">
        <f t="shared" si="14"/>
        <v>00 de 01</v>
      </c>
    </row>
    <row r="309" spans="1:34" ht="34.5" x14ac:dyDescent="0.25">
      <c r="A309" s="139" t="s">
        <v>116</v>
      </c>
      <c r="B309" s="105" t="s">
        <v>122</v>
      </c>
      <c r="C309" s="63">
        <v>297</v>
      </c>
      <c r="D309" s="197" t="s">
        <v>190</v>
      </c>
      <c r="E309" s="189" t="s">
        <v>1207</v>
      </c>
      <c r="F309" s="190" t="s">
        <v>123</v>
      </c>
      <c r="G309" s="189" t="s">
        <v>135</v>
      </c>
      <c r="H309" s="191">
        <v>61792</v>
      </c>
      <c r="I309" s="189" t="s">
        <v>909</v>
      </c>
      <c r="J309" s="189">
        <v>0</v>
      </c>
      <c r="K309" s="189" t="s">
        <v>931</v>
      </c>
      <c r="L309" s="191">
        <v>10</v>
      </c>
      <c r="M309" s="192">
        <v>46092</v>
      </c>
      <c r="N309" s="193">
        <v>1</v>
      </c>
      <c r="O309" s="194">
        <v>1</v>
      </c>
      <c r="P309" s="195"/>
      <c r="Q309" s="196" t="s">
        <v>38</v>
      </c>
      <c r="R309" s="197">
        <v>1</v>
      </c>
      <c r="S309" s="198" t="s">
        <v>33</v>
      </c>
      <c r="T309" s="199"/>
      <c r="U309" s="200"/>
      <c r="V309" s="200"/>
      <c r="W309" s="200"/>
      <c r="X309" s="200"/>
      <c r="Y309" s="200"/>
      <c r="Z309" s="200"/>
      <c r="AA309" s="200"/>
      <c r="AB309" s="200"/>
      <c r="AC309" s="208"/>
      <c r="AD309" s="11" t="str">
        <f t="shared" si="12"/>
        <v>10</v>
      </c>
      <c r="AF309" t="str">
        <f t="shared" si="13"/>
        <v>80.01.ZZ.010</v>
      </c>
      <c r="AH309" t="str">
        <f t="shared" si="14"/>
        <v>00 de 01</v>
      </c>
    </row>
    <row r="310" spans="1:34" ht="34.5" x14ac:dyDescent="0.25">
      <c r="A310" s="139" t="s">
        <v>116</v>
      </c>
      <c r="B310" s="105" t="s">
        <v>122</v>
      </c>
      <c r="C310" s="63">
        <v>298</v>
      </c>
      <c r="D310" s="197" t="s">
        <v>190</v>
      </c>
      <c r="E310" s="189" t="s">
        <v>1208</v>
      </c>
      <c r="F310" s="190" t="s">
        <v>123</v>
      </c>
      <c r="G310" s="189" t="s">
        <v>135</v>
      </c>
      <c r="H310" s="191">
        <v>61792</v>
      </c>
      <c r="I310" s="189" t="s">
        <v>909</v>
      </c>
      <c r="J310" s="189">
        <v>0</v>
      </c>
      <c r="K310" s="189" t="s">
        <v>931</v>
      </c>
      <c r="L310" s="191">
        <v>10</v>
      </c>
      <c r="M310" s="192">
        <v>46092</v>
      </c>
      <c r="N310" s="193">
        <v>1</v>
      </c>
      <c r="O310" s="194">
        <v>1</v>
      </c>
      <c r="P310" s="195"/>
      <c r="Q310" s="196" t="s">
        <v>38</v>
      </c>
      <c r="R310" s="197">
        <v>1</v>
      </c>
      <c r="S310" s="198" t="s">
        <v>33</v>
      </c>
      <c r="T310" s="199"/>
      <c r="U310" s="200"/>
      <c r="V310" s="200"/>
      <c r="W310" s="200"/>
      <c r="X310" s="200"/>
      <c r="Y310" s="200"/>
      <c r="Z310" s="200"/>
      <c r="AA310" s="200"/>
      <c r="AB310" s="200"/>
      <c r="AC310" s="208"/>
      <c r="AD310" s="11" t="str">
        <f t="shared" si="12"/>
        <v>10</v>
      </c>
      <c r="AF310" t="str">
        <f t="shared" si="13"/>
        <v>80.01.ZZ.010</v>
      </c>
      <c r="AH310" t="str">
        <f t="shared" si="14"/>
        <v>00 de 01</v>
      </c>
    </row>
    <row r="311" spans="1:34" ht="34.5" x14ac:dyDescent="0.25">
      <c r="A311" s="139" t="s">
        <v>116</v>
      </c>
      <c r="B311" s="105" t="s">
        <v>122</v>
      </c>
      <c r="C311" s="63">
        <v>299</v>
      </c>
      <c r="D311" s="197" t="s">
        <v>190</v>
      </c>
      <c r="E311" s="189" t="s">
        <v>1209</v>
      </c>
      <c r="F311" s="190" t="s">
        <v>123</v>
      </c>
      <c r="G311" s="189" t="s">
        <v>135</v>
      </c>
      <c r="H311" s="191">
        <v>61792</v>
      </c>
      <c r="I311" s="189" t="s">
        <v>909</v>
      </c>
      <c r="J311" s="189">
        <v>0</v>
      </c>
      <c r="K311" s="189" t="s">
        <v>931</v>
      </c>
      <c r="L311" s="191">
        <v>10</v>
      </c>
      <c r="M311" s="192">
        <v>46092</v>
      </c>
      <c r="N311" s="193">
        <v>1</v>
      </c>
      <c r="O311" s="194">
        <v>1</v>
      </c>
      <c r="P311" s="195"/>
      <c r="Q311" s="196" t="s">
        <v>38</v>
      </c>
      <c r="R311" s="197">
        <v>1</v>
      </c>
      <c r="S311" s="198" t="s">
        <v>33</v>
      </c>
      <c r="T311" s="199"/>
      <c r="U311" s="200"/>
      <c r="V311" s="200"/>
      <c r="W311" s="200"/>
      <c r="X311" s="200"/>
      <c r="Y311" s="200"/>
      <c r="Z311" s="200"/>
      <c r="AA311" s="200"/>
      <c r="AB311" s="200"/>
      <c r="AC311" s="208"/>
      <c r="AD311" s="11" t="str">
        <f t="shared" si="12"/>
        <v>10</v>
      </c>
      <c r="AF311" t="str">
        <f t="shared" si="13"/>
        <v>80.01.ZZ.010</v>
      </c>
      <c r="AH311" t="str">
        <f t="shared" si="14"/>
        <v>00 de 01</v>
      </c>
    </row>
    <row r="312" spans="1:34" ht="34.5" x14ac:dyDescent="0.25">
      <c r="A312" s="139" t="s">
        <v>116</v>
      </c>
      <c r="B312" s="105" t="s">
        <v>122</v>
      </c>
      <c r="C312" s="63">
        <v>300</v>
      </c>
      <c r="D312" s="197" t="s">
        <v>190</v>
      </c>
      <c r="E312" s="189" t="s">
        <v>1210</v>
      </c>
      <c r="F312" s="190" t="s">
        <v>123</v>
      </c>
      <c r="G312" s="189" t="s">
        <v>135</v>
      </c>
      <c r="H312" s="191">
        <v>61792</v>
      </c>
      <c r="I312" s="189" t="s">
        <v>909</v>
      </c>
      <c r="J312" s="189">
        <v>0</v>
      </c>
      <c r="K312" s="189" t="s">
        <v>931</v>
      </c>
      <c r="L312" s="191">
        <v>10</v>
      </c>
      <c r="M312" s="192">
        <v>46092</v>
      </c>
      <c r="N312" s="193">
        <v>1</v>
      </c>
      <c r="O312" s="194">
        <v>1</v>
      </c>
      <c r="P312" s="195"/>
      <c r="Q312" s="196" t="s">
        <v>38</v>
      </c>
      <c r="R312" s="197">
        <v>1</v>
      </c>
      <c r="S312" s="198" t="s">
        <v>33</v>
      </c>
      <c r="T312" s="199"/>
      <c r="U312" s="200"/>
      <c r="V312" s="200"/>
      <c r="W312" s="200"/>
      <c r="X312" s="200"/>
      <c r="Y312" s="200"/>
      <c r="Z312" s="200"/>
      <c r="AA312" s="200"/>
      <c r="AB312" s="200"/>
      <c r="AC312" s="208"/>
      <c r="AD312" s="11" t="str">
        <f t="shared" si="12"/>
        <v>10</v>
      </c>
      <c r="AF312" t="str">
        <f t="shared" si="13"/>
        <v>80.01.ZZ.010</v>
      </c>
      <c r="AH312" t="str">
        <f t="shared" si="14"/>
        <v>00 de 01</v>
      </c>
    </row>
    <row r="313" spans="1:34" ht="34.5" x14ac:dyDescent="0.25">
      <c r="A313" s="139" t="s">
        <v>116</v>
      </c>
      <c r="B313" s="105" t="s">
        <v>122</v>
      </c>
      <c r="C313" s="63">
        <v>301</v>
      </c>
      <c r="D313" s="197" t="s">
        <v>133</v>
      </c>
      <c r="E313" s="189" t="s">
        <v>1211</v>
      </c>
      <c r="F313" s="190" t="s">
        <v>123</v>
      </c>
      <c r="G313" s="189" t="s">
        <v>135</v>
      </c>
      <c r="H313" s="191">
        <v>61792</v>
      </c>
      <c r="I313" s="189" t="s">
        <v>909</v>
      </c>
      <c r="J313" s="189">
        <v>0</v>
      </c>
      <c r="K313" s="189" t="s">
        <v>932</v>
      </c>
      <c r="L313" s="191">
        <v>10</v>
      </c>
      <c r="M313" s="192">
        <v>46092</v>
      </c>
      <c r="N313" s="193">
        <v>1</v>
      </c>
      <c r="O313" s="194">
        <v>1</v>
      </c>
      <c r="P313" s="195"/>
      <c r="Q313" s="196" t="s">
        <v>38</v>
      </c>
      <c r="R313" s="197">
        <v>1</v>
      </c>
      <c r="S313" s="198" t="s">
        <v>33</v>
      </c>
      <c r="T313" s="199"/>
      <c r="U313" s="200"/>
      <c r="V313" s="200"/>
      <c r="W313" s="200"/>
      <c r="X313" s="200"/>
      <c r="Y313" s="200"/>
      <c r="Z313" s="200"/>
      <c r="AA313" s="200"/>
      <c r="AB313" s="200"/>
      <c r="AC313" s="208"/>
      <c r="AD313" s="11" t="str">
        <f t="shared" si="12"/>
        <v>10</v>
      </c>
      <c r="AF313" t="str">
        <f t="shared" si="13"/>
        <v>80.01.ZZ.010</v>
      </c>
      <c r="AH313" t="str">
        <f t="shared" si="14"/>
        <v>00 de 01</v>
      </c>
    </row>
    <row r="314" spans="1:34" ht="34.5" x14ac:dyDescent="0.25">
      <c r="A314" s="139" t="s">
        <v>116</v>
      </c>
      <c r="B314" s="105" t="s">
        <v>122</v>
      </c>
      <c r="C314" s="63">
        <v>302</v>
      </c>
      <c r="D314" s="197" t="s">
        <v>190</v>
      </c>
      <c r="E314" s="189" t="s">
        <v>1212</v>
      </c>
      <c r="F314" s="190" t="s">
        <v>123</v>
      </c>
      <c r="G314" s="189" t="s">
        <v>135</v>
      </c>
      <c r="H314" s="191">
        <v>61792</v>
      </c>
      <c r="I314" s="189" t="s">
        <v>909</v>
      </c>
      <c r="J314" s="189">
        <v>0</v>
      </c>
      <c r="K314" s="189" t="s">
        <v>932</v>
      </c>
      <c r="L314" s="191">
        <v>10</v>
      </c>
      <c r="M314" s="192">
        <v>46092</v>
      </c>
      <c r="N314" s="193">
        <v>1</v>
      </c>
      <c r="O314" s="194">
        <v>1</v>
      </c>
      <c r="P314" s="195"/>
      <c r="Q314" s="196" t="s">
        <v>38</v>
      </c>
      <c r="R314" s="197">
        <v>1</v>
      </c>
      <c r="S314" s="198" t="s">
        <v>33</v>
      </c>
      <c r="T314" s="199"/>
      <c r="U314" s="200"/>
      <c r="V314" s="200"/>
      <c r="W314" s="200"/>
      <c r="X314" s="200"/>
      <c r="Y314" s="200"/>
      <c r="Z314" s="200"/>
      <c r="AA314" s="200"/>
      <c r="AB314" s="200"/>
      <c r="AC314" s="208"/>
      <c r="AD314" s="11" t="str">
        <f t="shared" si="12"/>
        <v>10</v>
      </c>
      <c r="AF314" t="str">
        <f t="shared" si="13"/>
        <v>80.01.ZZ.010</v>
      </c>
      <c r="AH314" t="str">
        <f t="shared" si="14"/>
        <v>00 de 01</v>
      </c>
    </row>
    <row r="315" spans="1:34" ht="34.5" x14ac:dyDescent="0.25">
      <c r="A315" s="139" t="s">
        <v>116</v>
      </c>
      <c r="B315" s="105" t="s">
        <v>122</v>
      </c>
      <c r="C315" s="63">
        <v>303</v>
      </c>
      <c r="D315" s="197" t="s">
        <v>190</v>
      </c>
      <c r="E315" s="189" t="s">
        <v>1213</v>
      </c>
      <c r="F315" s="190" t="s">
        <v>123</v>
      </c>
      <c r="G315" s="189" t="s">
        <v>135</v>
      </c>
      <c r="H315" s="191">
        <v>61792</v>
      </c>
      <c r="I315" s="189" t="s">
        <v>909</v>
      </c>
      <c r="J315" s="189">
        <v>0</v>
      </c>
      <c r="K315" s="189" t="s">
        <v>932</v>
      </c>
      <c r="L315" s="191">
        <v>10</v>
      </c>
      <c r="M315" s="192">
        <v>46092</v>
      </c>
      <c r="N315" s="193">
        <v>1</v>
      </c>
      <c r="O315" s="194">
        <v>1</v>
      </c>
      <c r="P315" s="195"/>
      <c r="Q315" s="196" t="s">
        <v>38</v>
      </c>
      <c r="R315" s="197">
        <v>1</v>
      </c>
      <c r="S315" s="198" t="s">
        <v>33</v>
      </c>
      <c r="T315" s="199"/>
      <c r="U315" s="200"/>
      <c r="V315" s="200"/>
      <c r="W315" s="200"/>
      <c r="X315" s="200"/>
      <c r="Y315" s="200"/>
      <c r="Z315" s="200"/>
      <c r="AA315" s="200"/>
      <c r="AB315" s="200"/>
      <c r="AC315" s="208"/>
      <c r="AD315" s="11" t="str">
        <f t="shared" si="12"/>
        <v>10</v>
      </c>
      <c r="AF315" t="str">
        <f t="shared" si="13"/>
        <v>80.01.ZZ.010</v>
      </c>
      <c r="AH315" t="str">
        <f t="shared" si="14"/>
        <v>00 de 01</v>
      </c>
    </row>
    <row r="316" spans="1:34" ht="34.5" x14ac:dyDescent="0.25">
      <c r="A316" s="139" t="s">
        <v>116</v>
      </c>
      <c r="B316" s="105" t="s">
        <v>122</v>
      </c>
      <c r="C316" s="63">
        <v>304</v>
      </c>
      <c r="D316" s="197" t="s">
        <v>190</v>
      </c>
      <c r="E316" s="189" t="s">
        <v>1214</v>
      </c>
      <c r="F316" s="190" t="s">
        <v>123</v>
      </c>
      <c r="G316" s="189" t="s">
        <v>135</v>
      </c>
      <c r="H316" s="191">
        <v>61792</v>
      </c>
      <c r="I316" s="189" t="s">
        <v>909</v>
      </c>
      <c r="J316" s="189">
        <v>0</v>
      </c>
      <c r="K316" s="189" t="s">
        <v>932</v>
      </c>
      <c r="L316" s="191">
        <v>10</v>
      </c>
      <c r="M316" s="192">
        <v>46092</v>
      </c>
      <c r="N316" s="193">
        <v>1</v>
      </c>
      <c r="O316" s="194">
        <v>1</v>
      </c>
      <c r="P316" s="195"/>
      <c r="Q316" s="196" t="s">
        <v>38</v>
      </c>
      <c r="R316" s="197">
        <v>1</v>
      </c>
      <c r="S316" s="198" t="s">
        <v>33</v>
      </c>
      <c r="T316" s="199"/>
      <c r="U316" s="200"/>
      <c r="V316" s="200"/>
      <c r="W316" s="200"/>
      <c r="X316" s="200"/>
      <c r="Y316" s="200"/>
      <c r="Z316" s="200"/>
      <c r="AA316" s="200"/>
      <c r="AB316" s="200"/>
      <c r="AC316" s="208"/>
      <c r="AD316" s="11" t="str">
        <f t="shared" si="12"/>
        <v>10</v>
      </c>
      <c r="AF316" t="str">
        <f t="shared" si="13"/>
        <v>80.01.ZZ.010</v>
      </c>
      <c r="AH316" t="str">
        <f t="shared" si="14"/>
        <v>00 de 01</v>
      </c>
    </row>
    <row r="317" spans="1:34" ht="34.5" x14ac:dyDescent="0.25">
      <c r="A317" s="139" t="s">
        <v>116</v>
      </c>
      <c r="B317" s="105" t="s">
        <v>122</v>
      </c>
      <c r="C317" s="63">
        <v>305</v>
      </c>
      <c r="D317" s="197" t="s">
        <v>190</v>
      </c>
      <c r="E317" s="189" t="s">
        <v>1215</v>
      </c>
      <c r="F317" s="190" t="s">
        <v>123</v>
      </c>
      <c r="G317" s="189" t="s">
        <v>135</v>
      </c>
      <c r="H317" s="191">
        <v>61792</v>
      </c>
      <c r="I317" s="189" t="s">
        <v>909</v>
      </c>
      <c r="J317" s="189">
        <v>0</v>
      </c>
      <c r="K317" s="189" t="s">
        <v>932</v>
      </c>
      <c r="L317" s="191">
        <v>10</v>
      </c>
      <c r="M317" s="192">
        <v>46092</v>
      </c>
      <c r="N317" s="193">
        <v>1</v>
      </c>
      <c r="O317" s="194">
        <v>1</v>
      </c>
      <c r="P317" s="195"/>
      <c r="Q317" s="196" t="s">
        <v>38</v>
      </c>
      <c r="R317" s="197">
        <v>1</v>
      </c>
      <c r="S317" s="198" t="s">
        <v>33</v>
      </c>
      <c r="T317" s="199"/>
      <c r="U317" s="200"/>
      <c r="V317" s="200"/>
      <c r="W317" s="200"/>
      <c r="X317" s="200"/>
      <c r="Y317" s="200"/>
      <c r="Z317" s="200"/>
      <c r="AA317" s="200"/>
      <c r="AB317" s="200"/>
      <c r="AC317" s="208"/>
      <c r="AD317" s="11" t="str">
        <f t="shared" si="12"/>
        <v>10</v>
      </c>
      <c r="AF317" t="str">
        <f t="shared" si="13"/>
        <v>80.01.ZZ.010</v>
      </c>
      <c r="AH317" t="str">
        <f t="shared" si="14"/>
        <v>00 de 01</v>
      </c>
    </row>
    <row r="318" spans="1:34" ht="34.5" x14ac:dyDescent="0.25">
      <c r="A318" s="139" t="s">
        <v>116</v>
      </c>
      <c r="B318" s="105" t="s">
        <v>122</v>
      </c>
      <c r="C318" s="63">
        <v>306</v>
      </c>
      <c r="D318" s="197" t="s">
        <v>190</v>
      </c>
      <c r="E318" s="189" t="s">
        <v>1216</v>
      </c>
      <c r="F318" s="190" t="s">
        <v>123</v>
      </c>
      <c r="G318" s="189" t="s">
        <v>135</v>
      </c>
      <c r="H318" s="191">
        <v>61792</v>
      </c>
      <c r="I318" s="189" t="s">
        <v>909</v>
      </c>
      <c r="J318" s="189">
        <v>0</v>
      </c>
      <c r="K318" s="189" t="s">
        <v>932</v>
      </c>
      <c r="L318" s="191">
        <v>10</v>
      </c>
      <c r="M318" s="192">
        <v>46092</v>
      </c>
      <c r="N318" s="193">
        <v>1</v>
      </c>
      <c r="O318" s="194">
        <v>1</v>
      </c>
      <c r="P318" s="195"/>
      <c r="Q318" s="196" t="s">
        <v>38</v>
      </c>
      <c r="R318" s="197">
        <v>1</v>
      </c>
      <c r="S318" s="198" t="s">
        <v>33</v>
      </c>
      <c r="T318" s="199"/>
      <c r="U318" s="200"/>
      <c r="V318" s="200"/>
      <c r="W318" s="200"/>
      <c r="X318" s="200"/>
      <c r="Y318" s="200"/>
      <c r="Z318" s="200"/>
      <c r="AA318" s="200"/>
      <c r="AB318" s="200"/>
      <c r="AC318" s="208"/>
      <c r="AD318" s="11" t="str">
        <f t="shared" si="12"/>
        <v>10</v>
      </c>
      <c r="AF318" t="str">
        <f t="shared" si="13"/>
        <v>80.01.ZZ.010</v>
      </c>
      <c r="AH318" t="str">
        <f t="shared" si="14"/>
        <v>00 de 01</v>
      </c>
    </row>
    <row r="319" spans="1:34" ht="34.5" x14ac:dyDescent="0.25">
      <c r="A319" s="139" t="s">
        <v>116</v>
      </c>
      <c r="B319" s="105" t="s">
        <v>122</v>
      </c>
      <c r="C319" s="63">
        <v>307</v>
      </c>
      <c r="D319" s="197" t="s">
        <v>190</v>
      </c>
      <c r="E319" s="189" t="s">
        <v>1217</v>
      </c>
      <c r="F319" s="190" t="s">
        <v>123</v>
      </c>
      <c r="G319" s="189" t="s">
        <v>135</v>
      </c>
      <c r="H319" s="191">
        <v>61792</v>
      </c>
      <c r="I319" s="189" t="s">
        <v>909</v>
      </c>
      <c r="J319" s="189">
        <v>0</v>
      </c>
      <c r="K319" s="189" t="s">
        <v>932</v>
      </c>
      <c r="L319" s="191">
        <v>10</v>
      </c>
      <c r="M319" s="192">
        <v>46092</v>
      </c>
      <c r="N319" s="193">
        <v>1</v>
      </c>
      <c r="O319" s="194">
        <v>1</v>
      </c>
      <c r="P319" s="195"/>
      <c r="Q319" s="196" t="s">
        <v>38</v>
      </c>
      <c r="R319" s="197">
        <v>1</v>
      </c>
      <c r="S319" s="198" t="s">
        <v>33</v>
      </c>
      <c r="T319" s="199"/>
      <c r="U319" s="200"/>
      <c r="V319" s="200"/>
      <c r="W319" s="200"/>
      <c r="X319" s="200"/>
      <c r="Y319" s="200"/>
      <c r="Z319" s="200"/>
      <c r="AA319" s="200"/>
      <c r="AB319" s="200"/>
      <c r="AC319" s="208"/>
      <c r="AD319" s="11" t="str">
        <f t="shared" si="12"/>
        <v>10</v>
      </c>
      <c r="AF319" t="str">
        <f t="shared" si="13"/>
        <v>80.01.ZZ.010</v>
      </c>
      <c r="AH319" t="str">
        <f t="shared" si="14"/>
        <v>00 de 01</v>
      </c>
    </row>
    <row r="320" spans="1:34" ht="34.5" x14ac:dyDescent="0.25">
      <c r="A320" s="139" t="s">
        <v>116</v>
      </c>
      <c r="B320" s="105" t="s">
        <v>122</v>
      </c>
      <c r="C320" s="63">
        <v>308</v>
      </c>
      <c r="D320" s="197" t="s">
        <v>190</v>
      </c>
      <c r="E320" s="189" t="s">
        <v>1218</v>
      </c>
      <c r="F320" s="190" t="s">
        <v>123</v>
      </c>
      <c r="G320" s="189" t="s">
        <v>135</v>
      </c>
      <c r="H320" s="191">
        <v>61792</v>
      </c>
      <c r="I320" s="189" t="s">
        <v>909</v>
      </c>
      <c r="J320" s="189">
        <v>0</v>
      </c>
      <c r="K320" s="189" t="s">
        <v>932</v>
      </c>
      <c r="L320" s="191">
        <v>10</v>
      </c>
      <c r="M320" s="192">
        <v>46092</v>
      </c>
      <c r="N320" s="193">
        <v>1</v>
      </c>
      <c r="O320" s="194">
        <v>1</v>
      </c>
      <c r="P320" s="195"/>
      <c r="Q320" s="196" t="s">
        <v>38</v>
      </c>
      <c r="R320" s="197">
        <v>1</v>
      </c>
      <c r="S320" s="198" t="s">
        <v>33</v>
      </c>
      <c r="T320" s="199"/>
      <c r="U320" s="200"/>
      <c r="V320" s="200"/>
      <c r="W320" s="200"/>
      <c r="X320" s="200"/>
      <c r="Y320" s="200"/>
      <c r="Z320" s="200"/>
      <c r="AA320" s="200"/>
      <c r="AB320" s="200"/>
      <c r="AC320" s="208"/>
      <c r="AD320" s="11" t="str">
        <f t="shared" si="12"/>
        <v>10</v>
      </c>
      <c r="AF320" t="str">
        <f t="shared" si="13"/>
        <v>80.01.ZZ.010</v>
      </c>
      <c r="AH320" t="str">
        <f t="shared" si="14"/>
        <v>00 de 01</v>
      </c>
    </row>
    <row r="321" spans="1:34" ht="34.5" x14ac:dyDescent="0.25">
      <c r="A321" s="139" t="s">
        <v>116</v>
      </c>
      <c r="B321" s="105" t="s">
        <v>122</v>
      </c>
      <c r="C321" s="63">
        <v>309</v>
      </c>
      <c r="D321" s="197" t="s">
        <v>190</v>
      </c>
      <c r="E321" s="189" t="s">
        <v>1219</v>
      </c>
      <c r="F321" s="190" t="s">
        <v>123</v>
      </c>
      <c r="G321" s="189" t="s">
        <v>135</v>
      </c>
      <c r="H321" s="191">
        <v>61792</v>
      </c>
      <c r="I321" s="189" t="s">
        <v>909</v>
      </c>
      <c r="J321" s="189">
        <v>0</v>
      </c>
      <c r="K321" s="189" t="s">
        <v>932</v>
      </c>
      <c r="L321" s="191">
        <v>10</v>
      </c>
      <c r="M321" s="192">
        <v>46092</v>
      </c>
      <c r="N321" s="193">
        <v>1</v>
      </c>
      <c r="O321" s="194">
        <v>1</v>
      </c>
      <c r="P321" s="195"/>
      <c r="Q321" s="196" t="s">
        <v>38</v>
      </c>
      <c r="R321" s="197">
        <v>1</v>
      </c>
      <c r="S321" s="198" t="s">
        <v>33</v>
      </c>
      <c r="T321" s="199"/>
      <c r="U321" s="200"/>
      <c r="V321" s="200"/>
      <c r="W321" s="200"/>
      <c r="X321" s="200"/>
      <c r="Y321" s="200"/>
      <c r="Z321" s="200"/>
      <c r="AA321" s="200"/>
      <c r="AB321" s="200"/>
      <c r="AC321" s="208"/>
      <c r="AD321" s="11" t="str">
        <f t="shared" si="12"/>
        <v>10</v>
      </c>
      <c r="AF321" t="str">
        <f t="shared" si="13"/>
        <v>80.01.ZZ.010</v>
      </c>
      <c r="AH321" t="str">
        <f t="shared" si="14"/>
        <v>00 de 01</v>
      </c>
    </row>
    <row r="322" spans="1:34" ht="34.5" x14ac:dyDescent="0.25">
      <c r="A322" s="139" t="s">
        <v>116</v>
      </c>
      <c r="B322" s="105" t="s">
        <v>122</v>
      </c>
      <c r="C322" s="63">
        <v>310</v>
      </c>
      <c r="D322" s="197" t="s">
        <v>190</v>
      </c>
      <c r="E322" s="189" t="s">
        <v>1220</v>
      </c>
      <c r="F322" s="190" t="s">
        <v>123</v>
      </c>
      <c r="G322" s="189" t="s">
        <v>135</v>
      </c>
      <c r="H322" s="191">
        <v>61792</v>
      </c>
      <c r="I322" s="189" t="s">
        <v>909</v>
      </c>
      <c r="J322" s="189">
        <v>0</v>
      </c>
      <c r="K322" s="189" t="s">
        <v>932</v>
      </c>
      <c r="L322" s="191">
        <v>10</v>
      </c>
      <c r="M322" s="192">
        <v>46092</v>
      </c>
      <c r="N322" s="193">
        <v>1</v>
      </c>
      <c r="O322" s="194">
        <v>1</v>
      </c>
      <c r="P322" s="195"/>
      <c r="Q322" s="196" t="s">
        <v>38</v>
      </c>
      <c r="R322" s="197">
        <v>1</v>
      </c>
      <c r="S322" s="198" t="s">
        <v>33</v>
      </c>
      <c r="T322" s="199"/>
      <c r="U322" s="200"/>
      <c r="V322" s="200"/>
      <c r="W322" s="200"/>
      <c r="X322" s="200"/>
      <c r="Y322" s="200"/>
      <c r="Z322" s="200"/>
      <c r="AA322" s="200"/>
      <c r="AB322" s="200"/>
      <c r="AC322" s="208"/>
      <c r="AD322" s="11" t="str">
        <f t="shared" si="12"/>
        <v>10</v>
      </c>
      <c r="AF322" t="str">
        <f t="shared" si="13"/>
        <v>80.01.ZZ.010</v>
      </c>
      <c r="AH322" t="str">
        <f t="shared" si="14"/>
        <v>00 de 01</v>
      </c>
    </row>
    <row r="323" spans="1:34" ht="34.5" x14ac:dyDescent="0.25">
      <c r="A323" s="139" t="s">
        <v>116</v>
      </c>
      <c r="B323" s="105" t="s">
        <v>122</v>
      </c>
      <c r="C323" s="63">
        <v>311</v>
      </c>
      <c r="D323" s="197" t="s">
        <v>190</v>
      </c>
      <c r="E323" s="189" t="s">
        <v>1221</v>
      </c>
      <c r="F323" s="190" t="s">
        <v>123</v>
      </c>
      <c r="G323" s="189" t="s">
        <v>135</v>
      </c>
      <c r="H323" s="191">
        <v>61792</v>
      </c>
      <c r="I323" s="189" t="s">
        <v>909</v>
      </c>
      <c r="J323" s="189">
        <v>0</v>
      </c>
      <c r="K323" s="189" t="s">
        <v>932</v>
      </c>
      <c r="L323" s="191">
        <v>10</v>
      </c>
      <c r="M323" s="192">
        <v>46092</v>
      </c>
      <c r="N323" s="193">
        <v>1</v>
      </c>
      <c r="O323" s="194">
        <v>1</v>
      </c>
      <c r="P323" s="195"/>
      <c r="Q323" s="196" t="s">
        <v>38</v>
      </c>
      <c r="R323" s="197">
        <v>1</v>
      </c>
      <c r="S323" s="198" t="s">
        <v>33</v>
      </c>
      <c r="T323" s="199"/>
      <c r="U323" s="200"/>
      <c r="V323" s="200"/>
      <c r="W323" s="200"/>
      <c r="X323" s="200"/>
      <c r="Y323" s="200"/>
      <c r="Z323" s="200"/>
      <c r="AA323" s="200"/>
      <c r="AB323" s="200"/>
      <c r="AC323" s="208"/>
      <c r="AD323" s="11" t="str">
        <f t="shared" si="12"/>
        <v>10</v>
      </c>
      <c r="AF323" t="str">
        <f t="shared" si="13"/>
        <v>80.01.ZZ.010</v>
      </c>
      <c r="AH323" t="str">
        <f t="shared" si="14"/>
        <v>00 de 01</v>
      </c>
    </row>
    <row r="324" spans="1:34" ht="34.5" x14ac:dyDescent="0.25">
      <c r="A324" s="139" t="s">
        <v>116</v>
      </c>
      <c r="B324" s="105" t="s">
        <v>122</v>
      </c>
      <c r="C324" s="63">
        <v>312</v>
      </c>
      <c r="D324" s="197" t="s">
        <v>190</v>
      </c>
      <c r="E324" s="189" t="s">
        <v>1222</v>
      </c>
      <c r="F324" s="190" t="s">
        <v>123</v>
      </c>
      <c r="G324" s="189" t="s">
        <v>135</v>
      </c>
      <c r="H324" s="191">
        <v>61792</v>
      </c>
      <c r="I324" s="189" t="s">
        <v>909</v>
      </c>
      <c r="J324" s="189">
        <v>0</v>
      </c>
      <c r="K324" s="189" t="s">
        <v>932</v>
      </c>
      <c r="L324" s="191">
        <v>10</v>
      </c>
      <c r="M324" s="192">
        <v>46092</v>
      </c>
      <c r="N324" s="193">
        <v>1</v>
      </c>
      <c r="O324" s="194">
        <v>1</v>
      </c>
      <c r="P324" s="195"/>
      <c r="Q324" s="196" t="s">
        <v>38</v>
      </c>
      <c r="R324" s="197">
        <v>1</v>
      </c>
      <c r="S324" s="198" t="s">
        <v>33</v>
      </c>
      <c r="T324" s="199"/>
      <c r="U324" s="200"/>
      <c r="V324" s="200"/>
      <c r="W324" s="200"/>
      <c r="X324" s="200"/>
      <c r="Y324" s="200"/>
      <c r="Z324" s="200"/>
      <c r="AA324" s="200"/>
      <c r="AB324" s="200"/>
      <c r="AC324" s="208"/>
      <c r="AD324" s="11" t="str">
        <f t="shared" si="12"/>
        <v>10</v>
      </c>
      <c r="AF324" t="str">
        <f t="shared" si="13"/>
        <v>80.01.ZZ.010</v>
      </c>
      <c r="AH324" t="str">
        <f t="shared" si="14"/>
        <v>00 de 01</v>
      </c>
    </row>
    <row r="325" spans="1:34" ht="34.5" x14ac:dyDescent="0.25">
      <c r="A325" s="139" t="s">
        <v>116</v>
      </c>
      <c r="B325" s="105" t="s">
        <v>122</v>
      </c>
      <c r="C325" s="63">
        <v>313</v>
      </c>
      <c r="D325" s="197" t="s">
        <v>190</v>
      </c>
      <c r="E325" s="189" t="s">
        <v>1223</v>
      </c>
      <c r="F325" s="190" t="s">
        <v>123</v>
      </c>
      <c r="G325" s="189" t="s">
        <v>135</v>
      </c>
      <c r="H325" s="191">
        <v>61792</v>
      </c>
      <c r="I325" s="189" t="s">
        <v>909</v>
      </c>
      <c r="J325" s="189">
        <v>0</v>
      </c>
      <c r="K325" s="189" t="s">
        <v>932</v>
      </c>
      <c r="L325" s="191">
        <v>10</v>
      </c>
      <c r="M325" s="192">
        <v>46092</v>
      </c>
      <c r="N325" s="193">
        <v>1</v>
      </c>
      <c r="O325" s="194">
        <v>1</v>
      </c>
      <c r="P325" s="195"/>
      <c r="Q325" s="196" t="s">
        <v>38</v>
      </c>
      <c r="R325" s="197">
        <v>1</v>
      </c>
      <c r="S325" s="198" t="s">
        <v>33</v>
      </c>
      <c r="T325" s="199"/>
      <c r="U325" s="200"/>
      <c r="V325" s="200"/>
      <c r="W325" s="200"/>
      <c r="X325" s="200"/>
      <c r="Y325" s="200"/>
      <c r="Z325" s="200"/>
      <c r="AA325" s="200"/>
      <c r="AB325" s="200"/>
      <c r="AC325" s="208"/>
      <c r="AD325" s="11" t="str">
        <f t="shared" si="12"/>
        <v>10</v>
      </c>
      <c r="AF325" t="str">
        <f t="shared" si="13"/>
        <v>80.01.ZZ.010</v>
      </c>
      <c r="AH325" t="str">
        <f t="shared" si="14"/>
        <v>00 de 01</v>
      </c>
    </row>
    <row r="326" spans="1:34" ht="34.5" x14ac:dyDescent="0.25">
      <c r="A326" s="139" t="s">
        <v>116</v>
      </c>
      <c r="B326" s="105" t="s">
        <v>122</v>
      </c>
      <c r="C326" s="63">
        <v>314</v>
      </c>
      <c r="D326" s="197" t="s">
        <v>191</v>
      </c>
      <c r="E326" s="189" t="s">
        <v>207</v>
      </c>
      <c r="F326" s="190" t="s">
        <v>123</v>
      </c>
      <c r="G326" s="189" t="s">
        <v>183</v>
      </c>
      <c r="H326" s="191">
        <v>61792</v>
      </c>
      <c r="I326" s="189" t="s">
        <v>215</v>
      </c>
      <c r="J326" s="189">
        <v>0</v>
      </c>
      <c r="K326" s="189" t="s">
        <v>916</v>
      </c>
      <c r="L326" s="191">
        <v>7</v>
      </c>
      <c r="M326" s="192">
        <v>46092</v>
      </c>
      <c r="N326" s="193">
        <v>1</v>
      </c>
      <c r="O326" s="194">
        <v>1</v>
      </c>
      <c r="P326" s="195"/>
      <c r="Q326" s="196" t="s">
        <v>38</v>
      </c>
      <c r="R326" s="197">
        <v>1</v>
      </c>
      <c r="S326" s="198" t="s">
        <v>33</v>
      </c>
      <c r="T326" s="199"/>
      <c r="U326" s="200"/>
      <c r="V326" s="200"/>
      <c r="W326" s="200"/>
      <c r="X326" s="200"/>
      <c r="Y326" s="200"/>
      <c r="Z326" s="200"/>
      <c r="AA326" s="200"/>
      <c r="AB326" s="200"/>
      <c r="AC326" s="208"/>
      <c r="AD326" s="11" t="str">
        <f t="shared" si="12"/>
        <v>7</v>
      </c>
      <c r="AF326" t="str">
        <f t="shared" si="13"/>
        <v>80.01.ZZ.07</v>
      </c>
      <c r="AH326" t="str">
        <f t="shared" si="14"/>
        <v>00 de 01</v>
      </c>
    </row>
    <row r="327" spans="1:34" ht="34.5" x14ac:dyDescent="0.25">
      <c r="A327" s="139" t="s">
        <v>116</v>
      </c>
      <c r="B327" s="105" t="s">
        <v>122</v>
      </c>
      <c r="C327" s="63">
        <v>315</v>
      </c>
      <c r="D327" s="197" t="s">
        <v>191</v>
      </c>
      <c r="E327" s="189" t="s">
        <v>208</v>
      </c>
      <c r="F327" s="190" t="s">
        <v>123</v>
      </c>
      <c r="G327" s="189" t="s">
        <v>183</v>
      </c>
      <c r="H327" s="191">
        <v>61792</v>
      </c>
      <c r="I327" s="189" t="s">
        <v>215</v>
      </c>
      <c r="J327" s="189">
        <v>0</v>
      </c>
      <c r="K327" s="189" t="s">
        <v>917</v>
      </c>
      <c r="L327" s="191">
        <v>7</v>
      </c>
      <c r="M327" s="192">
        <v>46092</v>
      </c>
      <c r="N327" s="193">
        <v>1</v>
      </c>
      <c r="O327" s="194">
        <v>1</v>
      </c>
      <c r="P327" s="195"/>
      <c r="Q327" s="196" t="s">
        <v>38</v>
      </c>
      <c r="R327" s="197">
        <v>1</v>
      </c>
      <c r="S327" s="198" t="s">
        <v>33</v>
      </c>
      <c r="T327" s="199"/>
      <c r="U327" s="200"/>
      <c r="V327" s="200"/>
      <c r="W327" s="200"/>
      <c r="X327" s="200"/>
      <c r="Y327" s="200"/>
      <c r="Z327" s="200"/>
      <c r="AA327" s="200"/>
      <c r="AB327" s="200"/>
      <c r="AC327" s="208"/>
      <c r="AD327" s="11" t="str">
        <f t="shared" si="12"/>
        <v>7</v>
      </c>
      <c r="AF327" t="str">
        <f t="shared" si="13"/>
        <v>80.01.ZZ.07</v>
      </c>
      <c r="AH327" t="str">
        <f t="shared" si="14"/>
        <v>00 de 01</v>
      </c>
    </row>
    <row r="328" spans="1:34" ht="34.5" x14ac:dyDescent="0.25">
      <c r="A328" s="139" t="s">
        <v>116</v>
      </c>
      <c r="B328" s="105" t="s">
        <v>122</v>
      </c>
      <c r="C328" s="63">
        <v>316</v>
      </c>
      <c r="D328" s="197" t="s">
        <v>191</v>
      </c>
      <c r="E328" s="189" t="s">
        <v>209</v>
      </c>
      <c r="F328" s="190" t="s">
        <v>123</v>
      </c>
      <c r="G328" s="189" t="s">
        <v>183</v>
      </c>
      <c r="H328" s="191">
        <v>61792</v>
      </c>
      <c r="I328" s="189" t="s">
        <v>215</v>
      </c>
      <c r="J328" s="189">
        <v>0</v>
      </c>
      <c r="K328" s="189" t="s">
        <v>918</v>
      </c>
      <c r="L328" s="191">
        <v>7</v>
      </c>
      <c r="M328" s="192">
        <v>46092</v>
      </c>
      <c r="N328" s="193">
        <v>1</v>
      </c>
      <c r="O328" s="194">
        <v>1</v>
      </c>
      <c r="P328" s="195"/>
      <c r="Q328" s="196" t="s">
        <v>38</v>
      </c>
      <c r="R328" s="197">
        <v>1</v>
      </c>
      <c r="S328" s="198" t="s">
        <v>33</v>
      </c>
      <c r="T328" s="199"/>
      <c r="U328" s="200"/>
      <c r="V328" s="200"/>
      <c r="W328" s="200"/>
      <c r="X328" s="200"/>
      <c r="Y328" s="200"/>
      <c r="Z328" s="200"/>
      <c r="AA328" s="200"/>
      <c r="AB328" s="200"/>
      <c r="AC328" s="208"/>
      <c r="AD328" s="11" t="str">
        <f t="shared" si="12"/>
        <v>7</v>
      </c>
      <c r="AF328" t="str">
        <f t="shared" si="13"/>
        <v>80.01.ZZ.07</v>
      </c>
      <c r="AH328" t="str">
        <f t="shared" si="14"/>
        <v>00 de 01</v>
      </c>
    </row>
    <row r="329" spans="1:34" ht="34.5" x14ac:dyDescent="0.25">
      <c r="A329" s="139" t="s">
        <v>116</v>
      </c>
      <c r="B329" s="105" t="s">
        <v>122</v>
      </c>
      <c r="C329" s="63">
        <v>317</v>
      </c>
      <c r="D329" s="197"/>
      <c r="E329" s="189"/>
      <c r="F329" s="190"/>
      <c r="G329" s="189"/>
      <c r="H329" s="191"/>
      <c r="I329" s="189"/>
      <c r="J329" s="189"/>
      <c r="K329" s="189"/>
      <c r="L329" s="191"/>
      <c r="M329" s="192"/>
      <c r="N329" s="193"/>
      <c r="O329" s="194"/>
      <c r="P329" s="195"/>
      <c r="Q329" s="196"/>
      <c r="R329" s="197"/>
      <c r="S329" s="198"/>
      <c r="T329" s="199"/>
      <c r="U329" s="200"/>
      <c r="V329" s="200"/>
      <c r="W329" s="200"/>
      <c r="X329" s="200"/>
      <c r="Y329" s="200"/>
      <c r="Z329" s="200"/>
      <c r="AA329" s="200"/>
      <c r="AB329" s="200"/>
      <c r="AC329" s="208"/>
      <c r="AD329" s="11" t="str">
        <f t="shared" si="12"/>
        <v/>
      </c>
      <c r="AF329" t="str">
        <f t="shared" si="13"/>
        <v>80.01.ZZ.0</v>
      </c>
      <c r="AH329" t="str">
        <f t="shared" si="14"/>
        <v>00 de 0</v>
      </c>
    </row>
    <row r="330" spans="1:34" ht="34.5" x14ac:dyDescent="0.25">
      <c r="A330" s="139" t="s">
        <v>116</v>
      </c>
      <c r="B330" s="105" t="s">
        <v>122</v>
      </c>
      <c r="C330" s="63">
        <v>318</v>
      </c>
      <c r="D330" s="197"/>
      <c r="E330" s="189"/>
      <c r="F330" s="190"/>
      <c r="G330" s="189"/>
      <c r="H330" s="191"/>
      <c r="I330" s="189"/>
      <c r="J330" s="189"/>
      <c r="K330" s="189"/>
      <c r="L330" s="191"/>
      <c r="M330" s="192"/>
      <c r="N330" s="193"/>
      <c r="O330" s="194"/>
      <c r="P330" s="195"/>
      <c r="Q330" s="196"/>
      <c r="R330" s="197"/>
      <c r="S330" s="198"/>
      <c r="T330" s="199"/>
      <c r="U330" s="200"/>
      <c r="V330" s="200"/>
      <c r="W330" s="200"/>
      <c r="X330" s="200"/>
      <c r="Y330" s="200"/>
      <c r="Z330" s="200"/>
      <c r="AA330" s="200"/>
      <c r="AB330" s="200"/>
      <c r="AC330" s="208"/>
      <c r="AD330" s="11" t="str">
        <f t="shared" si="12"/>
        <v/>
      </c>
      <c r="AF330" t="str">
        <f t="shared" si="13"/>
        <v>80.01.ZZ.0</v>
      </c>
      <c r="AH330" t="str">
        <f t="shared" si="14"/>
        <v>00 de 0</v>
      </c>
    </row>
    <row r="331" spans="1:34" ht="34.5" x14ac:dyDescent="0.25">
      <c r="A331" s="139" t="s">
        <v>116</v>
      </c>
      <c r="B331" s="105" t="s">
        <v>122</v>
      </c>
      <c r="C331" s="63">
        <v>319</v>
      </c>
      <c r="D331" s="197"/>
      <c r="E331" s="189"/>
      <c r="F331" s="190"/>
      <c r="G331" s="189"/>
      <c r="H331" s="191"/>
      <c r="I331" s="189"/>
      <c r="J331" s="189"/>
      <c r="K331" s="189"/>
      <c r="L331" s="191"/>
      <c r="M331" s="192"/>
      <c r="N331" s="193"/>
      <c r="O331" s="194"/>
      <c r="P331" s="195"/>
      <c r="Q331" s="196"/>
      <c r="R331" s="197"/>
      <c r="S331" s="198"/>
      <c r="T331" s="199"/>
      <c r="U331" s="200"/>
      <c r="V331" s="200"/>
      <c r="W331" s="200"/>
      <c r="X331" s="200"/>
      <c r="Y331" s="200"/>
      <c r="Z331" s="200"/>
      <c r="AA331" s="200"/>
      <c r="AB331" s="200"/>
      <c r="AC331" s="208"/>
      <c r="AD331" s="11" t="str">
        <f t="shared" si="12"/>
        <v/>
      </c>
      <c r="AF331" t="str">
        <f t="shared" si="13"/>
        <v>80.01.ZZ.0</v>
      </c>
      <c r="AH331" t="str">
        <f t="shared" si="14"/>
        <v>00 de 0</v>
      </c>
    </row>
    <row r="332" spans="1:34" ht="34.5" x14ac:dyDescent="0.25">
      <c r="A332" s="139" t="s">
        <v>116</v>
      </c>
      <c r="B332" s="105" t="s">
        <v>122</v>
      </c>
      <c r="C332" s="63">
        <v>320</v>
      </c>
      <c r="D332" s="197"/>
      <c r="E332" s="189"/>
      <c r="F332" s="190"/>
      <c r="G332" s="189"/>
      <c r="H332" s="191"/>
      <c r="I332" s="189"/>
      <c r="J332" s="189"/>
      <c r="K332" s="189"/>
      <c r="L332" s="191"/>
      <c r="M332" s="192"/>
      <c r="N332" s="193"/>
      <c r="O332" s="194"/>
      <c r="P332" s="195"/>
      <c r="Q332" s="196"/>
      <c r="R332" s="197"/>
      <c r="S332" s="198"/>
      <c r="T332" s="199"/>
      <c r="U332" s="200"/>
      <c r="V332" s="200"/>
      <c r="W332" s="200"/>
      <c r="X332" s="200"/>
      <c r="Y332" s="200"/>
      <c r="Z332" s="200"/>
      <c r="AA332" s="200"/>
      <c r="AB332" s="200"/>
      <c r="AC332" s="208"/>
      <c r="AD332" s="11" t="str">
        <f t="shared" si="12"/>
        <v/>
      </c>
      <c r="AF332" t="str">
        <f t="shared" si="13"/>
        <v>80.01.ZZ.0</v>
      </c>
      <c r="AH332" t="str">
        <f t="shared" si="14"/>
        <v>00 de 0</v>
      </c>
    </row>
    <row r="333" spans="1:34" ht="34.5" x14ac:dyDescent="0.25">
      <c r="A333" s="139" t="s">
        <v>116</v>
      </c>
      <c r="B333" s="105" t="s">
        <v>122</v>
      </c>
      <c r="C333" s="63">
        <v>321</v>
      </c>
      <c r="D333" s="197"/>
      <c r="E333" s="189"/>
      <c r="F333" s="190"/>
      <c r="G333" s="189"/>
      <c r="H333" s="191"/>
      <c r="I333" s="189"/>
      <c r="J333" s="189"/>
      <c r="K333" s="189"/>
      <c r="L333" s="191"/>
      <c r="M333" s="192"/>
      <c r="N333" s="193"/>
      <c r="O333" s="194"/>
      <c r="P333" s="195"/>
      <c r="Q333" s="196"/>
      <c r="R333" s="197"/>
      <c r="S333" s="198"/>
      <c r="T333" s="199"/>
      <c r="U333" s="200"/>
      <c r="V333" s="200"/>
      <c r="W333" s="200"/>
      <c r="X333" s="200"/>
      <c r="Y333" s="200"/>
      <c r="Z333" s="200"/>
      <c r="AA333" s="200"/>
      <c r="AB333" s="200"/>
      <c r="AC333" s="208"/>
      <c r="AD333" s="11" t="str">
        <f t="shared" si="12"/>
        <v/>
      </c>
      <c r="AF333" t="str">
        <f t="shared" si="13"/>
        <v>80.01.ZZ.0</v>
      </c>
      <c r="AH333" t="str">
        <f t="shared" si="14"/>
        <v>00 de 0</v>
      </c>
    </row>
    <row r="334" spans="1:34" ht="33.950000000000003" customHeight="1" thickBot="1" x14ac:dyDescent="0.3">
      <c r="A334" s="139" t="s">
        <v>116</v>
      </c>
      <c r="B334" s="105" t="s">
        <v>122</v>
      </c>
      <c r="C334" s="162">
        <v>322</v>
      </c>
      <c r="D334" s="172"/>
      <c r="E334" s="172"/>
      <c r="F334" s="201"/>
      <c r="G334" s="172"/>
      <c r="H334" s="202"/>
      <c r="I334" s="202"/>
      <c r="J334" s="172"/>
      <c r="K334" s="172"/>
      <c r="L334" s="202"/>
      <c r="M334" s="171"/>
      <c r="N334" s="203"/>
      <c r="O334" s="203"/>
      <c r="P334" s="173"/>
      <c r="Q334" s="174"/>
      <c r="R334" s="172"/>
      <c r="S334" s="216"/>
      <c r="T334" s="204"/>
      <c r="U334" s="176"/>
      <c r="V334" s="176"/>
      <c r="W334" s="176"/>
      <c r="X334" s="176"/>
      <c r="Y334" s="176"/>
      <c r="Z334" s="176"/>
      <c r="AA334" s="176"/>
      <c r="AB334" s="176"/>
      <c r="AC334" s="64"/>
      <c r="AD334" s="11" t="str">
        <f>RIGHT(L334,2)</f>
        <v/>
      </c>
      <c r="AF334" t="str">
        <f>CONCATENATE("80.01.ZZ.0",L334)</f>
        <v>80.01.ZZ.0</v>
      </c>
      <c r="AH334" t="str">
        <f>CONCATENATE("00 de 0",R334)</f>
        <v>00 de 0</v>
      </c>
    </row>
    <row r="335" spans="1:34" x14ac:dyDescent="0.3">
      <c r="L335" s="294" t="s">
        <v>37</v>
      </c>
      <c r="M335" s="294"/>
      <c r="O335" s="58"/>
      <c r="P335" s="165">
        <v>8.1453821999999914</v>
      </c>
      <c r="Q335" s="59"/>
      <c r="R335" s="67">
        <f>SUM($R$13:R334)</f>
        <v>316</v>
      </c>
    </row>
    <row r="336" spans="1:34" ht="18" thickBot="1" x14ac:dyDescent="0.35">
      <c r="L336" s="294"/>
      <c r="M336" s="294"/>
      <c r="O336" s="58"/>
      <c r="P336" s="58"/>
      <c r="Q336" s="11"/>
      <c r="R336" s="11"/>
    </row>
    <row r="337" spans="1:35" x14ac:dyDescent="0.3">
      <c r="R337" s="107" t="s">
        <v>122</v>
      </c>
      <c r="S337" s="120" t="s">
        <v>86</v>
      </c>
      <c r="T337" s="121" t="s">
        <v>90</v>
      </c>
      <c r="U337" s="122" t="s">
        <v>87</v>
      </c>
      <c r="V337" s="123"/>
      <c r="W337" s="124"/>
      <c r="X337" s="121" t="s">
        <v>88</v>
      </c>
      <c r="Y337" s="121" t="s">
        <v>89</v>
      </c>
      <c r="Z337" s="121" t="s">
        <v>91</v>
      </c>
      <c r="AA337" s="125" t="s">
        <v>92</v>
      </c>
      <c r="AB337" s="131" t="s">
        <v>94</v>
      </c>
    </row>
    <row r="338" spans="1:35" x14ac:dyDescent="0.3">
      <c r="M338" s="163" t="s">
        <v>111</v>
      </c>
      <c r="Q338" s="150" t="e">
        <f>#REF!</f>
        <v>#REF!</v>
      </c>
      <c r="R338"/>
      <c r="S338" s="109">
        <v>3</v>
      </c>
      <c r="T338" s="222">
        <v>291.70999999999998</v>
      </c>
      <c r="U338" s="223" t="s">
        <v>80</v>
      </c>
      <c r="V338" s="224"/>
      <c r="W338" s="225"/>
      <c r="X338" s="222">
        <f t="shared" ref="X338:X352" si="15">SUMIFS($R$13:$R$334,$AD$13:$AD$334,S338,$B$13:$B$334,$R$337)</f>
        <v>0</v>
      </c>
      <c r="Y338" s="226">
        <f t="shared" ref="Y338:Y351" si="16">SUMIFS($P$13:$P$334,$AD$13:$AD$334,S338,$B$13:$B$334,$R$337)</f>
        <v>0</v>
      </c>
      <c r="Z338" s="227">
        <f>Y338*T338</f>
        <v>0</v>
      </c>
      <c r="AA338" s="181">
        <f>Z338/44</f>
        <v>0</v>
      </c>
      <c r="AB338" s="126">
        <f>X338/5</f>
        <v>0</v>
      </c>
    </row>
    <row r="339" spans="1:35" x14ac:dyDescent="0.3">
      <c r="L339" s="56" t="s">
        <v>36</v>
      </c>
      <c r="M339" s="165" t="e">
        <f>#REF!</f>
        <v>#REF!</v>
      </c>
      <c r="Q339" s="149" t="e">
        <f>#REF!</f>
        <v>#REF!</v>
      </c>
      <c r="R339"/>
      <c r="S339" s="109">
        <v>4</v>
      </c>
      <c r="T339" s="222">
        <v>300.41000000000003</v>
      </c>
      <c r="U339" s="223" t="s">
        <v>83</v>
      </c>
      <c r="V339" s="224"/>
      <c r="W339" s="225"/>
      <c r="X339" s="222">
        <f t="shared" si="15"/>
        <v>0</v>
      </c>
      <c r="Y339" s="226">
        <f t="shared" si="16"/>
        <v>0</v>
      </c>
      <c r="Z339" s="227">
        <f t="shared" ref="Z339:Z352" si="17">Y339*T339</f>
        <v>0</v>
      </c>
      <c r="AA339" s="181">
        <f t="shared" ref="AA339:AA352" si="18">Z339/44</f>
        <v>0</v>
      </c>
      <c r="AB339" s="126">
        <f t="shared" ref="AB339:AB352" si="19">X339/5</f>
        <v>0</v>
      </c>
    </row>
    <row r="340" spans="1:35" x14ac:dyDescent="0.3">
      <c r="M340"/>
      <c r="R340"/>
      <c r="S340" s="111">
        <v>5</v>
      </c>
      <c r="T340" s="222">
        <v>386.76</v>
      </c>
      <c r="U340" s="223" t="s">
        <v>84</v>
      </c>
      <c r="V340" s="224"/>
      <c r="W340" s="225"/>
      <c r="X340" s="222">
        <f t="shared" si="15"/>
        <v>0</v>
      </c>
      <c r="Y340" s="226">
        <f t="shared" si="16"/>
        <v>0</v>
      </c>
      <c r="Z340" s="227">
        <f t="shared" si="17"/>
        <v>0</v>
      </c>
      <c r="AA340" s="181">
        <f t="shared" si="18"/>
        <v>0</v>
      </c>
      <c r="AB340" s="126">
        <f t="shared" si="19"/>
        <v>0</v>
      </c>
    </row>
    <row r="341" spans="1:35" x14ac:dyDescent="0.3">
      <c r="M341" s="163" t="s">
        <v>112</v>
      </c>
      <c r="Q341" s="150" t="e">
        <f>#REF!</f>
        <v>#REF!</v>
      </c>
      <c r="R341"/>
      <c r="S341" s="111">
        <v>6</v>
      </c>
      <c r="T341" s="222">
        <v>218.76</v>
      </c>
      <c r="U341" s="223" t="s">
        <v>85</v>
      </c>
      <c r="V341" s="224"/>
      <c r="W341" s="225"/>
      <c r="X341" s="222">
        <f t="shared" si="15"/>
        <v>0</v>
      </c>
      <c r="Y341" s="226">
        <f t="shared" si="16"/>
        <v>0</v>
      </c>
      <c r="Z341" s="227">
        <f t="shared" si="17"/>
        <v>0</v>
      </c>
      <c r="AA341" s="181">
        <f t="shared" si="18"/>
        <v>0</v>
      </c>
      <c r="AB341" s="126">
        <f t="shared" si="19"/>
        <v>0</v>
      </c>
    </row>
    <row r="342" spans="1:35" x14ac:dyDescent="0.3">
      <c r="M342" s="219" t="e">
        <f>#REF!</f>
        <v>#REF!</v>
      </c>
      <c r="N342" s="50"/>
      <c r="O342" s="220"/>
      <c r="P342" s="220"/>
      <c r="Q342" s="221" t="e">
        <f>#REF!</f>
        <v>#REF!</v>
      </c>
      <c r="R342"/>
      <c r="S342" s="111">
        <v>7</v>
      </c>
      <c r="T342" s="222">
        <v>222.66</v>
      </c>
      <c r="U342" s="228" t="s">
        <v>124</v>
      </c>
      <c r="V342" s="224"/>
      <c r="W342" s="225"/>
      <c r="X342" s="222">
        <f t="shared" si="15"/>
        <v>35</v>
      </c>
      <c r="Y342" s="226">
        <f t="shared" si="16"/>
        <v>0</v>
      </c>
      <c r="Z342" s="227">
        <f t="shared" si="17"/>
        <v>0</v>
      </c>
      <c r="AA342" s="181">
        <f t="shared" si="18"/>
        <v>0</v>
      </c>
      <c r="AB342" s="126">
        <f t="shared" si="19"/>
        <v>7</v>
      </c>
    </row>
    <row r="343" spans="1:35" x14ac:dyDescent="0.3">
      <c r="R343"/>
      <c r="S343" s="109">
        <v>8</v>
      </c>
      <c r="T343" s="222">
        <v>242.33</v>
      </c>
      <c r="U343" s="228" t="s">
        <v>125</v>
      </c>
      <c r="V343" s="224"/>
      <c r="W343" s="225"/>
      <c r="X343" s="222">
        <f t="shared" si="15"/>
        <v>0</v>
      </c>
      <c r="Y343" s="226">
        <f t="shared" si="16"/>
        <v>0</v>
      </c>
      <c r="Z343" s="227">
        <f t="shared" si="17"/>
        <v>0</v>
      </c>
      <c r="AA343" s="181">
        <f t="shared" si="18"/>
        <v>0</v>
      </c>
      <c r="AB343" s="126">
        <f t="shared" si="19"/>
        <v>0</v>
      </c>
    </row>
    <row r="344" spans="1:35" x14ac:dyDescent="0.3">
      <c r="R344"/>
      <c r="S344" s="109">
        <v>9</v>
      </c>
      <c r="T344" s="222">
        <v>191.9</v>
      </c>
      <c r="U344" s="228" t="s">
        <v>97</v>
      </c>
      <c r="V344" s="224"/>
      <c r="W344" s="225"/>
      <c r="X344" s="222">
        <f t="shared" si="15"/>
        <v>0</v>
      </c>
      <c r="Y344" s="226">
        <f t="shared" si="16"/>
        <v>0</v>
      </c>
      <c r="Z344" s="227">
        <f t="shared" si="17"/>
        <v>0</v>
      </c>
      <c r="AA344" s="181">
        <f t="shared" si="18"/>
        <v>0</v>
      </c>
      <c r="AB344" s="126">
        <f t="shared" si="19"/>
        <v>0</v>
      </c>
    </row>
    <row r="345" spans="1:35" x14ac:dyDescent="0.3">
      <c r="R345"/>
      <c r="S345" s="109">
        <v>10</v>
      </c>
      <c r="T345" s="222">
        <v>272.74</v>
      </c>
      <c r="U345" s="228" t="s">
        <v>126</v>
      </c>
      <c r="V345" s="224"/>
      <c r="W345" s="225"/>
      <c r="X345" s="222">
        <f t="shared" si="15"/>
        <v>281</v>
      </c>
      <c r="Y345" s="226">
        <f t="shared" si="16"/>
        <v>0</v>
      </c>
      <c r="Z345" s="227">
        <f t="shared" si="17"/>
        <v>0</v>
      </c>
      <c r="AA345" s="181">
        <f t="shared" si="18"/>
        <v>0</v>
      </c>
      <c r="AB345" s="126">
        <f t="shared" si="19"/>
        <v>56.2</v>
      </c>
    </row>
    <row r="346" spans="1:35" x14ac:dyDescent="0.3">
      <c r="R346"/>
      <c r="S346" s="109">
        <v>12</v>
      </c>
      <c r="T346" s="222">
        <v>207.2</v>
      </c>
      <c r="U346" s="228" t="s">
        <v>127</v>
      </c>
      <c r="V346" s="224"/>
      <c r="W346" s="225"/>
      <c r="X346" s="222">
        <f t="shared" si="15"/>
        <v>0</v>
      </c>
      <c r="Y346" s="226">
        <f t="shared" si="16"/>
        <v>0</v>
      </c>
      <c r="Z346" s="227">
        <f t="shared" si="17"/>
        <v>0</v>
      </c>
      <c r="AA346" s="181">
        <f t="shared" si="18"/>
        <v>0</v>
      </c>
      <c r="AB346" s="126">
        <f t="shared" si="19"/>
        <v>0</v>
      </c>
    </row>
    <row r="347" spans="1:35" x14ac:dyDescent="0.3">
      <c r="R347"/>
      <c r="S347" s="109">
        <v>13</v>
      </c>
      <c r="T347" s="222">
        <v>253.81</v>
      </c>
      <c r="U347" s="228" t="s">
        <v>131</v>
      </c>
      <c r="V347" s="224"/>
      <c r="W347" s="225"/>
      <c r="X347" s="222">
        <f t="shared" si="15"/>
        <v>0</v>
      </c>
      <c r="Y347" s="226">
        <f t="shared" si="16"/>
        <v>0</v>
      </c>
      <c r="Z347" s="227">
        <f t="shared" si="17"/>
        <v>0</v>
      </c>
      <c r="AA347" s="181">
        <f t="shared" si="18"/>
        <v>0</v>
      </c>
      <c r="AB347" s="126">
        <f t="shared" si="19"/>
        <v>0</v>
      </c>
    </row>
    <row r="348" spans="1:35" x14ac:dyDescent="0.3">
      <c r="R348"/>
      <c r="S348" s="109">
        <v>14</v>
      </c>
      <c r="T348" s="222">
        <v>211.48</v>
      </c>
      <c r="U348" s="228" t="s">
        <v>132</v>
      </c>
      <c r="V348" s="224"/>
      <c r="W348" s="225"/>
      <c r="X348" s="222">
        <f t="shared" si="15"/>
        <v>0</v>
      </c>
      <c r="Y348" s="226">
        <f t="shared" si="16"/>
        <v>0</v>
      </c>
      <c r="Z348" s="227">
        <f t="shared" si="17"/>
        <v>0</v>
      </c>
      <c r="AA348" s="181">
        <f t="shared" si="18"/>
        <v>0</v>
      </c>
      <c r="AB348" s="126">
        <f t="shared" si="19"/>
        <v>0</v>
      </c>
    </row>
    <row r="349" spans="1:35" s="56" customFormat="1" x14ac:dyDescent="0.3">
      <c r="A349" s="167"/>
      <c r="B349" s="140"/>
      <c r="N349"/>
      <c r="O349" s="57"/>
      <c r="P349" s="57"/>
      <c r="R349"/>
      <c r="S349" s="109">
        <v>15</v>
      </c>
      <c r="T349" s="222">
        <v>184.1</v>
      </c>
      <c r="U349" s="228" t="s">
        <v>128</v>
      </c>
      <c r="V349" s="224"/>
      <c r="W349" s="225"/>
      <c r="X349" s="222">
        <f t="shared" si="15"/>
        <v>0</v>
      </c>
      <c r="Y349" s="226">
        <f t="shared" si="16"/>
        <v>0</v>
      </c>
      <c r="Z349" s="227">
        <f t="shared" si="17"/>
        <v>0</v>
      </c>
      <c r="AA349" s="181">
        <f t="shared" si="18"/>
        <v>0</v>
      </c>
      <c r="AB349" s="126">
        <f t="shared" si="19"/>
        <v>0</v>
      </c>
      <c r="AD349"/>
      <c r="AE349"/>
      <c r="AF349"/>
      <c r="AG349"/>
      <c r="AH349"/>
      <c r="AI349"/>
    </row>
    <row r="350" spans="1:35" s="56" customFormat="1" x14ac:dyDescent="0.3">
      <c r="A350" s="167"/>
      <c r="B350" s="140"/>
      <c r="N350"/>
      <c r="O350" s="57"/>
      <c r="P350" s="57"/>
      <c r="R350"/>
      <c r="S350" s="109">
        <v>28</v>
      </c>
      <c r="T350" s="222">
        <v>297.54000000000002</v>
      </c>
      <c r="U350" s="228" t="s">
        <v>100</v>
      </c>
      <c r="V350" s="224"/>
      <c r="W350" s="225"/>
      <c r="X350" s="222">
        <f t="shared" si="15"/>
        <v>0</v>
      </c>
      <c r="Y350" s="226">
        <f t="shared" si="16"/>
        <v>0</v>
      </c>
      <c r="Z350" s="227">
        <f t="shared" si="17"/>
        <v>0</v>
      </c>
      <c r="AA350" s="181">
        <f t="shared" si="18"/>
        <v>0</v>
      </c>
      <c r="AB350" s="126">
        <f t="shared" si="19"/>
        <v>0</v>
      </c>
      <c r="AD350"/>
      <c r="AE350"/>
      <c r="AF350"/>
      <c r="AG350"/>
      <c r="AH350"/>
      <c r="AI350"/>
    </row>
    <row r="351" spans="1:35" s="56" customFormat="1" x14ac:dyDescent="0.3">
      <c r="A351" s="167"/>
      <c r="B351" s="140"/>
      <c r="N351"/>
      <c r="O351" s="57"/>
      <c r="P351" s="57"/>
      <c r="R351"/>
      <c r="S351" s="109">
        <v>29</v>
      </c>
      <c r="T351" s="222">
        <v>323.57</v>
      </c>
      <c r="U351" s="228" t="s">
        <v>129</v>
      </c>
      <c r="V351" s="224"/>
      <c r="W351" s="225"/>
      <c r="X351" s="222">
        <f t="shared" si="15"/>
        <v>0</v>
      </c>
      <c r="Y351" s="226">
        <f t="shared" si="16"/>
        <v>0</v>
      </c>
      <c r="Z351" s="227">
        <f t="shared" si="17"/>
        <v>0</v>
      </c>
      <c r="AA351" s="181">
        <f t="shared" si="18"/>
        <v>0</v>
      </c>
      <c r="AB351" s="126">
        <f t="shared" si="19"/>
        <v>0</v>
      </c>
      <c r="AD351"/>
      <c r="AE351"/>
      <c r="AF351"/>
      <c r="AG351"/>
      <c r="AH351"/>
      <c r="AI351"/>
    </row>
    <row r="352" spans="1:35" s="56" customFormat="1" ht="18" thickBot="1" x14ac:dyDescent="0.35">
      <c r="A352" s="167"/>
      <c r="B352" s="140"/>
      <c r="N352"/>
      <c r="O352" s="57"/>
      <c r="P352" s="57"/>
      <c r="R352"/>
      <c r="S352" s="112">
        <v>30</v>
      </c>
      <c r="T352" s="185">
        <v>294.95</v>
      </c>
      <c r="U352" s="186" t="s">
        <v>130</v>
      </c>
      <c r="V352" s="114"/>
      <c r="W352" s="116"/>
      <c r="X352" s="185">
        <f t="shared" si="15"/>
        <v>0</v>
      </c>
      <c r="Y352" s="229">
        <f>SUMIFS($P$13:$P$376,$AD$13:$AD$376,S352,$B$13:$B$376,$R$379)</f>
        <v>0</v>
      </c>
      <c r="Z352" s="188">
        <f t="shared" si="17"/>
        <v>0</v>
      </c>
      <c r="AA352" s="119">
        <f t="shared" si="18"/>
        <v>0</v>
      </c>
      <c r="AB352" s="126">
        <f t="shared" si="19"/>
        <v>0</v>
      </c>
      <c r="AD352"/>
      <c r="AE352"/>
      <c r="AF352"/>
      <c r="AG352"/>
      <c r="AH352"/>
      <c r="AI352"/>
    </row>
    <row r="353" spans="1:35" s="56" customFormat="1" x14ac:dyDescent="0.3">
      <c r="A353" s="167"/>
      <c r="B353" s="140"/>
      <c r="N353"/>
      <c r="O353" s="57"/>
      <c r="P353" s="57"/>
      <c r="R353"/>
      <c r="S353"/>
      <c r="T353"/>
      <c r="U353"/>
      <c r="V353"/>
      <c r="W353"/>
      <c r="X353" s="106">
        <f>SUM(X338:X352)</f>
        <v>316</v>
      </c>
      <c r="Y353" s="136">
        <f>SUM(Y338:Y352)</f>
        <v>0</v>
      </c>
      <c r="Z353" s="108">
        <f>SUM(Z338:Z352)</f>
        <v>0</v>
      </c>
      <c r="AA353" s="106">
        <f>SUM(AA338:AA352)</f>
        <v>0</v>
      </c>
      <c r="AD353"/>
      <c r="AE353"/>
      <c r="AF353"/>
      <c r="AG353"/>
      <c r="AH353"/>
      <c r="AI353"/>
    </row>
    <row r="354" spans="1:35" s="56" customFormat="1" hidden="1" x14ac:dyDescent="0.3">
      <c r="A354" s="167"/>
      <c r="B354" s="140"/>
      <c r="N354"/>
      <c r="O354" s="57"/>
      <c r="P354" s="57"/>
      <c r="R354"/>
      <c r="S354"/>
      <c r="T354"/>
      <c r="U354"/>
      <c r="V354"/>
      <c r="W354"/>
      <c r="X354"/>
      <c r="Y354"/>
      <c r="Z354"/>
      <c r="AA354"/>
      <c r="AD354"/>
      <c r="AE354"/>
      <c r="AF354"/>
      <c r="AG354"/>
      <c r="AH354"/>
      <c r="AI354"/>
    </row>
    <row r="355" spans="1:35" s="56" customFormat="1" hidden="1" x14ac:dyDescent="0.3">
      <c r="A355" s="167"/>
      <c r="B355" s="140"/>
      <c r="N355"/>
      <c r="O355" s="57"/>
      <c r="P355" s="57"/>
      <c r="R355" s="107"/>
      <c r="S355" s="120" t="s">
        <v>86</v>
      </c>
      <c r="T355" s="121" t="s">
        <v>90</v>
      </c>
      <c r="U355" s="122" t="s">
        <v>87</v>
      </c>
      <c r="V355" s="123"/>
      <c r="W355" s="124"/>
      <c r="X355" s="121" t="s">
        <v>88</v>
      </c>
      <c r="Y355" s="121" t="s">
        <v>89</v>
      </c>
      <c r="Z355" s="121" t="s">
        <v>91</v>
      </c>
      <c r="AA355" s="125" t="s">
        <v>92</v>
      </c>
      <c r="AB355" s="131" t="s">
        <v>94</v>
      </c>
      <c r="AD355"/>
      <c r="AE355"/>
      <c r="AF355"/>
      <c r="AG355"/>
      <c r="AH355"/>
      <c r="AI355"/>
    </row>
    <row r="356" spans="1:35" s="56" customFormat="1" hidden="1" x14ac:dyDescent="0.3">
      <c r="A356" s="167"/>
      <c r="B356" s="140"/>
      <c r="N356"/>
      <c r="O356" s="57"/>
      <c r="P356" s="57"/>
      <c r="Q356" s="150" t="e">
        <f>#REF!</f>
        <v>#REF!</v>
      </c>
      <c r="R356"/>
      <c r="S356" s="109">
        <v>3</v>
      </c>
      <c r="T356" s="128">
        <v>206</v>
      </c>
      <c r="U356" s="132" t="s">
        <v>80</v>
      </c>
      <c r="V356" s="133"/>
      <c r="W356" s="134"/>
      <c r="X356" s="128">
        <f>SUMIFS($R$13:$R$334,$AD$13:$AD$334,S356,$B$13:$B$334,$R$355)</f>
        <v>0</v>
      </c>
      <c r="Y356" s="135">
        <f>SUMIFS($P$13:$P$334,$AD$13:$AD$334,S356,$B$13:$B$334,$R$355)</f>
        <v>0</v>
      </c>
      <c r="Z356" s="130">
        <f>Y356*T356</f>
        <v>0</v>
      </c>
      <c r="AA356" s="110">
        <f>Z356/44</f>
        <v>0</v>
      </c>
      <c r="AB356" s="126">
        <f>X356/5</f>
        <v>0</v>
      </c>
      <c r="AD356"/>
      <c r="AE356"/>
      <c r="AF356"/>
      <c r="AG356"/>
      <c r="AH356"/>
      <c r="AI356"/>
    </row>
    <row r="357" spans="1:35" s="56" customFormat="1" hidden="1" x14ac:dyDescent="0.3">
      <c r="A357" s="167"/>
      <c r="B357" s="140"/>
      <c r="N357"/>
      <c r="O357" s="57"/>
      <c r="P357" s="57"/>
      <c r="Q357" s="149" t="e">
        <f>#REF!</f>
        <v>#REF!</v>
      </c>
      <c r="R357"/>
      <c r="S357" s="109">
        <v>4</v>
      </c>
      <c r="T357" s="128">
        <v>220</v>
      </c>
      <c r="U357" s="132" t="s">
        <v>83</v>
      </c>
      <c r="V357" s="133"/>
      <c r="W357" s="134"/>
      <c r="X357" s="128">
        <f>SUMIFS($R$13:$R$334,$AD$13:$AD$334,S357,$B$13:$B$334,$R$355)</f>
        <v>0</v>
      </c>
      <c r="Y357" s="135">
        <f>SUMIFS($P$13:$P$334,$AD$13:$AD$334,S357,$B$13:$B$334,$R$355)</f>
        <v>0</v>
      </c>
      <c r="Z357" s="130">
        <f t="shared" ref="Z357:Z370" si="20">Y357*T357</f>
        <v>0</v>
      </c>
      <c r="AA357" s="110">
        <f t="shared" ref="AA357:AA370" si="21">Z357/44</f>
        <v>0</v>
      </c>
      <c r="AB357" s="126">
        <f t="shared" ref="AB357:AB370" si="22">X357/5</f>
        <v>0</v>
      </c>
      <c r="AD357"/>
      <c r="AE357"/>
      <c r="AF357"/>
      <c r="AG357"/>
      <c r="AH357"/>
      <c r="AI357"/>
    </row>
    <row r="358" spans="1:35" s="56" customFormat="1" hidden="1" x14ac:dyDescent="0.3">
      <c r="A358" s="167"/>
      <c r="B358" s="140"/>
      <c r="N358"/>
      <c r="O358" s="57"/>
      <c r="P358" s="57"/>
      <c r="R358"/>
      <c r="S358" s="111">
        <v>5</v>
      </c>
      <c r="T358" s="128">
        <v>285</v>
      </c>
      <c r="U358" s="132" t="s">
        <v>84</v>
      </c>
      <c r="V358" s="133"/>
      <c r="W358" s="133"/>
      <c r="X358" s="128">
        <f>SUMIFS($R$13:$R$334,$AD$13:$AD$334,S358,$B$13:$B$334,$R$355)</f>
        <v>0</v>
      </c>
      <c r="Y358" s="135">
        <f>SUMIFS($P$13:$P$334,$AD$13:$AD$334,S358,$B$13:$B$334,$R$355)</f>
        <v>0</v>
      </c>
      <c r="Z358" s="130">
        <f t="shared" si="20"/>
        <v>0</v>
      </c>
      <c r="AA358" s="110">
        <f t="shared" si="21"/>
        <v>0</v>
      </c>
      <c r="AB358" s="126">
        <f t="shared" si="22"/>
        <v>0</v>
      </c>
      <c r="AD358"/>
      <c r="AE358"/>
      <c r="AF358"/>
      <c r="AG358"/>
      <c r="AH358"/>
      <c r="AI358"/>
    </row>
    <row r="359" spans="1:35" s="56" customFormat="1" hidden="1" x14ac:dyDescent="0.3">
      <c r="A359" s="167"/>
      <c r="B359" s="140"/>
      <c r="N359"/>
      <c r="O359" s="57"/>
      <c r="P359" s="57"/>
      <c r="Q359" s="150" t="e">
        <f>#REF!</f>
        <v>#REF!</v>
      </c>
      <c r="R359"/>
      <c r="S359" s="111">
        <v>6</v>
      </c>
      <c r="T359" s="128">
        <v>200</v>
      </c>
      <c r="U359" s="132" t="s">
        <v>85</v>
      </c>
      <c r="V359" s="133"/>
      <c r="W359" s="134"/>
      <c r="X359" s="128">
        <f>SUMIFS($R$13:$R$334,$AD$13:$AD$334,S359,$B$13:$B$334,$R$355)</f>
        <v>0</v>
      </c>
      <c r="Y359" s="135">
        <f>SUMIFS($P$13:$P$334,$AD$13:$AD$334,S359,$B$13:$B$334,$R$355)</f>
        <v>0</v>
      </c>
      <c r="Z359" s="130">
        <f t="shared" si="20"/>
        <v>0</v>
      </c>
      <c r="AA359" s="110">
        <f t="shared" si="21"/>
        <v>0</v>
      </c>
      <c r="AB359" s="126">
        <f t="shared" si="22"/>
        <v>0</v>
      </c>
      <c r="AD359"/>
      <c r="AE359"/>
      <c r="AF359"/>
      <c r="AG359"/>
      <c r="AH359"/>
      <c r="AI359"/>
    </row>
    <row r="360" spans="1:35" s="56" customFormat="1" hidden="1" x14ac:dyDescent="0.3">
      <c r="A360" s="167"/>
      <c r="B360" s="140"/>
      <c r="N360"/>
      <c r="O360" s="57"/>
      <c r="P360" s="57"/>
      <c r="Q360" s="149" t="e">
        <f>#REF!</f>
        <v>#REF!</v>
      </c>
      <c r="R360"/>
      <c r="S360" s="111">
        <v>7</v>
      </c>
      <c r="T360" s="128">
        <v>199</v>
      </c>
      <c r="U360" s="132" t="s">
        <v>98</v>
      </c>
      <c r="V360" s="133"/>
      <c r="W360" s="134"/>
      <c r="X360" s="128">
        <f>SUMIFS($R$13:$R$334,$AD$13:$AD$334,S360,$B$13:$B$334,$R$355)</f>
        <v>0</v>
      </c>
      <c r="Y360" s="135">
        <f>SUMIFS($P$13:$P$334,$AD$13:$AD$334,S360,$B$13:$B$334,$R$355)</f>
        <v>0</v>
      </c>
      <c r="Z360" s="130">
        <f t="shared" si="20"/>
        <v>0</v>
      </c>
      <c r="AA360" s="110">
        <f t="shared" si="21"/>
        <v>0</v>
      </c>
      <c r="AB360" s="126">
        <f t="shared" si="22"/>
        <v>0</v>
      </c>
      <c r="AD360"/>
      <c r="AE360"/>
      <c r="AF360"/>
      <c r="AG360"/>
      <c r="AH360"/>
      <c r="AI360"/>
    </row>
    <row r="361" spans="1:35" s="56" customFormat="1" hidden="1" x14ac:dyDescent="0.3">
      <c r="A361" s="167"/>
      <c r="B361" s="140"/>
      <c r="N361"/>
      <c r="O361" s="57"/>
      <c r="P361" s="57"/>
      <c r="R361"/>
      <c r="S361" s="109">
        <v>8</v>
      </c>
      <c r="T361" s="128">
        <v>160</v>
      </c>
      <c r="U361" s="132" t="s">
        <v>76</v>
      </c>
      <c r="V361" s="133"/>
      <c r="W361" s="134"/>
      <c r="X361" s="128">
        <f>SUMIFS($R$13:$R$334,$D$13:$D$334,U361,$B$13:$B$334,$R$355)</f>
        <v>0</v>
      </c>
      <c r="Y361" s="135">
        <f>SUMIFS($P$13:$P$334,$D$13:$D$334,U361,$B$13:$B$334,$R$355)</f>
        <v>0</v>
      </c>
      <c r="Z361" s="130">
        <f t="shared" si="20"/>
        <v>0</v>
      </c>
      <c r="AA361" s="110">
        <f t="shared" si="21"/>
        <v>0</v>
      </c>
      <c r="AB361" s="126">
        <f t="shared" si="22"/>
        <v>0</v>
      </c>
      <c r="AD361"/>
      <c r="AE361"/>
      <c r="AF361"/>
      <c r="AG361"/>
      <c r="AH361"/>
      <c r="AI361"/>
    </row>
    <row r="362" spans="1:35" s="56" customFormat="1" hidden="1" x14ac:dyDescent="0.3">
      <c r="A362" s="167"/>
      <c r="B362" s="140"/>
      <c r="N362"/>
      <c r="O362" s="57"/>
      <c r="P362" s="57"/>
      <c r="R362"/>
      <c r="S362" s="109">
        <v>8</v>
      </c>
      <c r="T362" s="128">
        <v>160</v>
      </c>
      <c r="U362" s="132" t="s">
        <v>75</v>
      </c>
      <c r="V362" s="133"/>
      <c r="W362" s="134"/>
      <c r="X362" s="128">
        <f>SUMIFS($R$13:$R$334,$D$13:$D$334,U362,$B$13:$B$334,$R$355)</f>
        <v>0</v>
      </c>
      <c r="Y362" s="135">
        <f>SUMIFS($P$13:$P$334,$D$13:$D$334,U362,$B$13:$B$334,$R$355)</f>
        <v>0</v>
      </c>
      <c r="Z362" s="130">
        <f t="shared" si="20"/>
        <v>0</v>
      </c>
      <c r="AA362" s="110">
        <f t="shared" si="21"/>
        <v>0</v>
      </c>
      <c r="AB362" s="126">
        <f t="shared" si="22"/>
        <v>0</v>
      </c>
      <c r="AD362"/>
      <c r="AE362"/>
      <c r="AF362"/>
      <c r="AG362"/>
      <c r="AH362"/>
      <c r="AI362"/>
    </row>
    <row r="363" spans="1:35" s="56" customFormat="1" hidden="1" x14ac:dyDescent="0.3">
      <c r="A363" s="167"/>
      <c r="B363" s="140"/>
      <c r="N363"/>
      <c r="O363" s="57"/>
      <c r="P363" s="57"/>
      <c r="R363"/>
      <c r="S363" s="109">
        <v>8</v>
      </c>
      <c r="T363" s="128">
        <v>160</v>
      </c>
      <c r="U363" s="132" t="s">
        <v>77</v>
      </c>
      <c r="V363" s="133"/>
      <c r="W363" s="134"/>
      <c r="X363" s="128">
        <f>SUMIFS($R$13:$R$334,$D$13:$D$334,U363,$B$13:$B$334,$R$355)</f>
        <v>0</v>
      </c>
      <c r="Y363" s="135">
        <f>SUMIFS($P$13:$P$334,$D$13:$D$334,U363,$B$13:$B$334,$R$355)</f>
        <v>0</v>
      </c>
      <c r="Z363" s="130">
        <f t="shared" si="20"/>
        <v>0</v>
      </c>
      <c r="AA363" s="110">
        <f t="shared" si="21"/>
        <v>0</v>
      </c>
      <c r="AB363" s="126">
        <f t="shared" si="22"/>
        <v>0</v>
      </c>
      <c r="AD363"/>
      <c r="AE363"/>
      <c r="AF363"/>
      <c r="AG363"/>
      <c r="AH363"/>
      <c r="AI363"/>
    </row>
    <row r="364" spans="1:35" s="56" customFormat="1" hidden="1" x14ac:dyDescent="0.3">
      <c r="A364" s="167"/>
      <c r="B364" s="140"/>
      <c r="N364"/>
      <c r="O364" s="57"/>
      <c r="P364" s="57"/>
      <c r="R364"/>
      <c r="S364" s="109">
        <v>9</v>
      </c>
      <c r="T364" s="128">
        <v>143</v>
      </c>
      <c r="U364" s="132" t="s">
        <v>97</v>
      </c>
      <c r="V364" s="133"/>
      <c r="W364" s="134"/>
      <c r="X364" s="128">
        <f t="shared" ref="X364:X370" si="23">SUMIFS($R$13:$R$334,$AD$13:$AD$334,S364,$B$13:$B$334,$R$355)</f>
        <v>0</v>
      </c>
      <c r="Y364" s="135">
        <f t="shared" ref="Y364:Y370" si="24">SUMIFS($P$13:$P$334,$AD$13:$AD$334,S364,$B$13:$B$334,$R$355)</f>
        <v>0</v>
      </c>
      <c r="Z364" s="130">
        <f t="shared" si="20"/>
        <v>0</v>
      </c>
      <c r="AA364" s="110">
        <f t="shared" si="21"/>
        <v>0</v>
      </c>
      <c r="AB364" s="126">
        <f t="shared" si="22"/>
        <v>0</v>
      </c>
      <c r="AD364"/>
      <c r="AE364"/>
      <c r="AF364"/>
      <c r="AG364"/>
      <c r="AH364"/>
      <c r="AI364"/>
    </row>
    <row r="365" spans="1:35" s="56" customFormat="1" hidden="1" x14ac:dyDescent="0.3">
      <c r="A365" s="167"/>
      <c r="B365" s="140"/>
      <c r="N365"/>
      <c r="O365" s="57"/>
      <c r="P365" s="57"/>
      <c r="R365"/>
      <c r="S365" s="109">
        <v>10</v>
      </c>
      <c r="T365" s="128">
        <v>200</v>
      </c>
      <c r="U365" s="132" t="s">
        <v>82</v>
      </c>
      <c r="V365" s="133"/>
      <c r="W365" s="134"/>
      <c r="X365" s="128">
        <f t="shared" si="23"/>
        <v>0</v>
      </c>
      <c r="Y365" s="135">
        <f t="shared" si="24"/>
        <v>0</v>
      </c>
      <c r="Z365" s="130">
        <f t="shared" si="20"/>
        <v>0</v>
      </c>
      <c r="AA365" s="110">
        <f t="shared" si="21"/>
        <v>0</v>
      </c>
      <c r="AB365" s="126">
        <f t="shared" si="22"/>
        <v>0</v>
      </c>
      <c r="AD365"/>
      <c r="AE365"/>
      <c r="AF365"/>
      <c r="AG365"/>
      <c r="AH365"/>
      <c r="AI365"/>
    </row>
    <row r="366" spans="1:35" s="56" customFormat="1" hidden="1" x14ac:dyDescent="0.3">
      <c r="A366" s="167"/>
      <c r="B366" s="140"/>
      <c r="N366"/>
      <c r="O366" s="57"/>
      <c r="P366" s="57"/>
      <c r="R366"/>
      <c r="S366" s="109">
        <v>12</v>
      </c>
      <c r="T366" s="128">
        <v>149</v>
      </c>
      <c r="U366" s="132" t="s">
        <v>78</v>
      </c>
      <c r="V366" s="133"/>
      <c r="W366" s="134"/>
      <c r="X366" s="128">
        <f t="shared" si="23"/>
        <v>0</v>
      </c>
      <c r="Y366" s="135">
        <f t="shared" si="24"/>
        <v>0</v>
      </c>
      <c r="Z366" s="130">
        <f t="shared" si="20"/>
        <v>0</v>
      </c>
      <c r="AA366" s="110">
        <f t="shared" si="21"/>
        <v>0</v>
      </c>
      <c r="AB366" s="126">
        <f t="shared" si="22"/>
        <v>0</v>
      </c>
      <c r="AD366"/>
      <c r="AE366"/>
      <c r="AF366"/>
      <c r="AG366"/>
      <c r="AH366"/>
      <c r="AI366"/>
    </row>
    <row r="367" spans="1:35" s="56" customFormat="1" hidden="1" x14ac:dyDescent="0.3">
      <c r="A367" s="167"/>
      <c r="B367" s="140"/>
      <c r="N367"/>
      <c r="O367" s="57"/>
      <c r="P367" s="57"/>
      <c r="R367"/>
      <c r="S367" s="137">
        <v>14</v>
      </c>
      <c r="T367" s="142">
        <v>172.9</v>
      </c>
      <c r="U367" s="143" t="s">
        <v>81</v>
      </c>
      <c r="V367" s="144"/>
      <c r="W367" s="145"/>
      <c r="X367" s="142">
        <f t="shared" si="23"/>
        <v>0</v>
      </c>
      <c r="Y367" s="146">
        <f t="shared" si="24"/>
        <v>0</v>
      </c>
      <c r="Z367" s="147">
        <f t="shared" si="20"/>
        <v>0</v>
      </c>
      <c r="AA367" s="138">
        <f t="shared" si="21"/>
        <v>0</v>
      </c>
      <c r="AB367" s="126">
        <f t="shared" si="22"/>
        <v>0</v>
      </c>
      <c r="AD367"/>
      <c r="AE367"/>
      <c r="AF367"/>
      <c r="AG367"/>
      <c r="AH367"/>
      <c r="AI367"/>
    </row>
    <row r="368" spans="1:35" s="56" customFormat="1" hidden="1" x14ac:dyDescent="0.3">
      <c r="A368" s="167"/>
      <c r="B368" s="140"/>
      <c r="D368"/>
      <c r="N368"/>
      <c r="O368" s="57"/>
      <c r="P368" s="57"/>
      <c r="R368"/>
      <c r="S368" s="137">
        <v>15</v>
      </c>
      <c r="T368" s="142">
        <v>55.068932038834944</v>
      </c>
      <c r="U368" s="143" t="s">
        <v>99</v>
      </c>
      <c r="V368" s="144"/>
      <c r="W368" s="145"/>
      <c r="X368" s="142">
        <f t="shared" si="23"/>
        <v>0</v>
      </c>
      <c r="Y368" s="146">
        <f t="shared" si="24"/>
        <v>0</v>
      </c>
      <c r="Z368" s="147">
        <f t="shared" si="20"/>
        <v>0</v>
      </c>
      <c r="AA368" s="138">
        <f t="shared" si="21"/>
        <v>0</v>
      </c>
      <c r="AB368" s="126">
        <f t="shared" si="22"/>
        <v>0</v>
      </c>
      <c r="AD368"/>
      <c r="AE368"/>
      <c r="AF368"/>
      <c r="AG368"/>
      <c r="AH368"/>
      <c r="AI368"/>
    </row>
    <row r="369" spans="1:35" s="56" customFormat="1" hidden="1" x14ac:dyDescent="0.3">
      <c r="A369" s="167"/>
      <c r="B369" s="140"/>
      <c r="D369"/>
      <c r="N369"/>
      <c r="O369" s="57"/>
      <c r="P369" s="57"/>
      <c r="R369"/>
      <c r="S369" s="137">
        <v>28</v>
      </c>
      <c r="T369" s="155">
        <v>200</v>
      </c>
      <c r="U369" s="156" t="s">
        <v>101</v>
      </c>
      <c r="V369" s="157"/>
      <c r="W369" s="158"/>
      <c r="X369" s="155">
        <f t="shared" si="23"/>
        <v>0</v>
      </c>
      <c r="Y369" s="166">
        <f t="shared" si="24"/>
        <v>0</v>
      </c>
      <c r="Z369" s="160">
        <f t="shared" si="20"/>
        <v>0</v>
      </c>
      <c r="AA369" s="138">
        <f t="shared" si="21"/>
        <v>0</v>
      </c>
      <c r="AB369" s="126">
        <f t="shared" si="22"/>
        <v>0</v>
      </c>
      <c r="AD369"/>
      <c r="AE369"/>
      <c r="AF369"/>
      <c r="AG369"/>
      <c r="AH369"/>
      <c r="AI369"/>
    </row>
    <row r="370" spans="1:35" s="56" customFormat="1" ht="18" hidden="1" thickBot="1" x14ac:dyDescent="0.35">
      <c r="A370" s="167"/>
      <c r="B370" s="140"/>
      <c r="D370"/>
      <c r="N370"/>
      <c r="O370" s="57"/>
      <c r="P370" s="57"/>
      <c r="R370"/>
      <c r="S370" s="112">
        <v>30</v>
      </c>
      <c r="T370" s="113">
        <v>189</v>
      </c>
      <c r="U370" s="114" t="s">
        <v>95</v>
      </c>
      <c r="V370" s="115"/>
      <c r="W370" s="116"/>
      <c r="X370" s="113">
        <f t="shared" si="23"/>
        <v>0</v>
      </c>
      <c r="Y370" s="117">
        <f t="shared" si="24"/>
        <v>0</v>
      </c>
      <c r="Z370" s="118">
        <f t="shared" si="20"/>
        <v>0</v>
      </c>
      <c r="AA370" s="119">
        <f t="shared" si="21"/>
        <v>0</v>
      </c>
      <c r="AB370" s="126">
        <f t="shared" si="22"/>
        <v>0</v>
      </c>
      <c r="AD370"/>
      <c r="AE370"/>
      <c r="AF370"/>
      <c r="AG370"/>
      <c r="AH370"/>
      <c r="AI370"/>
    </row>
    <row r="371" spans="1:35" s="56" customFormat="1" hidden="1" x14ac:dyDescent="0.3">
      <c r="A371" s="167"/>
      <c r="B371" s="140"/>
      <c r="D371"/>
      <c r="N371"/>
      <c r="O371" s="57"/>
      <c r="P371" s="57"/>
      <c r="R371"/>
      <c r="S371"/>
      <c r="T371"/>
      <c r="U371"/>
      <c r="V371"/>
      <c r="W371"/>
      <c r="X371" s="106">
        <f>SUM(X356:X370)</f>
        <v>0</v>
      </c>
      <c r="Y371" s="136">
        <f>SUM(Y356:Y370)</f>
        <v>0</v>
      </c>
      <c r="Z371" s="108">
        <f>SUM(Z356:Z370)</f>
        <v>0</v>
      </c>
      <c r="AA371" s="106">
        <f>SUM(AA356:AA370)</f>
        <v>0</v>
      </c>
      <c r="AD371"/>
      <c r="AE371"/>
      <c r="AF371"/>
      <c r="AG371"/>
      <c r="AH371"/>
      <c r="AI371"/>
    </row>
    <row r="372" spans="1:35" x14ac:dyDescent="0.3">
      <c r="D372"/>
      <c r="Y372" s="57"/>
    </row>
    <row r="373" spans="1:35" x14ac:dyDescent="0.3">
      <c r="D373"/>
    </row>
    <row r="374" spans="1:35" x14ac:dyDescent="0.3">
      <c r="D374"/>
    </row>
    <row r="375" spans="1:35" x14ac:dyDescent="0.3">
      <c r="D375"/>
    </row>
    <row r="376" spans="1:35" x14ac:dyDescent="0.3">
      <c r="D376"/>
    </row>
    <row r="377" spans="1:35" x14ac:dyDescent="0.3">
      <c r="D377"/>
    </row>
    <row r="378" spans="1:35" x14ac:dyDescent="0.3">
      <c r="D378"/>
    </row>
    <row r="379" spans="1:35" x14ac:dyDescent="0.3">
      <c r="D379"/>
    </row>
    <row r="380" spans="1:35" x14ac:dyDescent="0.3">
      <c r="D380"/>
    </row>
    <row r="381" spans="1:35" x14ac:dyDescent="0.3">
      <c r="D381"/>
    </row>
    <row r="382" spans="1:35" x14ac:dyDescent="0.3">
      <c r="D382"/>
    </row>
    <row r="383" spans="1:35" x14ac:dyDescent="0.3">
      <c r="D383"/>
    </row>
    <row r="384" spans="1:35" x14ac:dyDescent="0.3">
      <c r="D384"/>
    </row>
    <row r="385" spans="1:40" x14ac:dyDescent="0.3">
      <c r="D385"/>
    </row>
    <row r="386" spans="1:40" s="56" customFormat="1" x14ac:dyDescent="0.3">
      <c r="A386" s="139"/>
      <c r="B386" s="140"/>
      <c r="D386"/>
      <c r="N386"/>
      <c r="O386" s="57"/>
      <c r="P386" s="57"/>
      <c r="AD386"/>
      <c r="AE386"/>
      <c r="AF386"/>
      <c r="AG386"/>
      <c r="AH386"/>
      <c r="AI386"/>
      <c r="AJ386"/>
      <c r="AK386"/>
      <c r="AL386"/>
      <c r="AM386"/>
      <c r="AN386"/>
    </row>
    <row r="387" spans="1:40" s="56" customFormat="1" x14ac:dyDescent="0.3">
      <c r="A387" s="139"/>
      <c r="B387" s="140"/>
      <c r="D387"/>
      <c r="N387"/>
      <c r="O387" s="57"/>
      <c r="P387" s="57"/>
      <c r="AD387"/>
      <c r="AE387"/>
      <c r="AF387"/>
      <c r="AG387"/>
      <c r="AH387"/>
      <c r="AI387"/>
      <c r="AJ387"/>
      <c r="AK387"/>
      <c r="AL387"/>
      <c r="AM387"/>
      <c r="AN387"/>
    </row>
    <row r="388" spans="1:40" s="56" customFormat="1" x14ac:dyDescent="0.3">
      <c r="A388" s="139"/>
      <c r="B388" s="140"/>
      <c r="D388"/>
      <c r="N388"/>
      <c r="O388" s="57"/>
      <c r="P388" s="57"/>
      <c r="AD388"/>
      <c r="AE388"/>
      <c r="AF388"/>
      <c r="AG388"/>
      <c r="AH388"/>
      <c r="AI388"/>
      <c r="AJ388"/>
      <c r="AK388"/>
      <c r="AL388"/>
      <c r="AM388"/>
      <c r="AN388"/>
    </row>
    <row r="389" spans="1:40" s="56" customFormat="1" x14ac:dyDescent="0.3">
      <c r="A389" s="139"/>
      <c r="B389" s="140"/>
      <c r="D389"/>
      <c r="N389"/>
      <c r="O389" s="57"/>
      <c r="P389" s="57"/>
      <c r="AD389"/>
      <c r="AE389"/>
      <c r="AF389"/>
      <c r="AG389"/>
      <c r="AH389"/>
      <c r="AI389"/>
      <c r="AJ389"/>
      <c r="AK389"/>
      <c r="AL389"/>
      <c r="AM389"/>
      <c r="AN389"/>
    </row>
    <row r="390" spans="1:40" s="56" customFormat="1" x14ac:dyDescent="0.3">
      <c r="A390" s="139"/>
      <c r="B390" s="140"/>
      <c r="D390"/>
      <c r="N390"/>
      <c r="O390" s="57"/>
      <c r="P390" s="57"/>
      <c r="AD390"/>
      <c r="AE390"/>
      <c r="AF390"/>
      <c r="AG390"/>
      <c r="AH390"/>
      <c r="AI390"/>
      <c r="AJ390"/>
      <c r="AK390"/>
      <c r="AL390"/>
      <c r="AM390"/>
      <c r="AN390"/>
    </row>
    <row r="391" spans="1:40" s="56" customFormat="1" x14ac:dyDescent="0.3">
      <c r="A391" s="139"/>
      <c r="B391" s="140"/>
      <c r="D391"/>
      <c r="N391"/>
      <c r="O391" s="57"/>
      <c r="P391" s="57"/>
      <c r="AD391"/>
      <c r="AE391"/>
      <c r="AF391"/>
      <c r="AG391"/>
      <c r="AH391"/>
      <c r="AI391"/>
      <c r="AJ391"/>
      <c r="AK391"/>
      <c r="AL391"/>
      <c r="AM391"/>
      <c r="AN391"/>
    </row>
    <row r="392" spans="1:40" s="56" customFormat="1" x14ac:dyDescent="0.3">
      <c r="A392" s="139"/>
      <c r="B392" s="140"/>
      <c r="D392"/>
      <c r="N392"/>
      <c r="O392" s="57"/>
      <c r="P392" s="57"/>
      <c r="AD392"/>
      <c r="AE392"/>
      <c r="AF392"/>
      <c r="AG392"/>
      <c r="AH392"/>
      <c r="AI392"/>
      <c r="AJ392"/>
      <c r="AK392"/>
      <c r="AL392"/>
      <c r="AM392"/>
      <c r="AN392"/>
    </row>
    <row r="393" spans="1:40" s="56" customFormat="1" x14ac:dyDescent="0.3">
      <c r="A393" s="139"/>
      <c r="B393" s="140"/>
      <c r="D393"/>
      <c r="N393"/>
      <c r="O393" s="57"/>
      <c r="P393" s="57"/>
      <c r="AD393"/>
      <c r="AE393"/>
      <c r="AF393"/>
      <c r="AG393"/>
      <c r="AH393"/>
      <c r="AI393"/>
      <c r="AJ393"/>
      <c r="AK393"/>
      <c r="AL393"/>
      <c r="AM393"/>
      <c r="AN393"/>
    </row>
    <row r="394" spans="1:40" s="56" customFormat="1" x14ac:dyDescent="0.3">
      <c r="A394" s="139"/>
      <c r="B394" s="140"/>
      <c r="D394"/>
      <c r="N394"/>
      <c r="O394" s="57"/>
      <c r="P394" s="57"/>
      <c r="AD394"/>
      <c r="AE394"/>
      <c r="AF394"/>
      <c r="AG394"/>
      <c r="AH394"/>
      <c r="AI394"/>
      <c r="AJ394"/>
      <c r="AK394"/>
      <c r="AL394"/>
      <c r="AM394"/>
      <c r="AN394"/>
    </row>
    <row r="395" spans="1:40" s="56" customFormat="1" x14ac:dyDescent="0.3">
      <c r="A395" s="139"/>
      <c r="B395" s="140"/>
      <c r="D395"/>
      <c r="N395"/>
      <c r="O395" s="57"/>
      <c r="P395" s="57"/>
      <c r="AD395"/>
      <c r="AE395"/>
      <c r="AF395"/>
      <c r="AG395"/>
      <c r="AH395"/>
      <c r="AI395"/>
      <c r="AJ395"/>
      <c r="AK395"/>
      <c r="AL395"/>
      <c r="AM395"/>
      <c r="AN395"/>
    </row>
    <row r="396" spans="1:40" s="56" customFormat="1" x14ac:dyDescent="0.3">
      <c r="A396" s="139"/>
      <c r="B396" s="140"/>
      <c r="D396"/>
      <c r="N396"/>
      <c r="O396" s="57"/>
      <c r="P396" s="57"/>
      <c r="AD396"/>
      <c r="AE396"/>
      <c r="AF396"/>
      <c r="AG396"/>
      <c r="AH396"/>
      <c r="AI396"/>
      <c r="AJ396"/>
      <c r="AK396"/>
      <c r="AL396"/>
      <c r="AM396"/>
      <c r="AN396"/>
    </row>
    <row r="397" spans="1:40" s="56" customFormat="1" x14ac:dyDescent="0.3">
      <c r="A397" s="139"/>
      <c r="B397" s="140"/>
      <c r="D397"/>
      <c r="N397"/>
      <c r="O397" s="57"/>
      <c r="P397" s="57"/>
      <c r="AD397"/>
      <c r="AE397"/>
      <c r="AF397"/>
      <c r="AG397"/>
      <c r="AH397"/>
      <c r="AI397"/>
      <c r="AJ397"/>
      <c r="AK397"/>
      <c r="AL397"/>
      <c r="AM397"/>
      <c r="AN397"/>
    </row>
    <row r="398" spans="1:40" s="56" customFormat="1" x14ac:dyDescent="0.3">
      <c r="A398" s="139"/>
      <c r="B398" s="140"/>
      <c r="D398"/>
      <c r="N398"/>
      <c r="O398" s="57"/>
      <c r="P398" s="57"/>
      <c r="AD398"/>
      <c r="AE398"/>
      <c r="AF398"/>
      <c r="AG398"/>
      <c r="AH398"/>
      <c r="AI398"/>
      <c r="AJ398"/>
      <c r="AK398"/>
      <c r="AL398"/>
      <c r="AM398"/>
      <c r="AN398"/>
    </row>
    <row r="399" spans="1:40" s="56" customFormat="1" x14ac:dyDescent="0.3">
      <c r="A399" s="139"/>
      <c r="B399" s="140"/>
      <c r="D399"/>
      <c r="N399"/>
      <c r="O399" s="57"/>
      <c r="P399" s="57"/>
      <c r="AD399"/>
      <c r="AE399"/>
      <c r="AF399"/>
      <c r="AG399"/>
      <c r="AH399"/>
      <c r="AI399"/>
      <c r="AJ399"/>
      <c r="AK399"/>
      <c r="AL399"/>
      <c r="AM399"/>
      <c r="AN399"/>
    </row>
    <row r="400" spans="1:40" s="56" customFormat="1" x14ac:dyDescent="0.3">
      <c r="A400" s="139"/>
      <c r="B400" s="140"/>
      <c r="D400"/>
      <c r="N400"/>
      <c r="O400" s="57"/>
      <c r="P400" s="57"/>
      <c r="AD400"/>
      <c r="AE400"/>
      <c r="AF400"/>
      <c r="AG400"/>
      <c r="AH400"/>
      <c r="AI400"/>
      <c r="AJ400"/>
      <c r="AK400"/>
      <c r="AL400"/>
      <c r="AM400"/>
      <c r="AN400"/>
    </row>
    <row r="401" spans="1:40" s="56" customFormat="1" x14ac:dyDescent="0.3">
      <c r="A401" s="139"/>
      <c r="B401" s="140"/>
      <c r="D401"/>
      <c r="N401"/>
      <c r="O401" s="57"/>
      <c r="P401" s="57"/>
      <c r="AD401"/>
      <c r="AE401"/>
      <c r="AF401"/>
      <c r="AG401"/>
      <c r="AH401"/>
      <c r="AI401"/>
      <c r="AJ401"/>
      <c r="AK401"/>
      <c r="AL401"/>
      <c r="AM401"/>
      <c r="AN401"/>
    </row>
    <row r="402" spans="1:40" s="56" customFormat="1" x14ac:dyDescent="0.3">
      <c r="A402" s="139"/>
      <c r="B402" s="140"/>
      <c r="D402"/>
      <c r="N402"/>
      <c r="O402" s="57"/>
      <c r="P402" s="57"/>
      <c r="AD402"/>
      <c r="AE402"/>
      <c r="AF402"/>
      <c r="AG402"/>
      <c r="AH402"/>
      <c r="AI402"/>
      <c r="AJ402"/>
      <c r="AK402"/>
      <c r="AL402"/>
      <c r="AM402"/>
      <c r="AN402"/>
    </row>
    <row r="403" spans="1:40" s="56" customFormat="1" x14ac:dyDescent="0.3">
      <c r="A403" s="139"/>
      <c r="B403" s="140"/>
      <c r="D403"/>
      <c r="N403"/>
      <c r="O403" s="57"/>
      <c r="P403" s="57"/>
      <c r="AD403"/>
      <c r="AE403"/>
      <c r="AF403"/>
      <c r="AG403"/>
      <c r="AH403"/>
      <c r="AI403"/>
      <c r="AJ403"/>
      <c r="AK403"/>
      <c r="AL403"/>
      <c r="AM403"/>
      <c r="AN403"/>
    </row>
    <row r="404" spans="1:40" s="56" customFormat="1" x14ac:dyDescent="0.3">
      <c r="A404" s="139"/>
      <c r="B404" s="140"/>
      <c r="D404"/>
      <c r="N404"/>
      <c r="O404" s="57"/>
      <c r="P404" s="57"/>
      <c r="AD404"/>
      <c r="AE404"/>
      <c r="AF404"/>
      <c r="AG404"/>
      <c r="AH404"/>
      <c r="AI404"/>
      <c r="AJ404"/>
      <c r="AK404"/>
      <c r="AL404"/>
      <c r="AM404"/>
      <c r="AN404"/>
    </row>
    <row r="405" spans="1:40" s="56" customFormat="1" x14ac:dyDescent="0.3">
      <c r="A405" s="139"/>
      <c r="B405" s="140"/>
      <c r="D405"/>
      <c r="N405"/>
      <c r="O405" s="57"/>
      <c r="P405" s="57"/>
      <c r="AD405"/>
      <c r="AE405"/>
      <c r="AF405"/>
      <c r="AG405"/>
      <c r="AH405"/>
      <c r="AI405"/>
      <c r="AJ405"/>
      <c r="AK405"/>
      <c r="AL405"/>
      <c r="AM405"/>
      <c r="AN405"/>
    </row>
    <row r="406" spans="1:40" s="56" customFormat="1" x14ac:dyDescent="0.3">
      <c r="A406" s="139"/>
      <c r="B406" s="140"/>
      <c r="D406"/>
      <c r="N406"/>
      <c r="O406" s="57"/>
      <c r="P406" s="57"/>
      <c r="AD406"/>
      <c r="AE406"/>
      <c r="AF406"/>
      <c r="AG406"/>
      <c r="AH406"/>
      <c r="AI406"/>
      <c r="AJ406"/>
      <c r="AK406"/>
      <c r="AL406"/>
      <c r="AM406"/>
      <c r="AN406"/>
    </row>
    <row r="407" spans="1:40" s="56" customFormat="1" x14ac:dyDescent="0.3">
      <c r="A407" s="139"/>
      <c r="B407" s="140"/>
      <c r="D407"/>
      <c r="N407"/>
      <c r="O407" s="57"/>
      <c r="P407" s="57"/>
      <c r="AD407"/>
      <c r="AE407"/>
      <c r="AF407"/>
      <c r="AG407"/>
      <c r="AH407"/>
      <c r="AI407"/>
      <c r="AJ407"/>
      <c r="AK407"/>
      <c r="AL407"/>
      <c r="AM407"/>
      <c r="AN407"/>
    </row>
    <row r="408" spans="1:40" s="56" customFormat="1" x14ac:dyDescent="0.3">
      <c r="A408" s="139"/>
      <c r="B408" s="140"/>
      <c r="D408"/>
      <c r="N408"/>
      <c r="O408" s="57"/>
      <c r="P408" s="57"/>
      <c r="AD408"/>
      <c r="AE408"/>
      <c r="AF408"/>
      <c r="AG408"/>
      <c r="AH408"/>
      <c r="AI408"/>
      <c r="AJ408"/>
      <c r="AK408"/>
      <c r="AL408"/>
      <c r="AM408"/>
      <c r="AN408"/>
    </row>
    <row r="409" spans="1:40" s="56" customFormat="1" x14ac:dyDescent="0.3">
      <c r="A409" s="139"/>
      <c r="B409" s="140"/>
      <c r="D409"/>
      <c r="N409"/>
      <c r="O409" s="57"/>
      <c r="P409" s="57"/>
      <c r="AD409"/>
      <c r="AE409"/>
      <c r="AF409"/>
      <c r="AG409"/>
      <c r="AH409"/>
      <c r="AI409"/>
      <c r="AJ409"/>
      <c r="AK409"/>
      <c r="AL409"/>
      <c r="AM409"/>
      <c r="AN409"/>
    </row>
    <row r="410" spans="1:40" s="56" customFormat="1" x14ac:dyDescent="0.3">
      <c r="A410" s="139"/>
      <c r="B410" s="140"/>
      <c r="D410"/>
      <c r="N410"/>
      <c r="O410" s="57"/>
      <c r="P410" s="57"/>
      <c r="AD410"/>
      <c r="AE410"/>
      <c r="AF410"/>
      <c r="AG410"/>
      <c r="AH410"/>
      <c r="AI410"/>
      <c r="AJ410"/>
      <c r="AK410"/>
      <c r="AL410"/>
      <c r="AM410"/>
      <c r="AN410"/>
    </row>
    <row r="411" spans="1:40" s="56" customFormat="1" x14ac:dyDescent="0.3">
      <c r="A411" s="139"/>
      <c r="B411" s="140"/>
      <c r="D411"/>
      <c r="N411"/>
      <c r="O411" s="57"/>
      <c r="P411" s="57"/>
      <c r="AD411"/>
      <c r="AE411"/>
      <c r="AF411"/>
      <c r="AG411"/>
      <c r="AH411"/>
      <c r="AI411"/>
      <c r="AJ411"/>
      <c r="AK411"/>
      <c r="AL411"/>
      <c r="AM411"/>
      <c r="AN411"/>
    </row>
    <row r="412" spans="1:40" s="56" customFormat="1" x14ac:dyDescent="0.3">
      <c r="A412" s="139"/>
      <c r="B412" s="140"/>
      <c r="D412"/>
      <c r="N412"/>
      <c r="O412" s="57"/>
      <c r="P412" s="57"/>
      <c r="AD412"/>
      <c r="AE412"/>
      <c r="AF412"/>
      <c r="AG412"/>
      <c r="AH412"/>
      <c r="AI412"/>
      <c r="AJ412"/>
      <c r="AK412"/>
      <c r="AL412"/>
      <c r="AM412"/>
      <c r="AN412"/>
    </row>
    <row r="413" spans="1:40" s="56" customFormat="1" x14ac:dyDescent="0.3">
      <c r="A413" s="139"/>
      <c r="B413" s="140"/>
      <c r="D413"/>
      <c r="N413"/>
      <c r="O413" s="57"/>
      <c r="P413" s="57"/>
      <c r="AD413"/>
      <c r="AE413"/>
      <c r="AF413"/>
      <c r="AG413"/>
      <c r="AH413"/>
      <c r="AI413"/>
      <c r="AJ413"/>
      <c r="AK413"/>
      <c r="AL413"/>
      <c r="AM413"/>
      <c r="AN413"/>
    </row>
    <row r="414" spans="1:40" s="56" customFormat="1" x14ac:dyDescent="0.3">
      <c r="A414" s="139"/>
      <c r="B414" s="140"/>
      <c r="D414"/>
      <c r="N414"/>
      <c r="O414" s="57"/>
      <c r="P414" s="57"/>
      <c r="AD414"/>
      <c r="AE414"/>
      <c r="AF414"/>
      <c r="AG414"/>
      <c r="AH414"/>
      <c r="AI414"/>
      <c r="AJ414"/>
      <c r="AK414"/>
      <c r="AL414"/>
      <c r="AM414"/>
      <c r="AN414"/>
    </row>
    <row r="415" spans="1:40" s="56" customFormat="1" x14ac:dyDescent="0.3">
      <c r="A415" s="139"/>
      <c r="B415" s="140"/>
      <c r="D415"/>
      <c r="N415"/>
      <c r="O415" s="57"/>
      <c r="P415" s="57"/>
      <c r="AD415"/>
      <c r="AE415"/>
      <c r="AF415"/>
      <c r="AG415"/>
      <c r="AH415"/>
      <c r="AI415"/>
      <c r="AJ415"/>
      <c r="AK415"/>
      <c r="AL415"/>
      <c r="AM415"/>
      <c r="AN415"/>
    </row>
    <row r="416" spans="1:40" s="56" customFormat="1" x14ac:dyDescent="0.3">
      <c r="A416" s="139"/>
      <c r="B416" s="140"/>
      <c r="D416"/>
      <c r="N416"/>
      <c r="O416" s="57"/>
      <c r="P416" s="57"/>
      <c r="AD416"/>
      <c r="AE416"/>
      <c r="AF416"/>
      <c r="AG416"/>
      <c r="AH416"/>
      <c r="AI416"/>
      <c r="AJ416"/>
      <c r="AK416"/>
      <c r="AL416"/>
      <c r="AM416"/>
      <c r="AN416"/>
    </row>
    <row r="417" spans="1:40" s="56" customFormat="1" x14ac:dyDescent="0.3">
      <c r="A417" s="139"/>
      <c r="B417" s="140"/>
      <c r="D417"/>
      <c r="N417"/>
      <c r="O417" s="57"/>
      <c r="P417" s="57"/>
      <c r="AD417"/>
      <c r="AE417"/>
      <c r="AF417"/>
      <c r="AG417"/>
      <c r="AH417"/>
      <c r="AI417"/>
      <c r="AJ417"/>
      <c r="AK417"/>
      <c r="AL417"/>
      <c r="AM417"/>
      <c r="AN417"/>
    </row>
    <row r="418" spans="1:40" s="56" customFormat="1" x14ac:dyDescent="0.3">
      <c r="A418" s="139"/>
      <c r="B418" s="140"/>
      <c r="D418"/>
      <c r="N418"/>
      <c r="O418" s="57"/>
      <c r="P418" s="57"/>
      <c r="AD418"/>
      <c r="AE418"/>
      <c r="AF418"/>
      <c r="AG418"/>
      <c r="AH418"/>
      <c r="AI418"/>
      <c r="AJ418"/>
      <c r="AK418"/>
      <c r="AL418"/>
      <c r="AM418"/>
      <c r="AN418"/>
    </row>
    <row r="419" spans="1:40" s="56" customFormat="1" x14ac:dyDescent="0.3">
      <c r="A419" s="139"/>
      <c r="B419" s="140"/>
      <c r="D419"/>
      <c r="N419"/>
      <c r="O419" s="57"/>
      <c r="P419" s="57"/>
      <c r="AD419"/>
      <c r="AE419"/>
      <c r="AF419"/>
      <c r="AG419"/>
      <c r="AH419"/>
      <c r="AI419"/>
      <c r="AJ419"/>
      <c r="AK419"/>
      <c r="AL419"/>
      <c r="AM419"/>
      <c r="AN419"/>
    </row>
    <row r="420" spans="1:40" s="56" customFormat="1" x14ac:dyDescent="0.3">
      <c r="A420" s="139"/>
      <c r="B420" s="140"/>
      <c r="D420"/>
      <c r="N420"/>
      <c r="O420" s="57"/>
      <c r="P420" s="57"/>
      <c r="AD420"/>
      <c r="AE420"/>
      <c r="AF420"/>
      <c r="AG420"/>
      <c r="AH420"/>
      <c r="AI420"/>
      <c r="AJ420"/>
      <c r="AK420"/>
      <c r="AL420"/>
      <c r="AM420"/>
      <c r="AN420"/>
    </row>
    <row r="421" spans="1:40" s="56" customFormat="1" x14ac:dyDescent="0.3">
      <c r="A421" s="139"/>
      <c r="B421" s="140"/>
      <c r="D421"/>
      <c r="N421"/>
      <c r="O421" s="57"/>
      <c r="P421" s="57"/>
      <c r="AD421"/>
      <c r="AE421"/>
      <c r="AF421"/>
      <c r="AG421"/>
      <c r="AH421"/>
      <c r="AI421"/>
      <c r="AJ421"/>
      <c r="AK421"/>
      <c r="AL421"/>
      <c r="AM421"/>
      <c r="AN421"/>
    </row>
    <row r="422" spans="1:40" s="56" customFormat="1" x14ac:dyDescent="0.3">
      <c r="A422" s="139"/>
      <c r="B422" s="140"/>
      <c r="D422"/>
      <c r="N422"/>
      <c r="O422" s="57"/>
      <c r="P422" s="57"/>
      <c r="AD422"/>
      <c r="AE422"/>
      <c r="AF422"/>
      <c r="AG422"/>
      <c r="AH422"/>
      <c r="AI422"/>
      <c r="AJ422"/>
      <c r="AK422"/>
      <c r="AL422"/>
      <c r="AM422"/>
      <c r="AN422"/>
    </row>
    <row r="423" spans="1:40" s="56" customFormat="1" x14ac:dyDescent="0.3">
      <c r="A423" s="139"/>
      <c r="B423" s="140"/>
      <c r="D423"/>
      <c r="N423"/>
      <c r="O423" s="57"/>
      <c r="P423" s="57"/>
      <c r="AD423"/>
      <c r="AE423"/>
      <c r="AF423"/>
      <c r="AG423"/>
      <c r="AH423"/>
      <c r="AI423"/>
      <c r="AJ423"/>
      <c r="AK423"/>
      <c r="AL423"/>
      <c r="AM423"/>
      <c r="AN423"/>
    </row>
    <row r="424" spans="1:40" s="56" customFormat="1" x14ac:dyDescent="0.3">
      <c r="A424" s="139"/>
      <c r="B424" s="140"/>
      <c r="D424"/>
      <c r="N424"/>
      <c r="O424" s="57"/>
      <c r="P424" s="57"/>
      <c r="AD424"/>
      <c r="AE424"/>
      <c r="AF424"/>
      <c r="AG424"/>
      <c r="AH424"/>
      <c r="AI424"/>
      <c r="AJ424"/>
      <c r="AK424"/>
      <c r="AL424"/>
      <c r="AM424"/>
      <c r="AN424"/>
    </row>
    <row r="425" spans="1:40" s="56" customFormat="1" x14ac:dyDescent="0.3">
      <c r="A425" s="139"/>
      <c r="B425" s="140"/>
      <c r="D425"/>
      <c r="N425"/>
      <c r="O425" s="57"/>
      <c r="P425" s="57"/>
      <c r="AD425"/>
      <c r="AE425"/>
      <c r="AF425"/>
      <c r="AG425"/>
      <c r="AH425"/>
      <c r="AI425"/>
      <c r="AJ425"/>
      <c r="AK425"/>
      <c r="AL425"/>
      <c r="AM425"/>
      <c r="AN425"/>
    </row>
    <row r="426" spans="1:40" s="56" customFormat="1" x14ac:dyDescent="0.3">
      <c r="A426" s="139"/>
      <c r="B426" s="140"/>
      <c r="D426"/>
      <c r="N426"/>
      <c r="O426" s="57"/>
      <c r="P426" s="57"/>
      <c r="AD426"/>
      <c r="AE426"/>
      <c r="AF426"/>
      <c r="AG426"/>
      <c r="AH426"/>
      <c r="AI426"/>
      <c r="AJ426"/>
      <c r="AK426"/>
      <c r="AL426"/>
      <c r="AM426"/>
      <c r="AN426"/>
    </row>
    <row r="427" spans="1:40" s="56" customFormat="1" x14ac:dyDescent="0.3">
      <c r="A427" s="139"/>
      <c r="B427" s="140"/>
      <c r="D427"/>
      <c r="N427"/>
      <c r="O427" s="57"/>
      <c r="P427" s="57"/>
      <c r="AD427"/>
      <c r="AE427"/>
      <c r="AF427"/>
      <c r="AG427"/>
      <c r="AH427"/>
      <c r="AI427"/>
      <c r="AJ427"/>
      <c r="AK427"/>
      <c r="AL427"/>
      <c r="AM427"/>
      <c r="AN427"/>
    </row>
    <row r="428" spans="1:40" s="56" customFormat="1" x14ac:dyDescent="0.3">
      <c r="A428" s="139"/>
      <c r="B428" s="140"/>
      <c r="D428"/>
      <c r="N428"/>
      <c r="O428" s="57"/>
      <c r="P428" s="57"/>
      <c r="AD428"/>
      <c r="AE428"/>
      <c r="AF428"/>
      <c r="AG428"/>
      <c r="AH428"/>
      <c r="AI428"/>
      <c r="AJ428"/>
      <c r="AK428"/>
      <c r="AL428"/>
      <c r="AM428"/>
      <c r="AN428"/>
    </row>
    <row r="429" spans="1:40" s="56" customFormat="1" x14ac:dyDescent="0.3">
      <c r="A429" s="139"/>
      <c r="B429" s="140"/>
      <c r="D429"/>
      <c r="N429"/>
      <c r="O429" s="57"/>
      <c r="P429" s="57"/>
      <c r="AD429"/>
      <c r="AE429"/>
      <c r="AF429"/>
      <c r="AG429"/>
      <c r="AH429"/>
      <c r="AI429"/>
      <c r="AJ429"/>
      <c r="AK429"/>
      <c r="AL429"/>
      <c r="AM429"/>
      <c r="AN429"/>
    </row>
    <row r="430" spans="1:40" s="56" customFormat="1" x14ac:dyDescent="0.3">
      <c r="A430" s="139"/>
      <c r="B430" s="140"/>
      <c r="D430"/>
      <c r="N430"/>
      <c r="O430" s="57"/>
      <c r="P430" s="57"/>
      <c r="AD430"/>
      <c r="AE430"/>
      <c r="AF430"/>
      <c r="AG430"/>
      <c r="AH430"/>
      <c r="AI430"/>
      <c r="AJ430"/>
      <c r="AK430"/>
      <c r="AL430"/>
      <c r="AM430"/>
      <c r="AN430"/>
    </row>
    <row r="431" spans="1:40" s="56" customFormat="1" x14ac:dyDescent="0.3">
      <c r="A431" s="139"/>
      <c r="B431" s="140"/>
      <c r="D431"/>
      <c r="N431"/>
      <c r="O431" s="57"/>
      <c r="P431" s="57"/>
      <c r="AD431"/>
      <c r="AE431"/>
      <c r="AF431"/>
      <c r="AG431"/>
      <c r="AH431"/>
      <c r="AI431"/>
      <c r="AJ431"/>
      <c r="AK431"/>
      <c r="AL431"/>
      <c r="AM431"/>
      <c r="AN431"/>
    </row>
    <row r="432" spans="1:40" s="56" customFormat="1" x14ac:dyDescent="0.3">
      <c r="A432" s="139"/>
      <c r="B432" s="140"/>
      <c r="D432"/>
      <c r="N432"/>
      <c r="O432" s="57"/>
      <c r="P432" s="57"/>
      <c r="AD432"/>
      <c r="AE432"/>
      <c r="AF432"/>
      <c r="AG432"/>
      <c r="AH432"/>
      <c r="AI432"/>
      <c r="AJ432"/>
      <c r="AK432"/>
      <c r="AL432"/>
      <c r="AM432"/>
      <c r="AN432"/>
    </row>
    <row r="433" spans="1:40" s="56" customFormat="1" x14ac:dyDescent="0.3">
      <c r="A433" s="139"/>
      <c r="B433" s="140"/>
      <c r="D433"/>
      <c r="N433"/>
      <c r="O433" s="57"/>
      <c r="P433" s="57"/>
      <c r="AD433"/>
      <c r="AE433"/>
      <c r="AF433"/>
      <c r="AG433"/>
      <c r="AH433"/>
      <c r="AI433"/>
      <c r="AJ433"/>
      <c r="AK433"/>
      <c r="AL433"/>
      <c r="AM433"/>
      <c r="AN433"/>
    </row>
    <row r="434" spans="1:40" s="56" customFormat="1" x14ac:dyDescent="0.3">
      <c r="A434" s="139"/>
      <c r="B434" s="140"/>
      <c r="D434"/>
      <c r="N434"/>
      <c r="O434" s="57"/>
      <c r="P434" s="57"/>
      <c r="AD434"/>
      <c r="AE434"/>
      <c r="AF434"/>
      <c r="AG434"/>
      <c r="AH434"/>
      <c r="AI434"/>
      <c r="AJ434"/>
      <c r="AK434"/>
      <c r="AL434"/>
      <c r="AM434"/>
      <c r="AN434"/>
    </row>
    <row r="435" spans="1:40" s="56" customFormat="1" x14ac:dyDescent="0.3">
      <c r="A435" s="139"/>
      <c r="B435" s="140"/>
      <c r="D435"/>
      <c r="N435"/>
      <c r="O435" s="57"/>
      <c r="P435" s="57"/>
      <c r="AD435"/>
      <c r="AE435"/>
      <c r="AF435"/>
      <c r="AG435"/>
      <c r="AH435"/>
      <c r="AI435"/>
      <c r="AJ435"/>
      <c r="AK435"/>
      <c r="AL435"/>
      <c r="AM435"/>
      <c r="AN435"/>
    </row>
    <row r="436" spans="1:40" s="56" customFormat="1" x14ac:dyDescent="0.3">
      <c r="A436" s="139"/>
      <c r="B436" s="140"/>
      <c r="D436"/>
      <c r="N436"/>
      <c r="O436" s="57"/>
      <c r="P436" s="57"/>
      <c r="AD436"/>
      <c r="AE436"/>
      <c r="AF436"/>
      <c r="AG436"/>
      <c r="AH436"/>
      <c r="AI436"/>
      <c r="AJ436"/>
      <c r="AK436"/>
      <c r="AL436"/>
      <c r="AM436"/>
      <c r="AN436"/>
    </row>
    <row r="437" spans="1:40" s="56" customFormat="1" x14ac:dyDescent="0.3">
      <c r="A437" s="139"/>
      <c r="B437" s="140"/>
      <c r="D437"/>
      <c r="N437"/>
      <c r="O437" s="57"/>
      <c r="P437" s="57"/>
      <c r="AD437"/>
      <c r="AE437"/>
      <c r="AF437"/>
      <c r="AG437"/>
      <c r="AH437"/>
      <c r="AI437"/>
      <c r="AJ437"/>
      <c r="AK437"/>
      <c r="AL437"/>
      <c r="AM437"/>
      <c r="AN437"/>
    </row>
    <row r="438" spans="1:40" s="56" customFormat="1" x14ac:dyDescent="0.3">
      <c r="A438" s="139"/>
      <c r="B438" s="140"/>
      <c r="D438"/>
      <c r="N438"/>
      <c r="O438" s="57"/>
      <c r="P438" s="57"/>
      <c r="AD438"/>
      <c r="AE438"/>
      <c r="AF438"/>
      <c r="AG438"/>
      <c r="AH438"/>
      <c r="AI438"/>
      <c r="AJ438"/>
      <c r="AK438"/>
      <c r="AL438"/>
      <c r="AM438"/>
      <c r="AN438"/>
    </row>
    <row r="439" spans="1:40" s="56" customFormat="1" x14ac:dyDescent="0.3">
      <c r="A439" s="139"/>
      <c r="B439" s="140"/>
      <c r="D439"/>
      <c r="N439"/>
      <c r="O439" s="57"/>
      <c r="P439" s="57"/>
      <c r="AD439"/>
      <c r="AE439"/>
      <c r="AF439"/>
      <c r="AG439"/>
      <c r="AH439"/>
      <c r="AI439"/>
      <c r="AJ439"/>
      <c r="AK439"/>
      <c r="AL439"/>
      <c r="AM439"/>
      <c r="AN439"/>
    </row>
    <row r="440" spans="1:40" s="56" customFormat="1" x14ac:dyDescent="0.3">
      <c r="A440" s="139"/>
      <c r="B440" s="140"/>
      <c r="D440"/>
      <c r="N440"/>
      <c r="O440" s="57"/>
      <c r="P440" s="57"/>
      <c r="AD440"/>
      <c r="AE440"/>
      <c r="AF440"/>
      <c r="AG440"/>
      <c r="AH440"/>
      <c r="AI440"/>
      <c r="AJ440"/>
      <c r="AK440"/>
      <c r="AL440"/>
      <c r="AM440"/>
      <c r="AN440"/>
    </row>
    <row r="441" spans="1:40" s="56" customFormat="1" x14ac:dyDescent="0.3">
      <c r="A441" s="139"/>
      <c r="B441" s="140"/>
      <c r="D441"/>
      <c r="N441"/>
      <c r="O441" s="57"/>
      <c r="P441" s="57"/>
      <c r="AD441"/>
      <c r="AE441"/>
      <c r="AF441"/>
      <c r="AG441"/>
      <c r="AH441"/>
      <c r="AI441"/>
      <c r="AJ441"/>
      <c r="AK441"/>
      <c r="AL441"/>
      <c r="AM441"/>
      <c r="AN441"/>
    </row>
    <row r="442" spans="1:40" s="56" customFormat="1" x14ac:dyDescent="0.3">
      <c r="A442" s="139"/>
      <c r="B442" s="140"/>
      <c r="D442"/>
      <c r="N442"/>
      <c r="O442" s="57"/>
      <c r="P442" s="57"/>
      <c r="AD442"/>
      <c r="AE442"/>
      <c r="AF442"/>
      <c r="AG442"/>
      <c r="AH442"/>
      <c r="AI442"/>
      <c r="AJ442"/>
      <c r="AK442"/>
      <c r="AL442"/>
      <c r="AM442"/>
      <c r="AN442"/>
    </row>
    <row r="443" spans="1:40" s="56" customFormat="1" x14ac:dyDescent="0.3">
      <c r="A443" s="139"/>
      <c r="B443" s="140"/>
      <c r="D443"/>
      <c r="N443"/>
      <c r="O443" s="57"/>
      <c r="P443" s="57"/>
      <c r="AD443"/>
      <c r="AE443"/>
      <c r="AF443"/>
      <c r="AG443"/>
      <c r="AH443"/>
      <c r="AI443"/>
      <c r="AJ443"/>
      <c r="AK443"/>
      <c r="AL443"/>
      <c r="AM443"/>
      <c r="AN443"/>
    </row>
    <row r="444" spans="1:40" s="56" customFormat="1" x14ac:dyDescent="0.3">
      <c r="A444" s="139"/>
      <c r="B444" s="140"/>
      <c r="D444"/>
      <c r="N444"/>
      <c r="O444" s="57"/>
      <c r="P444" s="57"/>
      <c r="AD444"/>
      <c r="AE444"/>
      <c r="AF444"/>
      <c r="AG444"/>
      <c r="AH444"/>
      <c r="AI444"/>
      <c r="AJ444"/>
      <c r="AK444"/>
      <c r="AL444"/>
      <c r="AM444"/>
      <c r="AN444"/>
    </row>
    <row r="445" spans="1:40" s="56" customFormat="1" x14ac:dyDescent="0.3">
      <c r="A445" s="139"/>
      <c r="B445" s="140"/>
      <c r="D445"/>
      <c r="N445"/>
      <c r="O445" s="57"/>
      <c r="P445" s="57"/>
      <c r="AD445"/>
      <c r="AE445"/>
      <c r="AF445"/>
      <c r="AG445"/>
      <c r="AH445"/>
      <c r="AI445"/>
      <c r="AJ445"/>
      <c r="AK445"/>
      <c r="AL445"/>
      <c r="AM445"/>
      <c r="AN445"/>
    </row>
    <row r="446" spans="1:40" s="56" customFormat="1" x14ac:dyDescent="0.3">
      <c r="A446" s="139"/>
      <c r="B446" s="140"/>
      <c r="D446"/>
      <c r="N446"/>
      <c r="O446" s="57"/>
      <c r="P446" s="57"/>
      <c r="AD446"/>
      <c r="AE446"/>
      <c r="AF446"/>
      <c r="AG446"/>
      <c r="AH446"/>
      <c r="AI446"/>
      <c r="AJ446"/>
      <c r="AK446"/>
      <c r="AL446"/>
      <c r="AM446"/>
      <c r="AN446"/>
    </row>
    <row r="447" spans="1:40" s="56" customFormat="1" x14ac:dyDescent="0.3">
      <c r="A447" s="139"/>
      <c r="B447" s="140"/>
      <c r="D447"/>
      <c r="N447"/>
      <c r="O447" s="57"/>
      <c r="P447" s="57"/>
      <c r="AD447"/>
      <c r="AE447"/>
      <c r="AF447"/>
      <c r="AG447"/>
      <c r="AH447"/>
      <c r="AI447"/>
      <c r="AJ447"/>
      <c r="AK447"/>
      <c r="AL447"/>
      <c r="AM447"/>
      <c r="AN447"/>
    </row>
    <row r="448" spans="1:40" s="56" customFormat="1" x14ac:dyDescent="0.3">
      <c r="A448" s="139"/>
      <c r="B448" s="140"/>
      <c r="D448"/>
      <c r="N448"/>
      <c r="O448" s="57"/>
      <c r="P448" s="57"/>
      <c r="AD448"/>
      <c r="AE448"/>
      <c r="AF448"/>
      <c r="AG448"/>
      <c r="AH448"/>
      <c r="AI448"/>
      <c r="AJ448"/>
      <c r="AK448"/>
      <c r="AL448"/>
      <c r="AM448"/>
      <c r="AN448"/>
    </row>
    <row r="449" spans="1:40" s="56" customFormat="1" x14ac:dyDescent="0.3">
      <c r="A449" s="139"/>
      <c r="B449" s="140"/>
      <c r="D449"/>
      <c r="N449"/>
      <c r="O449" s="57"/>
      <c r="P449" s="57"/>
      <c r="AD449"/>
      <c r="AE449"/>
      <c r="AF449"/>
      <c r="AG449"/>
      <c r="AH449"/>
      <c r="AI449"/>
      <c r="AJ449"/>
      <c r="AK449"/>
      <c r="AL449"/>
      <c r="AM449"/>
      <c r="AN449"/>
    </row>
    <row r="450" spans="1:40" s="56" customFormat="1" x14ac:dyDescent="0.3">
      <c r="A450" s="139"/>
      <c r="B450" s="140"/>
      <c r="D450"/>
      <c r="N450"/>
      <c r="O450" s="57"/>
      <c r="P450" s="57"/>
      <c r="AD450"/>
      <c r="AE450"/>
      <c r="AF450"/>
      <c r="AG450"/>
      <c r="AH450"/>
      <c r="AI450"/>
      <c r="AJ450"/>
      <c r="AK450"/>
      <c r="AL450"/>
      <c r="AM450"/>
      <c r="AN450"/>
    </row>
    <row r="451" spans="1:40" s="56" customFormat="1" x14ac:dyDescent="0.3">
      <c r="A451" s="139"/>
      <c r="B451" s="140"/>
      <c r="D451"/>
      <c r="N451"/>
      <c r="O451" s="57"/>
      <c r="P451" s="57"/>
      <c r="AD451"/>
      <c r="AE451"/>
      <c r="AF451"/>
      <c r="AG451"/>
      <c r="AH451"/>
      <c r="AI451"/>
      <c r="AJ451"/>
      <c r="AK451"/>
      <c r="AL451"/>
      <c r="AM451"/>
      <c r="AN451"/>
    </row>
    <row r="452" spans="1:40" s="56" customFormat="1" x14ac:dyDescent="0.3">
      <c r="A452" s="139"/>
      <c r="B452" s="140"/>
      <c r="D452"/>
      <c r="N452"/>
      <c r="O452" s="57"/>
      <c r="P452" s="57"/>
      <c r="AD452"/>
      <c r="AE452"/>
      <c r="AF452"/>
      <c r="AG452"/>
      <c r="AH452"/>
      <c r="AI452"/>
      <c r="AJ452"/>
      <c r="AK452"/>
      <c r="AL452"/>
      <c r="AM452"/>
      <c r="AN452"/>
    </row>
    <row r="453" spans="1:40" s="56" customFormat="1" x14ac:dyDescent="0.3">
      <c r="A453" s="139"/>
      <c r="B453" s="140"/>
      <c r="D453"/>
      <c r="N453"/>
      <c r="O453" s="57"/>
      <c r="P453" s="57"/>
      <c r="AD453"/>
      <c r="AE453"/>
      <c r="AF453"/>
      <c r="AG453"/>
      <c r="AH453"/>
      <c r="AI453"/>
      <c r="AJ453"/>
      <c r="AK453"/>
      <c r="AL453"/>
      <c r="AM453"/>
      <c r="AN453"/>
    </row>
    <row r="454" spans="1:40" s="56" customFormat="1" x14ac:dyDescent="0.3">
      <c r="A454" s="139"/>
      <c r="B454" s="140"/>
      <c r="D454"/>
      <c r="N454"/>
      <c r="O454" s="57"/>
      <c r="P454" s="57"/>
      <c r="AD454"/>
      <c r="AE454"/>
      <c r="AF454"/>
      <c r="AG454"/>
      <c r="AH454"/>
      <c r="AI454"/>
      <c r="AJ454"/>
      <c r="AK454"/>
      <c r="AL454"/>
      <c r="AM454"/>
      <c r="AN454"/>
    </row>
    <row r="455" spans="1:40" s="56" customFormat="1" x14ac:dyDescent="0.3">
      <c r="A455" s="139"/>
      <c r="B455" s="140"/>
      <c r="D455"/>
      <c r="N455"/>
      <c r="O455" s="57"/>
      <c r="P455" s="57"/>
      <c r="AD455"/>
      <c r="AE455"/>
      <c r="AF455"/>
      <c r="AG455"/>
      <c r="AH455"/>
      <c r="AI455"/>
      <c r="AJ455"/>
      <c r="AK455"/>
      <c r="AL455"/>
      <c r="AM455"/>
      <c r="AN455"/>
    </row>
    <row r="456" spans="1:40" s="56" customFormat="1" x14ac:dyDescent="0.3">
      <c r="A456" s="139"/>
      <c r="B456" s="140"/>
      <c r="D456"/>
      <c r="N456"/>
      <c r="O456" s="57"/>
      <c r="P456" s="57"/>
      <c r="AD456"/>
      <c r="AE456"/>
      <c r="AF456"/>
      <c r="AG456"/>
      <c r="AH456"/>
      <c r="AI456"/>
      <c r="AJ456"/>
      <c r="AK456"/>
      <c r="AL456"/>
      <c r="AM456"/>
      <c r="AN456"/>
    </row>
    <row r="457" spans="1:40" s="56" customFormat="1" x14ac:dyDescent="0.3">
      <c r="A457" s="139"/>
      <c r="B457" s="140"/>
      <c r="D457"/>
      <c r="N457"/>
      <c r="O457" s="57"/>
      <c r="P457" s="57"/>
      <c r="AD457"/>
      <c r="AE457"/>
      <c r="AF457"/>
      <c r="AG457"/>
      <c r="AH457"/>
      <c r="AI457"/>
      <c r="AJ457"/>
      <c r="AK457"/>
      <c r="AL457"/>
      <c r="AM457"/>
      <c r="AN457"/>
    </row>
    <row r="458" spans="1:40" s="56" customFormat="1" x14ac:dyDescent="0.3">
      <c r="A458" s="139"/>
      <c r="B458" s="140"/>
      <c r="D458"/>
      <c r="N458"/>
      <c r="O458" s="57"/>
      <c r="P458" s="57"/>
      <c r="AD458"/>
      <c r="AE458"/>
      <c r="AF458"/>
      <c r="AG458"/>
      <c r="AH458"/>
      <c r="AI458"/>
      <c r="AJ458"/>
      <c r="AK458"/>
      <c r="AL458"/>
      <c r="AM458"/>
      <c r="AN458"/>
    </row>
    <row r="459" spans="1:40" s="56" customFormat="1" x14ac:dyDescent="0.3">
      <c r="A459" s="139"/>
      <c r="B459" s="140"/>
      <c r="D459"/>
      <c r="N459"/>
      <c r="O459" s="57"/>
      <c r="P459" s="57"/>
      <c r="AD459"/>
      <c r="AE459"/>
      <c r="AF459"/>
      <c r="AG459"/>
      <c r="AH459"/>
      <c r="AI459"/>
      <c r="AJ459"/>
      <c r="AK459"/>
      <c r="AL459"/>
      <c r="AM459"/>
      <c r="AN459"/>
    </row>
    <row r="460" spans="1:40" s="56" customFormat="1" x14ac:dyDescent="0.3">
      <c r="A460" s="139"/>
      <c r="B460" s="140"/>
      <c r="D460"/>
      <c r="N460"/>
      <c r="O460" s="57"/>
      <c r="P460" s="57"/>
      <c r="AD460"/>
      <c r="AE460"/>
      <c r="AF460"/>
      <c r="AG460"/>
      <c r="AH460"/>
      <c r="AI460"/>
      <c r="AJ460"/>
      <c r="AK460"/>
      <c r="AL460"/>
      <c r="AM460"/>
      <c r="AN460"/>
    </row>
    <row r="461" spans="1:40" s="56" customFormat="1" x14ac:dyDescent="0.3">
      <c r="A461" s="139"/>
      <c r="B461" s="140"/>
      <c r="D461"/>
      <c r="N461"/>
      <c r="O461" s="57"/>
      <c r="P461" s="57"/>
      <c r="AD461"/>
      <c r="AE461"/>
      <c r="AF461"/>
      <c r="AG461"/>
      <c r="AH461"/>
      <c r="AI461"/>
      <c r="AJ461"/>
      <c r="AK461"/>
      <c r="AL461"/>
      <c r="AM461"/>
      <c r="AN461"/>
    </row>
    <row r="462" spans="1:40" s="56" customFormat="1" x14ac:dyDescent="0.3">
      <c r="A462" s="139"/>
      <c r="B462" s="140"/>
      <c r="D462"/>
      <c r="N462"/>
      <c r="O462" s="57"/>
      <c r="P462" s="57"/>
      <c r="AD462"/>
      <c r="AE462"/>
      <c r="AF462"/>
      <c r="AG462"/>
      <c r="AH462"/>
      <c r="AI462"/>
      <c r="AJ462"/>
      <c r="AK462"/>
      <c r="AL462"/>
      <c r="AM462"/>
      <c r="AN462"/>
    </row>
  </sheetData>
  <autoFilter ref="A12:AN335" xr:uid="{1DA6CA8A-4A12-456D-8522-43108B0C15C6}"/>
  <mergeCells count="32">
    <mergeCell ref="L336:M336"/>
    <mergeCell ref="T11:U11"/>
    <mergeCell ref="V11:W11"/>
    <mergeCell ref="X11:Y11"/>
    <mergeCell ref="Z11:AA11"/>
    <mergeCell ref="L335:M335"/>
    <mergeCell ref="L11:L12"/>
    <mergeCell ref="M11:M12"/>
    <mergeCell ref="N11:N12"/>
    <mergeCell ref="O11:O12"/>
    <mergeCell ref="C10:AC10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AB11:AC11"/>
    <mergeCell ref="P11:P12"/>
    <mergeCell ref="Q11:S11"/>
    <mergeCell ref="C2:X3"/>
    <mergeCell ref="AA2:AC2"/>
    <mergeCell ref="AA3:AC3"/>
    <mergeCell ref="E5:F5"/>
    <mergeCell ref="G5:X8"/>
    <mergeCell ref="Y5:AB5"/>
    <mergeCell ref="E6:E7"/>
    <mergeCell ref="F6:F7"/>
    <mergeCell ref="Y8:AB8"/>
  </mergeCells>
  <pageMargins left="0.23622047244094491" right="0.23622047244094491" top="0.35433070866141736" bottom="0.35433070866141736" header="0.31496062992125984" footer="0.31496062992125984"/>
  <pageSetup paperSize="8" scale="5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E080-A566-4974-AC14-13F5C8CA816D}">
  <sheetPr>
    <tabColor theme="0"/>
    <pageSetUpPr fitToPage="1"/>
  </sheetPr>
  <dimension ref="A1:AN99"/>
  <sheetViews>
    <sheetView showGridLines="0" view="pageBreakPreview" zoomScale="70" zoomScaleNormal="60" zoomScaleSheetLayoutView="70" workbookViewId="0">
      <pane ySplit="12" topLeftCell="A57" activePane="bottomLeft" state="frozen"/>
      <selection activeCell="Q13" sqref="Q13:Q328"/>
      <selection pane="bottomLeft" activeCell="Q13" sqref="Q13:Q328"/>
    </sheetView>
  </sheetViews>
  <sheetFormatPr defaultRowHeight="15" x14ac:dyDescent="0.25"/>
  <cols>
    <col min="1" max="1" width="10.5703125" style="139" bestFit="1" customWidth="1"/>
    <col min="2" max="2" width="6.140625" style="139" customWidth="1"/>
    <col min="3" max="3" width="5" bestFit="1" customWidth="1"/>
    <col min="4" max="4" width="70.5703125" customWidth="1"/>
    <col min="5" max="5" width="21.7109375" customWidth="1"/>
    <col min="6" max="6" width="13.140625" customWidth="1"/>
    <col min="7" max="7" width="21.28515625" bestFit="1" customWidth="1"/>
    <col min="8" max="8" width="18" customWidth="1"/>
    <col min="9" max="9" width="26" bestFit="1" customWidth="1"/>
    <col min="10" max="10" width="6.85546875" customWidth="1"/>
    <col min="11" max="11" width="20.5703125" customWidth="1"/>
    <col min="12" max="12" width="15.7109375" customWidth="1"/>
    <col min="13" max="13" width="15" customWidth="1"/>
    <col min="14" max="15" width="10.42578125" customWidth="1"/>
    <col min="16" max="16" width="10.28515625" style="53" customWidth="1"/>
    <col min="17" max="17" width="14.28515625" customWidth="1"/>
    <col min="18" max="19" width="7.42578125" customWidth="1"/>
    <col min="20" max="29" width="8.7109375" customWidth="1"/>
    <col min="30" max="30" width="3.42578125" customWidth="1"/>
  </cols>
  <sheetData>
    <row r="1" spans="1:40" ht="7.5" customHeight="1" thickBot="1" x14ac:dyDescent="0.3"/>
    <row r="2" spans="1:40" ht="26.25" customHeight="1" thickBot="1" x14ac:dyDescent="0.3">
      <c r="C2" s="262" t="s">
        <v>20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1"/>
      <c r="Y2" s="2" t="s">
        <v>12</v>
      </c>
      <c r="Z2" s="8"/>
      <c r="AA2" s="268" t="e">
        <f>#REF!</f>
        <v>#REF!</v>
      </c>
      <c r="AB2" s="268"/>
      <c r="AC2" s="269"/>
    </row>
    <row r="3" spans="1:40" ht="26.25" customHeight="1" thickBot="1" x14ac:dyDescent="0.3">
      <c r="C3" s="302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7" t="s">
        <v>13</v>
      </c>
      <c r="Z3" s="6"/>
      <c r="AA3" s="268" t="e">
        <f>#REF!</f>
        <v>#REF!</v>
      </c>
      <c r="AB3" s="268"/>
      <c r="AC3" s="269"/>
      <c r="AE3" t="s">
        <v>113</v>
      </c>
    </row>
    <row r="4" spans="1:40" ht="6" customHeight="1" thickBot="1" x14ac:dyDescent="0.3"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5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40" ht="18" customHeight="1" thickBot="1" x14ac:dyDescent="0.3">
      <c r="C5" s="17" t="s">
        <v>117</v>
      </c>
      <c r="D5" s="18"/>
      <c r="E5" s="270" t="s">
        <v>31</v>
      </c>
      <c r="F5" s="271"/>
      <c r="G5" s="272" t="s">
        <v>188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40" ht="18" customHeight="1" thickBot="1" x14ac:dyDescent="0.3">
      <c r="C6" s="17" t="s">
        <v>115</v>
      </c>
      <c r="D6" s="18"/>
      <c r="E6" s="275" t="e">
        <f>#REF!</f>
        <v>#REF!</v>
      </c>
      <c r="F6" s="277">
        <f>P63</f>
        <v>7.1704510499999978</v>
      </c>
      <c r="G6" s="272"/>
      <c r="H6" s="273"/>
      <c r="I6" s="273"/>
      <c r="J6" s="273"/>
      <c r="K6" s="273"/>
      <c r="L6" s="273"/>
      <c r="M6" s="273" t="s">
        <v>23</v>
      </c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AA6" s="19"/>
      <c r="AB6" s="19"/>
      <c r="AC6" s="4"/>
    </row>
    <row r="7" spans="1:40" ht="18" customHeight="1" thickBot="1" x14ac:dyDescent="0.3">
      <c r="C7" s="20" t="s">
        <v>73</v>
      </c>
      <c r="D7" s="21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AA7" s="13"/>
      <c r="AB7" s="13"/>
      <c r="AC7" s="4"/>
    </row>
    <row r="8" spans="1:40" ht="18" customHeight="1" thickBot="1" x14ac:dyDescent="0.35">
      <c r="C8" s="17" t="e">
        <f>#REF!</f>
        <v>#REF!</v>
      </c>
      <c r="D8" s="18"/>
      <c r="E8" s="154" t="s">
        <v>19</v>
      </c>
      <c r="F8" s="153">
        <f>SUM(F6:F6)</f>
        <v>7.1704510499999978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40" ht="18" customHeight="1" thickBot="1" x14ac:dyDescent="0.3">
      <c r="C9" s="20"/>
      <c r="D9" s="22"/>
      <c r="E9" s="102"/>
      <c r="F9" s="103"/>
      <c r="AC9" s="4"/>
    </row>
    <row r="10" spans="1:40" ht="23.25" customHeight="1" thickBot="1" x14ac:dyDescent="0.3">
      <c r="C10" s="280" t="s">
        <v>21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2"/>
    </row>
    <row r="11" spans="1:40" ht="15" customHeight="1" x14ac:dyDescent="0.25">
      <c r="C11" s="283" t="s">
        <v>5</v>
      </c>
      <c r="D11" s="285" t="s">
        <v>6</v>
      </c>
      <c r="E11" s="287" t="s">
        <v>44</v>
      </c>
      <c r="F11" s="287" t="s">
        <v>26</v>
      </c>
      <c r="G11" s="288" t="s">
        <v>15</v>
      </c>
      <c r="H11" s="288" t="s">
        <v>24</v>
      </c>
      <c r="I11" s="287" t="s">
        <v>7</v>
      </c>
      <c r="J11" s="285" t="s">
        <v>8</v>
      </c>
      <c r="K11" s="289" t="s">
        <v>169</v>
      </c>
      <c r="L11" s="285" t="s">
        <v>28</v>
      </c>
      <c r="M11" s="285" t="s">
        <v>14</v>
      </c>
      <c r="N11" s="295" t="s">
        <v>166</v>
      </c>
      <c r="O11" s="295" t="s">
        <v>167</v>
      </c>
      <c r="P11" s="292" t="s">
        <v>18</v>
      </c>
      <c r="Q11" s="293" t="s">
        <v>19</v>
      </c>
      <c r="R11" s="293"/>
      <c r="S11" s="293"/>
      <c r="T11" s="290" t="s">
        <v>4</v>
      </c>
      <c r="U11" s="290"/>
      <c r="V11" s="290" t="s">
        <v>0</v>
      </c>
      <c r="W11" s="290"/>
      <c r="X11" s="290" t="s">
        <v>1</v>
      </c>
      <c r="Y11" s="290"/>
      <c r="Z11" s="290" t="s">
        <v>2</v>
      </c>
      <c r="AA11" s="290"/>
      <c r="AB11" s="290" t="s">
        <v>3</v>
      </c>
      <c r="AC11" s="291"/>
    </row>
    <row r="12" spans="1:40" x14ac:dyDescent="0.25">
      <c r="C12" s="298"/>
      <c r="D12" s="297"/>
      <c r="E12" s="285"/>
      <c r="F12" s="285"/>
      <c r="G12" s="296"/>
      <c r="H12" s="296"/>
      <c r="I12" s="285"/>
      <c r="J12" s="297"/>
      <c r="K12" s="285"/>
      <c r="L12" s="297"/>
      <c r="M12" s="297"/>
      <c r="N12" s="296"/>
      <c r="O12" s="296"/>
      <c r="P12" s="299"/>
      <c r="Q12" s="205" t="s">
        <v>29</v>
      </c>
      <c r="R12" s="205" t="s">
        <v>30</v>
      </c>
      <c r="S12" s="205" t="s">
        <v>9</v>
      </c>
      <c r="T12" s="205" t="s">
        <v>10</v>
      </c>
      <c r="U12" s="205" t="s">
        <v>11</v>
      </c>
      <c r="V12" s="205" t="s">
        <v>10</v>
      </c>
      <c r="W12" s="205" t="s">
        <v>11</v>
      </c>
      <c r="X12" s="205" t="s">
        <v>10</v>
      </c>
      <c r="Y12" s="205" t="s">
        <v>11</v>
      </c>
      <c r="Z12" s="205" t="s">
        <v>10</v>
      </c>
      <c r="AA12" s="205" t="s">
        <v>11</v>
      </c>
      <c r="AB12" s="205" t="s">
        <v>10</v>
      </c>
      <c r="AC12" s="206" t="s">
        <v>11</v>
      </c>
    </row>
    <row r="13" spans="1:40" ht="36.75" customHeight="1" x14ac:dyDescent="0.25">
      <c r="A13" s="139" t="s">
        <v>116</v>
      </c>
      <c r="B13" s="105" t="s">
        <v>122</v>
      </c>
      <c r="C13" s="63">
        <v>1</v>
      </c>
      <c r="D13" s="197" t="s">
        <v>191</v>
      </c>
      <c r="E13" s="197" t="s">
        <v>1254</v>
      </c>
      <c r="F13" s="190" t="s">
        <v>123</v>
      </c>
      <c r="G13" s="197" t="s">
        <v>74</v>
      </c>
      <c r="H13" s="197">
        <v>50592</v>
      </c>
      <c r="I13" s="207" t="s">
        <v>1224</v>
      </c>
      <c r="J13" s="197">
        <v>0</v>
      </c>
      <c r="K13" s="197" t="s">
        <v>1231</v>
      </c>
      <c r="L13" s="197">
        <v>7</v>
      </c>
      <c r="M13" s="192">
        <v>46092</v>
      </c>
      <c r="N13" s="214">
        <v>1</v>
      </c>
      <c r="O13" s="214">
        <v>0.35</v>
      </c>
      <c r="P13" s="212"/>
      <c r="Q13" s="196" t="s">
        <v>38</v>
      </c>
      <c r="R13" s="197">
        <v>1</v>
      </c>
      <c r="S13" s="215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170"/>
      <c r="AD13" s="11" t="str">
        <f t="shared" ref="AD13:AD27" si="0">RIGHT(L13,2)</f>
        <v>7</v>
      </c>
      <c r="AF13" t="str">
        <f>CONCATENATE("80.01.ZZ.0",L13)</f>
        <v>80.01.ZZ.07</v>
      </c>
      <c r="AH13" t="str">
        <f t="shared" ref="AH13:AH27" si="1">CONCATENATE("00 de 0",R13)</f>
        <v>00 de 01</v>
      </c>
      <c r="AJ13" s="86"/>
      <c r="AK13" s="85"/>
      <c r="AM13" s="161" t="s">
        <v>105</v>
      </c>
      <c r="AN13" s="52">
        <v>20</v>
      </c>
    </row>
    <row r="14" spans="1:40" ht="36.75" customHeight="1" x14ac:dyDescent="0.25">
      <c r="A14" s="139" t="s">
        <v>116</v>
      </c>
      <c r="B14" s="105" t="s">
        <v>122</v>
      </c>
      <c r="C14" s="63">
        <v>2</v>
      </c>
      <c r="D14" s="197" t="s">
        <v>191</v>
      </c>
      <c r="E14" s="197" t="s">
        <v>1275</v>
      </c>
      <c r="F14" s="190" t="s">
        <v>123</v>
      </c>
      <c r="G14" s="197" t="s">
        <v>74</v>
      </c>
      <c r="H14" s="197">
        <v>50592</v>
      </c>
      <c r="I14" s="207" t="s">
        <v>1224</v>
      </c>
      <c r="J14" s="197">
        <v>0</v>
      </c>
      <c r="K14" s="197" t="s">
        <v>1301</v>
      </c>
      <c r="L14" s="197">
        <v>7</v>
      </c>
      <c r="M14" s="192">
        <v>46092</v>
      </c>
      <c r="N14" s="214">
        <v>1</v>
      </c>
      <c r="O14" s="214">
        <v>1</v>
      </c>
      <c r="P14" s="212"/>
      <c r="Q14" s="196" t="s">
        <v>38</v>
      </c>
      <c r="R14" s="197">
        <v>1</v>
      </c>
      <c r="S14" s="215" t="s">
        <v>33</v>
      </c>
      <c r="T14" s="199"/>
      <c r="U14" s="200"/>
      <c r="V14" s="200"/>
      <c r="W14" s="200"/>
      <c r="X14" s="200"/>
      <c r="Y14" s="200"/>
      <c r="Z14" s="200"/>
      <c r="AA14" s="200"/>
      <c r="AB14" s="200"/>
      <c r="AC14" s="170"/>
      <c r="AD14" s="11" t="str">
        <f t="shared" si="0"/>
        <v>7</v>
      </c>
      <c r="AF14" t="str">
        <f t="shared" ref="AF14:AF27" si="2">CONCATENATE("80.01.ZZ.0",L14)</f>
        <v>80.01.ZZ.07</v>
      </c>
      <c r="AH14" t="str">
        <f t="shared" si="1"/>
        <v>00 de 01</v>
      </c>
      <c r="AJ14" s="86"/>
      <c r="AK14" s="85"/>
      <c r="AM14" s="161" t="s">
        <v>106</v>
      </c>
      <c r="AN14" s="52">
        <v>21</v>
      </c>
    </row>
    <row r="15" spans="1:40" ht="36.75" customHeight="1" x14ac:dyDescent="0.25">
      <c r="A15" s="139" t="s">
        <v>116</v>
      </c>
      <c r="B15" s="105" t="s">
        <v>122</v>
      </c>
      <c r="C15" s="63">
        <v>3</v>
      </c>
      <c r="D15" s="197" t="s">
        <v>191</v>
      </c>
      <c r="E15" s="197" t="s">
        <v>1276</v>
      </c>
      <c r="F15" s="190" t="s">
        <v>123</v>
      </c>
      <c r="G15" s="197" t="s">
        <v>74</v>
      </c>
      <c r="H15" s="197">
        <v>50592</v>
      </c>
      <c r="I15" s="207" t="s">
        <v>1224</v>
      </c>
      <c r="J15" s="197">
        <v>0</v>
      </c>
      <c r="K15" s="197" t="s">
        <v>1302</v>
      </c>
      <c r="L15" s="197">
        <v>7</v>
      </c>
      <c r="M15" s="192">
        <v>46092</v>
      </c>
      <c r="N15" s="214">
        <v>1</v>
      </c>
      <c r="O15" s="214">
        <v>1</v>
      </c>
      <c r="P15" s="212"/>
      <c r="Q15" s="196" t="s">
        <v>38</v>
      </c>
      <c r="R15" s="197">
        <v>1</v>
      </c>
      <c r="S15" s="215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170"/>
      <c r="AD15" s="11" t="str">
        <f t="shared" si="0"/>
        <v>7</v>
      </c>
      <c r="AF15" t="str">
        <f t="shared" si="2"/>
        <v>80.01.ZZ.07</v>
      </c>
      <c r="AH15" t="str">
        <f t="shared" si="1"/>
        <v>00 de 01</v>
      </c>
      <c r="AJ15" s="86"/>
      <c r="AK15" s="85"/>
      <c r="AM15" s="161" t="s">
        <v>106</v>
      </c>
      <c r="AN15" s="52">
        <v>21</v>
      </c>
    </row>
    <row r="16" spans="1:40" ht="36.75" customHeight="1" x14ac:dyDescent="0.25">
      <c r="A16" s="139" t="s">
        <v>116</v>
      </c>
      <c r="B16" s="105" t="s">
        <v>122</v>
      </c>
      <c r="C16" s="63">
        <v>4</v>
      </c>
      <c r="D16" s="197" t="s">
        <v>133</v>
      </c>
      <c r="E16" s="197" t="s">
        <v>1277</v>
      </c>
      <c r="F16" s="190" t="s">
        <v>123</v>
      </c>
      <c r="G16" s="197" t="s">
        <v>135</v>
      </c>
      <c r="H16" s="197">
        <v>61792</v>
      </c>
      <c r="I16" s="207" t="s">
        <v>1225</v>
      </c>
      <c r="J16" s="197">
        <v>0</v>
      </c>
      <c r="K16" s="197" t="s">
        <v>1232</v>
      </c>
      <c r="L16" s="197">
        <v>10</v>
      </c>
      <c r="M16" s="192">
        <v>46092</v>
      </c>
      <c r="N16" s="214">
        <v>0.4</v>
      </c>
      <c r="O16" s="214">
        <v>0.4</v>
      </c>
      <c r="P16" s="212"/>
      <c r="Q16" s="196" t="s">
        <v>38</v>
      </c>
      <c r="R16" s="197">
        <v>1</v>
      </c>
      <c r="S16" s="215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170"/>
      <c r="AD16" s="11" t="str">
        <f t="shared" si="0"/>
        <v>10</v>
      </c>
      <c r="AF16" t="str">
        <f t="shared" si="2"/>
        <v>80.01.ZZ.010</v>
      </c>
      <c r="AH16" t="str">
        <f t="shared" si="1"/>
        <v>00 de 01</v>
      </c>
      <c r="AJ16" s="86"/>
      <c r="AK16" s="85"/>
      <c r="AM16" s="161" t="s">
        <v>106</v>
      </c>
      <c r="AN16" s="52">
        <v>21</v>
      </c>
    </row>
    <row r="17" spans="1:40" ht="36.75" customHeight="1" x14ac:dyDescent="0.25">
      <c r="A17" s="139" t="s">
        <v>116</v>
      </c>
      <c r="B17" s="105" t="s">
        <v>122</v>
      </c>
      <c r="C17" s="63">
        <v>5</v>
      </c>
      <c r="D17" s="197" t="s">
        <v>133</v>
      </c>
      <c r="E17" s="197" t="s">
        <v>1255</v>
      </c>
      <c r="F17" s="190" t="s">
        <v>123</v>
      </c>
      <c r="G17" s="197" t="s">
        <v>135</v>
      </c>
      <c r="H17" s="197">
        <v>61792</v>
      </c>
      <c r="I17" s="207" t="s">
        <v>1225</v>
      </c>
      <c r="J17" s="197">
        <v>0</v>
      </c>
      <c r="K17" s="197" t="s">
        <v>1232</v>
      </c>
      <c r="L17" s="197">
        <v>10</v>
      </c>
      <c r="M17" s="192">
        <v>46092</v>
      </c>
      <c r="N17" s="214">
        <v>1</v>
      </c>
      <c r="O17" s="214">
        <v>1</v>
      </c>
      <c r="P17" s="212"/>
      <c r="Q17" s="196" t="s">
        <v>38</v>
      </c>
      <c r="R17" s="197">
        <v>1</v>
      </c>
      <c r="S17" s="215" t="s">
        <v>33</v>
      </c>
      <c r="T17" s="199"/>
      <c r="U17" s="200"/>
      <c r="V17" s="200"/>
      <c r="W17" s="200"/>
      <c r="X17" s="200"/>
      <c r="Y17" s="200"/>
      <c r="Z17" s="200"/>
      <c r="AA17" s="200"/>
      <c r="AB17" s="200"/>
      <c r="AC17" s="170"/>
      <c r="AD17" s="11" t="str">
        <f t="shared" si="0"/>
        <v>10</v>
      </c>
      <c r="AF17" t="str">
        <f t="shared" si="2"/>
        <v>80.01.ZZ.010</v>
      </c>
      <c r="AH17" t="str">
        <f t="shared" si="1"/>
        <v>00 de 01</v>
      </c>
      <c r="AJ17" s="86"/>
      <c r="AK17" s="85"/>
      <c r="AM17" s="161" t="s">
        <v>106</v>
      </c>
      <c r="AN17" s="52">
        <v>21</v>
      </c>
    </row>
    <row r="18" spans="1:40" ht="36.75" customHeight="1" x14ac:dyDescent="0.25">
      <c r="A18" s="139" t="s">
        <v>116</v>
      </c>
      <c r="B18" s="105" t="s">
        <v>122</v>
      </c>
      <c r="C18" s="63">
        <v>6</v>
      </c>
      <c r="D18" s="197" t="s">
        <v>133</v>
      </c>
      <c r="E18" s="197" t="s">
        <v>1278</v>
      </c>
      <c r="F18" s="190" t="s">
        <v>123</v>
      </c>
      <c r="G18" s="197" t="s">
        <v>135</v>
      </c>
      <c r="H18" s="197">
        <v>61792</v>
      </c>
      <c r="I18" s="207" t="s">
        <v>1225</v>
      </c>
      <c r="J18" s="197">
        <v>0</v>
      </c>
      <c r="K18" s="197" t="s">
        <v>1233</v>
      </c>
      <c r="L18" s="197">
        <v>10</v>
      </c>
      <c r="M18" s="192">
        <v>46092</v>
      </c>
      <c r="N18" s="214">
        <v>1</v>
      </c>
      <c r="O18" s="214">
        <v>1</v>
      </c>
      <c r="P18" s="212"/>
      <c r="Q18" s="196" t="s">
        <v>38</v>
      </c>
      <c r="R18" s="197">
        <v>1</v>
      </c>
      <c r="S18" s="215" t="s">
        <v>33</v>
      </c>
      <c r="T18" s="199"/>
      <c r="U18" s="200"/>
      <c r="V18" s="200"/>
      <c r="W18" s="200"/>
      <c r="X18" s="200"/>
      <c r="Y18" s="200"/>
      <c r="Z18" s="200"/>
      <c r="AA18" s="200"/>
      <c r="AB18" s="200"/>
      <c r="AC18" s="170"/>
      <c r="AD18" s="11" t="str">
        <f t="shared" si="0"/>
        <v>10</v>
      </c>
      <c r="AF18" t="str">
        <f t="shared" si="2"/>
        <v>80.01.ZZ.010</v>
      </c>
      <c r="AH18" t="str">
        <f t="shared" si="1"/>
        <v>00 de 01</v>
      </c>
      <c r="AJ18" s="86"/>
      <c r="AK18" s="85"/>
      <c r="AM18" s="161" t="s">
        <v>106</v>
      </c>
      <c r="AN18" s="52">
        <v>21</v>
      </c>
    </row>
    <row r="19" spans="1:40" ht="36.75" customHeight="1" x14ac:dyDescent="0.25">
      <c r="A19" s="139" t="s">
        <v>116</v>
      </c>
      <c r="B19" s="105" t="s">
        <v>122</v>
      </c>
      <c r="C19" s="63">
        <v>7</v>
      </c>
      <c r="D19" s="197" t="s">
        <v>133</v>
      </c>
      <c r="E19" s="197" t="s">
        <v>1279</v>
      </c>
      <c r="F19" s="190" t="s">
        <v>123</v>
      </c>
      <c r="G19" s="197" t="s">
        <v>135</v>
      </c>
      <c r="H19" s="197">
        <v>61792</v>
      </c>
      <c r="I19" s="207" t="s">
        <v>1225</v>
      </c>
      <c r="J19" s="197">
        <v>0</v>
      </c>
      <c r="K19" s="197" t="s">
        <v>1234</v>
      </c>
      <c r="L19" s="197">
        <v>10</v>
      </c>
      <c r="M19" s="192">
        <v>46092</v>
      </c>
      <c r="N19" s="214">
        <v>9.9999999999999978E-2</v>
      </c>
      <c r="O19" s="214">
        <v>0.1</v>
      </c>
      <c r="P19" s="212"/>
      <c r="Q19" s="196" t="s">
        <v>38</v>
      </c>
      <c r="R19" s="197">
        <v>1</v>
      </c>
      <c r="S19" s="215" t="s">
        <v>33</v>
      </c>
      <c r="T19" s="199"/>
      <c r="U19" s="200"/>
      <c r="V19" s="200"/>
      <c r="W19" s="200"/>
      <c r="X19" s="200"/>
      <c r="Y19" s="200"/>
      <c r="Z19" s="200"/>
      <c r="AA19" s="200"/>
      <c r="AB19" s="200"/>
      <c r="AC19" s="170"/>
      <c r="AD19" s="11" t="str">
        <f t="shared" si="0"/>
        <v>10</v>
      </c>
      <c r="AF19" t="str">
        <f t="shared" si="2"/>
        <v>80.01.ZZ.010</v>
      </c>
      <c r="AH19" t="str">
        <f t="shared" si="1"/>
        <v>00 de 01</v>
      </c>
      <c r="AJ19" s="86"/>
      <c r="AK19" s="85"/>
      <c r="AM19" s="161" t="s">
        <v>106</v>
      </c>
      <c r="AN19" s="52">
        <v>21</v>
      </c>
    </row>
    <row r="20" spans="1:40" ht="36.75" customHeight="1" x14ac:dyDescent="0.25">
      <c r="A20" s="139" t="s">
        <v>116</v>
      </c>
      <c r="B20" s="105" t="s">
        <v>122</v>
      </c>
      <c r="C20" s="63">
        <v>8</v>
      </c>
      <c r="D20" s="197" t="s">
        <v>133</v>
      </c>
      <c r="E20" s="197" t="s">
        <v>1280</v>
      </c>
      <c r="F20" s="190" t="s">
        <v>123</v>
      </c>
      <c r="G20" s="197" t="s">
        <v>135</v>
      </c>
      <c r="H20" s="197">
        <v>61792</v>
      </c>
      <c r="I20" s="207" t="s">
        <v>1225</v>
      </c>
      <c r="J20" s="197">
        <v>0</v>
      </c>
      <c r="K20" s="197" t="s">
        <v>1235</v>
      </c>
      <c r="L20" s="197">
        <v>10</v>
      </c>
      <c r="M20" s="192">
        <v>46092</v>
      </c>
      <c r="N20" s="214">
        <v>1</v>
      </c>
      <c r="O20" s="214">
        <v>1</v>
      </c>
      <c r="P20" s="212"/>
      <c r="Q20" s="196" t="s">
        <v>38</v>
      </c>
      <c r="R20" s="197">
        <v>1</v>
      </c>
      <c r="S20" s="215" t="s">
        <v>33</v>
      </c>
      <c r="T20" s="199"/>
      <c r="U20" s="200"/>
      <c r="V20" s="200"/>
      <c r="W20" s="200"/>
      <c r="X20" s="200"/>
      <c r="Y20" s="200"/>
      <c r="Z20" s="200"/>
      <c r="AA20" s="200"/>
      <c r="AB20" s="200"/>
      <c r="AC20" s="170"/>
      <c r="AD20" s="11" t="str">
        <f t="shared" si="0"/>
        <v>10</v>
      </c>
      <c r="AF20" t="str">
        <f t="shared" si="2"/>
        <v>80.01.ZZ.010</v>
      </c>
      <c r="AH20" t="str">
        <f t="shared" si="1"/>
        <v>00 de 01</v>
      </c>
      <c r="AJ20" s="86"/>
      <c r="AK20" s="85"/>
      <c r="AM20" s="161" t="s">
        <v>106</v>
      </c>
      <c r="AN20" s="52">
        <v>21</v>
      </c>
    </row>
    <row r="21" spans="1:40" ht="36.75" customHeight="1" x14ac:dyDescent="0.25">
      <c r="A21" s="139" t="s">
        <v>116</v>
      </c>
      <c r="B21" s="105" t="s">
        <v>122</v>
      </c>
      <c r="C21" s="63">
        <v>9</v>
      </c>
      <c r="D21" s="197" t="s">
        <v>133</v>
      </c>
      <c r="E21" s="197" t="s">
        <v>1281</v>
      </c>
      <c r="F21" s="190" t="s">
        <v>123</v>
      </c>
      <c r="G21" s="197" t="s">
        <v>135</v>
      </c>
      <c r="H21" s="197">
        <v>61792</v>
      </c>
      <c r="I21" s="207" t="s">
        <v>1225</v>
      </c>
      <c r="J21" s="197">
        <v>0</v>
      </c>
      <c r="K21" s="197" t="s">
        <v>1236</v>
      </c>
      <c r="L21" s="197">
        <v>10</v>
      </c>
      <c r="M21" s="192">
        <v>46092</v>
      </c>
      <c r="N21" s="214">
        <v>0.6</v>
      </c>
      <c r="O21" s="214">
        <v>0.6</v>
      </c>
      <c r="P21" s="212"/>
      <c r="Q21" s="196" t="s">
        <v>38</v>
      </c>
      <c r="R21" s="197">
        <v>1</v>
      </c>
      <c r="S21" s="215" t="s">
        <v>33</v>
      </c>
      <c r="T21" s="199"/>
      <c r="U21" s="200"/>
      <c r="V21" s="200"/>
      <c r="W21" s="200"/>
      <c r="X21" s="200"/>
      <c r="Y21" s="200"/>
      <c r="Z21" s="200"/>
      <c r="AA21" s="200"/>
      <c r="AB21" s="200"/>
      <c r="AC21" s="170"/>
      <c r="AD21" s="11" t="str">
        <f t="shared" si="0"/>
        <v>10</v>
      </c>
      <c r="AF21" t="str">
        <f t="shared" si="2"/>
        <v>80.01.ZZ.010</v>
      </c>
      <c r="AH21" t="str">
        <f t="shared" si="1"/>
        <v>00 de 01</v>
      </c>
      <c r="AJ21" s="86"/>
      <c r="AK21" s="85"/>
      <c r="AM21" s="161" t="s">
        <v>106</v>
      </c>
      <c r="AN21" s="52">
        <v>21</v>
      </c>
    </row>
    <row r="22" spans="1:40" ht="36.75" customHeight="1" x14ac:dyDescent="0.25">
      <c r="A22" s="139" t="s">
        <v>116</v>
      </c>
      <c r="B22" s="105" t="s">
        <v>122</v>
      </c>
      <c r="C22" s="63">
        <v>10</v>
      </c>
      <c r="D22" s="197" t="s">
        <v>133</v>
      </c>
      <c r="E22" s="197" t="s">
        <v>1282</v>
      </c>
      <c r="F22" s="190" t="s">
        <v>123</v>
      </c>
      <c r="G22" s="197" t="s">
        <v>135</v>
      </c>
      <c r="H22" s="197">
        <v>61792</v>
      </c>
      <c r="I22" s="207" t="s">
        <v>1225</v>
      </c>
      <c r="J22" s="197">
        <v>0</v>
      </c>
      <c r="K22" s="197" t="s">
        <v>1237</v>
      </c>
      <c r="L22" s="197">
        <v>10</v>
      </c>
      <c r="M22" s="192">
        <v>46092</v>
      </c>
      <c r="N22" s="214">
        <v>0.6</v>
      </c>
      <c r="O22" s="214">
        <v>0.6</v>
      </c>
      <c r="P22" s="212"/>
      <c r="Q22" s="196" t="s">
        <v>38</v>
      </c>
      <c r="R22" s="197">
        <v>1</v>
      </c>
      <c r="S22" s="215" t="s">
        <v>33</v>
      </c>
      <c r="T22" s="199"/>
      <c r="U22" s="200"/>
      <c r="V22" s="200"/>
      <c r="W22" s="200"/>
      <c r="X22" s="200"/>
      <c r="Y22" s="200"/>
      <c r="Z22" s="200"/>
      <c r="AA22" s="200"/>
      <c r="AB22" s="200"/>
      <c r="AC22" s="170"/>
      <c r="AD22" s="11" t="str">
        <f t="shared" si="0"/>
        <v>10</v>
      </c>
      <c r="AF22" t="str">
        <f t="shared" si="2"/>
        <v>80.01.ZZ.010</v>
      </c>
      <c r="AH22" t="str">
        <f t="shared" si="1"/>
        <v>00 de 01</v>
      </c>
      <c r="AJ22" s="86"/>
      <c r="AK22" s="85"/>
      <c r="AM22" s="161" t="s">
        <v>106</v>
      </c>
      <c r="AN22" s="52">
        <v>21</v>
      </c>
    </row>
    <row r="23" spans="1:40" ht="36.75" customHeight="1" x14ac:dyDescent="0.25">
      <c r="A23" s="139" t="s">
        <v>116</v>
      </c>
      <c r="B23" s="105" t="s">
        <v>122</v>
      </c>
      <c r="C23" s="63">
        <v>11</v>
      </c>
      <c r="D23" s="197" t="s">
        <v>133</v>
      </c>
      <c r="E23" s="197" t="s">
        <v>1283</v>
      </c>
      <c r="F23" s="190" t="s">
        <v>123</v>
      </c>
      <c r="G23" s="197" t="s">
        <v>74</v>
      </c>
      <c r="H23" s="197">
        <v>50592</v>
      </c>
      <c r="I23" s="207" t="s">
        <v>1273</v>
      </c>
      <c r="J23" s="197">
        <v>0</v>
      </c>
      <c r="K23" s="197" t="s">
        <v>1303</v>
      </c>
      <c r="L23" s="197">
        <v>10</v>
      </c>
      <c r="M23" s="192">
        <v>46092</v>
      </c>
      <c r="N23" s="214">
        <v>0.6</v>
      </c>
      <c r="O23" s="214">
        <v>0.6</v>
      </c>
      <c r="P23" s="212"/>
      <c r="Q23" s="196" t="s">
        <v>38</v>
      </c>
      <c r="R23" s="197">
        <v>1</v>
      </c>
      <c r="S23" s="215" t="s">
        <v>33</v>
      </c>
      <c r="T23" s="199"/>
      <c r="U23" s="200"/>
      <c r="V23" s="200"/>
      <c r="W23" s="200"/>
      <c r="X23" s="200"/>
      <c r="Y23" s="200"/>
      <c r="Z23" s="200"/>
      <c r="AA23" s="200"/>
      <c r="AB23" s="200"/>
      <c r="AC23" s="170"/>
      <c r="AD23" s="11" t="str">
        <f t="shared" si="0"/>
        <v>10</v>
      </c>
      <c r="AF23" t="str">
        <f t="shared" si="2"/>
        <v>80.01.ZZ.010</v>
      </c>
      <c r="AH23" t="str">
        <f t="shared" si="1"/>
        <v>00 de 01</v>
      </c>
      <c r="AJ23" s="86"/>
      <c r="AK23" s="85"/>
      <c r="AM23" s="161" t="s">
        <v>106</v>
      </c>
      <c r="AN23" s="52">
        <v>21</v>
      </c>
    </row>
    <row r="24" spans="1:40" ht="36.75" customHeight="1" x14ac:dyDescent="0.25">
      <c r="A24" s="139" t="s">
        <v>116</v>
      </c>
      <c r="B24" s="105" t="s">
        <v>122</v>
      </c>
      <c r="C24" s="63">
        <v>12</v>
      </c>
      <c r="D24" s="197" t="s">
        <v>133</v>
      </c>
      <c r="E24" s="197" t="s">
        <v>1284</v>
      </c>
      <c r="F24" s="190" t="s">
        <v>123</v>
      </c>
      <c r="G24" s="197" t="s">
        <v>74</v>
      </c>
      <c r="H24" s="197">
        <v>50592</v>
      </c>
      <c r="I24" s="207" t="s">
        <v>1273</v>
      </c>
      <c r="J24" s="197">
        <v>0</v>
      </c>
      <c r="K24" s="197" t="s">
        <v>1304</v>
      </c>
      <c r="L24" s="197">
        <v>10</v>
      </c>
      <c r="M24" s="192">
        <v>46092</v>
      </c>
      <c r="N24" s="214">
        <v>0.6</v>
      </c>
      <c r="O24" s="214">
        <v>0.6</v>
      </c>
      <c r="P24" s="212"/>
      <c r="Q24" s="196" t="s">
        <v>38</v>
      </c>
      <c r="R24" s="197">
        <v>1</v>
      </c>
      <c r="S24" s="215" t="s">
        <v>33</v>
      </c>
      <c r="T24" s="199"/>
      <c r="U24" s="200"/>
      <c r="V24" s="200"/>
      <c r="W24" s="200"/>
      <c r="X24" s="200"/>
      <c r="Y24" s="200"/>
      <c r="Z24" s="200"/>
      <c r="AA24" s="200"/>
      <c r="AB24" s="200"/>
      <c r="AC24" s="170"/>
      <c r="AD24" s="11" t="str">
        <f t="shared" si="0"/>
        <v>10</v>
      </c>
      <c r="AF24" t="str">
        <f t="shared" si="2"/>
        <v>80.01.ZZ.010</v>
      </c>
      <c r="AH24" t="str">
        <f t="shared" si="1"/>
        <v>00 de 01</v>
      </c>
      <c r="AJ24" s="86"/>
      <c r="AK24" s="85"/>
      <c r="AM24" s="161" t="s">
        <v>106</v>
      </c>
      <c r="AN24" s="52">
        <v>21</v>
      </c>
    </row>
    <row r="25" spans="1:40" ht="36.75" customHeight="1" x14ac:dyDescent="0.25">
      <c r="A25" s="139" t="s">
        <v>116</v>
      </c>
      <c r="B25" s="105" t="s">
        <v>122</v>
      </c>
      <c r="C25" s="63">
        <v>13</v>
      </c>
      <c r="D25" s="197" t="s">
        <v>1230</v>
      </c>
      <c r="E25" s="197" t="s">
        <v>1285</v>
      </c>
      <c r="F25" s="190" t="s">
        <v>123</v>
      </c>
      <c r="G25" s="197" t="s">
        <v>74</v>
      </c>
      <c r="H25" s="197">
        <v>61792</v>
      </c>
      <c r="I25" s="207" t="s">
        <v>1274</v>
      </c>
      <c r="J25" s="197">
        <v>0</v>
      </c>
      <c r="K25" s="197" t="s">
        <v>1305</v>
      </c>
      <c r="L25" s="197">
        <v>10</v>
      </c>
      <c r="M25" s="192">
        <v>46092</v>
      </c>
      <c r="N25" s="214">
        <v>1</v>
      </c>
      <c r="O25" s="214">
        <v>1</v>
      </c>
      <c r="P25" s="212"/>
      <c r="Q25" s="196" t="s">
        <v>38</v>
      </c>
      <c r="R25" s="197">
        <v>1</v>
      </c>
      <c r="S25" s="215" t="s">
        <v>33</v>
      </c>
      <c r="T25" s="199"/>
      <c r="U25" s="200"/>
      <c r="V25" s="200"/>
      <c r="W25" s="200"/>
      <c r="X25" s="200"/>
      <c r="Y25" s="200"/>
      <c r="Z25" s="200"/>
      <c r="AA25" s="200"/>
      <c r="AB25" s="200"/>
      <c r="AC25" s="170"/>
      <c r="AD25" s="11" t="str">
        <f t="shared" si="0"/>
        <v>10</v>
      </c>
      <c r="AF25" t="str">
        <f t="shared" si="2"/>
        <v>80.01.ZZ.010</v>
      </c>
      <c r="AH25" t="str">
        <f t="shared" si="1"/>
        <v>00 de 01</v>
      </c>
      <c r="AJ25" s="86"/>
      <c r="AK25" s="85"/>
      <c r="AM25" s="161" t="s">
        <v>106</v>
      </c>
      <c r="AN25" s="52">
        <v>21</v>
      </c>
    </row>
    <row r="26" spans="1:40" ht="36.75" customHeight="1" x14ac:dyDescent="0.25">
      <c r="A26" s="139" t="s">
        <v>116</v>
      </c>
      <c r="B26" s="105" t="s">
        <v>122</v>
      </c>
      <c r="C26" s="63">
        <v>14</v>
      </c>
      <c r="D26" s="197" t="s">
        <v>190</v>
      </c>
      <c r="E26" s="197" t="s">
        <v>1286</v>
      </c>
      <c r="F26" s="190" t="s">
        <v>123</v>
      </c>
      <c r="G26" s="197" t="s">
        <v>74</v>
      </c>
      <c r="H26" s="197">
        <v>61792</v>
      </c>
      <c r="I26" s="207" t="s">
        <v>1274</v>
      </c>
      <c r="J26" s="197">
        <v>0</v>
      </c>
      <c r="K26" s="197" t="s">
        <v>1305</v>
      </c>
      <c r="L26" s="197">
        <v>10</v>
      </c>
      <c r="M26" s="192">
        <v>46092</v>
      </c>
      <c r="N26" s="214">
        <v>1</v>
      </c>
      <c r="O26" s="214">
        <v>1</v>
      </c>
      <c r="P26" s="212"/>
      <c r="Q26" s="196" t="s">
        <v>38</v>
      </c>
      <c r="R26" s="197">
        <v>1</v>
      </c>
      <c r="S26" s="215" t="s">
        <v>33</v>
      </c>
      <c r="T26" s="199"/>
      <c r="U26" s="200"/>
      <c r="V26" s="200"/>
      <c r="W26" s="200"/>
      <c r="X26" s="200"/>
      <c r="Y26" s="200"/>
      <c r="Z26" s="200"/>
      <c r="AA26" s="200"/>
      <c r="AB26" s="200"/>
      <c r="AC26" s="170"/>
      <c r="AD26" s="11" t="str">
        <f t="shared" si="0"/>
        <v>10</v>
      </c>
      <c r="AF26" t="str">
        <f t="shared" si="2"/>
        <v>80.01.ZZ.010</v>
      </c>
      <c r="AH26" t="str">
        <f t="shared" si="1"/>
        <v>00 de 01</v>
      </c>
      <c r="AJ26" s="86"/>
      <c r="AK26" s="85"/>
      <c r="AM26" s="161" t="s">
        <v>106</v>
      </c>
      <c r="AN26" s="52">
        <v>21</v>
      </c>
    </row>
    <row r="27" spans="1:40" ht="36.75" customHeight="1" x14ac:dyDescent="0.25">
      <c r="A27" s="139" t="s">
        <v>116</v>
      </c>
      <c r="B27" s="105" t="s">
        <v>122</v>
      </c>
      <c r="C27" s="63">
        <v>15</v>
      </c>
      <c r="D27" s="197" t="s">
        <v>190</v>
      </c>
      <c r="E27" s="197" t="s">
        <v>1287</v>
      </c>
      <c r="F27" s="190" t="s">
        <v>123</v>
      </c>
      <c r="G27" s="197" t="s">
        <v>74</v>
      </c>
      <c r="H27" s="197">
        <v>61792</v>
      </c>
      <c r="I27" s="207" t="s">
        <v>1274</v>
      </c>
      <c r="J27" s="197">
        <v>0</v>
      </c>
      <c r="K27" s="197" t="s">
        <v>1305</v>
      </c>
      <c r="L27" s="197">
        <v>10</v>
      </c>
      <c r="M27" s="192">
        <v>46092</v>
      </c>
      <c r="N27" s="214">
        <v>1</v>
      </c>
      <c r="O27" s="214">
        <v>1</v>
      </c>
      <c r="P27" s="212"/>
      <c r="Q27" s="196" t="s">
        <v>38</v>
      </c>
      <c r="R27" s="197">
        <v>1</v>
      </c>
      <c r="S27" s="215" t="s">
        <v>33</v>
      </c>
      <c r="T27" s="199"/>
      <c r="U27" s="200"/>
      <c r="V27" s="200"/>
      <c r="W27" s="200"/>
      <c r="X27" s="200"/>
      <c r="Y27" s="200"/>
      <c r="Z27" s="200"/>
      <c r="AA27" s="200"/>
      <c r="AB27" s="200"/>
      <c r="AC27" s="170"/>
      <c r="AD27" s="11" t="str">
        <f t="shared" si="0"/>
        <v>10</v>
      </c>
      <c r="AF27" t="str">
        <f t="shared" si="2"/>
        <v>80.01.ZZ.010</v>
      </c>
      <c r="AH27" t="str">
        <f t="shared" si="1"/>
        <v>00 de 01</v>
      </c>
      <c r="AJ27" s="86"/>
      <c r="AK27" s="85"/>
      <c r="AM27" s="161" t="s">
        <v>106</v>
      </c>
      <c r="AN27" s="52">
        <v>21</v>
      </c>
    </row>
    <row r="28" spans="1:40" ht="36.75" customHeight="1" x14ac:dyDescent="0.25">
      <c r="A28" s="139" t="s">
        <v>116</v>
      </c>
      <c r="B28" s="105" t="s">
        <v>122</v>
      </c>
      <c r="C28" s="63">
        <v>16</v>
      </c>
      <c r="D28" s="197" t="s">
        <v>1230</v>
      </c>
      <c r="E28" s="197" t="s">
        <v>1288</v>
      </c>
      <c r="F28" s="190"/>
      <c r="G28" s="197" t="s">
        <v>74</v>
      </c>
      <c r="H28" s="197">
        <v>61792</v>
      </c>
      <c r="I28" s="207" t="s">
        <v>1274</v>
      </c>
      <c r="J28" s="197">
        <v>0</v>
      </c>
      <c r="K28" s="197" t="s">
        <v>1305</v>
      </c>
      <c r="L28" s="197">
        <v>10</v>
      </c>
      <c r="M28" s="192">
        <v>46092</v>
      </c>
      <c r="N28" s="214">
        <v>1</v>
      </c>
      <c r="O28" s="214">
        <v>1</v>
      </c>
      <c r="P28" s="212"/>
      <c r="Q28" s="196" t="s">
        <v>38</v>
      </c>
      <c r="R28" s="197">
        <v>1</v>
      </c>
      <c r="S28" s="215" t="s">
        <v>33</v>
      </c>
      <c r="T28" s="199"/>
      <c r="U28" s="200"/>
      <c r="V28" s="200"/>
      <c r="W28" s="200"/>
      <c r="X28" s="200"/>
      <c r="Y28" s="200"/>
      <c r="Z28" s="200"/>
      <c r="AA28" s="200"/>
      <c r="AB28" s="200"/>
      <c r="AC28" s="170"/>
      <c r="AD28" s="11"/>
      <c r="AJ28" s="86"/>
      <c r="AK28" s="85"/>
      <c r="AM28" s="161"/>
      <c r="AN28" s="52"/>
    </row>
    <row r="29" spans="1:40" ht="36.75" customHeight="1" x14ac:dyDescent="0.25">
      <c r="A29" s="139" t="s">
        <v>116</v>
      </c>
      <c r="B29" s="105" t="s">
        <v>122</v>
      </c>
      <c r="C29" s="63">
        <v>17</v>
      </c>
      <c r="D29" s="197" t="s">
        <v>190</v>
      </c>
      <c r="E29" s="197" t="s">
        <v>1289</v>
      </c>
      <c r="F29" s="190"/>
      <c r="G29" s="197" t="s">
        <v>74</v>
      </c>
      <c r="H29" s="197">
        <v>61792</v>
      </c>
      <c r="I29" s="207" t="s">
        <v>1274</v>
      </c>
      <c r="J29" s="197">
        <v>0</v>
      </c>
      <c r="K29" s="197" t="s">
        <v>1305</v>
      </c>
      <c r="L29" s="197">
        <v>10</v>
      </c>
      <c r="M29" s="192">
        <v>46092</v>
      </c>
      <c r="N29" s="214">
        <v>1</v>
      </c>
      <c r="O29" s="214">
        <v>1</v>
      </c>
      <c r="P29" s="212"/>
      <c r="Q29" s="196" t="s">
        <v>38</v>
      </c>
      <c r="R29" s="197">
        <v>1</v>
      </c>
      <c r="S29" s="215" t="s">
        <v>33</v>
      </c>
      <c r="T29" s="199"/>
      <c r="U29" s="200"/>
      <c r="V29" s="200"/>
      <c r="W29" s="200"/>
      <c r="X29" s="200"/>
      <c r="Y29" s="200"/>
      <c r="Z29" s="200"/>
      <c r="AA29" s="200"/>
      <c r="AB29" s="200"/>
      <c r="AC29" s="170"/>
      <c r="AD29" s="11"/>
      <c r="AJ29" s="86"/>
      <c r="AK29" s="85"/>
      <c r="AM29" s="161"/>
      <c r="AN29" s="52"/>
    </row>
    <row r="30" spans="1:40" ht="36.75" customHeight="1" x14ac:dyDescent="0.25">
      <c r="A30" s="139" t="s">
        <v>116</v>
      </c>
      <c r="B30" s="105" t="s">
        <v>122</v>
      </c>
      <c r="C30" s="63">
        <v>18</v>
      </c>
      <c r="D30" s="197" t="s">
        <v>190</v>
      </c>
      <c r="E30" s="197" t="s">
        <v>1290</v>
      </c>
      <c r="F30" s="190"/>
      <c r="G30" s="197" t="s">
        <v>74</v>
      </c>
      <c r="H30" s="197">
        <v>61792</v>
      </c>
      <c r="I30" s="207" t="s">
        <v>1274</v>
      </c>
      <c r="J30" s="197">
        <v>0</v>
      </c>
      <c r="K30" s="197" t="s">
        <v>1305</v>
      </c>
      <c r="L30" s="197">
        <v>10</v>
      </c>
      <c r="M30" s="192">
        <v>46092</v>
      </c>
      <c r="N30" s="214">
        <v>1</v>
      </c>
      <c r="O30" s="214">
        <v>1</v>
      </c>
      <c r="P30" s="212"/>
      <c r="Q30" s="196" t="s">
        <v>38</v>
      </c>
      <c r="R30" s="197">
        <v>1</v>
      </c>
      <c r="S30" s="215" t="s">
        <v>33</v>
      </c>
      <c r="T30" s="199"/>
      <c r="U30" s="200"/>
      <c r="V30" s="200"/>
      <c r="W30" s="200"/>
      <c r="X30" s="200"/>
      <c r="Y30" s="200"/>
      <c r="Z30" s="200"/>
      <c r="AA30" s="200"/>
      <c r="AB30" s="200"/>
      <c r="AC30" s="170"/>
      <c r="AD30" s="11"/>
      <c r="AJ30" s="86"/>
      <c r="AK30" s="85"/>
      <c r="AM30" s="161"/>
      <c r="AN30" s="52"/>
    </row>
    <row r="31" spans="1:40" ht="36.75" customHeight="1" x14ac:dyDescent="0.25">
      <c r="A31" s="139" t="s">
        <v>116</v>
      </c>
      <c r="B31" s="105" t="s">
        <v>122</v>
      </c>
      <c r="C31" s="63">
        <v>19</v>
      </c>
      <c r="D31" s="197" t="s">
        <v>1230</v>
      </c>
      <c r="E31" s="197" t="s">
        <v>1291</v>
      </c>
      <c r="F31" s="190"/>
      <c r="G31" s="197" t="s">
        <v>74</v>
      </c>
      <c r="H31" s="197">
        <v>61792</v>
      </c>
      <c r="I31" s="207" t="s">
        <v>1274</v>
      </c>
      <c r="J31" s="197">
        <v>0</v>
      </c>
      <c r="K31" s="197" t="s">
        <v>1305</v>
      </c>
      <c r="L31" s="197">
        <v>10</v>
      </c>
      <c r="M31" s="192">
        <v>46092</v>
      </c>
      <c r="N31" s="214">
        <v>1</v>
      </c>
      <c r="O31" s="214">
        <v>1</v>
      </c>
      <c r="P31" s="212"/>
      <c r="Q31" s="196" t="s">
        <v>38</v>
      </c>
      <c r="R31" s="197">
        <v>1</v>
      </c>
      <c r="S31" s="215" t="s">
        <v>33</v>
      </c>
      <c r="T31" s="199"/>
      <c r="U31" s="200"/>
      <c r="V31" s="200"/>
      <c r="W31" s="200"/>
      <c r="X31" s="200"/>
      <c r="Y31" s="200"/>
      <c r="Z31" s="200"/>
      <c r="AA31" s="200"/>
      <c r="AB31" s="200"/>
      <c r="AC31" s="170"/>
      <c r="AD31" s="11"/>
      <c r="AJ31" s="86"/>
      <c r="AK31" s="85"/>
      <c r="AM31" s="161"/>
      <c r="AN31" s="52"/>
    </row>
    <row r="32" spans="1:40" ht="36.75" customHeight="1" x14ac:dyDescent="0.25">
      <c r="A32" s="139" t="s">
        <v>116</v>
      </c>
      <c r="B32" s="105" t="s">
        <v>122</v>
      </c>
      <c r="C32" s="63">
        <v>20</v>
      </c>
      <c r="D32" s="197" t="s">
        <v>190</v>
      </c>
      <c r="E32" s="197" t="s">
        <v>1292</v>
      </c>
      <c r="F32" s="190"/>
      <c r="G32" s="197" t="s">
        <v>74</v>
      </c>
      <c r="H32" s="197">
        <v>61792</v>
      </c>
      <c r="I32" s="207" t="s">
        <v>1274</v>
      </c>
      <c r="J32" s="197">
        <v>0</v>
      </c>
      <c r="K32" s="197" t="s">
        <v>1305</v>
      </c>
      <c r="L32" s="197">
        <v>10</v>
      </c>
      <c r="M32" s="192">
        <v>46092</v>
      </c>
      <c r="N32" s="214">
        <v>1</v>
      </c>
      <c r="O32" s="214">
        <v>1</v>
      </c>
      <c r="P32" s="212"/>
      <c r="Q32" s="196" t="s">
        <v>38</v>
      </c>
      <c r="R32" s="197">
        <v>1</v>
      </c>
      <c r="S32" s="215" t="s">
        <v>33</v>
      </c>
      <c r="T32" s="199"/>
      <c r="U32" s="200"/>
      <c r="V32" s="200"/>
      <c r="W32" s="200"/>
      <c r="X32" s="200"/>
      <c r="Y32" s="200"/>
      <c r="Z32" s="200"/>
      <c r="AA32" s="200"/>
      <c r="AB32" s="200"/>
      <c r="AC32" s="170"/>
      <c r="AD32" s="11"/>
      <c r="AJ32" s="86"/>
      <c r="AK32" s="85"/>
      <c r="AM32" s="161"/>
      <c r="AN32" s="52"/>
    </row>
    <row r="33" spans="1:40" ht="36.75" customHeight="1" x14ac:dyDescent="0.25">
      <c r="A33" s="139" t="s">
        <v>116</v>
      </c>
      <c r="B33" s="105" t="s">
        <v>122</v>
      </c>
      <c r="C33" s="63">
        <v>21</v>
      </c>
      <c r="D33" s="197" t="s">
        <v>190</v>
      </c>
      <c r="E33" s="197" t="s">
        <v>1293</v>
      </c>
      <c r="F33" s="190"/>
      <c r="G33" s="197" t="s">
        <v>74</v>
      </c>
      <c r="H33" s="197">
        <v>61792</v>
      </c>
      <c r="I33" s="207" t="s">
        <v>1274</v>
      </c>
      <c r="J33" s="197">
        <v>0</v>
      </c>
      <c r="K33" s="197" t="s">
        <v>1305</v>
      </c>
      <c r="L33" s="197">
        <v>10</v>
      </c>
      <c r="M33" s="192">
        <v>46092</v>
      </c>
      <c r="N33" s="214">
        <v>1</v>
      </c>
      <c r="O33" s="214">
        <v>1</v>
      </c>
      <c r="P33" s="212"/>
      <c r="Q33" s="196" t="s">
        <v>38</v>
      </c>
      <c r="R33" s="197">
        <v>1</v>
      </c>
      <c r="S33" s="215" t="s">
        <v>33</v>
      </c>
      <c r="T33" s="199"/>
      <c r="U33" s="200"/>
      <c r="V33" s="200"/>
      <c r="W33" s="200"/>
      <c r="X33" s="200"/>
      <c r="Y33" s="200"/>
      <c r="Z33" s="200"/>
      <c r="AA33" s="200"/>
      <c r="AB33" s="200"/>
      <c r="AC33" s="170"/>
      <c r="AD33" s="11"/>
      <c r="AJ33" s="86"/>
      <c r="AK33" s="85"/>
      <c r="AM33" s="161"/>
      <c r="AN33" s="52"/>
    </row>
    <row r="34" spans="1:40" ht="36.75" customHeight="1" x14ac:dyDescent="0.25">
      <c r="A34" s="139" t="s">
        <v>116</v>
      </c>
      <c r="B34" s="105" t="s">
        <v>122</v>
      </c>
      <c r="C34" s="63">
        <v>22</v>
      </c>
      <c r="D34" s="197" t="s">
        <v>1230</v>
      </c>
      <c r="E34" s="197" t="s">
        <v>1294</v>
      </c>
      <c r="F34" s="190"/>
      <c r="G34" s="197" t="s">
        <v>74</v>
      </c>
      <c r="H34" s="197">
        <v>61792</v>
      </c>
      <c r="I34" s="207" t="s">
        <v>1274</v>
      </c>
      <c r="J34" s="197">
        <v>0</v>
      </c>
      <c r="K34" s="197" t="s">
        <v>1305</v>
      </c>
      <c r="L34" s="197">
        <v>10</v>
      </c>
      <c r="M34" s="192">
        <v>46092</v>
      </c>
      <c r="N34" s="214">
        <v>1</v>
      </c>
      <c r="O34" s="214">
        <v>1</v>
      </c>
      <c r="P34" s="212"/>
      <c r="Q34" s="196" t="s">
        <v>38</v>
      </c>
      <c r="R34" s="197">
        <v>1</v>
      </c>
      <c r="S34" s="215" t="s">
        <v>33</v>
      </c>
      <c r="T34" s="199"/>
      <c r="U34" s="200"/>
      <c r="V34" s="200"/>
      <c r="W34" s="200"/>
      <c r="X34" s="200"/>
      <c r="Y34" s="200"/>
      <c r="Z34" s="200"/>
      <c r="AA34" s="200"/>
      <c r="AB34" s="200"/>
      <c r="AC34" s="170"/>
      <c r="AD34" s="11"/>
      <c r="AJ34" s="86"/>
      <c r="AK34" s="85"/>
      <c r="AM34" s="161"/>
      <c r="AN34" s="52"/>
    </row>
    <row r="35" spans="1:40" ht="36.75" customHeight="1" x14ac:dyDescent="0.25">
      <c r="A35" s="139" t="s">
        <v>116</v>
      </c>
      <c r="B35" s="105" t="s">
        <v>122</v>
      </c>
      <c r="C35" s="63">
        <v>23</v>
      </c>
      <c r="D35" s="197" t="s">
        <v>190</v>
      </c>
      <c r="E35" s="197" t="s">
        <v>1295</v>
      </c>
      <c r="F35" s="190"/>
      <c r="G35" s="197" t="s">
        <v>74</v>
      </c>
      <c r="H35" s="197">
        <v>61792</v>
      </c>
      <c r="I35" s="207" t="s">
        <v>1274</v>
      </c>
      <c r="J35" s="197">
        <v>0</v>
      </c>
      <c r="K35" s="197" t="s">
        <v>1305</v>
      </c>
      <c r="L35" s="197">
        <v>10</v>
      </c>
      <c r="M35" s="192">
        <v>46092</v>
      </c>
      <c r="N35" s="214">
        <v>1</v>
      </c>
      <c r="O35" s="214">
        <v>1</v>
      </c>
      <c r="P35" s="212"/>
      <c r="Q35" s="196" t="s">
        <v>38</v>
      </c>
      <c r="R35" s="197">
        <v>1</v>
      </c>
      <c r="S35" s="215" t="s">
        <v>33</v>
      </c>
      <c r="T35" s="199"/>
      <c r="U35" s="200"/>
      <c r="V35" s="200"/>
      <c r="W35" s="200"/>
      <c r="X35" s="200"/>
      <c r="Y35" s="200"/>
      <c r="Z35" s="200"/>
      <c r="AA35" s="200"/>
      <c r="AB35" s="200"/>
      <c r="AC35" s="170"/>
      <c r="AD35" s="11"/>
      <c r="AJ35" s="86"/>
      <c r="AK35" s="85"/>
      <c r="AM35" s="161"/>
      <c r="AN35" s="52"/>
    </row>
    <row r="36" spans="1:40" ht="36.75" customHeight="1" x14ac:dyDescent="0.25">
      <c r="A36" s="139" t="s">
        <v>116</v>
      </c>
      <c r="B36" s="105" t="s">
        <v>122</v>
      </c>
      <c r="C36" s="63">
        <v>24</v>
      </c>
      <c r="D36" s="197" t="s">
        <v>190</v>
      </c>
      <c r="E36" s="197" t="s">
        <v>1296</v>
      </c>
      <c r="F36" s="190"/>
      <c r="G36" s="197" t="s">
        <v>74</v>
      </c>
      <c r="H36" s="197">
        <v>61792</v>
      </c>
      <c r="I36" s="207" t="s">
        <v>1274</v>
      </c>
      <c r="J36" s="197">
        <v>0</v>
      </c>
      <c r="K36" s="197" t="s">
        <v>1305</v>
      </c>
      <c r="L36" s="197">
        <v>10</v>
      </c>
      <c r="M36" s="192">
        <v>46092</v>
      </c>
      <c r="N36" s="214">
        <v>1</v>
      </c>
      <c r="O36" s="214">
        <v>1</v>
      </c>
      <c r="P36" s="212"/>
      <c r="Q36" s="196" t="s">
        <v>38</v>
      </c>
      <c r="R36" s="197">
        <v>1</v>
      </c>
      <c r="S36" s="215" t="s">
        <v>33</v>
      </c>
      <c r="T36" s="199"/>
      <c r="U36" s="200"/>
      <c r="V36" s="200"/>
      <c r="W36" s="200"/>
      <c r="X36" s="200"/>
      <c r="Y36" s="200"/>
      <c r="Z36" s="200"/>
      <c r="AA36" s="200"/>
      <c r="AB36" s="200"/>
      <c r="AC36" s="170"/>
      <c r="AD36" s="11"/>
      <c r="AJ36" s="86"/>
      <c r="AK36" s="85"/>
      <c r="AM36" s="161"/>
      <c r="AN36" s="52"/>
    </row>
    <row r="37" spans="1:40" ht="36.75" customHeight="1" x14ac:dyDescent="0.25">
      <c r="A37" s="139" t="s">
        <v>116</v>
      </c>
      <c r="B37" s="105" t="s">
        <v>122</v>
      </c>
      <c r="C37" s="63">
        <v>25</v>
      </c>
      <c r="D37" s="197" t="s">
        <v>1230</v>
      </c>
      <c r="E37" s="197" t="s">
        <v>1297</v>
      </c>
      <c r="F37" s="190"/>
      <c r="G37" s="197" t="s">
        <v>74</v>
      </c>
      <c r="H37" s="197">
        <v>61792</v>
      </c>
      <c r="I37" s="207" t="s">
        <v>1274</v>
      </c>
      <c r="J37" s="197">
        <v>0</v>
      </c>
      <c r="K37" s="197" t="s">
        <v>1305</v>
      </c>
      <c r="L37" s="197">
        <v>10</v>
      </c>
      <c r="M37" s="192">
        <v>46092</v>
      </c>
      <c r="N37" s="214">
        <v>1</v>
      </c>
      <c r="O37" s="214">
        <v>1</v>
      </c>
      <c r="P37" s="212"/>
      <c r="Q37" s="196" t="s">
        <v>38</v>
      </c>
      <c r="R37" s="197">
        <v>1</v>
      </c>
      <c r="S37" s="215" t="s">
        <v>33</v>
      </c>
      <c r="T37" s="199"/>
      <c r="U37" s="200"/>
      <c r="V37" s="200"/>
      <c r="W37" s="200"/>
      <c r="X37" s="200"/>
      <c r="Y37" s="200"/>
      <c r="Z37" s="200"/>
      <c r="AA37" s="200"/>
      <c r="AB37" s="200"/>
      <c r="AC37" s="170"/>
      <c r="AD37" s="11"/>
      <c r="AJ37" s="86"/>
      <c r="AK37" s="85"/>
      <c r="AM37" s="161"/>
      <c r="AN37" s="52"/>
    </row>
    <row r="38" spans="1:40" ht="36.75" customHeight="1" x14ac:dyDescent="0.25">
      <c r="A38" s="139" t="s">
        <v>116</v>
      </c>
      <c r="B38" s="105" t="s">
        <v>122</v>
      </c>
      <c r="C38" s="63">
        <v>26</v>
      </c>
      <c r="D38" s="197" t="s">
        <v>190</v>
      </c>
      <c r="E38" s="197" t="s">
        <v>1298</v>
      </c>
      <c r="F38" s="190"/>
      <c r="G38" s="197" t="s">
        <v>74</v>
      </c>
      <c r="H38" s="197">
        <v>61792</v>
      </c>
      <c r="I38" s="207" t="s">
        <v>1274</v>
      </c>
      <c r="J38" s="197">
        <v>0</v>
      </c>
      <c r="K38" s="197" t="s">
        <v>1305</v>
      </c>
      <c r="L38" s="197">
        <v>10</v>
      </c>
      <c r="M38" s="192">
        <v>46092</v>
      </c>
      <c r="N38" s="214">
        <v>1</v>
      </c>
      <c r="O38" s="214">
        <v>1</v>
      </c>
      <c r="P38" s="212"/>
      <c r="Q38" s="196" t="s">
        <v>38</v>
      </c>
      <c r="R38" s="197">
        <v>1</v>
      </c>
      <c r="S38" s="215" t="s">
        <v>33</v>
      </c>
      <c r="T38" s="199"/>
      <c r="U38" s="200"/>
      <c r="V38" s="200"/>
      <c r="W38" s="200"/>
      <c r="X38" s="200"/>
      <c r="Y38" s="200"/>
      <c r="Z38" s="200"/>
      <c r="AA38" s="200"/>
      <c r="AB38" s="200"/>
      <c r="AC38" s="170"/>
      <c r="AD38" s="11"/>
      <c r="AJ38" s="86"/>
      <c r="AK38" s="85"/>
      <c r="AM38" s="161"/>
      <c r="AN38" s="52"/>
    </row>
    <row r="39" spans="1:40" ht="36.75" customHeight="1" x14ac:dyDescent="0.25">
      <c r="A39" s="139" t="s">
        <v>116</v>
      </c>
      <c r="B39" s="105" t="s">
        <v>122</v>
      </c>
      <c r="C39" s="63">
        <v>27</v>
      </c>
      <c r="D39" s="197" t="s">
        <v>190</v>
      </c>
      <c r="E39" s="197" t="s">
        <v>1299</v>
      </c>
      <c r="F39" s="190"/>
      <c r="G39" s="197" t="s">
        <v>74</v>
      </c>
      <c r="H39" s="197">
        <v>61792</v>
      </c>
      <c r="I39" s="207" t="s">
        <v>1274</v>
      </c>
      <c r="J39" s="197">
        <v>0</v>
      </c>
      <c r="K39" s="197" t="s">
        <v>1305</v>
      </c>
      <c r="L39" s="197">
        <v>10</v>
      </c>
      <c r="M39" s="192">
        <v>46092</v>
      </c>
      <c r="N39" s="214">
        <v>1</v>
      </c>
      <c r="O39" s="214">
        <v>1</v>
      </c>
      <c r="P39" s="212"/>
      <c r="Q39" s="196" t="s">
        <v>38</v>
      </c>
      <c r="R39" s="197">
        <v>1</v>
      </c>
      <c r="S39" s="215" t="s">
        <v>33</v>
      </c>
      <c r="T39" s="199"/>
      <c r="U39" s="200"/>
      <c r="V39" s="200"/>
      <c r="W39" s="200"/>
      <c r="X39" s="200"/>
      <c r="Y39" s="200"/>
      <c r="Z39" s="200"/>
      <c r="AA39" s="200"/>
      <c r="AB39" s="200"/>
      <c r="AC39" s="170"/>
      <c r="AD39" s="11"/>
      <c r="AJ39" s="86"/>
      <c r="AK39" s="85"/>
      <c r="AM39" s="161"/>
      <c r="AN39" s="52"/>
    </row>
    <row r="40" spans="1:40" ht="36.75" customHeight="1" x14ac:dyDescent="0.25">
      <c r="A40" s="139" t="s">
        <v>116</v>
      </c>
      <c r="B40" s="105" t="s">
        <v>122</v>
      </c>
      <c r="C40" s="63">
        <v>28</v>
      </c>
      <c r="D40" s="197" t="s">
        <v>191</v>
      </c>
      <c r="E40" s="197" t="s">
        <v>1257</v>
      </c>
      <c r="F40" s="190"/>
      <c r="G40" s="197" t="s">
        <v>204</v>
      </c>
      <c r="H40" s="197">
        <v>50592</v>
      </c>
      <c r="I40" s="207" t="s">
        <v>1227</v>
      </c>
      <c r="J40" s="197">
        <v>0</v>
      </c>
      <c r="K40" s="197" t="s">
        <v>1240</v>
      </c>
      <c r="L40" s="197">
        <v>7</v>
      </c>
      <c r="M40" s="192">
        <v>46092</v>
      </c>
      <c r="N40" s="214">
        <v>0.5</v>
      </c>
      <c r="O40" s="214">
        <v>0.5</v>
      </c>
      <c r="P40" s="212"/>
      <c r="Q40" s="196" t="s">
        <v>38</v>
      </c>
      <c r="R40" s="197">
        <v>1</v>
      </c>
      <c r="S40" s="215" t="s">
        <v>33</v>
      </c>
      <c r="T40" s="199"/>
      <c r="U40" s="200"/>
      <c r="V40" s="200"/>
      <c r="W40" s="200"/>
      <c r="X40" s="200"/>
      <c r="Y40" s="200"/>
      <c r="Z40" s="200"/>
      <c r="AA40" s="200"/>
      <c r="AB40" s="200"/>
      <c r="AC40" s="170"/>
      <c r="AD40" s="11"/>
      <c r="AJ40" s="86"/>
      <c r="AK40" s="85"/>
      <c r="AM40" s="161"/>
      <c r="AN40" s="52"/>
    </row>
    <row r="41" spans="1:40" ht="36.75" customHeight="1" x14ac:dyDescent="0.25">
      <c r="A41" s="139" t="s">
        <v>116</v>
      </c>
      <c r="B41" s="105" t="s">
        <v>122</v>
      </c>
      <c r="C41" s="63">
        <v>29</v>
      </c>
      <c r="D41" s="197" t="s">
        <v>191</v>
      </c>
      <c r="E41" s="197" t="s">
        <v>1258</v>
      </c>
      <c r="F41" s="190"/>
      <c r="G41" s="197" t="s">
        <v>204</v>
      </c>
      <c r="H41" s="197">
        <v>50592</v>
      </c>
      <c r="I41" s="207" t="s">
        <v>1227</v>
      </c>
      <c r="J41" s="197">
        <v>0</v>
      </c>
      <c r="K41" s="197" t="s">
        <v>1241</v>
      </c>
      <c r="L41" s="197">
        <v>7</v>
      </c>
      <c r="M41" s="192">
        <v>46092</v>
      </c>
      <c r="N41" s="214">
        <v>0.5</v>
      </c>
      <c r="O41" s="214">
        <v>0.5</v>
      </c>
      <c r="P41" s="212"/>
      <c r="Q41" s="196" t="s">
        <v>38</v>
      </c>
      <c r="R41" s="197">
        <v>1</v>
      </c>
      <c r="S41" s="215" t="s">
        <v>33</v>
      </c>
      <c r="T41" s="199"/>
      <c r="U41" s="200"/>
      <c r="V41" s="200"/>
      <c r="W41" s="200"/>
      <c r="X41" s="200"/>
      <c r="Y41" s="200"/>
      <c r="Z41" s="200"/>
      <c r="AA41" s="200"/>
      <c r="AB41" s="200"/>
      <c r="AC41" s="170"/>
      <c r="AD41" s="11"/>
      <c r="AJ41" s="86"/>
      <c r="AK41" s="85"/>
      <c r="AM41" s="161"/>
      <c r="AN41" s="52"/>
    </row>
    <row r="42" spans="1:40" ht="36.75" customHeight="1" x14ac:dyDescent="0.25">
      <c r="A42" s="139" t="s">
        <v>116</v>
      </c>
      <c r="B42" s="105" t="s">
        <v>122</v>
      </c>
      <c r="C42" s="63">
        <v>30</v>
      </c>
      <c r="D42" s="197" t="s">
        <v>191</v>
      </c>
      <c r="E42" s="197" t="s">
        <v>1259</v>
      </c>
      <c r="F42" s="190"/>
      <c r="G42" s="197" t="s">
        <v>204</v>
      </c>
      <c r="H42" s="197">
        <v>50592</v>
      </c>
      <c r="I42" s="207" t="s">
        <v>1227</v>
      </c>
      <c r="J42" s="197">
        <v>0</v>
      </c>
      <c r="K42" s="197" t="s">
        <v>1242</v>
      </c>
      <c r="L42" s="197">
        <v>7</v>
      </c>
      <c r="M42" s="192">
        <v>46092</v>
      </c>
      <c r="N42" s="214">
        <v>0.5</v>
      </c>
      <c r="O42" s="214">
        <v>0.5</v>
      </c>
      <c r="P42" s="212"/>
      <c r="Q42" s="196" t="s">
        <v>38</v>
      </c>
      <c r="R42" s="197">
        <v>1</v>
      </c>
      <c r="S42" s="215" t="s">
        <v>33</v>
      </c>
      <c r="T42" s="199"/>
      <c r="U42" s="200"/>
      <c r="V42" s="200"/>
      <c r="W42" s="200"/>
      <c r="X42" s="200"/>
      <c r="Y42" s="200"/>
      <c r="Z42" s="200"/>
      <c r="AA42" s="200"/>
      <c r="AB42" s="200"/>
      <c r="AC42" s="170"/>
      <c r="AD42" s="11"/>
      <c r="AJ42" s="86"/>
      <c r="AK42" s="85"/>
      <c r="AM42" s="161"/>
      <c r="AN42" s="52"/>
    </row>
    <row r="43" spans="1:40" ht="36.75" customHeight="1" x14ac:dyDescent="0.25">
      <c r="A43" s="139" t="s">
        <v>116</v>
      </c>
      <c r="B43" s="105" t="s">
        <v>122</v>
      </c>
      <c r="C43" s="63">
        <v>31</v>
      </c>
      <c r="D43" s="197" t="s">
        <v>191</v>
      </c>
      <c r="E43" s="197" t="s">
        <v>1260</v>
      </c>
      <c r="F43" s="190"/>
      <c r="G43" s="197" t="s">
        <v>135</v>
      </c>
      <c r="H43" s="197">
        <v>50592</v>
      </c>
      <c r="I43" s="207" t="s">
        <v>1228</v>
      </c>
      <c r="J43" s="197">
        <v>0</v>
      </c>
      <c r="K43" s="197" t="s">
        <v>1239</v>
      </c>
      <c r="L43" s="197">
        <v>7</v>
      </c>
      <c r="M43" s="192">
        <v>46092</v>
      </c>
      <c r="N43" s="214">
        <v>1</v>
      </c>
      <c r="O43" s="214">
        <v>0.5</v>
      </c>
      <c r="P43" s="212"/>
      <c r="Q43" s="196" t="s">
        <v>38</v>
      </c>
      <c r="R43" s="197">
        <v>1</v>
      </c>
      <c r="S43" s="215" t="s">
        <v>33</v>
      </c>
      <c r="T43" s="199"/>
      <c r="U43" s="200"/>
      <c r="V43" s="200"/>
      <c r="W43" s="200"/>
      <c r="X43" s="200"/>
      <c r="Y43" s="200"/>
      <c r="Z43" s="200"/>
      <c r="AA43" s="200"/>
      <c r="AB43" s="200"/>
      <c r="AC43" s="170"/>
      <c r="AD43" s="11"/>
      <c r="AJ43" s="86"/>
      <c r="AK43" s="85"/>
      <c r="AM43" s="161"/>
      <c r="AN43" s="52"/>
    </row>
    <row r="44" spans="1:40" ht="36.75" customHeight="1" x14ac:dyDescent="0.25">
      <c r="A44" s="139" t="s">
        <v>116</v>
      </c>
      <c r="B44" s="105" t="s">
        <v>122</v>
      </c>
      <c r="C44" s="63">
        <v>32</v>
      </c>
      <c r="D44" s="197" t="s">
        <v>191</v>
      </c>
      <c r="E44" s="197" t="s">
        <v>1261</v>
      </c>
      <c r="F44" s="190"/>
      <c r="G44" s="197" t="s">
        <v>135</v>
      </c>
      <c r="H44" s="197">
        <v>50592</v>
      </c>
      <c r="I44" s="207" t="s">
        <v>1228</v>
      </c>
      <c r="J44" s="197">
        <v>0</v>
      </c>
      <c r="K44" s="197" t="s">
        <v>1243</v>
      </c>
      <c r="L44" s="197">
        <v>7</v>
      </c>
      <c r="M44" s="192">
        <v>46092</v>
      </c>
      <c r="N44" s="214">
        <v>1</v>
      </c>
      <c r="O44" s="214">
        <v>0.5</v>
      </c>
      <c r="P44" s="212"/>
      <c r="Q44" s="196" t="s">
        <v>38</v>
      </c>
      <c r="R44" s="197">
        <v>1</v>
      </c>
      <c r="S44" s="215" t="s">
        <v>33</v>
      </c>
      <c r="T44" s="199"/>
      <c r="U44" s="200"/>
      <c r="V44" s="200"/>
      <c r="W44" s="200"/>
      <c r="X44" s="200"/>
      <c r="Y44" s="200"/>
      <c r="Z44" s="200"/>
      <c r="AA44" s="200"/>
      <c r="AB44" s="200"/>
      <c r="AC44" s="170"/>
      <c r="AD44" s="11"/>
      <c r="AJ44" s="86"/>
      <c r="AK44" s="85"/>
      <c r="AM44" s="161"/>
      <c r="AN44" s="52"/>
    </row>
    <row r="45" spans="1:40" ht="36.75" customHeight="1" x14ac:dyDescent="0.25">
      <c r="A45" s="139" t="s">
        <v>116</v>
      </c>
      <c r="B45" s="105" t="s">
        <v>122</v>
      </c>
      <c r="C45" s="63">
        <v>33</v>
      </c>
      <c r="D45" s="197" t="s">
        <v>191</v>
      </c>
      <c r="E45" s="197" t="s">
        <v>1300</v>
      </c>
      <c r="F45" s="190"/>
      <c r="G45" s="197" t="s">
        <v>135</v>
      </c>
      <c r="H45" s="197">
        <v>50592</v>
      </c>
      <c r="I45" s="207" t="s">
        <v>1228</v>
      </c>
      <c r="J45" s="197">
        <v>0</v>
      </c>
      <c r="K45" s="197" t="s">
        <v>1244</v>
      </c>
      <c r="L45" s="197">
        <v>7</v>
      </c>
      <c r="M45" s="192">
        <v>46092</v>
      </c>
      <c r="N45" s="214">
        <v>1</v>
      </c>
      <c r="O45" s="214">
        <v>0.5</v>
      </c>
      <c r="P45" s="212"/>
      <c r="Q45" s="196" t="s">
        <v>38</v>
      </c>
      <c r="R45" s="197">
        <v>1</v>
      </c>
      <c r="S45" s="215" t="s">
        <v>33</v>
      </c>
      <c r="T45" s="199"/>
      <c r="U45" s="200"/>
      <c r="V45" s="200"/>
      <c r="W45" s="200"/>
      <c r="X45" s="200"/>
      <c r="Y45" s="200"/>
      <c r="Z45" s="200"/>
      <c r="AA45" s="200"/>
      <c r="AB45" s="200"/>
      <c r="AC45" s="170"/>
      <c r="AD45" s="11"/>
      <c r="AJ45" s="86"/>
      <c r="AK45" s="85"/>
      <c r="AM45" s="161"/>
      <c r="AN45" s="52"/>
    </row>
    <row r="46" spans="1:40" ht="36.75" customHeight="1" x14ac:dyDescent="0.25">
      <c r="A46" s="139" t="s">
        <v>116</v>
      </c>
      <c r="B46" s="105" t="s">
        <v>122</v>
      </c>
      <c r="C46" s="63">
        <v>34</v>
      </c>
      <c r="D46" s="197" t="s">
        <v>191</v>
      </c>
      <c r="E46" s="197" t="s">
        <v>1262</v>
      </c>
      <c r="F46" s="190"/>
      <c r="G46" s="197" t="s">
        <v>135</v>
      </c>
      <c r="H46" s="197">
        <v>50592</v>
      </c>
      <c r="I46" s="207" t="s">
        <v>1228</v>
      </c>
      <c r="J46" s="197">
        <v>0</v>
      </c>
      <c r="K46" s="197" t="s">
        <v>1245</v>
      </c>
      <c r="L46" s="197">
        <v>7</v>
      </c>
      <c r="M46" s="192">
        <v>46092</v>
      </c>
      <c r="N46" s="214">
        <v>0.55000000000000004</v>
      </c>
      <c r="O46" s="214">
        <v>0.55000000000000004</v>
      </c>
      <c r="P46" s="212"/>
      <c r="Q46" s="196" t="s">
        <v>38</v>
      </c>
      <c r="R46" s="197">
        <v>1</v>
      </c>
      <c r="S46" s="215" t="s">
        <v>33</v>
      </c>
      <c r="T46" s="199"/>
      <c r="U46" s="200"/>
      <c r="V46" s="200"/>
      <c r="W46" s="200"/>
      <c r="X46" s="200"/>
      <c r="Y46" s="200"/>
      <c r="Z46" s="200"/>
      <c r="AA46" s="200"/>
      <c r="AB46" s="200"/>
      <c r="AC46" s="170"/>
      <c r="AD46" s="11"/>
      <c r="AJ46" s="86"/>
      <c r="AK46" s="85"/>
      <c r="AM46" s="161"/>
      <c r="AN46" s="52"/>
    </row>
    <row r="47" spans="1:40" ht="36.75" customHeight="1" x14ac:dyDescent="0.25">
      <c r="A47" s="139" t="s">
        <v>116</v>
      </c>
      <c r="B47" s="105" t="s">
        <v>122</v>
      </c>
      <c r="C47" s="63">
        <v>35</v>
      </c>
      <c r="D47" s="197" t="s">
        <v>191</v>
      </c>
      <c r="E47" s="197" t="s">
        <v>1263</v>
      </c>
      <c r="F47" s="190"/>
      <c r="G47" s="197" t="s">
        <v>135</v>
      </c>
      <c r="H47" s="197">
        <v>50592</v>
      </c>
      <c r="I47" s="207" t="s">
        <v>1228</v>
      </c>
      <c r="J47" s="197">
        <v>0</v>
      </c>
      <c r="K47" s="197" t="s">
        <v>1247</v>
      </c>
      <c r="L47" s="197">
        <v>7</v>
      </c>
      <c r="M47" s="192">
        <v>46092</v>
      </c>
      <c r="N47" s="214">
        <v>0.55000000000000004</v>
      </c>
      <c r="O47" s="214">
        <v>0.55000000000000004</v>
      </c>
      <c r="P47" s="212"/>
      <c r="Q47" s="196" t="s">
        <v>38</v>
      </c>
      <c r="R47" s="197">
        <v>1</v>
      </c>
      <c r="S47" s="215" t="s">
        <v>33</v>
      </c>
      <c r="T47" s="199"/>
      <c r="U47" s="200"/>
      <c r="V47" s="200"/>
      <c r="W47" s="200"/>
      <c r="X47" s="200"/>
      <c r="Y47" s="200"/>
      <c r="Z47" s="200"/>
      <c r="AA47" s="200"/>
      <c r="AB47" s="200"/>
      <c r="AC47" s="170"/>
      <c r="AD47" s="11"/>
      <c r="AJ47" s="86"/>
      <c r="AK47" s="85"/>
      <c r="AM47" s="161"/>
      <c r="AN47" s="52"/>
    </row>
    <row r="48" spans="1:40" ht="36.75" customHeight="1" x14ac:dyDescent="0.25">
      <c r="A48" s="139" t="s">
        <v>116</v>
      </c>
      <c r="B48" s="105" t="s">
        <v>122</v>
      </c>
      <c r="C48" s="63">
        <v>36</v>
      </c>
      <c r="D48" s="197" t="s">
        <v>191</v>
      </c>
      <c r="E48" s="197" t="s">
        <v>1264</v>
      </c>
      <c r="F48" s="190"/>
      <c r="G48" s="197" t="s">
        <v>135</v>
      </c>
      <c r="H48" s="197">
        <v>50592</v>
      </c>
      <c r="I48" s="207" t="s">
        <v>1228</v>
      </c>
      <c r="J48" s="197">
        <v>0</v>
      </c>
      <c r="K48" s="197" t="s">
        <v>1245</v>
      </c>
      <c r="L48" s="197">
        <v>7</v>
      </c>
      <c r="M48" s="192">
        <v>46092</v>
      </c>
      <c r="N48" s="214">
        <v>0.55000000000000004</v>
      </c>
      <c r="O48" s="214">
        <v>0.55000000000000004</v>
      </c>
      <c r="P48" s="212"/>
      <c r="Q48" s="196" t="s">
        <v>38</v>
      </c>
      <c r="R48" s="197">
        <v>1</v>
      </c>
      <c r="S48" s="215" t="s">
        <v>33</v>
      </c>
      <c r="T48" s="199"/>
      <c r="U48" s="200"/>
      <c r="V48" s="200"/>
      <c r="W48" s="200"/>
      <c r="X48" s="200"/>
      <c r="Y48" s="200"/>
      <c r="Z48" s="200"/>
      <c r="AA48" s="200"/>
      <c r="AB48" s="200"/>
      <c r="AC48" s="170"/>
      <c r="AD48" s="11"/>
      <c r="AJ48" s="86"/>
      <c r="AK48" s="85"/>
      <c r="AM48" s="161"/>
      <c r="AN48" s="52"/>
    </row>
    <row r="49" spans="1:40" ht="36.75" customHeight="1" x14ac:dyDescent="0.25">
      <c r="A49" s="139" t="s">
        <v>116</v>
      </c>
      <c r="B49" s="105" t="s">
        <v>122</v>
      </c>
      <c r="C49" s="63">
        <v>37</v>
      </c>
      <c r="D49" s="197" t="s">
        <v>191</v>
      </c>
      <c r="E49" s="197" t="s">
        <v>1265</v>
      </c>
      <c r="F49" s="190"/>
      <c r="G49" s="197" t="s">
        <v>135</v>
      </c>
      <c r="H49" s="197">
        <v>50592</v>
      </c>
      <c r="I49" s="207" t="s">
        <v>1228</v>
      </c>
      <c r="J49" s="197">
        <v>0</v>
      </c>
      <c r="K49" s="197" t="s">
        <v>1246</v>
      </c>
      <c r="L49" s="197">
        <v>7</v>
      </c>
      <c r="M49" s="192">
        <v>46092</v>
      </c>
      <c r="N49" s="214">
        <v>0.55000000000000004</v>
      </c>
      <c r="O49" s="214">
        <v>0.55000000000000004</v>
      </c>
      <c r="P49" s="212"/>
      <c r="Q49" s="196" t="s">
        <v>38</v>
      </c>
      <c r="R49" s="197">
        <v>1</v>
      </c>
      <c r="S49" s="215" t="s">
        <v>33</v>
      </c>
      <c r="T49" s="199"/>
      <c r="U49" s="200"/>
      <c r="V49" s="200"/>
      <c r="W49" s="200"/>
      <c r="X49" s="200"/>
      <c r="Y49" s="200"/>
      <c r="Z49" s="200"/>
      <c r="AA49" s="200"/>
      <c r="AB49" s="200"/>
      <c r="AC49" s="170"/>
      <c r="AD49" s="11"/>
      <c r="AJ49" s="86"/>
      <c r="AK49" s="85"/>
      <c r="AM49" s="161"/>
      <c r="AN49" s="52"/>
    </row>
    <row r="50" spans="1:40" ht="36.75" customHeight="1" x14ac:dyDescent="0.25">
      <c r="A50" s="139" t="s">
        <v>116</v>
      </c>
      <c r="B50" s="105" t="s">
        <v>122</v>
      </c>
      <c r="C50" s="63">
        <v>38</v>
      </c>
      <c r="D50" s="197" t="s">
        <v>191</v>
      </c>
      <c r="E50" s="197" t="s">
        <v>1266</v>
      </c>
      <c r="F50" s="190"/>
      <c r="G50" s="197" t="s">
        <v>135</v>
      </c>
      <c r="H50" s="197">
        <v>50592</v>
      </c>
      <c r="I50" s="207" t="s">
        <v>1228</v>
      </c>
      <c r="J50" s="197">
        <v>0</v>
      </c>
      <c r="K50" s="197" t="s">
        <v>1247</v>
      </c>
      <c r="L50" s="197">
        <v>7</v>
      </c>
      <c r="M50" s="192">
        <v>46092</v>
      </c>
      <c r="N50" s="214">
        <v>0.55000000000000004</v>
      </c>
      <c r="O50" s="214">
        <v>0.55000000000000004</v>
      </c>
      <c r="P50" s="212"/>
      <c r="Q50" s="196" t="s">
        <v>38</v>
      </c>
      <c r="R50" s="197">
        <v>1</v>
      </c>
      <c r="S50" s="215" t="s">
        <v>33</v>
      </c>
      <c r="T50" s="199"/>
      <c r="U50" s="200"/>
      <c r="V50" s="200"/>
      <c r="W50" s="200"/>
      <c r="X50" s="200"/>
      <c r="Y50" s="200"/>
      <c r="Z50" s="200"/>
      <c r="AA50" s="200"/>
      <c r="AB50" s="200"/>
      <c r="AC50" s="170"/>
      <c r="AD50" s="11"/>
      <c r="AJ50" s="86"/>
      <c r="AK50" s="85"/>
      <c r="AM50" s="161"/>
      <c r="AN50" s="52"/>
    </row>
    <row r="51" spans="1:40" ht="36.75" customHeight="1" x14ac:dyDescent="0.25">
      <c r="A51" s="139" t="s">
        <v>116</v>
      </c>
      <c r="B51" s="105" t="s">
        <v>122</v>
      </c>
      <c r="C51" s="63">
        <v>39</v>
      </c>
      <c r="D51" s="197" t="s">
        <v>191</v>
      </c>
      <c r="E51" s="197" t="s">
        <v>1267</v>
      </c>
      <c r="F51" s="190"/>
      <c r="G51" s="197" t="s">
        <v>134</v>
      </c>
      <c r="H51" s="197">
        <v>50592</v>
      </c>
      <c r="I51" s="207" t="s">
        <v>1229</v>
      </c>
      <c r="J51" s="197">
        <v>0</v>
      </c>
      <c r="K51" s="197" t="s">
        <v>1248</v>
      </c>
      <c r="L51" s="197">
        <v>7</v>
      </c>
      <c r="M51" s="192">
        <v>46092</v>
      </c>
      <c r="N51" s="214">
        <v>1</v>
      </c>
      <c r="O51" s="214">
        <v>0.5</v>
      </c>
      <c r="P51" s="212"/>
      <c r="Q51" s="196" t="s">
        <v>38</v>
      </c>
      <c r="R51" s="197">
        <v>1</v>
      </c>
      <c r="S51" s="215" t="s">
        <v>33</v>
      </c>
      <c r="T51" s="199"/>
      <c r="U51" s="200"/>
      <c r="V51" s="200"/>
      <c r="W51" s="200"/>
      <c r="X51" s="200"/>
      <c r="Y51" s="200"/>
      <c r="Z51" s="200"/>
      <c r="AA51" s="200"/>
      <c r="AB51" s="200"/>
      <c r="AC51" s="170"/>
      <c r="AD51" s="11"/>
      <c r="AJ51" s="86"/>
      <c r="AK51" s="85"/>
      <c r="AM51" s="161"/>
      <c r="AN51" s="52"/>
    </row>
    <row r="52" spans="1:40" ht="36.75" customHeight="1" x14ac:dyDescent="0.25">
      <c r="A52" s="139" t="s">
        <v>116</v>
      </c>
      <c r="B52" s="105" t="s">
        <v>122</v>
      </c>
      <c r="C52" s="63">
        <v>40</v>
      </c>
      <c r="D52" s="197" t="s">
        <v>191</v>
      </c>
      <c r="E52" s="197" t="s">
        <v>1268</v>
      </c>
      <c r="F52" s="190"/>
      <c r="G52" s="197" t="s">
        <v>134</v>
      </c>
      <c r="H52" s="197">
        <v>50592</v>
      </c>
      <c r="I52" s="207" t="s">
        <v>1229</v>
      </c>
      <c r="J52" s="197">
        <v>0</v>
      </c>
      <c r="K52" s="197" t="s">
        <v>1249</v>
      </c>
      <c r="L52" s="197">
        <v>7</v>
      </c>
      <c r="M52" s="192">
        <v>46092</v>
      </c>
      <c r="N52" s="214">
        <v>1</v>
      </c>
      <c r="O52" s="214">
        <v>0.5</v>
      </c>
      <c r="P52" s="212"/>
      <c r="Q52" s="196" t="s">
        <v>38</v>
      </c>
      <c r="R52" s="197">
        <v>1</v>
      </c>
      <c r="S52" s="215" t="s">
        <v>33</v>
      </c>
      <c r="T52" s="199"/>
      <c r="U52" s="200"/>
      <c r="V52" s="200"/>
      <c r="W52" s="200"/>
      <c r="X52" s="200"/>
      <c r="Y52" s="200"/>
      <c r="Z52" s="200"/>
      <c r="AA52" s="200"/>
      <c r="AB52" s="200"/>
      <c r="AC52" s="170"/>
      <c r="AD52" s="11"/>
      <c r="AJ52" s="86"/>
      <c r="AK52" s="85"/>
      <c r="AM52" s="161"/>
      <c r="AN52" s="52"/>
    </row>
    <row r="53" spans="1:40" ht="36.75" customHeight="1" x14ac:dyDescent="0.25">
      <c r="A53" s="139" t="s">
        <v>116</v>
      </c>
      <c r="B53" s="105" t="s">
        <v>122</v>
      </c>
      <c r="C53" s="63">
        <v>41</v>
      </c>
      <c r="D53" s="197" t="s">
        <v>205</v>
      </c>
      <c r="E53" s="197" t="s">
        <v>1269</v>
      </c>
      <c r="F53" s="190"/>
      <c r="G53" s="197" t="s">
        <v>74</v>
      </c>
      <c r="H53" s="197">
        <v>67392</v>
      </c>
      <c r="I53" s="207" t="s">
        <v>216</v>
      </c>
      <c r="J53" s="197">
        <v>0</v>
      </c>
      <c r="K53" s="197" t="s">
        <v>1250</v>
      </c>
      <c r="L53" s="197">
        <v>7</v>
      </c>
      <c r="M53" s="192">
        <v>46092</v>
      </c>
      <c r="N53" s="214">
        <v>1</v>
      </c>
      <c r="O53" s="214">
        <v>1</v>
      </c>
      <c r="P53" s="212"/>
      <c r="Q53" s="196" t="s">
        <v>38</v>
      </c>
      <c r="R53" s="197">
        <v>1</v>
      </c>
      <c r="S53" s="215" t="s">
        <v>33</v>
      </c>
      <c r="T53" s="199"/>
      <c r="U53" s="200"/>
      <c r="V53" s="200"/>
      <c r="W53" s="200"/>
      <c r="X53" s="200"/>
      <c r="Y53" s="200"/>
      <c r="Z53" s="200"/>
      <c r="AA53" s="200"/>
      <c r="AB53" s="200"/>
      <c r="AC53" s="170"/>
      <c r="AD53" s="11"/>
      <c r="AJ53" s="86"/>
      <c r="AK53" s="85"/>
      <c r="AM53" s="161"/>
      <c r="AN53" s="52"/>
    </row>
    <row r="54" spans="1:40" ht="36.75" customHeight="1" x14ac:dyDescent="0.25">
      <c r="A54" s="139" t="s">
        <v>116</v>
      </c>
      <c r="B54" s="105" t="s">
        <v>122</v>
      </c>
      <c r="C54" s="63">
        <v>42</v>
      </c>
      <c r="D54" s="197" t="s">
        <v>205</v>
      </c>
      <c r="E54" s="197" t="s">
        <v>1270</v>
      </c>
      <c r="F54" s="190"/>
      <c r="G54" s="197" t="s">
        <v>74</v>
      </c>
      <c r="H54" s="197">
        <v>67392</v>
      </c>
      <c r="I54" s="207" t="s">
        <v>216</v>
      </c>
      <c r="J54" s="197">
        <v>0</v>
      </c>
      <c r="K54" s="197" t="s">
        <v>1251</v>
      </c>
      <c r="L54" s="197">
        <v>7</v>
      </c>
      <c r="M54" s="192">
        <v>46092</v>
      </c>
      <c r="N54" s="214">
        <v>1</v>
      </c>
      <c r="O54" s="214">
        <v>1</v>
      </c>
      <c r="P54" s="212"/>
      <c r="Q54" s="196" t="s">
        <v>38</v>
      </c>
      <c r="R54" s="197">
        <v>1</v>
      </c>
      <c r="S54" s="215" t="s">
        <v>33</v>
      </c>
      <c r="T54" s="199"/>
      <c r="U54" s="200"/>
      <c r="V54" s="200"/>
      <c r="W54" s="200"/>
      <c r="X54" s="200"/>
      <c r="Y54" s="200"/>
      <c r="Z54" s="200"/>
      <c r="AA54" s="200"/>
      <c r="AB54" s="200"/>
      <c r="AC54" s="170"/>
      <c r="AD54" s="11"/>
      <c r="AJ54" s="86"/>
      <c r="AK54" s="85"/>
      <c r="AM54" s="161"/>
      <c r="AN54" s="52"/>
    </row>
    <row r="55" spans="1:40" ht="36.75" customHeight="1" x14ac:dyDescent="0.25">
      <c r="A55" s="139" t="s">
        <v>116</v>
      </c>
      <c r="B55" s="105" t="s">
        <v>122</v>
      </c>
      <c r="C55" s="63">
        <v>43</v>
      </c>
      <c r="D55" s="197" t="s">
        <v>205</v>
      </c>
      <c r="E55" s="197" t="s">
        <v>1271</v>
      </c>
      <c r="F55" s="190"/>
      <c r="G55" s="197" t="s">
        <v>74</v>
      </c>
      <c r="H55" s="197">
        <v>67392</v>
      </c>
      <c r="I55" s="207" t="s">
        <v>216</v>
      </c>
      <c r="J55" s="197">
        <v>0</v>
      </c>
      <c r="K55" s="197" t="s">
        <v>1252</v>
      </c>
      <c r="L55" s="197">
        <v>7</v>
      </c>
      <c r="M55" s="192">
        <v>46092</v>
      </c>
      <c r="N55" s="214">
        <v>1</v>
      </c>
      <c r="O55" s="214">
        <v>1</v>
      </c>
      <c r="P55" s="212"/>
      <c r="Q55" s="196" t="s">
        <v>38</v>
      </c>
      <c r="R55" s="197">
        <v>1</v>
      </c>
      <c r="S55" s="215" t="s">
        <v>33</v>
      </c>
      <c r="T55" s="199"/>
      <c r="U55" s="200"/>
      <c r="V55" s="200"/>
      <c r="W55" s="200"/>
      <c r="X55" s="200"/>
      <c r="Y55" s="200"/>
      <c r="Z55" s="200"/>
      <c r="AA55" s="200"/>
      <c r="AB55" s="200"/>
      <c r="AC55" s="170"/>
      <c r="AD55" s="11"/>
      <c r="AJ55" s="86"/>
      <c r="AK55" s="85"/>
      <c r="AM55" s="161"/>
      <c r="AN55" s="52"/>
    </row>
    <row r="56" spans="1:40" ht="36.75" customHeight="1" x14ac:dyDescent="0.25">
      <c r="A56" s="139" t="s">
        <v>116</v>
      </c>
      <c r="B56" s="105" t="s">
        <v>122</v>
      </c>
      <c r="C56" s="63">
        <v>44</v>
      </c>
      <c r="D56" s="197" t="s">
        <v>205</v>
      </c>
      <c r="E56" s="197" t="s">
        <v>1272</v>
      </c>
      <c r="F56" s="190"/>
      <c r="G56" s="197" t="s">
        <v>74</v>
      </c>
      <c r="H56" s="197">
        <v>67392</v>
      </c>
      <c r="I56" s="207" t="s">
        <v>216</v>
      </c>
      <c r="J56" s="197">
        <v>0</v>
      </c>
      <c r="K56" s="197" t="s">
        <v>1253</v>
      </c>
      <c r="L56" s="197">
        <v>7</v>
      </c>
      <c r="M56" s="192">
        <v>46092</v>
      </c>
      <c r="N56" s="214">
        <v>1</v>
      </c>
      <c r="O56" s="214">
        <v>1</v>
      </c>
      <c r="P56" s="212"/>
      <c r="Q56" s="196" t="s">
        <v>38</v>
      </c>
      <c r="R56" s="197">
        <v>1</v>
      </c>
      <c r="S56" s="215" t="s">
        <v>33</v>
      </c>
      <c r="T56" s="199"/>
      <c r="U56" s="200"/>
      <c r="V56" s="200"/>
      <c r="W56" s="200"/>
      <c r="X56" s="200"/>
      <c r="Y56" s="200"/>
      <c r="Z56" s="200"/>
      <c r="AA56" s="200"/>
      <c r="AB56" s="200"/>
      <c r="AC56" s="170"/>
      <c r="AD56" s="11"/>
      <c r="AJ56" s="86"/>
      <c r="AK56" s="85"/>
      <c r="AM56" s="161"/>
      <c r="AN56" s="52"/>
    </row>
    <row r="57" spans="1:40" ht="36.75" customHeight="1" x14ac:dyDescent="0.25">
      <c r="A57" s="139" t="s">
        <v>116</v>
      </c>
      <c r="B57" s="105" t="s">
        <v>122</v>
      </c>
      <c r="C57" s="63">
        <v>45</v>
      </c>
      <c r="D57" s="197"/>
      <c r="E57" s="197"/>
      <c r="F57" s="190"/>
      <c r="G57" s="197"/>
      <c r="H57" s="197"/>
      <c r="I57" s="207"/>
      <c r="J57" s="197"/>
      <c r="K57" s="197"/>
      <c r="L57" s="197"/>
      <c r="M57" s="192"/>
      <c r="N57" s="214"/>
      <c r="O57" s="214"/>
      <c r="P57" s="212"/>
      <c r="Q57" s="196"/>
      <c r="R57" s="197"/>
      <c r="S57" s="215"/>
      <c r="T57" s="199"/>
      <c r="U57" s="200"/>
      <c r="V57" s="200"/>
      <c r="W57" s="200"/>
      <c r="X57" s="200"/>
      <c r="Y57" s="200"/>
      <c r="Z57" s="200"/>
      <c r="AA57" s="200"/>
      <c r="AB57" s="200"/>
      <c r="AC57" s="170"/>
      <c r="AD57" s="11"/>
      <c r="AJ57" s="86"/>
      <c r="AK57" s="85"/>
      <c r="AM57" s="161"/>
      <c r="AN57" s="52"/>
    </row>
    <row r="58" spans="1:40" ht="36.75" customHeight="1" x14ac:dyDescent="0.25">
      <c r="A58" s="139" t="s">
        <v>116</v>
      </c>
      <c r="B58" s="105" t="s">
        <v>122</v>
      </c>
      <c r="C58" s="63">
        <v>46</v>
      </c>
      <c r="D58" s="197"/>
      <c r="E58" s="197"/>
      <c r="F58" s="190"/>
      <c r="G58" s="197"/>
      <c r="H58" s="197"/>
      <c r="I58" s="207"/>
      <c r="J58" s="197"/>
      <c r="K58" s="197"/>
      <c r="L58" s="197"/>
      <c r="M58" s="192"/>
      <c r="N58" s="214"/>
      <c r="O58" s="214"/>
      <c r="P58" s="212"/>
      <c r="Q58" s="196"/>
      <c r="R58" s="197"/>
      <c r="S58" s="215"/>
      <c r="T58" s="199"/>
      <c r="U58" s="200"/>
      <c r="V58" s="200"/>
      <c r="W58" s="200"/>
      <c r="X58" s="200"/>
      <c r="Y58" s="200"/>
      <c r="Z58" s="200"/>
      <c r="AA58" s="200"/>
      <c r="AB58" s="200"/>
      <c r="AC58" s="170"/>
      <c r="AD58" s="11"/>
      <c r="AJ58" s="86"/>
      <c r="AK58" s="85"/>
      <c r="AM58" s="161"/>
      <c r="AN58" s="52"/>
    </row>
    <row r="59" spans="1:40" ht="36.75" customHeight="1" x14ac:dyDescent="0.25">
      <c r="A59" s="139" t="s">
        <v>116</v>
      </c>
      <c r="B59" s="105" t="s">
        <v>122</v>
      </c>
      <c r="C59" s="63">
        <v>47</v>
      </c>
      <c r="D59" s="197"/>
      <c r="E59" s="197"/>
      <c r="F59" s="190"/>
      <c r="G59" s="197"/>
      <c r="H59" s="197"/>
      <c r="I59" s="207"/>
      <c r="J59" s="197"/>
      <c r="K59" s="197"/>
      <c r="L59" s="197"/>
      <c r="M59" s="192"/>
      <c r="N59" s="214"/>
      <c r="O59" s="214"/>
      <c r="P59" s="212"/>
      <c r="Q59" s="196"/>
      <c r="R59" s="197"/>
      <c r="S59" s="215"/>
      <c r="T59" s="199"/>
      <c r="U59" s="200"/>
      <c r="V59" s="200"/>
      <c r="W59" s="200"/>
      <c r="X59" s="200"/>
      <c r="Y59" s="200"/>
      <c r="Z59" s="200"/>
      <c r="AA59" s="200"/>
      <c r="AB59" s="200"/>
      <c r="AC59" s="170"/>
      <c r="AD59" s="11"/>
      <c r="AJ59" s="86"/>
      <c r="AK59" s="85"/>
      <c r="AM59" s="161"/>
      <c r="AN59" s="52"/>
    </row>
    <row r="60" spans="1:40" ht="36.75" customHeight="1" x14ac:dyDescent="0.25">
      <c r="A60" s="139" t="s">
        <v>116</v>
      </c>
      <c r="B60" s="105" t="s">
        <v>122</v>
      </c>
      <c r="C60" s="63">
        <v>48</v>
      </c>
      <c r="D60" s="197"/>
      <c r="E60" s="197"/>
      <c r="F60" s="190"/>
      <c r="G60" s="197"/>
      <c r="H60" s="197"/>
      <c r="I60" s="207"/>
      <c r="J60" s="197"/>
      <c r="K60" s="197"/>
      <c r="L60" s="197"/>
      <c r="M60" s="192"/>
      <c r="N60" s="214"/>
      <c r="O60" s="214"/>
      <c r="P60" s="212"/>
      <c r="Q60" s="196"/>
      <c r="R60" s="197"/>
      <c r="S60" s="215"/>
      <c r="T60" s="199"/>
      <c r="U60" s="200"/>
      <c r="V60" s="200"/>
      <c r="W60" s="200"/>
      <c r="X60" s="200"/>
      <c r="Y60" s="200"/>
      <c r="Z60" s="200"/>
      <c r="AA60" s="200"/>
      <c r="AB60" s="200"/>
      <c r="AC60" s="170"/>
      <c r="AD60" s="11"/>
      <c r="AJ60" s="86"/>
      <c r="AK60" s="85"/>
      <c r="AM60" s="161"/>
      <c r="AN60" s="52"/>
    </row>
    <row r="61" spans="1:40" ht="36.75" customHeight="1" x14ac:dyDescent="0.25">
      <c r="A61" s="139" t="s">
        <v>116</v>
      </c>
      <c r="B61" s="105" t="s">
        <v>122</v>
      </c>
      <c r="C61" s="63">
        <v>49</v>
      </c>
      <c r="D61" s="197"/>
      <c r="E61" s="197"/>
      <c r="F61" s="190"/>
      <c r="G61" s="197"/>
      <c r="H61" s="197"/>
      <c r="I61" s="207"/>
      <c r="J61" s="197"/>
      <c r="K61" s="197"/>
      <c r="L61" s="197"/>
      <c r="M61" s="192"/>
      <c r="N61" s="214"/>
      <c r="O61" s="214"/>
      <c r="P61" s="212"/>
      <c r="Q61" s="196"/>
      <c r="R61" s="197"/>
      <c r="S61" s="215"/>
      <c r="T61" s="199"/>
      <c r="U61" s="200"/>
      <c r="V61" s="200"/>
      <c r="W61" s="200"/>
      <c r="X61" s="200"/>
      <c r="Y61" s="200"/>
      <c r="Z61" s="200"/>
      <c r="AA61" s="200"/>
      <c r="AB61" s="200"/>
      <c r="AC61" s="170"/>
      <c r="AD61" s="11"/>
      <c r="AJ61" s="86"/>
      <c r="AK61" s="85"/>
      <c r="AM61" s="161"/>
      <c r="AN61" s="52"/>
    </row>
    <row r="62" spans="1:40" ht="36.75" customHeight="1" thickBot="1" x14ac:dyDescent="0.3">
      <c r="A62" s="139" t="s">
        <v>116</v>
      </c>
      <c r="B62" s="105" t="s">
        <v>122</v>
      </c>
      <c r="C62" s="162">
        <v>50</v>
      </c>
      <c r="D62" s="172"/>
      <c r="E62" s="172"/>
      <c r="F62" s="201"/>
      <c r="G62" s="172"/>
      <c r="H62" s="172"/>
      <c r="I62" s="202"/>
      <c r="J62" s="172"/>
      <c r="K62" s="172"/>
      <c r="L62" s="172"/>
      <c r="M62" s="174"/>
      <c r="N62" s="203"/>
      <c r="O62" s="203"/>
      <c r="P62" s="173"/>
      <c r="Q62" s="174"/>
      <c r="R62" s="172"/>
      <c r="S62" s="216"/>
      <c r="T62" s="204"/>
      <c r="U62" s="176"/>
      <c r="V62" s="176"/>
      <c r="W62" s="176"/>
      <c r="X62" s="176"/>
      <c r="Y62" s="176"/>
      <c r="Z62" s="176"/>
      <c r="AA62" s="176"/>
      <c r="AB62" s="176"/>
      <c r="AC62" s="64"/>
      <c r="AD62" s="11" t="str">
        <f>RIGHT(L62,2)</f>
        <v/>
      </c>
      <c r="AF62" t="str">
        <f>CONCATENATE("80.01.ZZ.0",L62)</f>
        <v>80.01.ZZ.0</v>
      </c>
      <c r="AH62" t="str">
        <f>CONCATENATE("00 de 0",R62)</f>
        <v>00 de 0</v>
      </c>
      <c r="AJ62" s="86"/>
      <c r="AK62" s="85"/>
    </row>
    <row r="63" spans="1:40" ht="15.75" x14ac:dyDescent="0.25">
      <c r="L63" s="294"/>
      <c r="M63" s="294"/>
      <c r="P63" s="60">
        <v>7.1704510499999978</v>
      </c>
      <c r="Q63" s="11"/>
      <c r="R63" s="61">
        <f>SUM($R$13:R62)</f>
        <v>44</v>
      </c>
    </row>
    <row r="64" spans="1:40" ht="16.5" thickBot="1" x14ac:dyDescent="0.3">
      <c r="L64" s="68"/>
      <c r="M64" s="68"/>
      <c r="P64" s="60"/>
      <c r="Q64" s="11"/>
      <c r="R64" s="61"/>
    </row>
    <row r="65" spans="8:28" ht="15.75" thickBot="1" x14ac:dyDescent="0.3">
      <c r="I65" s="50"/>
      <c r="R65" s="107" t="s">
        <v>122</v>
      </c>
      <c r="S65" s="230" t="s">
        <v>86</v>
      </c>
      <c r="T65" s="231" t="s">
        <v>90</v>
      </c>
      <c r="U65" s="122" t="s">
        <v>87</v>
      </c>
      <c r="V65" s="123"/>
      <c r="W65" s="124"/>
      <c r="X65" s="231" t="s">
        <v>88</v>
      </c>
      <c r="Y65" s="231" t="s">
        <v>89</v>
      </c>
      <c r="Z65" s="231" t="s">
        <v>91</v>
      </c>
      <c r="AA65" s="232" t="s">
        <v>92</v>
      </c>
      <c r="AB65" s="131" t="s">
        <v>94</v>
      </c>
    </row>
    <row r="66" spans="8:28" x14ac:dyDescent="0.25">
      <c r="M66" s="163" t="e">
        <f>#REF!</f>
        <v>#REF!</v>
      </c>
      <c r="Q66" s="148" t="e">
        <f>#REF!</f>
        <v>#REF!</v>
      </c>
      <c r="S66" s="233">
        <v>3</v>
      </c>
      <c r="T66" s="234">
        <v>291.70999999999998</v>
      </c>
      <c r="U66" s="235" t="s">
        <v>80</v>
      </c>
      <c r="V66" s="236"/>
      <c r="W66" s="237"/>
      <c r="X66" s="234">
        <f t="shared" ref="X66:X80" si="3">SUMIFS($R$13:$R$62,$AD$13:$AD$62,S66,$B$13:$B$62,$R$65)</f>
        <v>0</v>
      </c>
      <c r="Y66" s="238">
        <f t="shared" ref="Y66:Y80" si="4">SUMIFS($P$13:$P$62,$AD$13:$AD$62,S66,$B$13:$B$62,$R$65)</f>
        <v>0</v>
      </c>
      <c r="Z66" s="239">
        <f>Y66*T66</f>
        <v>0</v>
      </c>
      <c r="AA66" s="240">
        <f>Z66/44</f>
        <v>0</v>
      </c>
      <c r="AB66" s="126">
        <f>X66/5</f>
        <v>0</v>
      </c>
    </row>
    <row r="67" spans="8:28" ht="15.75" x14ac:dyDescent="0.25">
      <c r="M67" s="164" t="e">
        <f>#REF!</f>
        <v>#REF!</v>
      </c>
      <c r="Q67" s="218" t="e">
        <f>#REF!</f>
        <v>#REF!</v>
      </c>
      <c r="S67" s="109">
        <v>4</v>
      </c>
      <c r="T67" s="222">
        <v>300.41000000000003</v>
      </c>
      <c r="U67" s="223" t="s">
        <v>83</v>
      </c>
      <c r="V67" s="224"/>
      <c r="W67" s="225"/>
      <c r="X67" s="222">
        <f t="shared" si="3"/>
        <v>0</v>
      </c>
      <c r="Y67" s="241">
        <f t="shared" si="4"/>
        <v>0</v>
      </c>
      <c r="Z67" s="227">
        <f t="shared" ref="Z67:Z80" si="5">Y67*T67</f>
        <v>0</v>
      </c>
      <c r="AA67" s="181">
        <f t="shared" ref="AA67:AA80" si="6">Z67/44</f>
        <v>0</v>
      </c>
      <c r="AB67" s="126">
        <f t="shared" ref="AB67:AB80" si="7">X67/5</f>
        <v>0</v>
      </c>
    </row>
    <row r="68" spans="8:28" x14ac:dyDescent="0.25">
      <c r="S68" s="111">
        <v>5</v>
      </c>
      <c r="T68" s="222">
        <v>386.76</v>
      </c>
      <c r="U68" s="223" t="s">
        <v>84</v>
      </c>
      <c r="V68" s="224"/>
      <c r="W68" s="225"/>
      <c r="X68" s="222">
        <f t="shared" si="3"/>
        <v>0</v>
      </c>
      <c r="Y68" s="241">
        <f t="shared" si="4"/>
        <v>0</v>
      </c>
      <c r="Z68" s="227">
        <f t="shared" si="5"/>
        <v>0</v>
      </c>
      <c r="AA68" s="181">
        <f t="shared" si="6"/>
        <v>0</v>
      </c>
      <c r="AB68" s="126">
        <f t="shared" si="7"/>
        <v>0</v>
      </c>
    </row>
    <row r="69" spans="8:28" x14ac:dyDescent="0.25">
      <c r="M69" s="163" t="e">
        <f>#REF!</f>
        <v>#REF!</v>
      </c>
      <c r="Q69" s="148" t="e">
        <f>#REF!</f>
        <v>#REF!</v>
      </c>
      <c r="S69" s="111">
        <v>6</v>
      </c>
      <c r="T69" s="222">
        <v>218.76</v>
      </c>
      <c r="U69" s="223" t="s">
        <v>85</v>
      </c>
      <c r="V69" s="224"/>
      <c r="W69" s="225"/>
      <c r="X69" s="222">
        <f t="shared" si="3"/>
        <v>0</v>
      </c>
      <c r="Y69" s="241">
        <f t="shared" si="4"/>
        <v>0</v>
      </c>
      <c r="Z69" s="227">
        <f t="shared" si="5"/>
        <v>0</v>
      </c>
      <c r="AA69" s="181">
        <f t="shared" si="6"/>
        <v>0</v>
      </c>
      <c r="AB69" s="126">
        <f t="shared" si="7"/>
        <v>0</v>
      </c>
    </row>
    <row r="70" spans="8:28" ht="15.75" x14ac:dyDescent="0.25">
      <c r="H70" s="53"/>
      <c r="M70" s="217" t="e">
        <f>#REF!</f>
        <v>#REF!</v>
      </c>
      <c r="Q70" s="218" t="e">
        <f>#REF!</f>
        <v>#REF!</v>
      </c>
      <c r="S70" s="111">
        <v>7</v>
      </c>
      <c r="T70" s="222">
        <v>222.66</v>
      </c>
      <c r="U70" s="228" t="s">
        <v>124</v>
      </c>
      <c r="V70" s="224"/>
      <c r="W70" s="225"/>
      <c r="X70" s="222">
        <f t="shared" si="3"/>
        <v>3</v>
      </c>
      <c r="Y70" s="241">
        <f t="shared" si="4"/>
        <v>0</v>
      </c>
      <c r="Z70" s="227">
        <f t="shared" si="5"/>
        <v>0</v>
      </c>
      <c r="AA70" s="181">
        <f t="shared" si="6"/>
        <v>0</v>
      </c>
      <c r="AB70" s="126">
        <f t="shared" si="7"/>
        <v>0.6</v>
      </c>
    </row>
    <row r="71" spans="8:28" x14ac:dyDescent="0.25">
      <c r="H71" s="53"/>
      <c r="Q71" s="53"/>
      <c r="S71" s="109">
        <v>8</v>
      </c>
      <c r="T71" s="222">
        <v>242.33</v>
      </c>
      <c r="U71" s="228" t="s">
        <v>125</v>
      </c>
      <c r="V71" s="224"/>
      <c r="W71" s="225"/>
      <c r="X71" s="222">
        <f t="shared" si="3"/>
        <v>0</v>
      </c>
      <c r="Y71" s="241">
        <f t="shared" si="4"/>
        <v>0</v>
      </c>
      <c r="Z71" s="227">
        <f t="shared" si="5"/>
        <v>0</v>
      </c>
      <c r="AA71" s="181">
        <f t="shared" si="6"/>
        <v>0</v>
      </c>
      <c r="AB71" s="126">
        <f t="shared" si="7"/>
        <v>0</v>
      </c>
    </row>
    <row r="72" spans="8:28" x14ac:dyDescent="0.25">
      <c r="S72" s="109">
        <v>9</v>
      </c>
      <c r="T72" s="222">
        <v>191.9</v>
      </c>
      <c r="U72" s="228" t="s">
        <v>97</v>
      </c>
      <c r="V72" s="224"/>
      <c r="W72" s="225"/>
      <c r="X72" s="222">
        <f t="shared" si="3"/>
        <v>0</v>
      </c>
      <c r="Y72" s="241">
        <f t="shared" si="4"/>
        <v>0</v>
      </c>
      <c r="Z72" s="227">
        <f t="shared" si="5"/>
        <v>0</v>
      </c>
      <c r="AA72" s="181">
        <f t="shared" si="6"/>
        <v>0</v>
      </c>
      <c r="AB72" s="126">
        <f t="shared" si="7"/>
        <v>0</v>
      </c>
    </row>
    <row r="73" spans="8:28" x14ac:dyDescent="0.25">
      <c r="S73" s="109">
        <v>10</v>
      </c>
      <c r="T73" s="222">
        <v>272.74</v>
      </c>
      <c r="U73" s="228" t="s">
        <v>126</v>
      </c>
      <c r="V73" s="224"/>
      <c r="W73" s="225"/>
      <c r="X73" s="222">
        <f t="shared" si="3"/>
        <v>12</v>
      </c>
      <c r="Y73" s="241">
        <f t="shared" si="4"/>
        <v>0</v>
      </c>
      <c r="Z73" s="227">
        <f t="shared" si="5"/>
        <v>0</v>
      </c>
      <c r="AA73" s="181">
        <f t="shared" si="6"/>
        <v>0</v>
      </c>
      <c r="AB73" s="126">
        <f t="shared" si="7"/>
        <v>2.4</v>
      </c>
    </row>
    <row r="74" spans="8:28" x14ac:dyDescent="0.25">
      <c r="S74" s="109">
        <v>12</v>
      </c>
      <c r="T74" s="222">
        <v>207.2</v>
      </c>
      <c r="U74" s="228" t="s">
        <v>127</v>
      </c>
      <c r="V74" s="224"/>
      <c r="W74" s="225"/>
      <c r="X74" s="222">
        <f t="shared" si="3"/>
        <v>0</v>
      </c>
      <c r="Y74" s="241">
        <f t="shared" si="4"/>
        <v>0</v>
      </c>
      <c r="Z74" s="227">
        <f t="shared" si="5"/>
        <v>0</v>
      </c>
      <c r="AA74" s="181">
        <f t="shared" si="6"/>
        <v>0</v>
      </c>
      <c r="AB74" s="126">
        <f t="shared" si="7"/>
        <v>0</v>
      </c>
    </row>
    <row r="75" spans="8:28" x14ac:dyDescent="0.25">
      <c r="S75" s="109">
        <v>13</v>
      </c>
      <c r="T75" s="222">
        <v>253.81</v>
      </c>
      <c r="U75" s="228" t="s">
        <v>131</v>
      </c>
      <c r="V75" s="224"/>
      <c r="W75" s="225"/>
      <c r="X75" s="222">
        <f t="shared" si="3"/>
        <v>0</v>
      </c>
      <c r="Y75" s="241">
        <f t="shared" si="4"/>
        <v>0</v>
      </c>
      <c r="Z75" s="227">
        <f t="shared" si="5"/>
        <v>0</v>
      </c>
      <c r="AA75" s="181">
        <f t="shared" si="6"/>
        <v>0</v>
      </c>
      <c r="AB75" s="126">
        <f t="shared" si="7"/>
        <v>0</v>
      </c>
    </row>
    <row r="76" spans="8:28" x14ac:dyDescent="0.25">
      <c r="S76" s="109">
        <v>14</v>
      </c>
      <c r="T76" s="222">
        <v>211.48</v>
      </c>
      <c r="U76" s="228" t="s">
        <v>132</v>
      </c>
      <c r="V76" s="224"/>
      <c r="W76" s="225"/>
      <c r="X76" s="222">
        <f t="shared" si="3"/>
        <v>0</v>
      </c>
      <c r="Y76" s="241">
        <f t="shared" si="4"/>
        <v>0</v>
      </c>
      <c r="Z76" s="227">
        <f t="shared" si="5"/>
        <v>0</v>
      </c>
      <c r="AA76" s="181">
        <f t="shared" si="6"/>
        <v>0</v>
      </c>
      <c r="AB76" s="126">
        <f t="shared" si="7"/>
        <v>0</v>
      </c>
    </row>
    <row r="77" spans="8:28" x14ac:dyDescent="0.25">
      <c r="S77" s="109">
        <v>15</v>
      </c>
      <c r="T77" s="222">
        <v>184.1</v>
      </c>
      <c r="U77" s="228" t="s">
        <v>128</v>
      </c>
      <c r="V77" s="224"/>
      <c r="W77" s="225"/>
      <c r="X77" s="222">
        <f t="shared" si="3"/>
        <v>0</v>
      </c>
      <c r="Y77" s="241">
        <f t="shared" si="4"/>
        <v>0</v>
      </c>
      <c r="Z77" s="242">
        <f t="shared" si="5"/>
        <v>0</v>
      </c>
      <c r="AA77" s="243">
        <f t="shared" si="6"/>
        <v>0</v>
      </c>
      <c r="AB77" s="126">
        <f t="shared" si="7"/>
        <v>0</v>
      </c>
    </row>
    <row r="78" spans="8:28" x14ac:dyDescent="0.25">
      <c r="S78" s="109">
        <v>28</v>
      </c>
      <c r="T78" s="222">
        <v>297.54000000000002</v>
      </c>
      <c r="U78" s="228" t="s">
        <v>100</v>
      </c>
      <c r="V78" s="224"/>
      <c r="W78" s="225"/>
      <c r="X78" s="222">
        <f t="shared" si="3"/>
        <v>0</v>
      </c>
      <c r="Y78" s="241">
        <f t="shared" si="4"/>
        <v>0</v>
      </c>
      <c r="Z78" s="242">
        <f t="shared" si="5"/>
        <v>0</v>
      </c>
      <c r="AA78" s="243">
        <f t="shared" si="6"/>
        <v>0</v>
      </c>
      <c r="AB78" s="126">
        <f t="shared" si="7"/>
        <v>0</v>
      </c>
    </row>
    <row r="79" spans="8:28" x14ac:dyDescent="0.25">
      <c r="S79" s="109">
        <v>29</v>
      </c>
      <c r="T79" s="222">
        <v>323.57</v>
      </c>
      <c r="U79" s="228" t="s">
        <v>129</v>
      </c>
      <c r="V79" s="224"/>
      <c r="W79" s="225"/>
      <c r="X79" s="222">
        <f t="shared" si="3"/>
        <v>0</v>
      </c>
      <c r="Y79" s="241">
        <f t="shared" si="4"/>
        <v>0</v>
      </c>
      <c r="Z79" s="242">
        <f t="shared" si="5"/>
        <v>0</v>
      </c>
      <c r="AA79" s="243">
        <f t="shared" si="6"/>
        <v>0</v>
      </c>
      <c r="AB79" s="126">
        <f t="shared" si="7"/>
        <v>0</v>
      </c>
    </row>
    <row r="80" spans="8:28" ht="15.75" thickBot="1" x14ac:dyDescent="0.3">
      <c r="S80" s="112">
        <v>30</v>
      </c>
      <c r="T80" s="185">
        <v>294.95</v>
      </c>
      <c r="U80" s="186" t="s">
        <v>130</v>
      </c>
      <c r="V80" s="114"/>
      <c r="W80" s="116"/>
      <c r="X80" s="185">
        <f t="shared" si="3"/>
        <v>0</v>
      </c>
      <c r="Y80" s="187">
        <f t="shared" si="4"/>
        <v>0</v>
      </c>
      <c r="Z80" s="188">
        <f t="shared" si="5"/>
        <v>0</v>
      </c>
      <c r="AA80" s="119">
        <f t="shared" si="6"/>
        <v>0</v>
      </c>
      <c r="AB80" s="126">
        <f t="shared" si="7"/>
        <v>0</v>
      </c>
    </row>
    <row r="81" spans="17:28" x14ac:dyDescent="0.25">
      <c r="X81" s="106">
        <f>SUM(X66:X80)</f>
        <v>15</v>
      </c>
      <c r="Y81" s="136">
        <f>SUM(Y66:Y80)</f>
        <v>0</v>
      </c>
      <c r="Z81" s="108">
        <f>SUM(Z66:Z80)</f>
        <v>0</v>
      </c>
      <c r="AA81" s="106">
        <f>SUM(AA66:AA80)</f>
        <v>0</v>
      </c>
    </row>
    <row r="82" spans="17:28" hidden="1" x14ac:dyDescent="0.25"/>
    <row r="83" spans="17:28" hidden="1" x14ac:dyDescent="0.25">
      <c r="R83" s="107"/>
      <c r="S83" s="120" t="s">
        <v>86</v>
      </c>
      <c r="T83" s="121" t="s">
        <v>90</v>
      </c>
      <c r="U83" s="122" t="s">
        <v>87</v>
      </c>
      <c r="V83" s="123"/>
      <c r="W83" s="124"/>
      <c r="X83" s="121" t="s">
        <v>88</v>
      </c>
      <c r="Y83" s="121" t="s">
        <v>89</v>
      </c>
      <c r="Z83" s="121" t="s">
        <v>91</v>
      </c>
      <c r="AA83" s="125" t="s">
        <v>92</v>
      </c>
      <c r="AB83" s="131" t="s">
        <v>94</v>
      </c>
    </row>
    <row r="84" spans="17:28" hidden="1" x14ac:dyDescent="0.25">
      <c r="Q84" s="148" t="e">
        <f>#REF!</f>
        <v>#REF!</v>
      </c>
      <c r="S84" s="109">
        <v>3</v>
      </c>
      <c r="T84" s="128">
        <v>206</v>
      </c>
      <c r="U84" s="132" t="s">
        <v>80</v>
      </c>
      <c r="V84" s="133"/>
      <c r="W84" s="134"/>
      <c r="X84" s="128">
        <f>SUMIFS($R$13:$R$62,$AD$13:$AD$62,S84,$B$13:$B$62,$R$83)</f>
        <v>0</v>
      </c>
      <c r="Y84" s="129">
        <f>SUMIFS($P$13:P$62,$AD$13:AD$62,S84,$B$13:B$62,$R$83)</f>
        <v>0</v>
      </c>
      <c r="Z84" s="130">
        <f>Y84*T84</f>
        <v>0</v>
      </c>
      <c r="AA84" s="110">
        <f>Z84/44</f>
        <v>0</v>
      </c>
      <c r="AB84" s="126">
        <f>X84/5</f>
        <v>0</v>
      </c>
    </row>
    <row r="85" spans="17:28" ht="15.75" hidden="1" x14ac:dyDescent="0.25">
      <c r="Q85" s="152" t="e">
        <f>#REF!</f>
        <v>#REF!</v>
      </c>
      <c r="S85" s="109">
        <v>4</v>
      </c>
      <c r="T85" s="128">
        <v>220</v>
      </c>
      <c r="U85" s="132" t="s">
        <v>83</v>
      </c>
      <c r="V85" s="133"/>
      <c r="W85" s="134"/>
      <c r="X85" s="128">
        <f>SUMIFS($R$13:$R$62,$AD$13:$AD$62,S85,$B$13:$B$62,$R$83)</f>
        <v>0</v>
      </c>
      <c r="Y85" s="129">
        <f>SUMIFS($P$13:P$62,$AD$13:AD$62,S85,$B$13:B$62,$R$83)</f>
        <v>0</v>
      </c>
      <c r="Z85" s="130">
        <f t="shared" ref="Z85:Z98" si="8">Y85*T85</f>
        <v>0</v>
      </c>
      <c r="AA85" s="110">
        <f t="shared" ref="AA85:AA98" si="9">Z85/44</f>
        <v>0</v>
      </c>
      <c r="AB85" s="126">
        <f t="shared" ref="AB85:AB99" si="10">X85/5</f>
        <v>0</v>
      </c>
    </row>
    <row r="86" spans="17:28" hidden="1" x14ac:dyDescent="0.25">
      <c r="S86" s="111">
        <v>5</v>
      </c>
      <c r="T86" s="128">
        <v>285</v>
      </c>
      <c r="U86" s="132" t="s">
        <v>84</v>
      </c>
      <c r="V86" s="133"/>
      <c r="W86" s="133"/>
      <c r="X86" s="128">
        <f>SUMIFS($R$13:$R$62,$AD$13:$AD$62,S86,$B$13:$B$62,$R$83)</f>
        <v>0</v>
      </c>
      <c r="Y86" s="129">
        <f>SUMIFS($P$13:P$62,$AD$13:AD$62,S86,$B$13:B$62,$R$83)</f>
        <v>0</v>
      </c>
      <c r="Z86" s="130">
        <f t="shared" si="8"/>
        <v>0</v>
      </c>
      <c r="AA86" s="110">
        <f t="shared" si="9"/>
        <v>0</v>
      </c>
      <c r="AB86" s="126">
        <f t="shared" si="10"/>
        <v>0</v>
      </c>
    </row>
    <row r="87" spans="17:28" hidden="1" x14ac:dyDescent="0.25">
      <c r="Q87" s="148" t="e">
        <f>#REF!</f>
        <v>#REF!</v>
      </c>
      <c r="S87" s="111">
        <v>6</v>
      </c>
      <c r="T87" s="128">
        <v>200</v>
      </c>
      <c r="U87" s="132" t="s">
        <v>85</v>
      </c>
      <c r="V87" s="133"/>
      <c r="W87" s="134"/>
      <c r="X87" s="128">
        <f>SUMIFS($R$13:$R$62,$AD$13:$AD$62,S87,$B$13:$B$62,$R$83)</f>
        <v>0</v>
      </c>
      <c r="Y87" s="129">
        <f>SUMIFS($P$13:P$62,$AD$13:AD$62,S87,$B$13:B$62,$R$83)</f>
        <v>0</v>
      </c>
      <c r="Z87" s="130">
        <f t="shared" si="8"/>
        <v>0</v>
      </c>
      <c r="AA87" s="110">
        <f t="shared" si="9"/>
        <v>0</v>
      </c>
      <c r="AB87" s="126">
        <f t="shared" si="10"/>
        <v>0</v>
      </c>
    </row>
    <row r="88" spans="17:28" ht="15.75" hidden="1" x14ac:dyDescent="0.25">
      <c r="Q88" s="152" t="e">
        <f>#REF!</f>
        <v>#REF!</v>
      </c>
      <c r="S88" s="111">
        <v>7</v>
      </c>
      <c r="T88" s="128">
        <v>199</v>
      </c>
      <c r="U88" s="132" t="s">
        <v>98</v>
      </c>
      <c r="V88" s="133"/>
      <c r="W88" s="134"/>
      <c r="X88" s="128">
        <f>SUMIFS($R$13:$R$62,$AD$13:$AD$62,S88,$B$13:$B$62,$R$83)</f>
        <v>0</v>
      </c>
      <c r="Y88" s="129">
        <f>SUMIFS($P$13:P$62,$AD$13:AD$62,S88,$B$13:B$62,$R$83)</f>
        <v>0</v>
      </c>
      <c r="Z88" s="130">
        <f t="shared" si="8"/>
        <v>0</v>
      </c>
      <c r="AA88" s="110">
        <f t="shared" si="9"/>
        <v>0</v>
      </c>
      <c r="AB88" s="126">
        <f t="shared" si="10"/>
        <v>0</v>
      </c>
    </row>
    <row r="89" spans="17:28" hidden="1" x14ac:dyDescent="0.25">
      <c r="S89" s="109">
        <v>8</v>
      </c>
      <c r="T89" s="128">
        <v>160</v>
      </c>
      <c r="U89" s="132" t="s">
        <v>76</v>
      </c>
      <c r="V89" s="133"/>
      <c r="W89" s="134"/>
      <c r="X89" s="128">
        <f>SUMIFS($R$13:$R$62,$D$13:$D$62,U89,$B$13:$B$62,$R$83)</f>
        <v>0</v>
      </c>
      <c r="Y89" s="129">
        <f>SUMIFS($P$13:P$62,$D$13:D$62,U89,$B$13:B$62,$R$83)</f>
        <v>0</v>
      </c>
      <c r="Z89" s="130">
        <f t="shared" si="8"/>
        <v>0</v>
      </c>
      <c r="AA89" s="110">
        <f t="shared" si="9"/>
        <v>0</v>
      </c>
      <c r="AB89" s="126">
        <f t="shared" si="10"/>
        <v>0</v>
      </c>
    </row>
    <row r="90" spans="17:28" hidden="1" x14ac:dyDescent="0.25">
      <c r="S90" s="109">
        <v>8</v>
      </c>
      <c r="T90" s="128">
        <v>160</v>
      </c>
      <c r="U90" s="132" t="s">
        <v>75</v>
      </c>
      <c r="V90" s="133"/>
      <c r="W90" s="134"/>
      <c r="X90" s="128">
        <f>SUMIFS($R$13:$R$62,$D$13:$D$62,U90,$B$13:$B$62,$R$83)</f>
        <v>0</v>
      </c>
      <c r="Y90" s="129">
        <f>SUMIFS($P$13:P$62,$D$13:D$62,U90,$B$13:B$62,$R$83)</f>
        <v>0</v>
      </c>
      <c r="Z90" s="130">
        <f t="shared" si="8"/>
        <v>0</v>
      </c>
      <c r="AA90" s="110">
        <f t="shared" si="9"/>
        <v>0</v>
      </c>
      <c r="AB90" s="126">
        <f t="shared" si="10"/>
        <v>0</v>
      </c>
    </row>
    <row r="91" spans="17:28" hidden="1" x14ac:dyDescent="0.25">
      <c r="S91" s="109">
        <v>8</v>
      </c>
      <c r="T91" s="128">
        <v>160</v>
      </c>
      <c r="U91" s="132" t="s">
        <v>77</v>
      </c>
      <c r="V91" s="133"/>
      <c r="W91" s="134"/>
      <c r="X91" s="128">
        <f>SUMIFS($R$13:$R$62,$D$13:$D$62,U91,$B$13:$B$62,$R$83)</f>
        <v>0</v>
      </c>
      <c r="Y91" s="129">
        <f>SUMIFS($P$13:P$62,$D$13:D$62,U91,$B$13:B$62,$R$83)</f>
        <v>0</v>
      </c>
      <c r="Z91" s="130">
        <f t="shared" si="8"/>
        <v>0</v>
      </c>
      <c r="AA91" s="110">
        <f t="shared" si="9"/>
        <v>0</v>
      </c>
      <c r="AB91" s="126">
        <f t="shared" si="10"/>
        <v>0</v>
      </c>
    </row>
    <row r="92" spans="17:28" hidden="1" x14ac:dyDescent="0.25">
      <c r="S92" s="109">
        <v>9</v>
      </c>
      <c r="T92" s="128">
        <v>200</v>
      </c>
      <c r="U92" s="132" t="s">
        <v>97</v>
      </c>
      <c r="V92" s="133"/>
      <c r="W92" s="134"/>
      <c r="X92" s="128">
        <f t="shared" ref="X92:X98" si="11">SUMIFS($R$13:$R$62,$AD$13:$AD$62,S92,$B$13:$B$62,$R$83)</f>
        <v>0</v>
      </c>
      <c r="Y92" s="129">
        <f>SUMIFS($P$13:P$62,$AD$13:AD$62,S92,$B$13:B$62,$R$83)</f>
        <v>0</v>
      </c>
      <c r="Z92" s="130">
        <f t="shared" si="8"/>
        <v>0</v>
      </c>
      <c r="AA92" s="110">
        <f t="shared" si="9"/>
        <v>0</v>
      </c>
      <c r="AB92" s="126">
        <f t="shared" si="10"/>
        <v>0</v>
      </c>
    </row>
    <row r="93" spans="17:28" hidden="1" x14ac:dyDescent="0.25">
      <c r="S93" s="109">
        <v>10</v>
      </c>
      <c r="T93" s="128">
        <v>200</v>
      </c>
      <c r="U93" s="132" t="s">
        <v>82</v>
      </c>
      <c r="V93" s="133"/>
      <c r="W93" s="134"/>
      <c r="X93" s="128">
        <f t="shared" si="11"/>
        <v>0</v>
      </c>
      <c r="Y93" s="129">
        <f>SUMIFS($P$13:P$62,$AD$13:AD$62,S93,$B$13:B$62,$R$83)</f>
        <v>0</v>
      </c>
      <c r="Z93" s="130">
        <f t="shared" si="8"/>
        <v>0</v>
      </c>
      <c r="AA93" s="110">
        <f t="shared" si="9"/>
        <v>0</v>
      </c>
      <c r="AB93" s="126">
        <f t="shared" si="10"/>
        <v>0</v>
      </c>
    </row>
    <row r="94" spans="17:28" hidden="1" x14ac:dyDescent="0.25">
      <c r="S94" s="109">
        <v>12</v>
      </c>
      <c r="T94" s="128">
        <v>149</v>
      </c>
      <c r="U94" s="132" t="s">
        <v>78</v>
      </c>
      <c r="V94" s="133"/>
      <c r="W94" s="134"/>
      <c r="X94" s="128">
        <f t="shared" si="11"/>
        <v>0</v>
      </c>
      <c r="Y94" s="129">
        <f>SUMIFS($P$13:P$62,$AD$13:AD$62,S94,$B$13:B$62,$R$83)</f>
        <v>0</v>
      </c>
      <c r="Z94" s="130">
        <f t="shared" si="8"/>
        <v>0</v>
      </c>
      <c r="AA94" s="110">
        <f t="shared" si="9"/>
        <v>0</v>
      </c>
      <c r="AB94" s="126">
        <f t="shared" si="10"/>
        <v>0</v>
      </c>
    </row>
    <row r="95" spans="17:28" hidden="1" x14ac:dyDescent="0.25">
      <c r="S95" s="137">
        <v>14</v>
      </c>
      <c r="T95" s="142">
        <v>172.9</v>
      </c>
      <c r="U95" s="143" t="s">
        <v>81</v>
      </c>
      <c r="V95" s="144"/>
      <c r="W95" s="145"/>
      <c r="X95" s="142">
        <f t="shared" si="11"/>
        <v>0</v>
      </c>
      <c r="Y95" s="151">
        <f>SUMIFS($P$13:P$62,$AD$13:AD$62,S95,$B$13:B$62,$R$83)</f>
        <v>0</v>
      </c>
      <c r="Z95" s="147">
        <f t="shared" si="8"/>
        <v>0</v>
      </c>
      <c r="AA95" s="138">
        <f t="shared" si="9"/>
        <v>0</v>
      </c>
      <c r="AB95" s="126">
        <f t="shared" si="10"/>
        <v>0</v>
      </c>
    </row>
    <row r="96" spans="17:28" hidden="1" x14ac:dyDescent="0.25">
      <c r="S96" s="137">
        <v>28</v>
      </c>
      <c r="T96" s="155">
        <v>200</v>
      </c>
      <c r="U96" s="156" t="s">
        <v>101</v>
      </c>
      <c r="V96" s="157"/>
      <c r="W96" s="158"/>
      <c r="X96" s="155">
        <f t="shared" si="11"/>
        <v>0</v>
      </c>
      <c r="Y96" s="159">
        <f>SUMIFS($P$13:P$62,$AD$13:AD$62,S96,$B$13:B$62,$R$83)</f>
        <v>0</v>
      </c>
      <c r="Z96" s="160">
        <f t="shared" si="8"/>
        <v>0</v>
      </c>
      <c r="AA96" s="138">
        <f t="shared" si="9"/>
        <v>0</v>
      </c>
      <c r="AB96" s="126">
        <f t="shared" si="10"/>
        <v>0</v>
      </c>
    </row>
    <row r="97" spans="19:28" hidden="1" x14ac:dyDescent="0.25">
      <c r="S97" s="137">
        <v>15</v>
      </c>
      <c r="T97" s="155">
        <v>55</v>
      </c>
      <c r="U97" s="156" t="s">
        <v>101</v>
      </c>
      <c r="V97" s="157"/>
      <c r="W97" s="158"/>
      <c r="X97" s="155">
        <f t="shared" si="11"/>
        <v>0</v>
      </c>
      <c r="Y97" s="159">
        <f>SUMIFS($P$13:P$62,$AD$13:AD$62,S97,$B$13:B$62,$R$83)</f>
        <v>0</v>
      </c>
      <c r="Z97" s="160">
        <f t="shared" si="8"/>
        <v>0</v>
      </c>
      <c r="AA97" s="138">
        <f t="shared" si="9"/>
        <v>0</v>
      </c>
      <c r="AB97" s="126">
        <f t="shared" si="10"/>
        <v>0</v>
      </c>
    </row>
    <row r="98" spans="19:28" ht="15.75" hidden="1" thickBot="1" x14ac:dyDescent="0.3">
      <c r="S98" s="112">
        <v>30</v>
      </c>
      <c r="T98" s="113">
        <v>189</v>
      </c>
      <c r="U98" s="114" t="s">
        <v>95</v>
      </c>
      <c r="V98" s="115"/>
      <c r="W98" s="116"/>
      <c r="X98" s="113">
        <f t="shared" si="11"/>
        <v>0</v>
      </c>
      <c r="Y98" s="127">
        <f>SUMIFS($P$13:P$62,$AD$13:AD$62,S98,$B$13:B$62,$R$83)</f>
        <v>0</v>
      </c>
      <c r="Z98" s="118">
        <f t="shared" si="8"/>
        <v>0</v>
      </c>
      <c r="AA98" s="119">
        <f t="shared" si="9"/>
        <v>0</v>
      </c>
      <c r="AB98" s="126">
        <f t="shared" si="10"/>
        <v>0</v>
      </c>
    </row>
    <row r="99" spans="19:28" hidden="1" x14ac:dyDescent="0.25">
      <c r="X99" s="106">
        <f>SUM(X84:X98)</f>
        <v>0</v>
      </c>
      <c r="Y99" s="136">
        <f>SUM(Y84:Y98)</f>
        <v>0</v>
      </c>
      <c r="Z99" s="108">
        <f>SUM(Z84:Z98)</f>
        <v>0</v>
      </c>
      <c r="AA99" s="106">
        <f>SUM(AA84:AA98)</f>
        <v>0</v>
      </c>
      <c r="AB99" s="126">
        <f t="shared" si="10"/>
        <v>0</v>
      </c>
    </row>
  </sheetData>
  <autoFilter ref="A12:AN63" xr:uid="{00000000-0001-0000-0200-000000000000}"/>
  <mergeCells count="31">
    <mergeCell ref="C2:X3"/>
    <mergeCell ref="AA2:AC2"/>
    <mergeCell ref="AA3:AC3"/>
    <mergeCell ref="E5:F5"/>
    <mergeCell ref="G5:X8"/>
    <mergeCell ref="Y5:AB5"/>
    <mergeCell ref="E6:E7"/>
    <mergeCell ref="F6:F7"/>
    <mergeCell ref="Y8:AB8"/>
    <mergeCell ref="C10:AC10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T11:U11"/>
    <mergeCell ref="V11:W11"/>
    <mergeCell ref="X11:Y11"/>
    <mergeCell ref="Z11:AA11"/>
    <mergeCell ref="AB11:AC11"/>
    <mergeCell ref="P11:P12"/>
    <mergeCell ref="Q11:S11"/>
    <mergeCell ref="L63:M63"/>
    <mergeCell ref="L11:L12"/>
    <mergeCell ref="M11:M12"/>
    <mergeCell ref="N11:N12"/>
    <mergeCell ref="O11:O12"/>
  </mergeCells>
  <pageMargins left="0.23622047244094491" right="0.23622047244094491" top="0.35433070866141736" bottom="0.35433070866141736" header="0.31496062992125984" footer="0.31496062992125984"/>
  <pageSetup paperSize="8" scale="52" fitToHeight="0" orientation="landscape" r:id="rId1"/>
  <rowBreaks count="1" manualBreakCount="1">
    <brk id="49" min="1" max="2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7A0A-BB3A-4E07-84A4-3D5E29036A60}">
  <dimension ref="A1:N3417"/>
  <sheetViews>
    <sheetView tabSelected="1" zoomScale="85" zoomScaleNormal="85" workbookViewId="0">
      <selection activeCell="D8" sqref="D8"/>
    </sheetView>
  </sheetViews>
  <sheetFormatPr defaultRowHeight="15" x14ac:dyDescent="0.25"/>
  <cols>
    <col min="1" max="1" width="15.7109375" bestFit="1" customWidth="1"/>
    <col min="2" max="2" width="30" bestFit="1" customWidth="1"/>
    <col min="3" max="3" width="15.28515625" bestFit="1" customWidth="1"/>
    <col min="4" max="4" width="17.85546875" bestFit="1" customWidth="1"/>
    <col min="5" max="5" width="31.42578125" customWidth="1"/>
    <col min="6" max="6" width="30.7109375" bestFit="1" customWidth="1"/>
    <col min="7" max="7" width="22.140625" bestFit="1" customWidth="1"/>
    <col min="8" max="8" width="28" bestFit="1" customWidth="1"/>
    <col min="9" max="9" width="12.7109375" bestFit="1" customWidth="1"/>
    <col min="10" max="11" width="10.28515625" customWidth="1"/>
    <col min="12" max="12" width="15.28515625" bestFit="1" customWidth="1"/>
    <col min="13" max="13" width="16.7109375" customWidth="1"/>
    <col min="14" max="14" width="34.5703125" customWidth="1"/>
  </cols>
  <sheetData>
    <row r="1" spans="1:14" x14ac:dyDescent="0.25">
      <c r="A1" s="245" t="s">
        <v>1306</v>
      </c>
      <c r="B1" s="245" t="s">
        <v>1307</v>
      </c>
      <c r="C1" s="245" t="s">
        <v>1308</v>
      </c>
      <c r="D1" s="247" t="s">
        <v>24</v>
      </c>
      <c r="E1" s="247" t="s">
        <v>1309</v>
      </c>
      <c r="F1" s="245" t="s">
        <v>1310</v>
      </c>
      <c r="G1" s="245" t="s">
        <v>1311</v>
      </c>
      <c r="H1" s="244" t="s">
        <v>1312</v>
      </c>
      <c r="I1" s="245" t="s">
        <v>28</v>
      </c>
      <c r="J1" s="246" t="s">
        <v>166</v>
      </c>
      <c r="K1" s="246" t="s">
        <v>167</v>
      </c>
      <c r="L1" s="247" t="s">
        <v>7850</v>
      </c>
      <c r="M1" s="250" t="s">
        <v>18</v>
      </c>
      <c r="N1" s="248" t="s">
        <v>1313</v>
      </c>
    </row>
    <row r="2" spans="1:14" x14ac:dyDescent="0.25">
      <c r="A2" s="252" t="s">
        <v>74</v>
      </c>
      <c r="B2" s="252" t="s">
        <v>1224</v>
      </c>
      <c r="C2" s="253">
        <v>0</v>
      </c>
      <c r="D2" s="252">
        <v>50592</v>
      </c>
      <c r="E2" s="252" t="s">
        <v>191</v>
      </c>
      <c r="F2" s="254" t="s">
        <v>2707</v>
      </c>
      <c r="G2" s="252" t="s">
        <v>2708</v>
      </c>
      <c r="H2" s="252" t="s">
        <v>2709</v>
      </c>
      <c r="I2" s="252">
        <v>7</v>
      </c>
      <c r="J2" s="255">
        <v>1</v>
      </c>
      <c r="K2" s="255">
        <v>1</v>
      </c>
      <c r="L2" s="255"/>
      <c r="M2" s="256">
        <v>3.2303999999999999E-2</v>
      </c>
      <c r="N2" s="249">
        <v>1</v>
      </c>
    </row>
    <row r="3" spans="1:14" x14ac:dyDescent="0.25">
      <c r="A3" s="252" t="s">
        <v>74</v>
      </c>
      <c r="B3" s="252" t="s">
        <v>1224</v>
      </c>
      <c r="C3" s="253">
        <v>0</v>
      </c>
      <c r="D3" s="252">
        <v>50592</v>
      </c>
      <c r="E3" s="252" t="s">
        <v>145</v>
      </c>
      <c r="F3" s="254" t="s">
        <v>2707</v>
      </c>
      <c r="G3" s="252" t="s">
        <v>2710</v>
      </c>
      <c r="H3" s="252" t="s">
        <v>2711</v>
      </c>
      <c r="I3" s="252">
        <v>7</v>
      </c>
      <c r="J3" s="255">
        <v>1</v>
      </c>
      <c r="K3" s="255">
        <v>1</v>
      </c>
      <c r="L3" s="255"/>
      <c r="M3" s="256">
        <v>1.9388999999999997E-2</v>
      </c>
      <c r="N3" s="249">
        <v>2</v>
      </c>
    </row>
    <row r="4" spans="1:14" x14ac:dyDescent="0.25">
      <c r="A4" s="252" t="s">
        <v>74</v>
      </c>
      <c r="B4" s="252" t="s">
        <v>1224</v>
      </c>
      <c r="C4" s="253">
        <v>0</v>
      </c>
      <c r="D4" s="252">
        <v>50592</v>
      </c>
      <c r="E4" s="252" t="s">
        <v>191</v>
      </c>
      <c r="F4" s="254" t="s">
        <v>2707</v>
      </c>
      <c r="G4" s="252" t="s">
        <v>1331</v>
      </c>
      <c r="H4" s="252" t="s">
        <v>2712</v>
      </c>
      <c r="I4" s="252">
        <v>7</v>
      </c>
      <c r="J4" s="255">
        <v>1</v>
      </c>
      <c r="K4" s="255">
        <v>1</v>
      </c>
      <c r="L4" s="255"/>
      <c r="M4" s="256">
        <v>2.4137999999999996E-2</v>
      </c>
      <c r="N4" s="249">
        <v>3</v>
      </c>
    </row>
    <row r="5" spans="1:14" x14ac:dyDescent="0.25">
      <c r="A5" s="252" t="s">
        <v>74</v>
      </c>
      <c r="B5" s="252" t="s">
        <v>1224</v>
      </c>
      <c r="C5" s="253">
        <v>0</v>
      </c>
      <c r="D5" s="252">
        <v>50592</v>
      </c>
      <c r="E5" s="252" t="s">
        <v>145</v>
      </c>
      <c r="F5" s="254" t="s">
        <v>2707</v>
      </c>
      <c r="G5" s="252" t="s">
        <v>2713</v>
      </c>
      <c r="H5" s="252" t="s">
        <v>2714</v>
      </c>
      <c r="I5" s="252">
        <v>7</v>
      </c>
      <c r="J5" s="255">
        <v>1</v>
      </c>
      <c r="K5" s="255">
        <v>1</v>
      </c>
      <c r="L5" s="255"/>
      <c r="M5" s="256">
        <v>9.8250000000000004E-3</v>
      </c>
      <c r="N5" s="249">
        <v>4</v>
      </c>
    </row>
    <row r="6" spans="1:14" x14ac:dyDescent="0.25">
      <c r="A6" s="252" t="s">
        <v>74</v>
      </c>
      <c r="B6" s="252" t="s">
        <v>1224</v>
      </c>
      <c r="C6" s="253">
        <v>0</v>
      </c>
      <c r="D6" s="252">
        <v>50592</v>
      </c>
      <c r="E6" s="252" t="s">
        <v>191</v>
      </c>
      <c r="F6" s="254" t="s">
        <v>2707</v>
      </c>
      <c r="G6" s="252" t="s">
        <v>2715</v>
      </c>
      <c r="H6" s="252" t="s">
        <v>2716</v>
      </c>
      <c r="I6" s="252">
        <v>7</v>
      </c>
      <c r="J6" s="255">
        <v>1</v>
      </c>
      <c r="K6" s="255">
        <v>1</v>
      </c>
      <c r="L6" s="255"/>
      <c r="M6" s="256">
        <v>2.4137999999999996E-2</v>
      </c>
      <c r="N6" s="249">
        <v>5</v>
      </c>
    </row>
    <row r="7" spans="1:14" x14ac:dyDescent="0.25">
      <c r="A7" s="252" t="s">
        <v>74</v>
      </c>
      <c r="B7" s="252" t="s">
        <v>1224</v>
      </c>
      <c r="C7" s="253">
        <v>0</v>
      </c>
      <c r="D7" s="252">
        <v>50592</v>
      </c>
      <c r="E7" s="252" t="s">
        <v>145</v>
      </c>
      <c r="F7" s="254" t="s">
        <v>2707</v>
      </c>
      <c r="G7" s="252" t="s">
        <v>2717</v>
      </c>
      <c r="H7" s="252" t="s">
        <v>2718</v>
      </c>
      <c r="I7" s="252">
        <v>7</v>
      </c>
      <c r="J7" s="255">
        <v>1</v>
      </c>
      <c r="K7" s="255">
        <v>1</v>
      </c>
      <c r="L7" s="255"/>
      <c r="M7" s="256">
        <v>1.4435999999999997E-2</v>
      </c>
      <c r="N7" s="249">
        <v>6</v>
      </c>
    </row>
    <row r="8" spans="1:14" x14ac:dyDescent="0.25">
      <c r="A8" s="252" t="s">
        <v>74</v>
      </c>
      <c r="B8" s="252" t="s">
        <v>1224</v>
      </c>
      <c r="C8" s="253">
        <v>0</v>
      </c>
      <c r="D8" s="252">
        <v>50592</v>
      </c>
      <c r="E8" s="252" t="s">
        <v>191</v>
      </c>
      <c r="F8" s="254" t="s">
        <v>2707</v>
      </c>
      <c r="G8" s="252" t="s">
        <v>2719</v>
      </c>
      <c r="H8" s="252" t="s">
        <v>2720</v>
      </c>
      <c r="I8" s="252">
        <v>7</v>
      </c>
      <c r="J8" s="255">
        <v>1</v>
      </c>
      <c r="K8" s="255">
        <v>1</v>
      </c>
      <c r="L8" s="255"/>
      <c r="M8" s="256">
        <v>2.4137999999999996E-2</v>
      </c>
      <c r="N8" s="249">
        <v>7</v>
      </c>
    </row>
    <row r="9" spans="1:14" x14ac:dyDescent="0.25">
      <c r="A9" s="252" t="s">
        <v>74</v>
      </c>
      <c r="B9" s="252" t="s">
        <v>1224</v>
      </c>
      <c r="C9" s="253">
        <v>0</v>
      </c>
      <c r="D9" s="252">
        <v>50592</v>
      </c>
      <c r="E9" s="252" t="s">
        <v>145</v>
      </c>
      <c r="F9" s="254" t="s">
        <v>2707</v>
      </c>
      <c r="G9" s="252" t="s">
        <v>2721</v>
      </c>
      <c r="H9" s="252" t="s">
        <v>2722</v>
      </c>
      <c r="I9" s="252">
        <v>7</v>
      </c>
      <c r="J9" s="255">
        <v>1</v>
      </c>
      <c r="K9" s="255">
        <v>1</v>
      </c>
      <c r="L9" s="255"/>
      <c r="M9" s="256">
        <v>1.4834999999999999E-2</v>
      </c>
      <c r="N9" s="249">
        <v>8</v>
      </c>
    </row>
    <row r="10" spans="1:14" x14ac:dyDescent="0.25">
      <c r="A10" s="252" t="s">
        <v>74</v>
      </c>
      <c r="B10" s="252" t="s">
        <v>1224</v>
      </c>
      <c r="C10" s="253">
        <v>0</v>
      </c>
      <c r="D10" s="252">
        <v>50592</v>
      </c>
      <c r="E10" s="252" t="s">
        <v>145</v>
      </c>
      <c r="F10" s="254" t="s">
        <v>2723</v>
      </c>
      <c r="G10" s="252" t="s">
        <v>2724</v>
      </c>
      <c r="H10" s="252" t="s">
        <v>2725</v>
      </c>
      <c r="I10" s="252">
        <v>7</v>
      </c>
      <c r="J10" s="255">
        <v>1</v>
      </c>
      <c r="K10" s="255">
        <v>1</v>
      </c>
      <c r="L10" s="255"/>
      <c r="M10" s="256">
        <v>3.8997000000000004E-2</v>
      </c>
      <c r="N10" s="249">
        <v>9</v>
      </c>
    </row>
    <row r="11" spans="1:14" x14ac:dyDescent="0.25">
      <c r="A11" s="252" t="s">
        <v>74</v>
      </c>
      <c r="B11" s="252" t="s">
        <v>1273</v>
      </c>
      <c r="C11" s="253">
        <v>0</v>
      </c>
      <c r="D11" s="252">
        <v>50592</v>
      </c>
      <c r="E11" s="252" t="s">
        <v>190</v>
      </c>
      <c r="F11" s="254" t="s">
        <v>2726</v>
      </c>
      <c r="G11" s="252" t="s">
        <v>2727</v>
      </c>
      <c r="H11" s="252" t="s">
        <v>2728</v>
      </c>
      <c r="I11" s="252">
        <v>10</v>
      </c>
      <c r="J11" s="255">
        <v>1</v>
      </c>
      <c r="K11" s="255">
        <v>1</v>
      </c>
      <c r="L11" s="255"/>
      <c r="M11" s="256">
        <v>3.5699999999999995E-4</v>
      </c>
      <c r="N11" s="249">
        <v>10</v>
      </c>
    </row>
    <row r="12" spans="1:14" x14ac:dyDescent="0.25">
      <c r="A12" s="252" t="s">
        <v>135</v>
      </c>
      <c r="B12" s="252" t="s">
        <v>1226</v>
      </c>
      <c r="C12" s="253">
        <v>0</v>
      </c>
      <c r="D12" s="252">
        <v>67392</v>
      </c>
      <c r="E12" s="252" t="s">
        <v>133</v>
      </c>
      <c r="F12" s="254" t="s">
        <v>1238</v>
      </c>
      <c r="G12" s="252" t="s">
        <v>1315</v>
      </c>
      <c r="H12" s="252" t="s">
        <v>1256</v>
      </c>
      <c r="I12" s="252">
        <v>10</v>
      </c>
      <c r="J12" s="255">
        <v>1</v>
      </c>
      <c r="K12" s="255">
        <v>1</v>
      </c>
      <c r="L12" s="255"/>
      <c r="M12" s="256">
        <v>4.5950999999999999E-2</v>
      </c>
      <c r="N12" s="249">
        <v>11</v>
      </c>
    </row>
    <row r="13" spans="1:14" x14ac:dyDescent="0.25">
      <c r="A13" s="252" t="s">
        <v>135</v>
      </c>
      <c r="B13" s="252" t="s">
        <v>1226</v>
      </c>
      <c r="C13" s="253">
        <v>0</v>
      </c>
      <c r="D13" s="252">
        <v>67392</v>
      </c>
      <c r="E13" s="252" t="s">
        <v>133</v>
      </c>
      <c r="F13" s="254" t="s">
        <v>1238</v>
      </c>
      <c r="G13" s="252" t="s">
        <v>1316</v>
      </c>
      <c r="H13" s="252" t="s">
        <v>1317</v>
      </c>
      <c r="I13" s="252">
        <v>10</v>
      </c>
      <c r="J13" s="255">
        <v>1</v>
      </c>
      <c r="K13" s="255">
        <v>1</v>
      </c>
      <c r="L13" s="255"/>
      <c r="M13" s="256">
        <v>2.9645999999999995E-2</v>
      </c>
      <c r="N13" s="249">
        <v>12</v>
      </c>
    </row>
    <row r="14" spans="1:14" x14ac:dyDescent="0.25">
      <c r="A14" s="252" t="s">
        <v>135</v>
      </c>
      <c r="B14" s="252" t="s">
        <v>1226</v>
      </c>
      <c r="C14" s="253">
        <v>0</v>
      </c>
      <c r="D14" s="252">
        <v>67392</v>
      </c>
      <c r="E14" s="252" t="s">
        <v>133</v>
      </c>
      <c r="F14" s="254" t="s">
        <v>1238</v>
      </c>
      <c r="G14" s="252" t="s">
        <v>1318</v>
      </c>
      <c r="H14" s="252" t="s">
        <v>1319</v>
      </c>
      <c r="I14" s="252">
        <v>10</v>
      </c>
      <c r="J14" s="255">
        <v>1</v>
      </c>
      <c r="K14" s="255">
        <v>1</v>
      </c>
      <c r="L14" s="255"/>
      <c r="M14" s="256">
        <v>6.2699999999999995E-4</v>
      </c>
      <c r="N14" s="249">
        <v>13</v>
      </c>
    </row>
    <row r="15" spans="1:14" x14ac:dyDescent="0.25">
      <c r="A15" s="252" t="s">
        <v>135</v>
      </c>
      <c r="B15" s="252" t="s">
        <v>1226</v>
      </c>
      <c r="C15" s="253">
        <v>0</v>
      </c>
      <c r="D15" s="252">
        <v>67392</v>
      </c>
      <c r="E15" s="252" t="s">
        <v>133</v>
      </c>
      <c r="F15" s="254" t="s">
        <v>1238</v>
      </c>
      <c r="G15" s="252" t="s">
        <v>1320</v>
      </c>
      <c r="H15" s="252" t="s">
        <v>1321</v>
      </c>
      <c r="I15" s="252">
        <v>10</v>
      </c>
      <c r="J15" s="255">
        <v>1</v>
      </c>
      <c r="K15" s="255">
        <v>1</v>
      </c>
      <c r="L15" s="255"/>
      <c r="M15" s="256">
        <v>2.9645999999999995E-2</v>
      </c>
      <c r="N15" s="249">
        <v>14</v>
      </c>
    </row>
    <row r="16" spans="1:14" x14ac:dyDescent="0.25">
      <c r="A16" s="252" t="s">
        <v>135</v>
      </c>
      <c r="B16" s="252" t="s">
        <v>1226</v>
      </c>
      <c r="C16" s="253">
        <v>0</v>
      </c>
      <c r="D16" s="252">
        <v>67392</v>
      </c>
      <c r="E16" s="252" t="s">
        <v>133</v>
      </c>
      <c r="F16" s="254" t="s">
        <v>1238</v>
      </c>
      <c r="G16" s="252" t="s">
        <v>1322</v>
      </c>
      <c r="H16" s="252" t="s">
        <v>1323</v>
      </c>
      <c r="I16" s="252">
        <v>10</v>
      </c>
      <c r="J16" s="255">
        <v>1</v>
      </c>
      <c r="K16" s="255">
        <v>1</v>
      </c>
      <c r="L16" s="255"/>
      <c r="M16" s="256">
        <v>2.9645999999999995E-2</v>
      </c>
      <c r="N16" s="249">
        <v>15</v>
      </c>
    </row>
    <row r="17" spans="1:14" x14ac:dyDescent="0.25">
      <c r="A17" s="252" t="s">
        <v>135</v>
      </c>
      <c r="B17" s="252" t="s">
        <v>1226</v>
      </c>
      <c r="C17" s="253">
        <v>0</v>
      </c>
      <c r="D17" s="252">
        <v>67392</v>
      </c>
      <c r="E17" s="252" t="s">
        <v>133</v>
      </c>
      <c r="F17" s="254" t="s">
        <v>1238</v>
      </c>
      <c r="G17" s="252" t="s">
        <v>1324</v>
      </c>
      <c r="H17" s="252" t="s">
        <v>1325</v>
      </c>
      <c r="I17" s="252">
        <v>10</v>
      </c>
      <c r="J17" s="255">
        <v>1</v>
      </c>
      <c r="K17" s="255">
        <v>1</v>
      </c>
      <c r="L17" s="255"/>
      <c r="M17" s="256">
        <v>6.0299999999999991E-4</v>
      </c>
      <c r="N17" s="249">
        <v>16</v>
      </c>
    </row>
    <row r="18" spans="1:14" x14ac:dyDescent="0.25">
      <c r="A18" s="252" t="s">
        <v>135</v>
      </c>
      <c r="B18" s="252" t="s">
        <v>1226</v>
      </c>
      <c r="C18" s="253">
        <v>0</v>
      </c>
      <c r="D18" s="252">
        <v>67392</v>
      </c>
      <c r="E18" s="252" t="s">
        <v>133</v>
      </c>
      <c r="F18" s="254" t="s">
        <v>1238</v>
      </c>
      <c r="G18" s="252" t="s">
        <v>1326</v>
      </c>
      <c r="H18" s="252" t="s">
        <v>1327</v>
      </c>
      <c r="I18" s="252">
        <v>10</v>
      </c>
      <c r="J18" s="255">
        <v>1</v>
      </c>
      <c r="K18" s="255">
        <v>1</v>
      </c>
      <c r="L18" s="255"/>
      <c r="M18" s="256">
        <v>2.9645999999999995E-2</v>
      </c>
      <c r="N18" s="249">
        <v>17</v>
      </c>
    </row>
    <row r="19" spans="1:14" x14ac:dyDescent="0.25">
      <c r="A19" s="252" t="s">
        <v>135</v>
      </c>
      <c r="B19" s="252" t="s">
        <v>1226</v>
      </c>
      <c r="C19" s="253">
        <v>0</v>
      </c>
      <c r="D19" s="252">
        <v>67392</v>
      </c>
      <c r="E19" s="252" t="s">
        <v>133</v>
      </c>
      <c r="F19" s="254" t="s">
        <v>1238</v>
      </c>
      <c r="G19" s="252" t="s">
        <v>1328</v>
      </c>
      <c r="H19" s="252" t="s">
        <v>1329</v>
      </c>
      <c r="I19" s="252">
        <v>10</v>
      </c>
      <c r="J19" s="255">
        <v>1</v>
      </c>
      <c r="K19" s="255">
        <v>1</v>
      </c>
      <c r="L19" s="255"/>
      <c r="M19" s="256">
        <v>4.5950999999999999E-2</v>
      </c>
      <c r="N19" s="249">
        <v>18</v>
      </c>
    </row>
    <row r="20" spans="1:14" x14ac:dyDescent="0.25">
      <c r="A20" s="252" t="s">
        <v>135</v>
      </c>
      <c r="B20" s="252" t="s">
        <v>1228</v>
      </c>
      <c r="C20" s="253">
        <v>0</v>
      </c>
      <c r="D20" s="252">
        <v>50592</v>
      </c>
      <c r="E20" s="252" t="s">
        <v>191</v>
      </c>
      <c r="F20" s="254" t="s">
        <v>1245</v>
      </c>
      <c r="G20" s="252" t="s">
        <v>2729</v>
      </c>
      <c r="H20" s="252" t="s">
        <v>2730</v>
      </c>
      <c r="I20" s="252">
        <v>7</v>
      </c>
      <c r="J20" s="255">
        <v>1</v>
      </c>
      <c r="K20" s="255">
        <v>1</v>
      </c>
      <c r="L20" s="255"/>
      <c r="M20" s="256">
        <v>2.7314999999999996E-2</v>
      </c>
      <c r="N20" s="249">
        <v>19</v>
      </c>
    </row>
    <row r="21" spans="1:14" x14ac:dyDescent="0.25">
      <c r="A21" s="252" t="s">
        <v>135</v>
      </c>
      <c r="B21" s="252" t="s">
        <v>1228</v>
      </c>
      <c r="C21" s="253">
        <v>0</v>
      </c>
      <c r="D21" s="252">
        <v>50592</v>
      </c>
      <c r="E21" s="252" t="s">
        <v>191</v>
      </c>
      <c r="F21" s="254" t="s">
        <v>1245</v>
      </c>
      <c r="G21" s="252" t="s">
        <v>2731</v>
      </c>
      <c r="H21" s="252" t="s">
        <v>2732</v>
      </c>
      <c r="I21" s="252">
        <v>7</v>
      </c>
      <c r="J21" s="255">
        <v>1</v>
      </c>
      <c r="K21" s="255">
        <v>1</v>
      </c>
      <c r="L21" s="255"/>
      <c r="M21" s="256">
        <v>2.0951999999999998E-2</v>
      </c>
      <c r="N21" s="249">
        <v>20</v>
      </c>
    </row>
    <row r="22" spans="1:14" x14ac:dyDescent="0.25">
      <c r="A22" s="252" t="s">
        <v>135</v>
      </c>
      <c r="B22" s="252" t="s">
        <v>1228</v>
      </c>
      <c r="C22" s="253">
        <v>0</v>
      </c>
      <c r="D22" s="252">
        <v>50592</v>
      </c>
      <c r="E22" s="252" t="s">
        <v>191</v>
      </c>
      <c r="F22" s="254" t="s">
        <v>1246</v>
      </c>
      <c r="G22" s="252" t="s">
        <v>2733</v>
      </c>
      <c r="H22" s="252" t="s">
        <v>2734</v>
      </c>
      <c r="I22" s="252">
        <v>7</v>
      </c>
      <c r="J22" s="255">
        <v>1</v>
      </c>
      <c r="K22" s="255">
        <v>1</v>
      </c>
      <c r="L22" s="255"/>
      <c r="M22" s="256">
        <v>2.7314999999999996E-2</v>
      </c>
      <c r="N22" s="249">
        <v>21</v>
      </c>
    </row>
    <row r="23" spans="1:14" x14ac:dyDescent="0.25">
      <c r="A23" s="252" t="s">
        <v>135</v>
      </c>
      <c r="B23" s="252" t="s">
        <v>1228</v>
      </c>
      <c r="C23" s="253">
        <v>0</v>
      </c>
      <c r="D23" s="252">
        <v>50592</v>
      </c>
      <c r="E23" s="252" t="s">
        <v>191</v>
      </c>
      <c r="F23" s="254" t="s">
        <v>1246</v>
      </c>
      <c r="G23" s="252" t="s">
        <v>2735</v>
      </c>
      <c r="H23" s="252" t="s">
        <v>2736</v>
      </c>
      <c r="I23" s="252">
        <v>7</v>
      </c>
      <c r="J23" s="255">
        <v>1</v>
      </c>
      <c r="K23" s="255">
        <v>1</v>
      </c>
      <c r="L23" s="255"/>
      <c r="M23" s="256">
        <v>2.0951999999999998E-2</v>
      </c>
      <c r="N23" s="249">
        <v>22</v>
      </c>
    </row>
    <row r="24" spans="1:14" x14ac:dyDescent="0.25">
      <c r="A24" s="252" t="s">
        <v>135</v>
      </c>
      <c r="B24" s="252" t="s">
        <v>1228</v>
      </c>
      <c r="C24" s="253">
        <v>0</v>
      </c>
      <c r="D24" s="252">
        <v>50592</v>
      </c>
      <c r="E24" s="252" t="s">
        <v>191</v>
      </c>
      <c r="F24" s="254" t="s">
        <v>1247</v>
      </c>
      <c r="G24" s="252" t="s">
        <v>2737</v>
      </c>
      <c r="H24" s="252" t="s">
        <v>2738</v>
      </c>
      <c r="I24" s="252">
        <v>7</v>
      </c>
      <c r="J24" s="255">
        <v>1</v>
      </c>
      <c r="K24" s="255">
        <v>1</v>
      </c>
      <c r="L24" s="255"/>
      <c r="M24" s="256">
        <v>1.6863E-2</v>
      </c>
      <c r="N24" s="249">
        <v>23</v>
      </c>
    </row>
    <row r="25" spans="1:14" x14ac:dyDescent="0.25">
      <c r="A25" s="252" t="s">
        <v>135</v>
      </c>
      <c r="B25" s="252" t="s">
        <v>1228</v>
      </c>
      <c r="C25" s="253">
        <v>0</v>
      </c>
      <c r="D25" s="252">
        <v>50592</v>
      </c>
      <c r="E25" s="252" t="s">
        <v>191</v>
      </c>
      <c r="F25" s="254" t="s">
        <v>1330</v>
      </c>
      <c r="G25" s="252" t="s">
        <v>2739</v>
      </c>
      <c r="H25" s="252" t="s">
        <v>2740</v>
      </c>
      <c r="I25" s="252">
        <v>7</v>
      </c>
      <c r="J25" s="255">
        <v>1</v>
      </c>
      <c r="K25" s="255">
        <v>1</v>
      </c>
      <c r="L25" s="255"/>
      <c r="M25" s="256">
        <v>9.4019999999999989E-3</v>
      </c>
      <c r="N25" s="249">
        <v>24</v>
      </c>
    </row>
    <row r="26" spans="1:14" x14ac:dyDescent="0.25">
      <c r="A26" s="252" t="s">
        <v>135</v>
      </c>
      <c r="B26" s="252" t="s">
        <v>1228</v>
      </c>
      <c r="C26" s="253">
        <v>0</v>
      </c>
      <c r="D26" s="252">
        <v>50592</v>
      </c>
      <c r="E26" s="252" t="s">
        <v>190</v>
      </c>
      <c r="F26" s="254" t="s">
        <v>1330</v>
      </c>
      <c r="G26" s="252" t="s">
        <v>2741</v>
      </c>
      <c r="H26" s="252" t="s">
        <v>2742</v>
      </c>
      <c r="I26" s="252">
        <v>7</v>
      </c>
      <c r="J26" s="255">
        <v>1</v>
      </c>
      <c r="K26" s="255">
        <v>1</v>
      </c>
      <c r="L26" s="255"/>
      <c r="M26" s="256">
        <v>2.3429999999999996E-3</v>
      </c>
      <c r="N26" s="249">
        <v>25</v>
      </c>
    </row>
    <row r="27" spans="1:14" x14ac:dyDescent="0.25">
      <c r="A27" s="252" t="s">
        <v>135</v>
      </c>
      <c r="B27" s="252" t="s">
        <v>1228</v>
      </c>
      <c r="C27" s="253">
        <v>0</v>
      </c>
      <c r="D27" s="252">
        <v>50592</v>
      </c>
      <c r="E27" s="252" t="s">
        <v>190</v>
      </c>
      <c r="F27" s="254" t="s">
        <v>1330</v>
      </c>
      <c r="G27" s="252" t="s">
        <v>2743</v>
      </c>
      <c r="H27" s="252" t="s">
        <v>2744</v>
      </c>
      <c r="I27" s="252">
        <v>7</v>
      </c>
      <c r="J27" s="255">
        <v>1</v>
      </c>
      <c r="K27" s="255">
        <v>1</v>
      </c>
      <c r="L27" s="255"/>
      <c r="M27" s="256">
        <v>2.3429999999999996E-3</v>
      </c>
      <c r="N27" s="249">
        <v>26</v>
      </c>
    </row>
    <row r="28" spans="1:14" x14ac:dyDescent="0.25">
      <c r="A28" s="252" t="s">
        <v>135</v>
      </c>
      <c r="B28" s="252" t="s">
        <v>1228</v>
      </c>
      <c r="C28" s="253">
        <v>0</v>
      </c>
      <c r="D28" s="252">
        <v>50592</v>
      </c>
      <c r="E28" s="252" t="s">
        <v>191</v>
      </c>
      <c r="F28" s="254" t="s">
        <v>1330</v>
      </c>
      <c r="G28" s="252" t="s">
        <v>2745</v>
      </c>
      <c r="H28" s="252" t="s">
        <v>2746</v>
      </c>
      <c r="I28" s="252">
        <v>7</v>
      </c>
      <c r="J28" s="255">
        <v>1</v>
      </c>
      <c r="K28" s="255">
        <v>1</v>
      </c>
      <c r="L28" s="255"/>
      <c r="M28" s="256">
        <v>9.4019999999999989E-3</v>
      </c>
      <c r="N28" s="249">
        <v>27</v>
      </c>
    </row>
    <row r="29" spans="1:14" x14ac:dyDescent="0.25">
      <c r="A29" s="252" t="s">
        <v>135</v>
      </c>
      <c r="B29" s="252" t="s">
        <v>1228</v>
      </c>
      <c r="C29" s="253">
        <v>0</v>
      </c>
      <c r="D29" s="252">
        <v>50592</v>
      </c>
      <c r="E29" s="252" t="s">
        <v>190</v>
      </c>
      <c r="F29" s="254" t="s">
        <v>1330</v>
      </c>
      <c r="G29" s="252" t="s">
        <v>2747</v>
      </c>
      <c r="H29" s="252" t="s">
        <v>2748</v>
      </c>
      <c r="I29" s="252">
        <v>7</v>
      </c>
      <c r="J29" s="255">
        <v>1</v>
      </c>
      <c r="K29" s="255">
        <v>1</v>
      </c>
      <c r="L29" s="255"/>
      <c r="M29" s="256">
        <v>2.3429999999999996E-3</v>
      </c>
      <c r="N29" s="249">
        <v>28</v>
      </c>
    </row>
    <row r="30" spans="1:14" x14ac:dyDescent="0.25">
      <c r="A30" s="252" t="s">
        <v>135</v>
      </c>
      <c r="B30" s="252" t="s">
        <v>1228</v>
      </c>
      <c r="C30" s="253">
        <v>0</v>
      </c>
      <c r="D30" s="252">
        <v>50592</v>
      </c>
      <c r="E30" s="252" t="s">
        <v>190</v>
      </c>
      <c r="F30" s="254" t="s">
        <v>1330</v>
      </c>
      <c r="G30" s="252" t="s">
        <v>2749</v>
      </c>
      <c r="H30" s="252" t="s">
        <v>2750</v>
      </c>
      <c r="I30" s="252">
        <v>7</v>
      </c>
      <c r="J30" s="255">
        <v>1</v>
      </c>
      <c r="K30" s="255">
        <v>1</v>
      </c>
      <c r="L30" s="255"/>
      <c r="M30" s="256">
        <v>2.3429999999999996E-3</v>
      </c>
      <c r="N30" s="249">
        <v>29</v>
      </c>
    </row>
    <row r="31" spans="1:14" x14ac:dyDescent="0.25">
      <c r="A31" s="252" t="s">
        <v>135</v>
      </c>
      <c r="B31" s="252" t="s">
        <v>1228</v>
      </c>
      <c r="C31" s="253">
        <v>0</v>
      </c>
      <c r="D31" s="252">
        <v>50592</v>
      </c>
      <c r="E31" s="252" t="s">
        <v>1230</v>
      </c>
      <c r="F31" s="254" t="s">
        <v>1244</v>
      </c>
      <c r="G31" s="252" t="s">
        <v>2751</v>
      </c>
      <c r="H31" s="252" t="s">
        <v>2752</v>
      </c>
      <c r="I31" s="252">
        <v>7</v>
      </c>
      <c r="J31" s="255">
        <v>1</v>
      </c>
      <c r="K31" s="255">
        <v>1</v>
      </c>
      <c r="L31" s="255"/>
      <c r="M31" s="256">
        <v>1.7927999999999999E-2</v>
      </c>
      <c r="N31" s="249">
        <v>30</v>
      </c>
    </row>
    <row r="32" spans="1:14" x14ac:dyDescent="0.25">
      <c r="A32" s="252" t="s">
        <v>183</v>
      </c>
      <c r="B32" s="252" t="s">
        <v>215</v>
      </c>
      <c r="C32" s="253">
        <v>0</v>
      </c>
      <c r="D32" s="252">
        <v>61792</v>
      </c>
      <c r="E32" s="252" t="s">
        <v>191</v>
      </c>
      <c r="F32" s="254" t="s">
        <v>916</v>
      </c>
      <c r="G32" s="252" t="s">
        <v>2753</v>
      </c>
      <c r="H32" s="252" t="s">
        <v>2754</v>
      </c>
      <c r="I32" s="252">
        <v>7</v>
      </c>
      <c r="J32" s="255">
        <v>1</v>
      </c>
      <c r="K32" s="255">
        <v>1</v>
      </c>
      <c r="L32" s="255"/>
      <c r="M32" s="256">
        <v>8.6549999999999995E-3</v>
      </c>
      <c r="N32" s="249">
        <v>31</v>
      </c>
    </row>
    <row r="33" spans="1:14" x14ac:dyDescent="0.25">
      <c r="A33" s="252" t="s">
        <v>204</v>
      </c>
      <c r="B33" s="252" t="s">
        <v>1333</v>
      </c>
      <c r="C33" s="253" t="s">
        <v>214</v>
      </c>
      <c r="D33" s="252">
        <v>39792</v>
      </c>
      <c r="E33" s="252" t="s">
        <v>1332</v>
      </c>
      <c r="F33" s="254">
        <v>10001</v>
      </c>
      <c r="G33" s="252" t="s">
        <v>1334</v>
      </c>
      <c r="H33" s="252" t="s">
        <v>1335</v>
      </c>
      <c r="I33" s="252">
        <v>9</v>
      </c>
      <c r="J33" s="255">
        <v>1</v>
      </c>
      <c r="K33" s="255">
        <v>1</v>
      </c>
      <c r="L33" s="255"/>
      <c r="M33" s="256">
        <v>9.6121680000000015E-2</v>
      </c>
      <c r="N33" s="249">
        <v>32</v>
      </c>
    </row>
    <row r="34" spans="1:14" x14ac:dyDescent="0.25">
      <c r="A34" s="252" t="s">
        <v>204</v>
      </c>
      <c r="B34" s="252" t="s">
        <v>1333</v>
      </c>
      <c r="C34" s="253" t="s">
        <v>214</v>
      </c>
      <c r="D34" s="252">
        <v>39792</v>
      </c>
      <c r="E34" s="252" t="s">
        <v>1332</v>
      </c>
      <c r="F34" s="254">
        <v>10001</v>
      </c>
      <c r="G34" s="252" t="s">
        <v>1336</v>
      </c>
      <c r="H34" s="252" t="s">
        <v>1337</v>
      </c>
      <c r="I34" s="252">
        <v>9</v>
      </c>
      <c r="J34" s="255">
        <v>1</v>
      </c>
      <c r="K34" s="255">
        <v>1</v>
      </c>
      <c r="L34" s="255"/>
      <c r="M34" s="256">
        <v>1.5825600000000002E-3</v>
      </c>
      <c r="N34" s="249">
        <v>33</v>
      </c>
    </row>
    <row r="35" spans="1:14" x14ac:dyDescent="0.25">
      <c r="A35" s="252" t="s">
        <v>204</v>
      </c>
      <c r="B35" s="252" t="s">
        <v>1333</v>
      </c>
      <c r="C35" s="253" t="s">
        <v>214</v>
      </c>
      <c r="D35" s="252">
        <v>39792</v>
      </c>
      <c r="E35" s="252" t="s">
        <v>1332</v>
      </c>
      <c r="F35" s="254">
        <v>10001</v>
      </c>
      <c r="G35" s="252" t="s">
        <v>1338</v>
      </c>
      <c r="H35" s="252" t="s">
        <v>1339</v>
      </c>
      <c r="I35" s="252">
        <v>9</v>
      </c>
      <c r="J35" s="255">
        <v>1</v>
      </c>
      <c r="K35" s="255">
        <v>1</v>
      </c>
      <c r="L35" s="255"/>
      <c r="M35" s="256">
        <v>5.5389600000000001E-4</v>
      </c>
      <c r="N35" s="249">
        <v>34</v>
      </c>
    </row>
    <row r="36" spans="1:14" x14ac:dyDescent="0.25">
      <c r="A36" s="252" t="s">
        <v>204</v>
      </c>
      <c r="B36" s="252" t="s">
        <v>1333</v>
      </c>
      <c r="C36" s="253" t="s">
        <v>214</v>
      </c>
      <c r="D36" s="252">
        <v>39792</v>
      </c>
      <c r="E36" s="252" t="s">
        <v>1332</v>
      </c>
      <c r="F36" s="254">
        <v>10001</v>
      </c>
      <c r="G36" s="252" t="s">
        <v>1340</v>
      </c>
      <c r="H36" s="252" t="s">
        <v>1341</v>
      </c>
      <c r="I36" s="252">
        <v>9</v>
      </c>
      <c r="J36" s="255">
        <v>1</v>
      </c>
      <c r="K36" s="255">
        <v>1</v>
      </c>
      <c r="L36" s="255"/>
      <c r="M36" s="256">
        <v>1.0851840000000001E-3</v>
      </c>
      <c r="N36" s="249">
        <v>35</v>
      </c>
    </row>
    <row r="37" spans="1:14" x14ac:dyDescent="0.25">
      <c r="A37" s="252" t="s">
        <v>204</v>
      </c>
      <c r="B37" s="252" t="s">
        <v>1333</v>
      </c>
      <c r="C37" s="253" t="s">
        <v>214</v>
      </c>
      <c r="D37" s="252">
        <v>39792</v>
      </c>
      <c r="E37" s="252" t="s">
        <v>1332</v>
      </c>
      <c r="F37" s="254">
        <v>10001</v>
      </c>
      <c r="G37" s="252" t="s">
        <v>1342</v>
      </c>
      <c r="H37" s="252" t="s">
        <v>1343</v>
      </c>
      <c r="I37" s="252">
        <v>9</v>
      </c>
      <c r="J37" s="255">
        <v>1</v>
      </c>
      <c r="K37" s="255">
        <v>1</v>
      </c>
      <c r="L37" s="255"/>
      <c r="M37" s="256">
        <v>1.6089360000000003E-3</v>
      </c>
      <c r="N37" s="249">
        <v>36</v>
      </c>
    </row>
    <row r="38" spans="1:14" x14ac:dyDescent="0.25">
      <c r="A38" s="252" t="s">
        <v>204</v>
      </c>
      <c r="B38" s="252" t="s">
        <v>1333</v>
      </c>
      <c r="C38" s="253" t="s">
        <v>214</v>
      </c>
      <c r="D38" s="252">
        <v>39792</v>
      </c>
      <c r="E38" s="252" t="s">
        <v>1332</v>
      </c>
      <c r="F38" s="254">
        <v>10001</v>
      </c>
      <c r="G38" s="252" t="s">
        <v>1344</v>
      </c>
      <c r="H38" s="252" t="s">
        <v>1345</v>
      </c>
      <c r="I38" s="252">
        <v>9</v>
      </c>
      <c r="J38" s="255">
        <v>1</v>
      </c>
      <c r="K38" s="255">
        <v>1</v>
      </c>
      <c r="L38" s="255"/>
      <c r="M38" s="256">
        <v>1.2057600000000002E-2</v>
      </c>
      <c r="N38" s="249">
        <v>37</v>
      </c>
    </row>
    <row r="39" spans="1:14" x14ac:dyDescent="0.25">
      <c r="A39" s="252" t="s">
        <v>204</v>
      </c>
      <c r="B39" s="252" t="s">
        <v>1333</v>
      </c>
      <c r="C39" s="253" t="s">
        <v>214</v>
      </c>
      <c r="D39" s="252">
        <v>39792</v>
      </c>
      <c r="E39" s="252" t="s">
        <v>1332</v>
      </c>
      <c r="F39" s="254">
        <v>10001</v>
      </c>
      <c r="G39" s="252" t="s">
        <v>1346</v>
      </c>
      <c r="H39" s="252" t="s">
        <v>1347</v>
      </c>
      <c r="I39" s="252">
        <v>9</v>
      </c>
      <c r="J39" s="255">
        <v>1</v>
      </c>
      <c r="K39" s="255">
        <v>1</v>
      </c>
      <c r="L39" s="255"/>
      <c r="M39" s="256">
        <v>2.2306560000000001E-3</v>
      </c>
      <c r="N39" s="249">
        <v>38</v>
      </c>
    </row>
    <row r="40" spans="1:14" x14ac:dyDescent="0.25">
      <c r="A40" s="252" t="s">
        <v>204</v>
      </c>
      <c r="B40" s="252" t="s">
        <v>1333</v>
      </c>
      <c r="C40" s="253" t="s">
        <v>214</v>
      </c>
      <c r="D40" s="252">
        <v>39792</v>
      </c>
      <c r="E40" s="252" t="s">
        <v>1332</v>
      </c>
      <c r="F40" s="254">
        <v>10001</v>
      </c>
      <c r="G40" s="252" t="s">
        <v>1348</v>
      </c>
      <c r="H40" s="252" t="s">
        <v>1349</v>
      </c>
      <c r="I40" s="252">
        <v>9</v>
      </c>
      <c r="J40" s="255">
        <v>1</v>
      </c>
      <c r="K40" s="255">
        <v>1</v>
      </c>
      <c r="L40" s="255"/>
      <c r="M40" s="256">
        <v>1.8237120000000001E-3</v>
      </c>
      <c r="N40" s="249">
        <v>39</v>
      </c>
    </row>
    <row r="41" spans="1:14" x14ac:dyDescent="0.25">
      <c r="A41" s="252" t="s">
        <v>204</v>
      </c>
      <c r="B41" s="252" t="s">
        <v>1333</v>
      </c>
      <c r="C41" s="253" t="s">
        <v>214</v>
      </c>
      <c r="D41" s="252">
        <v>39792</v>
      </c>
      <c r="E41" s="252" t="s">
        <v>1332</v>
      </c>
      <c r="F41" s="254">
        <v>10001</v>
      </c>
      <c r="G41" s="252" t="s">
        <v>1350</v>
      </c>
      <c r="H41" s="252" t="s">
        <v>1351</v>
      </c>
      <c r="I41" s="252">
        <v>9</v>
      </c>
      <c r="J41" s="255">
        <v>1</v>
      </c>
      <c r="K41" s="255">
        <v>1</v>
      </c>
      <c r="L41" s="255"/>
      <c r="M41" s="256">
        <v>2.8448400000000004E-3</v>
      </c>
      <c r="N41" s="249">
        <v>40</v>
      </c>
    </row>
    <row r="42" spans="1:14" x14ac:dyDescent="0.25">
      <c r="A42" s="252" t="s">
        <v>204</v>
      </c>
      <c r="B42" s="252" t="s">
        <v>1333</v>
      </c>
      <c r="C42" s="253" t="s">
        <v>214</v>
      </c>
      <c r="D42" s="252">
        <v>39792</v>
      </c>
      <c r="E42" s="252" t="s">
        <v>1332</v>
      </c>
      <c r="F42" s="254">
        <v>10001</v>
      </c>
      <c r="G42" s="252" t="s">
        <v>1352</v>
      </c>
      <c r="H42" s="252" t="s">
        <v>1353</v>
      </c>
      <c r="I42" s="252">
        <v>9</v>
      </c>
      <c r="J42" s="255">
        <v>1</v>
      </c>
      <c r="K42" s="255">
        <v>1</v>
      </c>
      <c r="L42" s="255"/>
      <c r="M42" s="256">
        <v>1.4582160000000002E-3</v>
      </c>
      <c r="N42" s="249">
        <v>41</v>
      </c>
    </row>
    <row r="43" spans="1:14" x14ac:dyDescent="0.25">
      <c r="A43" s="252" t="s">
        <v>204</v>
      </c>
      <c r="B43" s="252" t="s">
        <v>1333</v>
      </c>
      <c r="C43" s="253" t="s">
        <v>214</v>
      </c>
      <c r="D43" s="252">
        <v>39792</v>
      </c>
      <c r="E43" s="252" t="s">
        <v>1332</v>
      </c>
      <c r="F43" s="254">
        <v>10001</v>
      </c>
      <c r="G43" s="252" t="s">
        <v>1354</v>
      </c>
      <c r="H43" s="252" t="s">
        <v>1355</v>
      </c>
      <c r="I43" s="252">
        <v>9</v>
      </c>
      <c r="J43" s="255">
        <v>1</v>
      </c>
      <c r="K43" s="255">
        <v>1</v>
      </c>
      <c r="L43" s="255"/>
      <c r="M43" s="256">
        <v>3.3075504000000006E-2</v>
      </c>
      <c r="N43" s="249">
        <v>42</v>
      </c>
    </row>
    <row r="44" spans="1:14" x14ac:dyDescent="0.25">
      <c r="A44" s="252" t="s">
        <v>204</v>
      </c>
      <c r="B44" s="252" t="s">
        <v>1333</v>
      </c>
      <c r="C44" s="253" t="s">
        <v>214</v>
      </c>
      <c r="D44" s="252">
        <v>39792</v>
      </c>
      <c r="E44" s="252" t="s">
        <v>1332</v>
      </c>
      <c r="F44" s="254">
        <v>10001</v>
      </c>
      <c r="G44" s="252" t="s">
        <v>1356</v>
      </c>
      <c r="H44" s="252" t="s">
        <v>1357</v>
      </c>
      <c r="I44" s="252">
        <v>9</v>
      </c>
      <c r="J44" s="255">
        <v>1</v>
      </c>
      <c r="K44" s="255">
        <v>1</v>
      </c>
      <c r="L44" s="255"/>
      <c r="M44" s="256">
        <v>1.3564800000000002E-3</v>
      </c>
      <c r="N44" s="249">
        <v>43</v>
      </c>
    </row>
    <row r="45" spans="1:14" x14ac:dyDescent="0.25">
      <c r="A45" s="252" t="s">
        <v>204</v>
      </c>
      <c r="B45" s="252" t="s">
        <v>1333</v>
      </c>
      <c r="C45" s="253" t="s">
        <v>214</v>
      </c>
      <c r="D45" s="252">
        <v>39792</v>
      </c>
      <c r="E45" s="252" t="s">
        <v>1332</v>
      </c>
      <c r="F45" s="254">
        <v>10001</v>
      </c>
      <c r="G45" s="252" t="s">
        <v>1358</v>
      </c>
      <c r="H45" s="252" t="s">
        <v>1359</v>
      </c>
      <c r="I45" s="252">
        <v>9</v>
      </c>
      <c r="J45" s="255">
        <v>1</v>
      </c>
      <c r="K45" s="255">
        <v>1</v>
      </c>
      <c r="L45" s="255"/>
      <c r="M45" s="256">
        <v>1.3301040000000001E-3</v>
      </c>
      <c r="N45" s="249">
        <v>44</v>
      </c>
    </row>
    <row r="46" spans="1:14" x14ac:dyDescent="0.25">
      <c r="A46" s="252" t="s">
        <v>204</v>
      </c>
      <c r="B46" s="252" t="s">
        <v>1333</v>
      </c>
      <c r="C46" s="253" t="s">
        <v>214</v>
      </c>
      <c r="D46" s="252">
        <v>39792</v>
      </c>
      <c r="E46" s="252" t="s">
        <v>1332</v>
      </c>
      <c r="F46" s="254">
        <v>10001</v>
      </c>
      <c r="G46" s="252" t="s">
        <v>1360</v>
      </c>
      <c r="H46" s="252" t="s">
        <v>1361</v>
      </c>
      <c r="I46" s="252">
        <v>9</v>
      </c>
      <c r="J46" s="255">
        <v>1</v>
      </c>
      <c r="K46" s="255">
        <v>1</v>
      </c>
      <c r="L46" s="255"/>
      <c r="M46" s="256">
        <v>1.3564800000000002E-3</v>
      </c>
      <c r="N46" s="249">
        <v>45</v>
      </c>
    </row>
    <row r="47" spans="1:14" x14ac:dyDescent="0.25">
      <c r="A47" s="252" t="s">
        <v>204</v>
      </c>
      <c r="B47" s="252" t="s">
        <v>1333</v>
      </c>
      <c r="C47" s="253" t="s">
        <v>214</v>
      </c>
      <c r="D47" s="252">
        <v>39792</v>
      </c>
      <c r="E47" s="252" t="s">
        <v>1332</v>
      </c>
      <c r="F47" s="254">
        <v>10001</v>
      </c>
      <c r="G47" s="252" t="s">
        <v>1362</v>
      </c>
      <c r="H47" s="252" t="s">
        <v>1363</v>
      </c>
      <c r="I47" s="252">
        <v>9</v>
      </c>
      <c r="J47" s="255">
        <v>1</v>
      </c>
      <c r="K47" s="255">
        <v>1</v>
      </c>
      <c r="L47" s="255"/>
      <c r="M47" s="256">
        <v>9.8344800000000013E-3</v>
      </c>
      <c r="N47" s="249">
        <v>46</v>
      </c>
    </row>
    <row r="48" spans="1:14" x14ac:dyDescent="0.25">
      <c r="A48" s="252" t="s">
        <v>204</v>
      </c>
      <c r="B48" s="252" t="s">
        <v>1333</v>
      </c>
      <c r="C48" s="253" t="s">
        <v>214</v>
      </c>
      <c r="D48" s="252">
        <v>39792</v>
      </c>
      <c r="E48" s="252" t="s">
        <v>1332</v>
      </c>
      <c r="F48" s="254">
        <v>10001</v>
      </c>
      <c r="G48" s="252" t="s">
        <v>1364</v>
      </c>
      <c r="H48" s="252" t="s">
        <v>1365</v>
      </c>
      <c r="I48" s="252">
        <v>9</v>
      </c>
      <c r="J48" s="255">
        <v>1</v>
      </c>
      <c r="K48" s="255">
        <v>1</v>
      </c>
      <c r="L48" s="255"/>
      <c r="M48" s="256">
        <v>1.3564800000000002E-3</v>
      </c>
      <c r="N48" s="249">
        <v>47</v>
      </c>
    </row>
    <row r="49" spans="1:14" x14ac:dyDescent="0.25">
      <c r="A49" s="252" t="s">
        <v>204</v>
      </c>
      <c r="B49" s="252" t="s">
        <v>1333</v>
      </c>
      <c r="C49" s="253" t="s">
        <v>214</v>
      </c>
      <c r="D49" s="252">
        <v>39792</v>
      </c>
      <c r="E49" s="252" t="s">
        <v>1332</v>
      </c>
      <c r="F49" s="254">
        <v>10001</v>
      </c>
      <c r="G49" s="252" t="s">
        <v>1366</v>
      </c>
      <c r="H49" s="252" t="s">
        <v>1367</v>
      </c>
      <c r="I49" s="252">
        <v>9</v>
      </c>
      <c r="J49" s="255">
        <v>1</v>
      </c>
      <c r="K49" s="255">
        <v>1</v>
      </c>
      <c r="L49" s="255"/>
      <c r="M49" s="256">
        <v>1.3301040000000001E-3</v>
      </c>
      <c r="N49" s="249">
        <v>48</v>
      </c>
    </row>
    <row r="50" spans="1:14" x14ac:dyDescent="0.25">
      <c r="A50" s="252" t="s">
        <v>204</v>
      </c>
      <c r="B50" s="252" t="s">
        <v>1333</v>
      </c>
      <c r="C50" s="253" t="s">
        <v>214</v>
      </c>
      <c r="D50" s="252">
        <v>39792</v>
      </c>
      <c r="E50" s="252" t="s">
        <v>1332</v>
      </c>
      <c r="F50" s="254">
        <v>10001</v>
      </c>
      <c r="G50" s="252" t="s">
        <v>1368</v>
      </c>
      <c r="H50" s="252" t="s">
        <v>1369</v>
      </c>
      <c r="I50" s="252">
        <v>9</v>
      </c>
      <c r="J50" s="255">
        <v>1</v>
      </c>
      <c r="K50" s="255">
        <v>1</v>
      </c>
      <c r="L50" s="255"/>
      <c r="M50" s="256">
        <v>1.4092320000000001E-3</v>
      </c>
      <c r="N50" s="249">
        <v>49</v>
      </c>
    </row>
    <row r="51" spans="1:14" x14ac:dyDescent="0.25">
      <c r="A51" s="252" t="s">
        <v>204</v>
      </c>
      <c r="B51" s="252" t="s">
        <v>1333</v>
      </c>
      <c r="C51" s="253" t="s">
        <v>214</v>
      </c>
      <c r="D51" s="252">
        <v>39792</v>
      </c>
      <c r="E51" s="252" t="s">
        <v>1332</v>
      </c>
      <c r="F51" s="254">
        <v>10001</v>
      </c>
      <c r="G51" s="252" t="s">
        <v>1370</v>
      </c>
      <c r="H51" s="252" t="s">
        <v>1371</v>
      </c>
      <c r="I51" s="252">
        <v>9</v>
      </c>
      <c r="J51" s="255">
        <v>1</v>
      </c>
      <c r="K51" s="255">
        <v>1</v>
      </c>
      <c r="L51" s="255"/>
      <c r="M51" s="256">
        <v>1.0158528000000002E-2</v>
      </c>
      <c r="N51" s="249">
        <v>50</v>
      </c>
    </row>
    <row r="52" spans="1:14" x14ac:dyDescent="0.25">
      <c r="A52" s="252" t="s">
        <v>204</v>
      </c>
      <c r="B52" s="252" t="s">
        <v>1333</v>
      </c>
      <c r="C52" s="253" t="s">
        <v>214</v>
      </c>
      <c r="D52" s="252">
        <v>39792</v>
      </c>
      <c r="E52" s="252" t="s">
        <v>1332</v>
      </c>
      <c r="F52" s="254">
        <v>10001</v>
      </c>
      <c r="G52" s="252" t="s">
        <v>1372</v>
      </c>
      <c r="H52" s="252" t="s">
        <v>1373</v>
      </c>
      <c r="I52" s="252">
        <v>9</v>
      </c>
      <c r="J52" s="255">
        <v>1</v>
      </c>
      <c r="K52" s="255">
        <v>1</v>
      </c>
      <c r="L52" s="255"/>
      <c r="M52" s="256">
        <v>1.3866240000000001E-3</v>
      </c>
      <c r="N52" s="249">
        <v>51</v>
      </c>
    </row>
    <row r="53" spans="1:14" x14ac:dyDescent="0.25">
      <c r="A53" s="252" t="s">
        <v>204</v>
      </c>
      <c r="B53" s="252" t="s">
        <v>1333</v>
      </c>
      <c r="C53" s="253" t="s">
        <v>214</v>
      </c>
      <c r="D53" s="252">
        <v>39792</v>
      </c>
      <c r="E53" s="252" t="s">
        <v>1332</v>
      </c>
      <c r="F53" s="254">
        <v>10001</v>
      </c>
      <c r="G53" s="252" t="s">
        <v>1374</v>
      </c>
      <c r="H53" s="252" t="s">
        <v>1375</v>
      </c>
      <c r="I53" s="252">
        <v>9</v>
      </c>
      <c r="J53" s="255">
        <v>1</v>
      </c>
      <c r="K53" s="255">
        <v>1</v>
      </c>
      <c r="L53" s="255"/>
      <c r="M53" s="256">
        <v>1.4958960000000002E-3</v>
      </c>
      <c r="N53" s="249">
        <v>52</v>
      </c>
    </row>
    <row r="54" spans="1:14" x14ac:dyDescent="0.25">
      <c r="A54" s="252" t="s">
        <v>204</v>
      </c>
      <c r="B54" s="252" t="s">
        <v>1333</v>
      </c>
      <c r="C54" s="253" t="s">
        <v>214</v>
      </c>
      <c r="D54" s="252">
        <v>39792</v>
      </c>
      <c r="E54" s="252" t="s">
        <v>1332</v>
      </c>
      <c r="F54" s="254">
        <v>10001</v>
      </c>
      <c r="G54" s="252" t="s">
        <v>1376</v>
      </c>
      <c r="H54" s="252" t="s">
        <v>1377</v>
      </c>
      <c r="I54" s="252">
        <v>9</v>
      </c>
      <c r="J54" s="255">
        <v>1</v>
      </c>
      <c r="K54" s="255">
        <v>1</v>
      </c>
      <c r="L54" s="255"/>
      <c r="M54" s="256">
        <v>6.5186400000000005E-4</v>
      </c>
      <c r="N54" s="249">
        <v>53</v>
      </c>
    </row>
    <row r="55" spans="1:14" x14ac:dyDescent="0.25">
      <c r="A55" s="252" t="s">
        <v>204</v>
      </c>
      <c r="B55" s="252" t="s">
        <v>1333</v>
      </c>
      <c r="C55" s="253" t="s">
        <v>214</v>
      </c>
      <c r="D55" s="252">
        <v>39792</v>
      </c>
      <c r="E55" s="252" t="s">
        <v>1332</v>
      </c>
      <c r="F55" s="254">
        <v>10001</v>
      </c>
      <c r="G55" s="252" t="s">
        <v>1378</v>
      </c>
      <c r="H55" s="252" t="s">
        <v>1379</v>
      </c>
      <c r="I55" s="252">
        <v>9</v>
      </c>
      <c r="J55" s="255">
        <v>1</v>
      </c>
      <c r="K55" s="255">
        <v>1</v>
      </c>
      <c r="L55" s="255"/>
      <c r="M55" s="256">
        <v>1.315032E-3</v>
      </c>
      <c r="N55" s="249">
        <v>54</v>
      </c>
    </row>
    <row r="56" spans="1:14" x14ac:dyDescent="0.25">
      <c r="A56" s="252" t="s">
        <v>204</v>
      </c>
      <c r="B56" s="252" t="s">
        <v>1333</v>
      </c>
      <c r="C56" s="253" t="s">
        <v>214</v>
      </c>
      <c r="D56" s="252">
        <v>39792</v>
      </c>
      <c r="E56" s="252" t="s">
        <v>1332</v>
      </c>
      <c r="F56" s="254">
        <v>10001</v>
      </c>
      <c r="G56" s="252" t="s">
        <v>1380</v>
      </c>
      <c r="H56" s="252" t="s">
        <v>1381</v>
      </c>
      <c r="I56" s="252">
        <v>9</v>
      </c>
      <c r="J56" s="255">
        <v>1</v>
      </c>
      <c r="K56" s="255">
        <v>1</v>
      </c>
      <c r="L56" s="255"/>
      <c r="M56" s="256">
        <v>2.9917920000000005E-3</v>
      </c>
      <c r="N56" s="249">
        <v>55</v>
      </c>
    </row>
    <row r="57" spans="1:14" x14ac:dyDescent="0.25">
      <c r="A57" s="252" t="s">
        <v>204</v>
      </c>
      <c r="B57" s="252" t="s">
        <v>1333</v>
      </c>
      <c r="C57" s="253" t="s">
        <v>214</v>
      </c>
      <c r="D57" s="252">
        <v>39792</v>
      </c>
      <c r="E57" s="252" t="s">
        <v>1332</v>
      </c>
      <c r="F57" s="254">
        <v>10001</v>
      </c>
      <c r="G57" s="252" t="s">
        <v>1382</v>
      </c>
      <c r="H57" s="252" t="s">
        <v>1383</v>
      </c>
      <c r="I57" s="252">
        <v>9</v>
      </c>
      <c r="J57" s="255">
        <v>1</v>
      </c>
      <c r="K57" s="255">
        <v>1</v>
      </c>
      <c r="L57" s="255"/>
      <c r="M57" s="256">
        <v>1.7257440000000002E-3</v>
      </c>
      <c r="N57" s="249">
        <v>56</v>
      </c>
    </row>
    <row r="58" spans="1:14" x14ac:dyDescent="0.25">
      <c r="A58" s="252" t="s">
        <v>204</v>
      </c>
      <c r="B58" s="252" t="s">
        <v>1333</v>
      </c>
      <c r="C58" s="253" t="s">
        <v>214</v>
      </c>
      <c r="D58" s="252">
        <v>39792</v>
      </c>
      <c r="E58" s="252" t="s">
        <v>1332</v>
      </c>
      <c r="F58" s="254">
        <v>10001</v>
      </c>
      <c r="G58" s="252" t="s">
        <v>1384</v>
      </c>
      <c r="H58" s="252" t="s">
        <v>1385</v>
      </c>
      <c r="I58" s="252">
        <v>9</v>
      </c>
      <c r="J58" s="255">
        <v>1</v>
      </c>
      <c r="K58" s="255">
        <v>1</v>
      </c>
      <c r="L58" s="255"/>
      <c r="M58" s="256">
        <v>1.3319880000000001E-2</v>
      </c>
      <c r="N58" s="249">
        <v>57</v>
      </c>
    </row>
    <row r="59" spans="1:14" x14ac:dyDescent="0.25">
      <c r="A59" s="252" t="s">
        <v>204</v>
      </c>
      <c r="B59" s="252" t="s">
        <v>1333</v>
      </c>
      <c r="C59" s="253" t="s">
        <v>214</v>
      </c>
      <c r="D59" s="252">
        <v>39792</v>
      </c>
      <c r="E59" s="252" t="s">
        <v>1332</v>
      </c>
      <c r="F59" s="254">
        <v>10001</v>
      </c>
      <c r="G59" s="252" t="s">
        <v>1386</v>
      </c>
      <c r="H59" s="252" t="s">
        <v>1387</v>
      </c>
      <c r="I59" s="252">
        <v>9</v>
      </c>
      <c r="J59" s="255">
        <v>1</v>
      </c>
      <c r="K59" s="255">
        <v>1</v>
      </c>
      <c r="L59" s="255"/>
      <c r="M59" s="256">
        <v>1.6202400000000002E-3</v>
      </c>
      <c r="N59" s="249">
        <v>58</v>
      </c>
    </row>
    <row r="60" spans="1:14" x14ac:dyDescent="0.25">
      <c r="A60" s="252" t="s">
        <v>204</v>
      </c>
      <c r="B60" s="252" t="s">
        <v>1333</v>
      </c>
      <c r="C60" s="253" t="s">
        <v>214</v>
      </c>
      <c r="D60" s="252">
        <v>39792</v>
      </c>
      <c r="E60" s="252" t="s">
        <v>1332</v>
      </c>
      <c r="F60" s="254">
        <v>10001</v>
      </c>
      <c r="G60" s="252" t="s">
        <v>1388</v>
      </c>
      <c r="H60" s="252" t="s">
        <v>1389</v>
      </c>
      <c r="I60" s="252">
        <v>9</v>
      </c>
      <c r="J60" s="255">
        <v>1</v>
      </c>
      <c r="K60" s="255">
        <v>1</v>
      </c>
      <c r="L60" s="255"/>
      <c r="M60" s="256">
        <v>1.6202400000000002E-3</v>
      </c>
      <c r="N60" s="249">
        <v>59</v>
      </c>
    </row>
    <row r="61" spans="1:14" x14ac:dyDescent="0.25">
      <c r="A61" s="252" t="s">
        <v>204</v>
      </c>
      <c r="B61" s="252" t="s">
        <v>1333</v>
      </c>
      <c r="C61" s="253" t="s">
        <v>214</v>
      </c>
      <c r="D61" s="252">
        <v>39792</v>
      </c>
      <c r="E61" s="252" t="s">
        <v>1332</v>
      </c>
      <c r="F61" s="254">
        <v>10001</v>
      </c>
      <c r="G61" s="252" t="s">
        <v>1390</v>
      </c>
      <c r="H61" s="252" t="s">
        <v>1391</v>
      </c>
      <c r="I61" s="252">
        <v>9</v>
      </c>
      <c r="J61" s="255">
        <v>1</v>
      </c>
      <c r="K61" s="255">
        <v>1</v>
      </c>
      <c r="L61" s="255"/>
      <c r="M61" s="256">
        <v>1.3323648000000002E-2</v>
      </c>
      <c r="N61" s="249">
        <v>60</v>
      </c>
    </row>
    <row r="62" spans="1:14" x14ac:dyDescent="0.25">
      <c r="A62" s="252" t="s">
        <v>204</v>
      </c>
      <c r="B62" s="252" t="s">
        <v>1333</v>
      </c>
      <c r="C62" s="253" t="s">
        <v>214</v>
      </c>
      <c r="D62" s="252">
        <v>39792</v>
      </c>
      <c r="E62" s="252" t="s">
        <v>1332</v>
      </c>
      <c r="F62" s="254">
        <v>10001</v>
      </c>
      <c r="G62" s="252" t="s">
        <v>1392</v>
      </c>
      <c r="H62" s="252" t="s">
        <v>1393</v>
      </c>
      <c r="I62" s="252">
        <v>9</v>
      </c>
      <c r="J62" s="255">
        <v>1</v>
      </c>
      <c r="K62" s="255">
        <v>1</v>
      </c>
      <c r="L62" s="255"/>
      <c r="M62" s="256">
        <v>1.6767600000000002E-3</v>
      </c>
      <c r="N62" s="249">
        <v>61</v>
      </c>
    </row>
    <row r="63" spans="1:14" x14ac:dyDescent="0.25">
      <c r="A63" s="252" t="s">
        <v>204</v>
      </c>
      <c r="B63" s="252" t="s">
        <v>1333</v>
      </c>
      <c r="C63" s="253" t="s">
        <v>214</v>
      </c>
      <c r="D63" s="252">
        <v>39792</v>
      </c>
      <c r="E63" s="252" t="s">
        <v>1332</v>
      </c>
      <c r="F63" s="254">
        <v>10001</v>
      </c>
      <c r="G63" s="252" t="s">
        <v>1394</v>
      </c>
      <c r="H63" s="252" t="s">
        <v>1395</v>
      </c>
      <c r="I63" s="252">
        <v>9</v>
      </c>
      <c r="J63" s="255">
        <v>1</v>
      </c>
      <c r="K63" s="255">
        <v>1</v>
      </c>
      <c r="L63" s="255"/>
      <c r="M63" s="256">
        <v>3.1613520000000005E-3</v>
      </c>
      <c r="N63" s="249">
        <v>62</v>
      </c>
    </row>
    <row r="64" spans="1:14" x14ac:dyDescent="0.25">
      <c r="A64" s="252" t="s">
        <v>204</v>
      </c>
      <c r="B64" s="252" t="s">
        <v>1333</v>
      </c>
      <c r="C64" s="253" t="s">
        <v>214</v>
      </c>
      <c r="D64" s="252">
        <v>39792</v>
      </c>
      <c r="E64" s="252" t="s">
        <v>1332</v>
      </c>
      <c r="F64" s="254">
        <v>10001</v>
      </c>
      <c r="G64" s="252" t="s">
        <v>1396</v>
      </c>
      <c r="H64" s="252" t="s">
        <v>1397</v>
      </c>
      <c r="I64" s="252">
        <v>9</v>
      </c>
      <c r="J64" s="255">
        <v>1</v>
      </c>
      <c r="K64" s="255">
        <v>1</v>
      </c>
      <c r="L64" s="255"/>
      <c r="M64" s="256">
        <v>3.1613520000000005E-3</v>
      </c>
      <c r="N64" s="249">
        <v>63</v>
      </c>
    </row>
    <row r="65" spans="1:14" x14ac:dyDescent="0.25">
      <c r="A65" s="252" t="s">
        <v>204</v>
      </c>
      <c r="B65" s="252" t="s">
        <v>1333</v>
      </c>
      <c r="C65" s="253" t="s">
        <v>214</v>
      </c>
      <c r="D65" s="252">
        <v>39792</v>
      </c>
      <c r="E65" s="252" t="s">
        <v>1332</v>
      </c>
      <c r="F65" s="254">
        <v>10001</v>
      </c>
      <c r="G65" s="252" t="s">
        <v>1398</v>
      </c>
      <c r="H65" s="252" t="s">
        <v>1399</v>
      </c>
      <c r="I65" s="252">
        <v>9</v>
      </c>
      <c r="J65" s="255">
        <v>1</v>
      </c>
      <c r="K65" s="255">
        <v>1</v>
      </c>
      <c r="L65" s="255"/>
      <c r="M65" s="256">
        <v>1.6767600000000002E-3</v>
      </c>
      <c r="N65" s="249">
        <v>64</v>
      </c>
    </row>
    <row r="66" spans="1:14" x14ac:dyDescent="0.25">
      <c r="A66" s="252" t="s">
        <v>204</v>
      </c>
      <c r="B66" s="252" t="s">
        <v>1333</v>
      </c>
      <c r="C66" s="253" t="s">
        <v>214</v>
      </c>
      <c r="D66" s="252">
        <v>39792</v>
      </c>
      <c r="E66" s="252" t="s">
        <v>1332</v>
      </c>
      <c r="F66" s="254">
        <v>10001</v>
      </c>
      <c r="G66" s="252" t="s">
        <v>1400</v>
      </c>
      <c r="H66" s="252" t="s">
        <v>1401</v>
      </c>
      <c r="I66" s="252">
        <v>9</v>
      </c>
      <c r="J66" s="255">
        <v>1</v>
      </c>
      <c r="K66" s="255">
        <v>1</v>
      </c>
      <c r="L66" s="255"/>
      <c r="M66" s="256">
        <v>1.3361328E-2</v>
      </c>
      <c r="N66" s="249">
        <v>65</v>
      </c>
    </row>
    <row r="67" spans="1:14" x14ac:dyDescent="0.25">
      <c r="A67" s="252" t="s">
        <v>204</v>
      </c>
      <c r="B67" s="252" t="s">
        <v>1333</v>
      </c>
      <c r="C67" s="253" t="s">
        <v>214</v>
      </c>
      <c r="D67" s="252">
        <v>39792</v>
      </c>
      <c r="E67" s="252" t="s">
        <v>1332</v>
      </c>
      <c r="F67" s="254">
        <v>10001</v>
      </c>
      <c r="G67" s="252" t="s">
        <v>1402</v>
      </c>
      <c r="H67" s="252" t="s">
        <v>1403</v>
      </c>
      <c r="I67" s="252">
        <v>9</v>
      </c>
      <c r="J67" s="255">
        <v>1</v>
      </c>
      <c r="K67" s="255">
        <v>1</v>
      </c>
      <c r="L67" s="255"/>
      <c r="M67" s="256">
        <v>1.5072000000000002E-3</v>
      </c>
      <c r="N67" s="249">
        <v>66</v>
      </c>
    </row>
    <row r="68" spans="1:14" x14ac:dyDescent="0.25">
      <c r="A68" s="252" t="s">
        <v>204</v>
      </c>
      <c r="B68" s="252" t="s">
        <v>1333</v>
      </c>
      <c r="C68" s="253" t="s">
        <v>214</v>
      </c>
      <c r="D68" s="252">
        <v>39792</v>
      </c>
      <c r="E68" s="252" t="s">
        <v>1332</v>
      </c>
      <c r="F68" s="254">
        <v>10001</v>
      </c>
      <c r="G68" s="252" t="s">
        <v>1404</v>
      </c>
      <c r="H68" s="252" t="s">
        <v>1405</v>
      </c>
      <c r="I68" s="252">
        <v>9</v>
      </c>
      <c r="J68" s="255">
        <v>1</v>
      </c>
      <c r="K68" s="255">
        <v>1</v>
      </c>
      <c r="L68" s="255"/>
      <c r="M68" s="256">
        <v>1.1605440000000001E-3</v>
      </c>
      <c r="N68" s="249">
        <v>67</v>
      </c>
    </row>
    <row r="69" spans="1:14" x14ac:dyDescent="0.25">
      <c r="A69" s="252" t="s">
        <v>204</v>
      </c>
      <c r="B69" s="252" t="s">
        <v>1333</v>
      </c>
      <c r="C69" s="253" t="s">
        <v>214</v>
      </c>
      <c r="D69" s="252">
        <v>39792</v>
      </c>
      <c r="E69" s="252" t="s">
        <v>1332</v>
      </c>
      <c r="F69" s="254">
        <v>10001</v>
      </c>
      <c r="G69" s="252" t="s">
        <v>1406</v>
      </c>
      <c r="H69" s="252" t="s">
        <v>1407</v>
      </c>
      <c r="I69" s="252">
        <v>9</v>
      </c>
      <c r="J69" s="255">
        <v>1</v>
      </c>
      <c r="K69" s="255">
        <v>1</v>
      </c>
      <c r="L69" s="255"/>
      <c r="M69" s="256">
        <v>1.6993680000000001E-3</v>
      </c>
      <c r="N69" s="249">
        <v>68</v>
      </c>
    </row>
    <row r="70" spans="1:14" x14ac:dyDescent="0.25">
      <c r="A70" s="252" t="s">
        <v>204</v>
      </c>
      <c r="B70" s="252" t="s">
        <v>1333</v>
      </c>
      <c r="C70" s="253" t="s">
        <v>214</v>
      </c>
      <c r="D70" s="252">
        <v>39792</v>
      </c>
      <c r="E70" s="252" t="s">
        <v>1332</v>
      </c>
      <c r="F70" s="254">
        <v>10001</v>
      </c>
      <c r="G70" s="252" t="s">
        <v>1408</v>
      </c>
      <c r="H70" s="252" t="s">
        <v>1409</v>
      </c>
      <c r="I70" s="252">
        <v>9</v>
      </c>
      <c r="J70" s="255">
        <v>1</v>
      </c>
      <c r="K70" s="255">
        <v>1</v>
      </c>
      <c r="L70" s="255"/>
      <c r="M70" s="256">
        <v>8.3875679999999998E-3</v>
      </c>
      <c r="N70" s="249">
        <v>69</v>
      </c>
    </row>
    <row r="71" spans="1:14" x14ac:dyDescent="0.25">
      <c r="A71" s="252" t="s">
        <v>204</v>
      </c>
      <c r="B71" s="252" t="s">
        <v>1333</v>
      </c>
      <c r="C71" s="253" t="s">
        <v>214</v>
      </c>
      <c r="D71" s="252">
        <v>39792</v>
      </c>
      <c r="E71" s="252" t="s">
        <v>1332</v>
      </c>
      <c r="F71" s="254">
        <v>10001</v>
      </c>
      <c r="G71" s="252" t="s">
        <v>1410</v>
      </c>
      <c r="H71" s="252" t="s">
        <v>1411</v>
      </c>
      <c r="I71" s="252">
        <v>9</v>
      </c>
      <c r="J71" s="255">
        <v>1</v>
      </c>
      <c r="K71" s="255">
        <v>1</v>
      </c>
      <c r="L71" s="255"/>
      <c r="M71" s="256">
        <v>1.989504E-3</v>
      </c>
      <c r="N71" s="249">
        <v>70</v>
      </c>
    </row>
    <row r="72" spans="1:14" x14ac:dyDescent="0.25">
      <c r="A72" s="252" t="s">
        <v>204</v>
      </c>
      <c r="B72" s="252" t="s">
        <v>1333</v>
      </c>
      <c r="C72" s="253" t="s">
        <v>214</v>
      </c>
      <c r="D72" s="252">
        <v>39792</v>
      </c>
      <c r="E72" s="252" t="s">
        <v>1332</v>
      </c>
      <c r="F72" s="254">
        <v>10001</v>
      </c>
      <c r="G72" s="252" t="s">
        <v>1412</v>
      </c>
      <c r="H72" s="252" t="s">
        <v>1413</v>
      </c>
      <c r="I72" s="252">
        <v>9</v>
      </c>
      <c r="J72" s="255">
        <v>1</v>
      </c>
      <c r="K72" s="255">
        <v>1</v>
      </c>
      <c r="L72" s="255"/>
      <c r="M72" s="256">
        <v>2.6564400000000004E-3</v>
      </c>
      <c r="N72" s="249">
        <v>71</v>
      </c>
    </row>
    <row r="73" spans="1:14" x14ac:dyDescent="0.25">
      <c r="A73" s="252" t="s">
        <v>204</v>
      </c>
      <c r="B73" s="252" t="s">
        <v>1333</v>
      </c>
      <c r="C73" s="253" t="s">
        <v>214</v>
      </c>
      <c r="D73" s="252">
        <v>39792</v>
      </c>
      <c r="E73" s="252" t="s">
        <v>1332</v>
      </c>
      <c r="F73" s="254">
        <v>10001</v>
      </c>
      <c r="G73" s="252" t="s">
        <v>1414</v>
      </c>
      <c r="H73" s="252" t="s">
        <v>1415</v>
      </c>
      <c r="I73" s="252">
        <v>9</v>
      </c>
      <c r="J73" s="255">
        <v>1</v>
      </c>
      <c r="K73" s="255">
        <v>1</v>
      </c>
      <c r="L73" s="255"/>
      <c r="M73" s="256">
        <v>1.4582160000000002E-3</v>
      </c>
      <c r="N73" s="249">
        <v>72</v>
      </c>
    </row>
    <row r="74" spans="1:14" x14ac:dyDescent="0.25">
      <c r="A74" s="252" t="s">
        <v>204</v>
      </c>
      <c r="B74" s="252" t="s">
        <v>1333</v>
      </c>
      <c r="C74" s="253" t="s">
        <v>214</v>
      </c>
      <c r="D74" s="252">
        <v>39792</v>
      </c>
      <c r="E74" s="252" t="s">
        <v>1332</v>
      </c>
      <c r="F74" s="254">
        <v>10101</v>
      </c>
      <c r="G74" s="252" t="s">
        <v>1416</v>
      </c>
      <c r="H74" s="252" t="s">
        <v>1417</v>
      </c>
      <c r="I74" s="252">
        <v>9</v>
      </c>
      <c r="J74" s="255">
        <v>1</v>
      </c>
      <c r="K74" s="255">
        <v>1</v>
      </c>
      <c r="L74" s="255"/>
      <c r="M74" s="256">
        <v>7.121520000000001E-3</v>
      </c>
      <c r="N74" s="249">
        <v>73</v>
      </c>
    </row>
    <row r="75" spans="1:14" x14ac:dyDescent="0.25">
      <c r="A75" s="252" t="s">
        <v>204</v>
      </c>
      <c r="B75" s="252" t="s">
        <v>1333</v>
      </c>
      <c r="C75" s="253" t="s">
        <v>214</v>
      </c>
      <c r="D75" s="252">
        <v>39792</v>
      </c>
      <c r="E75" s="252" t="s">
        <v>1332</v>
      </c>
      <c r="F75" s="254">
        <v>10101</v>
      </c>
      <c r="G75" s="252" t="s">
        <v>1418</v>
      </c>
      <c r="H75" s="252" t="s">
        <v>1419</v>
      </c>
      <c r="I75" s="252">
        <v>9</v>
      </c>
      <c r="J75" s="255">
        <v>1</v>
      </c>
      <c r="K75" s="255">
        <v>1</v>
      </c>
      <c r="L75" s="255"/>
      <c r="M75" s="256">
        <v>1.1115600000000002E-3</v>
      </c>
      <c r="N75" s="249">
        <v>74</v>
      </c>
    </row>
    <row r="76" spans="1:14" x14ac:dyDescent="0.25">
      <c r="A76" s="252" t="s">
        <v>204</v>
      </c>
      <c r="B76" s="252" t="s">
        <v>1333</v>
      </c>
      <c r="C76" s="253" t="s">
        <v>214</v>
      </c>
      <c r="D76" s="252">
        <v>39792</v>
      </c>
      <c r="E76" s="252" t="s">
        <v>1332</v>
      </c>
      <c r="F76" s="254">
        <v>10101</v>
      </c>
      <c r="G76" s="252" t="s">
        <v>1420</v>
      </c>
      <c r="H76" s="252" t="s">
        <v>1421</v>
      </c>
      <c r="I76" s="252">
        <v>9</v>
      </c>
      <c r="J76" s="255">
        <v>1</v>
      </c>
      <c r="K76" s="255">
        <v>1</v>
      </c>
      <c r="L76" s="255"/>
      <c r="M76" s="256">
        <v>2.6112240000000001E-3</v>
      </c>
      <c r="N76" s="249">
        <v>75</v>
      </c>
    </row>
    <row r="77" spans="1:14" x14ac:dyDescent="0.25">
      <c r="A77" s="252" t="s">
        <v>204</v>
      </c>
      <c r="B77" s="252" t="s">
        <v>908</v>
      </c>
      <c r="C77" s="253">
        <v>0</v>
      </c>
      <c r="D77" s="252">
        <v>61792</v>
      </c>
      <c r="E77" s="252" t="s">
        <v>1230</v>
      </c>
      <c r="F77" s="254" t="s">
        <v>920</v>
      </c>
      <c r="G77" s="252" t="s">
        <v>1422</v>
      </c>
      <c r="H77" s="252" t="s">
        <v>2755</v>
      </c>
      <c r="I77" s="252">
        <v>10</v>
      </c>
      <c r="J77" s="255">
        <v>1</v>
      </c>
      <c r="K77" s="255">
        <v>1</v>
      </c>
      <c r="L77" s="255"/>
      <c r="M77" s="256">
        <v>2.4690000000000003E-3</v>
      </c>
      <c r="N77" s="249">
        <v>76</v>
      </c>
    </row>
    <row r="78" spans="1:14" x14ac:dyDescent="0.25">
      <c r="A78" s="252" t="s">
        <v>74</v>
      </c>
      <c r="B78" s="252" t="s">
        <v>216</v>
      </c>
      <c r="C78" s="253">
        <v>0</v>
      </c>
      <c r="D78" s="252">
        <v>67392</v>
      </c>
      <c r="E78" s="252" t="s">
        <v>205</v>
      </c>
      <c r="F78" s="254" t="s">
        <v>220</v>
      </c>
      <c r="G78" s="252" t="s">
        <v>2756</v>
      </c>
      <c r="H78" s="252" t="s">
        <v>210</v>
      </c>
      <c r="I78" s="252">
        <v>7</v>
      </c>
      <c r="J78" s="255">
        <v>1</v>
      </c>
      <c r="K78" s="255">
        <v>1</v>
      </c>
      <c r="L78" s="255"/>
      <c r="M78" s="256">
        <v>6.5789999999999989E-3</v>
      </c>
      <c r="N78" s="249">
        <v>77</v>
      </c>
    </row>
    <row r="79" spans="1:14" x14ac:dyDescent="0.25">
      <c r="A79" s="252" t="s">
        <v>74</v>
      </c>
      <c r="B79" s="252" t="s">
        <v>216</v>
      </c>
      <c r="C79" s="253">
        <v>0</v>
      </c>
      <c r="D79" s="252">
        <v>67392</v>
      </c>
      <c r="E79" s="252" t="s">
        <v>205</v>
      </c>
      <c r="F79" s="254" t="s">
        <v>220</v>
      </c>
      <c r="G79" s="252" t="s">
        <v>2757</v>
      </c>
      <c r="H79" s="252" t="s">
        <v>2758</v>
      </c>
      <c r="I79" s="252">
        <v>7</v>
      </c>
      <c r="J79" s="255">
        <v>1</v>
      </c>
      <c r="K79" s="255">
        <v>1</v>
      </c>
      <c r="L79" s="255"/>
      <c r="M79" s="256">
        <v>8.7749999999999998E-3</v>
      </c>
      <c r="N79" s="249">
        <v>78</v>
      </c>
    </row>
    <row r="80" spans="1:14" x14ac:dyDescent="0.25">
      <c r="A80" s="252" t="s">
        <v>74</v>
      </c>
      <c r="B80" s="252" t="s">
        <v>2759</v>
      </c>
      <c r="C80" s="253" t="s">
        <v>214</v>
      </c>
      <c r="D80" s="252">
        <v>39793</v>
      </c>
      <c r="E80" s="252" t="s">
        <v>2760</v>
      </c>
      <c r="F80" s="254" t="s">
        <v>2761</v>
      </c>
      <c r="G80" s="252" t="s">
        <v>2762</v>
      </c>
      <c r="H80" s="252" t="s">
        <v>2762</v>
      </c>
      <c r="I80" s="252">
        <v>28</v>
      </c>
      <c r="J80" s="255">
        <v>1</v>
      </c>
      <c r="K80" s="255">
        <v>1</v>
      </c>
      <c r="L80" s="255"/>
      <c r="M80" s="256">
        <v>2.4989999999999999E-3</v>
      </c>
      <c r="N80" s="249">
        <v>79</v>
      </c>
    </row>
    <row r="81" spans="1:14" x14ac:dyDescent="0.25">
      <c r="A81" s="252" t="s">
        <v>74</v>
      </c>
      <c r="B81" s="252" t="s">
        <v>2759</v>
      </c>
      <c r="C81" s="253" t="s">
        <v>214</v>
      </c>
      <c r="D81" s="252">
        <v>39793</v>
      </c>
      <c r="E81" s="252" t="s">
        <v>2760</v>
      </c>
      <c r="F81" s="254" t="s">
        <v>2761</v>
      </c>
      <c r="G81" s="252" t="s">
        <v>2763</v>
      </c>
      <c r="H81" s="252" t="s">
        <v>2763</v>
      </c>
      <c r="I81" s="252">
        <v>28</v>
      </c>
      <c r="J81" s="255">
        <v>1</v>
      </c>
      <c r="K81" s="255">
        <v>1</v>
      </c>
      <c r="L81" s="255"/>
      <c r="M81" s="256">
        <v>2.4989999999999999E-3</v>
      </c>
      <c r="N81" s="249">
        <v>80</v>
      </c>
    </row>
    <row r="82" spans="1:14" x14ac:dyDescent="0.25">
      <c r="A82" s="252" t="s">
        <v>183</v>
      </c>
      <c r="B82" s="252" t="s">
        <v>1423</v>
      </c>
      <c r="C82" s="253" t="s">
        <v>214</v>
      </c>
      <c r="D82" s="252">
        <v>39792</v>
      </c>
      <c r="E82" s="252" t="s">
        <v>1332</v>
      </c>
      <c r="F82" s="254">
        <v>10001</v>
      </c>
      <c r="G82" s="252" t="s">
        <v>1424</v>
      </c>
      <c r="H82" s="252" t="s">
        <v>1425</v>
      </c>
      <c r="I82" s="252">
        <v>9</v>
      </c>
      <c r="J82" s="255">
        <v>1</v>
      </c>
      <c r="K82" s="255">
        <v>1</v>
      </c>
      <c r="L82" s="255"/>
      <c r="M82" s="256">
        <v>9.4527816000000014E-2</v>
      </c>
      <c r="N82" s="249">
        <v>81</v>
      </c>
    </row>
    <row r="83" spans="1:14" x14ac:dyDescent="0.25">
      <c r="A83" s="252" t="s">
        <v>183</v>
      </c>
      <c r="B83" s="252" t="s">
        <v>1423</v>
      </c>
      <c r="C83" s="253" t="s">
        <v>214</v>
      </c>
      <c r="D83" s="252">
        <v>39792</v>
      </c>
      <c r="E83" s="252" t="s">
        <v>1332</v>
      </c>
      <c r="F83" s="254">
        <v>10001</v>
      </c>
      <c r="G83" s="252" t="s">
        <v>1426</v>
      </c>
      <c r="H83" s="252" t="s">
        <v>1427</v>
      </c>
      <c r="I83" s="252">
        <v>9</v>
      </c>
      <c r="J83" s="255">
        <v>1</v>
      </c>
      <c r="K83" s="255">
        <v>1</v>
      </c>
      <c r="L83" s="255"/>
      <c r="M83" s="256">
        <v>6.2172000000000009E-3</v>
      </c>
      <c r="N83" s="249">
        <v>82</v>
      </c>
    </row>
    <row r="84" spans="1:14" x14ac:dyDescent="0.25">
      <c r="A84" s="252" t="s">
        <v>183</v>
      </c>
      <c r="B84" s="252" t="s">
        <v>1423</v>
      </c>
      <c r="C84" s="253" t="s">
        <v>214</v>
      </c>
      <c r="D84" s="252">
        <v>39792</v>
      </c>
      <c r="E84" s="252" t="s">
        <v>1332</v>
      </c>
      <c r="F84" s="254">
        <v>10001</v>
      </c>
      <c r="G84" s="252" t="s">
        <v>1428</v>
      </c>
      <c r="H84" s="252" t="s">
        <v>1429</v>
      </c>
      <c r="I84" s="252">
        <v>9</v>
      </c>
      <c r="J84" s="255">
        <v>1</v>
      </c>
      <c r="K84" s="255">
        <v>1</v>
      </c>
      <c r="L84" s="255"/>
      <c r="M84" s="256">
        <v>8.353656000000001E-3</v>
      </c>
      <c r="N84" s="249">
        <v>83</v>
      </c>
    </row>
    <row r="85" spans="1:14" x14ac:dyDescent="0.25">
      <c r="A85" s="252" t="s">
        <v>183</v>
      </c>
      <c r="B85" s="252" t="s">
        <v>1423</v>
      </c>
      <c r="C85" s="253" t="s">
        <v>214</v>
      </c>
      <c r="D85" s="252">
        <v>39792</v>
      </c>
      <c r="E85" s="252" t="s">
        <v>1332</v>
      </c>
      <c r="F85" s="254">
        <v>10001</v>
      </c>
      <c r="G85" s="252" t="s">
        <v>1430</v>
      </c>
      <c r="H85" s="252" t="s">
        <v>1431</v>
      </c>
      <c r="I85" s="252">
        <v>9</v>
      </c>
      <c r="J85" s="255">
        <v>1</v>
      </c>
      <c r="K85" s="255">
        <v>1</v>
      </c>
      <c r="L85" s="255"/>
      <c r="M85" s="256">
        <v>5.5529016000000007E-2</v>
      </c>
      <c r="N85" s="249">
        <v>84</v>
      </c>
    </row>
    <row r="86" spans="1:14" x14ac:dyDescent="0.25">
      <c r="A86" s="252" t="s">
        <v>183</v>
      </c>
      <c r="B86" s="252" t="s">
        <v>1423</v>
      </c>
      <c r="C86" s="253" t="s">
        <v>214</v>
      </c>
      <c r="D86" s="252">
        <v>39792</v>
      </c>
      <c r="E86" s="252" t="s">
        <v>1332</v>
      </c>
      <c r="F86" s="254">
        <v>10001</v>
      </c>
      <c r="G86" s="252" t="s">
        <v>1432</v>
      </c>
      <c r="H86" s="252" t="s">
        <v>1433</v>
      </c>
      <c r="I86" s="252">
        <v>9</v>
      </c>
      <c r="J86" s="255">
        <v>1</v>
      </c>
      <c r="K86" s="255">
        <v>1</v>
      </c>
      <c r="L86" s="255"/>
      <c r="M86" s="256">
        <v>6.4658880000000004E-3</v>
      </c>
      <c r="N86" s="249">
        <v>85</v>
      </c>
    </row>
    <row r="87" spans="1:14" x14ac:dyDescent="0.25">
      <c r="A87" s="252" t="s">
        <v>183</v>
      </c>
      <c r="B87" s="252" t="s">
        <v>1423</v>
      </c>
      <c r="C87" s="253" t="s">
        <v>214</v>
      </c>
      <c r="D87" s="252">
        <v>39792</v>
      </c>
      <c r="E87" s="252" t="s">
        <v>1332</v>
      </c>
      <c r="F87" s="254">
        <v>10001</v>
      </c>
      <c r="G87" s="252" t="s">
        <v>1434</v>
      </c>
      <c r="H87" s="252" t="s">
        <v>1435</v>
      </c>
      <c r="I87" s="252">
        <v>9</v>
      </c>
      <c r="J87" s="255">
        <v>1</v>
      </c>
      <c r="K87" s="255">
        <v>1</v>
      </c>
      <c r="L87" s="255"/>
      <c r="M87" s="256">
        <v>3.2717544000000001E-2</v>
      </c>
      <c r="N87" s="249">
        <v>86</v>
      </c>
    </row>
    <row r="88" spans="1:14" x14ac:dyDescent="0.25">
      <c r="A88" s="252" t="s">
        <v>183</v>
      </c>
      <c r="B88" s="252" t="s">
        <v>1423</v>
      </c>
      <c r="C88" s="253" t="s">
        <v>214</v>
      </c>
      <c r="D88" s="252">
        <v>39792</v>
      </c>
      <c r="E88" s="252" t="s">
        <v>1332</v>
      </c>
      <c r="F88" s="254">
        <v>10001</v>
      </c>
      <c r="G88" s="252" t="s">
        <v>1436</v>
      </c>
      <c r="H88" s="252" t="s">
        <v>1437</v>
      </c>
      <c r="I88" s="252">
        <v>9</v>
      </c>
      <c r="J88" s="255">
        <v>1</v>
      </c>
      <c r="K88" s="255">
        <v>1</v>
      </c>
      <c r="L88" s="255"/>
      <c r="M88" s="256">
        <v>1.0814160000000002E-3</v>
      </c>
      <c r="N88" s="249">
        <v>87</v>
      </c>
    </row>
    <row r="89" spans="1:14" x14ac:dyDescent="0.25">
      <c r="A89" s="252" t="s">
        <v>183</v>
      </c>
      <c r="B89" s="252" t="s">
        <v>1423</v>
      </c>
      <c r="C89" s="253" t="s">
        <v>214</v>
      </c>
      <c r="D89" s="252">
        <v>39792</v>
      </c>
      <c r="E89" s="252" t="s">
        <v>1332</v>
      </c>
      <c r="F89" s="254">
        <v>10001</v>
      </c>
      <c r="G89" s="252" t="s">
        <v>1438</v>
      </c>
      <c r="H89" s="252" t="s">
        <v>1439</v>
      </c>
      <c r="I89" s="252">
        <v>9</v>
      </c>
      <c r="J89" s="255">
        <v>1</v>
      </c>
      <c r="K89" s="255">
        <v>1</v>
      </c>
      <c r="L89" s="255"/>
      <c r="M89" s="256">
        <v>8.2142400000000007E-4</v>
      </c>
      <c r="N89" s="249">
        <v>88</v>
      </c>
    </row>
    <row r="90" spans="1:14" x14ac:dyDescent="0.25">
      <c r="A90" s="252" t="s">
        <v>183</v>
      </c>
      <c r="B90" s="252" t="s">
        <v>1423</v>
      </c>
      <c r="C90" s="253" t="s">
        <v>214</v>
      </c>
      <c r="D90" s="252">
        <v>39792</v>
      </c>
      <c r="E90" s="252" t="s">
        <v>1332</v>
      </c>
      <c r="F90" s="254">
        <v>10001</v>
      </c>
      <c r="G90" s="252" t="s">
        <v>1440</v>
      </c>
      <c r="H90" s="252" t="s">
        <v>1441</v>
      </c>
      <c r="I90" s="252">
        <v>9</v>
      </c>
      <c r="J90" s="255">
        <v>1</v>
      </c>
      <c r="K90" s="255">
        <v>1</v>
      </c>
      <c r="L90" s="255"/>
      <c r="M90" s="256">
        <v>2.9202000000000004E-3</v>
      </c>
      <c r="N90" s="249">
        <v>89</v>
      </c>
    </row>
    <row r="91" spans="1:14" x14ac:dyDescent="0.25">
      <c r="A91" s="252" t="s">
        <v>183</v>
      </c>
      <c r="B91" s="252" t="s">
        <v>1423</v>
      </c>
      <c r="C91" s="253" t="s">
        <v>214</v>
      </c>
      <c r="D91" s="252">
        <v>39792</v>
      </c>
      <c r="E91" s="252" t="s">
        <v>1332</v>
      </c>
      <c r="F91" s="254">
        <v>10001</v>
      </c>
      <c r="G91" s="252" t="s">
        <v>1442</v>
      </c>
      <c r="H91" s="252" t="s">
        <v>1443</v>
      </c>
      <c r="I91" s="252">
        <v>9</v>
      </c>
      <c r="J91" s="255">
        <v>1</v>
      </c>
      <c r="K91" s="255">
        <v>1</v>
      </c>
      <c r="L91" s="255"/>
      <c r="M91" s="256">
        <v>1.2359040000000002E-2</v>
      </c>
      <c r="N91" s="249">
        <v>90</v>
      </c>
    </row>
    <row r="92" spans="1:14" x14ac:dyDescent="0.25">
      <c r="A92" s="252" t="s">
        <v>183</v>
      </c>
      <c r="B92" s="252" t="s">
        <v>1423</v>
      </c>
      <c r="C92" s="253" t="s">
        <v>214</v>
      </c>
      <c r="D92" s="252">
        <v>39792</v>
      </c>
      <c r="E92" s="252" t="s">
        <v>1332</v>
      </c>
      <c r="F92" s="254">
        <v>10001</v>
      </c>
      <c r="G92" s="252" t="s">
        <v>1444</v>
      </c>
      <c r="H92" s="252" t="s">
        <v>1445</v>
      </c>
      <c r="I92" s="252">
        <v>9</v>
      </c>
      <c r="J92" s="255">
        <v>1</v>
      </c>
      <c r="K92" s="255">
        <v>1</v>
      </c>
      <c r="L92" s="255"/>
      <c r="M92" s="256">
        <v>7.083840000000001E-3</v>
      </c>
      <c r="N92" s="249">
        <v>91</v>
      </c>
    </row>
    <row r="93" spans="1:14" x14ac:dyDescent="0.25">
      <c r="A93" s="252" t="s">
        <v>183</v>
      </c>
      <c r="B93" s="252" t="s">
        <v>1423</v>
      </c>
      <c r="C93" s="253" t="s">
        <v>214</v>
      </c>
      <c r="D93" s="252">
        <v>39792</v>
      </c>
      <c r="E93" s="252" t="s">
        <v>1332</v>
      </c>
      <c r="F93" s="254">
        <v>10101</v>
      </c>
      <c r="G93" s="252" t="s">
        <v>1446</v>
      </c>
      <c r="H93" s="252" t="s">
        <v>1447</v>
      </c>
      <c r="I93" s="252">
        <v>9</v>
      </c>
      <c r="J93" s="255">
        <v>1</v>
      </c>
      <c r="K93" s="255">
        <v>1</v>
      </c>
      <c r="L93" s="255"/>
      <c r="M93" s="256">
        <v>3.7488188976377949E-3</v>
      </c>
      <c r="N93" s="249">
        <v>92</v>
      </c>
    </row>
    <row r="94" spans="1:14" x14ac:dyDescent="0.25">
      <c r="A94" s="252" t="s">
        <v>183</v>
      </c>
      <c r="B94" s="252" t="s">
        <v>1423</v>
      </c>
      <c r="C94" s="253" t="s">
        <v>214</v>
      </c>
      <c r="D94" s="252">
        <v>39792</v>
      </c>
      <c r="E94" s="252" t="s">
        <v>1332</v>
      </c>
      <c r="F94" s="254">
        <v>10101</v>
      </c>
      <c r="G94" s="252" t="s">
        <v>1448</v>
      </c>
      <c r="H94" s="252" t="s">
        <v>1449</v>
      </c>
      <c r="I94" s="252">
        <v>9</v>
      </c>
      <c r="J94" s="255">
        <v>1</v>
      </c>
      <c r="K94" s="255">
        <v>1</v>
      </c>
      <c r="L94" s="255"/>
      <c r="M94" s="256">
        <v>9.0354330708661409E-4</v>
      </c>
      <c r="N94" s="249">
        <v>93</v>
      </c>
    </row>
    <row r="95" spans="1:14" x14ac:dyDescent="0.25">
      <c r="A95" s="252" t="s">
        <v>183</v>
      </c>
      <c r="B95" s="252" t="s">
        <v>1423</v>
      </c>
      <c r="C95" s="253" t="s">
        <v>214</v>
      </c>
      <c r="D95" s="252">
        <v>39792</v>
      </c>
      <c r="E95" s="252" t="s">
        <v>1332</v>
      </c>
      <c r="F95" s="254">
        <v>10101</v>
      </c>
      <c r="G95" s="252" t="s">
        <v>1450</v>
      </c>
      <c r="H95" s="252" t="s">
        <v>1451</v>
      </c>
      <c r="I95" s="252">
        <v>9</v>
      </c>
      <c r="J95" s="255">
        <v>1</v>
      </c>
      <c r="K95" s="255">
        <v>1</v>
      </c>
      <c r="L95" s="255"/>
      <c r="M95" s="256">
        <v>4.17E-4</v>
      </c>
      <c r="N95" s="249">
        <v>94</v>
      </c>
    </row>
    <row r="96" spans="1:14" x14ac:dyDescent="0.25">
      <c r="A96" s="252" t="s">
        <v>183</v>
      </c>
      <c r="B96" s="252" t="s">
        <v>1423</v>
      </c>
      <c r="C96" s="253" t="s">
        <v>214</v>
      </c>
      <c r="D96" s="252">
        <v>39792</v>
      </c>
      <c r="E96" s="252" t="s">
        <v>1332</v>
      </c>
      <c r="F96" s="254">
        <v>10101</v>
      </c>
      <c r="G96" s="252" t="s">
        <v>1452</v>
      </c>
      <c r="H96" s="252" t="s">
        <v>1453</v>
      </c>
      <c r="I96" s="252">
        <v>9</v>
      </c>
      <c r="J96" s="255">
        <v>1</v>
      </c>
      <c r="K96" s="255">
        <v>1</v>
      </c>
      <c r="L96" s="255"/>
      <c r="M96" s="256">
        <v>4.17E-4</v>
      </c>
      <c r="N96" s="249">
        <v>95</v>
      </c>
    </row>
    <row r="97" spans="1:14" x14ac:dyDescent="0.25">
      <c r="A97" s="252" t="s">
        <v>183</v>
      </c>
      <c r="B97" s="252" t="s">
        <v>1423</v>
      </c>
      <c r="C97" s="253" t="s">
        <v>214</v>
      </c>
      <c r="D97" s="252">
        <v>39792</v>
      </c>
      <c r="E97" s="252" t="s">
        <v>1332</v>
      </c>
      <c r="F97" s="254">
        <v>10101</v>
      </c>
      <c r="G97" s="252" t="s">
        <v>1454</v>
      </c>
      <c r="H97" s="252" t="s">
        <v>1455</v>
      </c>
      <c r="I97" s="252">
        <v>9</v>
      </c>
      <c r="J97" s="255">
        <v>1</v>
      </c>
      <c r="K97" s="255">
        <v>1</v>
      </c>
      <c r="L97" s="255"/>
      <c r="M97" s="256">
        <v>3.2562992125984248E-3</v>
      </c>
      <c r="N97" s="249">
        <v>96</v>
      </c>
    </row>
    <row r="98" spans="1:14" x14ac:dyDescent="0.25">
      <c r="A98" s="252" t="s">
        <v>183</v>
      </c>
      <c r="B98" s="252" t="s">
        <v>1423</v>
      </c>
      <c r="C98" s="253" t="s">
        <v>214</v>
      </c>
      <c r="D98" s="252">
        <v>39792</v>
      </c>
      <c r="E98" s="252" t="s">
        <v>1332</v>
      </c>
      <c r="F98" s="254">
        <v>10201</v>
      </c>
      <c r="G98" s="252" t="s">
        <v>1456</v>
      </c>
      <c r="H98" s="252" t="s">
        <v>1457</v>
      </c>
      <c r="I98" s="252">
        <v>9</v>
      </c>
      <c r="J98" s="255">
        <v>1</v>
      </c>
      <c r="K98" s="255">
        <v>1</v>
      </c>
      <c r="L98" s="255"/>
      <c r="M98" s="256">
        <v>3.1240157480314961E-3</v>
      </c>
      <c r="N98" s="249">
        <v>97</v>
      </c>
    </row>
    <row r="99" spans="1:14" x14ac:dyDescent="0.25">
      <c r="A99" s="252" t="s">
        <v>183</v>
      </c>
      <c r="B99" s="252" t="s">
        <v>1423</v>
      </c>
      <c r="C99" s="253" t="s">
        <v>214</v>
      </c>
      <c r="D99" s="252">
        <v>39792</v>
      </c>
      <c r="E99" s="252" t="s">
        <v>1332</v>
      </c>
      <c r="F99" s="254">
        <v>10201</v>
      </c>
      <c r="G99" s="252" t="s">
        <v>1458</v>
      </c>
      <c r="H99" s="252" t="s">
        <v>1459</v>
      </c>
      <c r="I99" s="252">
        <v>9</v>
      </c>
      <c r="J99" s="255">
        <v>1</v>
      </c>
      <c r="K99" s="255">
        <v>1</v>
      </c>
      <c r="L99" s="255"/>
      <c r="M99" s="256">
        <v>7.5295275590551178E-4</v>
      </c>
      <c r="N99" s="249">
        <v>98</v>
      </c>
    </row>
    <row r="100" spans="1:14" x14ac:dyDescent="0.25">
      <c r="A100" s="252" t="s">
        <v>183</v>
      </c>
      <c r="B100" s="252" t="s">
        <v>1423</v>
      </c>
      <c r="C100" s="253" t="s">
        <v>214</v>
      </c>
      <c r="D100" s="252">
        <v>39792</v>
      </c>
      <c r="E100" s="252" t="s">
        <v>1332</v>
      </c>
      <c r="F100" s="254">
        <v>10201</v>
      </c>
      <c r="G100" s="252" t="s">
        <v>1460</v>
      </c>
      <c r="H100" s="252" t="s">
        <v>1461</v>
      </c>
      <c r="I100" s="252">
        <v>9</v>
      </c>
      <c r="J100" s="255">
        <v>1</v>
      </c>
      <c r="K100" s="255">
        <v>1</v>
      </c>
      <c r="L100" s="255"/>
      <c r="M100" s="256">
        <v>4.17E-4</v>
      </c>
      <c r="N100" s="249">
        <v>99</v>
      </c>
    </row>
    <row r="101" spans="1:14" x14ac:dyDescent="0.25">
      <c r="A101" s="252" t="s">
        <v>183</v>
      </c>
      <c r="B101" s="252" t="s">
        <v>1423</v>
      </c>
      <c r="C101" s="253" t="s">
        <v>214</v>
      </c>
      <c r="D101" s="252">
        <v>39792</v>
      </c>
      <c r="E101" s="252" t="s">
        <v>1332</v>
      </c>
      <c r="F101" s="254">
        <v>10201</v>
      </c>
      <c r="G101" s="252" t="s">
        <v>1462</v>
      </c>
      <c r="H101" s="252" t="s">
        <v>1463</v>
      </c>
      <c r="I101" s="252">
        <v>9</v>
      </c>
      <c r="J101" s="255">
        <v>1</v>
      </c>
      <c r="K101" s="255">
        <v>1</v>
      </c>
      <c r="L101" s="255"/>
      <c r="M101" s="256">
        <v>4.17E-4</v>
      </c>
      <c r="N101" s="249">
        <v>100</v>
      </c>
    </row>
    <row r="102" spans="1:14" x14ac:dyDescent="0.25">
      <c r="A102" s="252" t="s">
        <v>183</v>
      </c>
      <c r="B102" s="252" t="s">
        <v>1423</v>
      </c>
      <c r="C102" s="253" t="s">
        <v>214</v>
      </c>
      <c r="D102" s="252">
        <v>39792</v>
      </c>
      <c r="E102" s="252" t="s">
        <v>1332</v>
      </c>
      <c r="F102" s="254">
        <v>10201</v>
      </c>
      <c r="G102" s="252" t="s">
        <v>1464</v>
      </c>
      <c r="H102" s="252" t="s">
        <v>1465</v>
      </c>
      <c r="I102" s="252">
        <v>9</v>
      </c>
      <c r="J102" s="255">
        <v>1</v>
      </c>
      <c r="K102" s="255">
        <v>1</v>
      </c>
      <c r="L102" s="255"/>
      <c r="M102" s="256">
        <v>2.7135826771653541E-3</v>
      </c>
      <c r="N102" s="249">
        <v>101</v>
      </c>
    </row>
    <row r="103" spans="1:14" x14ac:dyDescent="0.25">
      <c r="A103" s="252" t="s">
        <v>183</v>
      </c>
      <c r="B103" s="252" t="s">
        <v>1423</v>
      </c>
      <c r="C103" s="253" t="s">
        <v>214</v>
      </c>
      <c r="D103" s="252">
        <v>39792</v>
      </c>
      <c r="E103" s="252" t="s">
        <v>1332</v>
      </c>
      <c r="F103" s="254">
        <v>10301</v>
      </c>
      <c r="G103" s="252" t="s">
        <v>1466</v>
      </c>
      <c r="H103" s="252" t="s">
        <v>1467</v>
      </c>
      <c r="I103" s="252">
        <v>9</v>
      </c>
      <c r="J103" s="255">
        <v>1</v>
      </c>
      <c r="K103" s="255">
        <v>1</v>
      </c>
      <c r="L103" s="255"/>
      <c r="M103" s="256">
        <v>3.1240157480314961E-3</v>
      </c>
      <c r="N103" s="249">
        <v>102</v>
      </c>
    </row>
    <row r="104" spans="1:14" x14ac:dyDescent="0.25">
      <c r="A104" s="252" t="s">
        <v>183</v>
      </c>
      <c r="B104" s="252" t="s">
        <v>1423</v>
      </c>
      <c r="C104" s="253" t="s">
        <v>214</v>
      </c>
      <c r="D104" s="252">
        <v>39792</v>
      </c>
      <c r="E104" s="252" t="s">
        <v>1332</v>
      </c>
      <c r="F104" s="254">
        <v>10301</v>
      </c>
      <c r="G104" s="252" t="s">
        <v>1468</v>
      </c>
      <c r="H104" s="252" t="s">
        <v>1469</v>
      </c>
      <c r="I104" s="252">
        <v>9</v>
      </c>
      <c r="J104" s="255">
        <v>1</v>
      </c>
      <c r="K104" s="255">
        <v>1</v>
      </c>
      <c r="L104" s="255"/>
      <c r="M104" s="256">
        <v>7.5295275590551178E-4</v>
      </c>
      <c r="N104" s="249">
        <v>103</v>
      </c>
    </row>
    <row r="105" spans="1:14" x14ac:dyDescent="0.25">
      <c r="A105" s="252" t="s">
        <v>183</v>
      </c>
      <c r="B105" s="252" t="s">
        <v>1423</v>
      </c>
      <c r="C105" s="253" t="s">
        <v>214</v>
      </c>
      <c r="D105" s="252">
        <v>39792</v>
      </c>
      <c r="E105" s="252" t="s">
        <v>1332</v>
      </c>
      <c r="F105" s="254">
        <v>10301</v>
      </c>
      <c r="G105" s="252" t="s">
        <v>1470</v>
      </c>
      <c r="H105" s="252" t="s">
        <v>1471</v>
      </c>
      <c r="I105" s="252">
        <v>9</v>
      </c>
      <c r="J105" s="255">
        <v>1</v>
      </c>
      <c r="K105" s="255">
        <v>1</v>
      </c>
      <c r="L105" s="255"/>
      <c r="M105" s="256">
        <v>4.17E-4</v>
      </c>
      <c r="N105" s="249">
        <v>104</v>
      </c>
    </row>
    <row r="106" spans="1:14" x14ac:dyDescent="0.25">
      <c r="A106" s="252" t="s">
        <v>183</v>
      </c>
      <c r="B106" s="252" t="s">
        <v>1423</v>
      </c>
      <c r="C106" s="253" t="s">
        <v>214</v>
      </c>
      <c r="D106" s="252">
        <v>39792</v>
      </c>
      <c r="E106" s="252" t="s">
        <v>1332</v>
      </c>
      <c r="F106" s="254">
        <v>10301</v>
      </c>
      <c r="G106" s="252" t="s">
        <v>1472</v>
      </c>
      <c r="H106" s="252" t="s">
        <v>1473</v>
      </c>
      <c r="I106" s="252">
        <v>9</v>
      </c>
      <c r="J106" s="255">
        <v>1</v>
      </c>
      <c r="K106" s="255">
        <v>1</v>
      </c>
      <c r="L106" s="255"/>
      <c r="M106" s="256">
        <v>4.17E-4</v>
      </c>
      <c r="N106" s="249">
        <v>105</v>
      </c>
    </row>
    <row r="107" spans="1:14" x14ac:dyDescent="0.25">
      <c r="A107" s="252" t="s">
        <v>183</v>
      </c>
      <c r="B107" s="252" t="s">
        <v>1423</v>
      </c>
      <c r="C107" s="253" t="s">
        <v>214</v>
      </c>
      <c r="D107" s="252">
        <v>39792</v>
      </c>
      <c r="E107" s="252" t="s">
        <v>1332</v>
      </c>
      <c r="F107" s="254">
        <v>10301</v>
      </c>
      <c r="G107" s="252" t="s">
        <v>1474</v>
      </c>
      <c r="H107" s="252" t="s">
        <v>1475</v>
      </c>
      <c r="I107" s="252">
        <v>9</v>
      </c>
      <c r="J107" s="255">
        <v>1</v>
      </c>
      <c r="K107" s="255">
        <v>1</v>
      </c>
      <c r="L107" s="255"/>
      <c r="M107" s="256">
        <v>2.7135826771653541E-3</v>
      </c>
      <c r="N107" s="249">
        <v>106</v>
      </c>
    </row>
    <row r="108" spans="1:14" x14ac:dyDescent="0.25">
      <c r="A108" s="252" t="s">
        <v>183</v>
      </c>
      <c r="B108" s="252" t="s">
        <v>1423</v>
      </c>
      <c r="C108" s="253" t="s">
        <v>214</v>
      </c>
      <c r="D108" s="252">
        <v>39792</v>
      </c>
      <c r="E108" s="252" t="s">
        <v>1332</v>
      </c>
      <c r="F108" s="254">
        <v>10401</v>
      </c>
      <c r="G108" s="252" t="s">
        <v>1476</v>
      </c>
      <c r="H108" s="252" t="s">
        <v>1477</v>
      </c>
      <c r="I108" s="252">
        <v>9</v>
      </c>
      <c r="J108" s="255">
        <v>1</v>
      </c>
      <c r="K108" s="255">
        <v>1</v>
      </c>
      <c r="L108" s="255"/>
      <c r="M108" s="256">
        <v>3.5070659999999997E-2</v>
      </c>
      <c r="N108" s="249">
        <v>107</v>
      </c>
    </row>
    <row r="109" spans="1:14" x14ac:dyDescent="0.25">
      <c r="A109" s="252" t="s">
        <v>183</v>
      </c>
      <c r="B109" s="252" t="s">
        <v>1423</v>
      </c>
      <c r="C109" s="253" t="s">
        <v>214</v>
      </c>
      <c r="D109" s="252">
        <v>39792</v>
      </c>
      <c r="E109" s="252" t="s">
        <v>1332</v>
      </c>
      <c r="F109" s="254">
        <v>10401</v>
      </c>
      <c r="G109" s="252" t="s">
        <v>1478</v>
      </c>
      <c r="H109" s="252" t="s">
        <v>1479</v>
      </c>
      <c r="I109" s="252">
        <v>9</v>
      </c>
      <c r="J109" s="255">
        <v>1</v>
      </c>
      <c r="K109" s="255">
        <v>1</v>
      </c>
      <c r="L109" s="255"/>
      <c r="M109" s="256">
        <v>6.6128399999999994E-4</v>
      </c>
      <c r="N109" s="249">
        <v>108</v>
      </c>
    </row>
    <row r="110" spans="1:14" x14ac:dyDescent="0.25">
      <c r="A110" s="252" t="s">
        <v>183</v>
      </c>
      <c r="B110" s="252" t="s">
        <v>1423</v>
      </c>
      <c r="C110" s="253" t="s">
        <v>214</v>
      </c>
      <c r="D110" s="252">
        <v>39792</v>
      </c>
      <c r="E110" s="252" t="s">
        <v>1332</v>
      </c>
      <c r="F110" s="254">
        <v>10401</v>
      </c>
      <c r="G110" s="252" t="s">
        <v>1480</v>
      </c>
      <c r="H110" s="252" t="s">
        <v>1481</v>
      </c>
      <c r="I110" s="252">
        <v>9</v>
      </c>
      <c r="J110" s="255">
        <v>1</v>
      </c>
      <c r="K110" s="255">
        <v>1</v>
      </c>
      <c r="L110" s="255"/>
      <c r="M110" s="256">
        <v>1.0823580000000001E-2</v>
      </c>
      <c r="N110" s="249">
        <v>109</v>
      </c>
    </row>
    <row r="111" spans="1:14" x14ac:dyDescent="0.25">
      <c r="A111" s="252" t="s">
        <v>183</v>
      </c>
      <c r="B111" s="252" t="s">
        <v>1423</v>
      </c>
      <c r="C111" s="253" t="s">
        <v>214</v>
      </c>
      <c r="D111" s="252">
        <v>39792</v>
      </c>
      <c r="E111" s="252" t="s">
        <v>1332</v>
      </c>
      <c r="F111" s="254">
        <v>10401</v>
      </c>
      <c r="G111" s="252" t="s">
        <v>1482</v>
      </c>
      <c r="H111" s="252" t="s">
        <v>1483</v>
      </c>
      <c r="I111" s="252">
        <v>9</v>
      </c>
      <c r="J111" s="255">
        <v>1</v>
      </c>
      <c r="K111" s="255">
        <v>1</v>
      </c>
      <c r="L111" s="255"/>
      <c r="M111" s="256">
        <v>6.6128399999999994E-4</v>
      </c>
      <c r="N111" s="249">
        <v>110</v>
      </c>
    </row>
    <row r="112" spans="1:14" x14ac:dyDescent="0.25">
      <c r="A112" s="252" t="s">
        <v>183</v>
      </c>
      <c r="B112" s="252" t="s">
        <v>1423</v>
      </c>
      <c r="C112" s="253" t="s">
        <v>214</v>
      </c>
      <c r="D112" s="252">
        <v>39792</v>
      </c>
      <c r="E112" s="252" t="s">
        <v>1332</v>
      </c>
      <c r="F112" s="254">
        <v>10401</v>
      </c>
      <c r="G112" s="252" t="s">
        <v>1484</v>
      </c>
      <c r="H112" s="252" t="s">
        <v>1485</v>
      </c>
      <c r="I112" s="252">
        <v>9</v>
      </c>
      <c r="J112" s="255">
        <v>1</v>
      </c>
      <c r="K112" s="255">
        <v>1</v>
      </c>
      <c r="L112" s="255"/>
      <c r="M112" s="256">
        <v>2.3772312E-2</v>
      </c>
      <c r="N112" s="249">
        <v>111</v>
      </c>
    </row>
    <row r="113" spans="1:14" x14ac:dyDescent="0.25">
      <c r="A113" s="252" t="s">
        <v>183</v>
      </c>
      <c r="B113" s="252" t="s">
        <v>1423</v>
      </c>
      <c r="C113" s="253" t="s">
        <v>214</v>
      </c>
      <c r="D113" s="252">
        <v>39792</v>
      </c>
      <c r="E113" s="252" t="s">
        <v>1332</v>
      </c>
      <c r="F113" s="254">
        <v>10401</v>
      </c>
      <c r="G113" s="252" t="s">
        <v>1486</v>
      </c>
      <c r="H113" s="252" t="s">
        <v>1487</v>
      </c>
      <c r="I113" s="252">
        <v>9</v>
      </c>
      <c r="J113" s="255">
        <v>1</v>
      </c>
      <c r="K113" s="255">
        <v>1</v>
      </c>
      <c r="L113" s="255"/>
      <c r="M113" s="256">
        <v>1.7108603999999996E-2</v>
      </c>
      <c r="N113" s="249">
        <v>112</v>
      </c>
    </row>
    <row r="114" spans="1:14" x14ac:dyDescent="0.25">
      <c r="A114" s="252" t="s">
        <v>183</v>
      </c>
      <c r="B114" s="252" t="s">
        <v>1423</v>
      </c>
      <c r="C114" s="253" t="s">
        <v>214</v>
      </c>
      <c r="D114" s="252">
        <v>39792</v>
      </c>
      <c r="E114" s="252" t="s">
        <v>1332</v>
      </c>
      <c r="F114" s="254">
        <v>10401</v>
      </c>
      <c r="G114" s="252" t="s">
        <v>1488</v>
      </c>
      <c r="H114" s="252" t="s">
        <v>1489</v>
      </c>
      <c r="I114" s="252">
        <v>9</v>
      </c>
      <c r="J114" s="255">
        <v>1</v>
      </c>
      <c r="K114" s="255">
        <v>1</v>
      </c>
      <c r="L114" s="255"/>
      <c r="M114" s="256">
        <v>2.3173199999999999E-3</v>
      </c>
      <c r="N114" s="249">
        <v>113</v>
      </c>
    </row>
    <row r="115" spans="1:14" x14ac:dyDescent="0.25">
      <c r="A115" s="252" t="s">
        <v>183</v>
      </c>
      <c r="B115" s="252" t="s">
        <v>1423</v>
      </c>
      <c r="C115" s="253" t="s">
        <v>214</v>
      </c>
      <c r="D115" s="252">
        <v>39792</v>
      </c>
      <c r="E115" s="252" t="s">
        <v>1332</v>
      </c>
      <c r="F115" s="254">
        <v>10401</v>
      </c>
      <c r="G115" s="252" t="s">
        <v>1490</v>
      </c>
      <c r="H115" s="252" t="s">
        <v>1491</v>
      </c>
      <c r="I115" s="252">
        <v>9</v>
      </c>
      <c r="J115" s="255">
        <v>1</v>
      </c>
      <c r="K115" s="255">
        <v>1</v>
      </c>
      <c r="L115" s="255"/>
      <c r="M115" s="256">
        <v>4.6685520000000003E-3</v>
      </c>
      <c r="N115" s="249">
        <v>114</v>
      </c>
    </row>
    <row r="116" spans="1:14" x14ac:dyDescent="0.25">
      <c r="A116" s="252" t="s">
        <v>183</v>
      </c>
      <c r="B116" s="252" t="s">
        <v>1423</v>
      </c>
      <c r="C116" s="253" t="s">
        <v>214</v>
      </c>
      <c r="D116" s="252">
        <v>39792</v>
      </c>
      <c r="E116" s="252" t="s">
        <v>1332</v>
      </c>
      <c r="F116" s="254">
        <v>10401</v>
      </c>
      <c r="G116" s="252" t="s">
        <v>1492</v>
      </c>
      <c r="H116" s="252" t="s">
        <v>1493</v>
      </c>
      <c r="I116" s="252">
        <v>9</v>
      </c>
      <c r="J116" s="255">
        <v>1</v>
      </c>
      <c r="K116" s="255">
        <v>1</v>
      </c>
      <c r="L116" s="255"/>
      <c r="M116" s="256">
        <v>1.3847400000000001E-2</v>
      </c>
      <c r="N116" s="249">
        <v>115</v>
      </c>
    </row>
    <row r="117" spans="1:14" x14ac:dyDescent="0.25">
      <c r="A117" s="252" t="s">
        <v>183</v>
      </c>
      <c r="B117" s="252" t="s">
        <v>1423</v>
      </c>
      <c r="C117" s="253" t="s">
        <v>214</v>
      </c>
      <c r="D117" s="252">
        <v>39792</v>
      </c>
      <c r="E117" s="252" t="s">
        <v>1332</v>
      </c>
      <c r="F117" s="254">
        <v>10401</v>
      </c>
      <c r="G117" s="252" t="s">
        <v>1494</v>
      </c>
      <c r="H117" s="252" t="s">
        <v>1495</v>
      </c>
      <c r="I117" s="252">
        <v>9</v>
      </c>
      <c r="J117" s="255">
        <v>1</v>
      </c>
      <c r="K117" s="255">
        <v>1</v>
      </c>
      <c r="L117" s="255"/>
      <c r="M117" s="256">
        <v>1.3847400000000001E-2</v>
      </c>
      <c r="N117" s="249">
        <v>116</v>
      </c>
    </row>
    <row r="118" spans="1:14" x14ac:dyDescent="0.25">
      <c r="A118" s="252" t="s">
        <v>183</v>
      </c>
      <c r="B118" s="252" t="s">
        <v>1423</v>
      </c>
      <c r="C118" s="253" t="s">
        <v>214</v>
      </c>
      <c r="D118" s="252">
        <v>39792</v>
      </c>
      <c r="E118" s="252" t="s">
        <v>1332</v>
      </c>
      <c r="F118" s="254">
        <v>10401</v>
      </c>
      <c r="G118" s="252" t="s">
        <v>1496</v>
      </c>
      <c r="H118" s="252" t="s">
        <v>1497</v>
      </c>
      <c r="I118" s="252">
        <v>9</v>
      </c>
      <c r="J118" s="255">
        <v>1</v>
      </c>
      <c r="K118" s="255">
        <v>1</v>
      </c>
      <c r="L118" s="255"/>
      <c r="M118" s="256">
        <v>8.0173619999999984E-3</v>
      </c>
      <c r="N118" s="249">
        <v>117</v>
      </c>
    </row>
    <row r="119" spans="1:14" x14ac:dyDescent="0.25">
      <c r="A119" s="252" t="s">
        <v>183</v>
      </c>
      <c r="B119" s="252" t="s">
        <v>1423</v>
      </c>
      <c r="C119" s="253" t="s">
        <v>214</v>
      </c>
      <c r="D119" s="252">
        <v>39792</v>
      </c>
      <c r="E119" s="252" t="s">
        <v>1332</v>
      </c>
      <c r="F119" s="254">
        <v>10401</v>
      </c>
      <c r="G119" s="252" t="s">
        <v>1498</v>
      </c>
      <c r="H119" s="252" t="s">
        <v>1499</v>
      </c>
      <c r="I119" s="252">
        <v>9</v>
      </c>
      <c r="J119" s="255">
        <v>1</v>
      </c>
      <c r="K119" s="255">
        <v>1</v>
      </c>
      <c r="L119" s="255"/>
      <c r="M119" s="256">
        <v>3.0040380000000001E-3</v>
      </c>
      <c r="N119" s="249">
        <v>118</v>
      </c>
    </row>
    <row r="120" spans="1:14" x14ac:dyDescent="0.25">
      <c r="A120" s="252" t="s">
        <v>183</v>
      </c>
      <c r="B120" s="252" t="s">
        <v>1423</v>
      </c>
      <c r="C120" s="253" t="s">
        <v>214</v>
      </c>
      <c r="D120" s="252">
        <v>39792</v>
      </c>
      <c r="E120" s="252" t="s">
        <v>1332</v>
      </c>
      <c r="F120" s="254">
        <v>10401</v>
      </c>
      <c r="G120" s="252" t="s">
        <v>1500</v>
      </c>
      <c r="H120" s="252" t="s">
        <v>1501</v>
      </c>
      <c r="I120" s="252">
        <v>9</v>
      </c>
      <c r="J120" s="255">
        <v>1</v>
      </c>
      <c r="K120" s="255">
        <v>1</v>
      </c>
      <c r="L120" s="255"/>
      <c r="M120" s="256">
        <v>7.9410599999999998E-3</v>
      </c>
      <c r="N120" s="249">
        <v>119</v>
      </c>
    </row>
    <row r="121" spans="1:14" x14ac:dyDescent="0.25">
      <c r="A121" s="252" t="s">
        <v>183</v>
      </c>
      <c r="B121" s="252" t="s">
        <v>1423</v>
      </c>
      <c r="C121" s="253" t="s">
        <v>214</v>
      </c>
      <c r="D121" s="252">
        <v>39792</v>
      </c>
      <c r="E121" s="252" t="s">
        <v>1332</v>
      </c>
      <c r="F121" s="254">
        <v>10401</v>
      </c>
      <c r="G121" s="252" t="s">
        <v>1502</v>
      </c>
      <c r="H121" s="252" t="s">
        <v>1503</v>
      </c>
      <c r="I121" s="252">
        <v>9</v>
      </c>
      <c r="J121" s="255">
        <v>1</v>
      </c>
      <c r="K121" s="255">
        <v>1</v>
      </c>
      <c r="L121" s="255"/>
      <c r="M121" s="256">
        <v>1.5740819999999999E-3</v>
      </c>
      <c r="N121" s="249">
        <v>120</v>
      </c>
    </row>
    <row r="122" spans="1:14" x14ac:dyDescent="0.25">
      <c r="A122" s="252" t="s">
        <v>183</v>
      </c>
      <c r="B122" s="252" t="s">
        <v>1423</v>
      </c>
      <c r="C122" s="253" t="s">
        <v>214</v>
      </c>
      <c r="D122" s="252">
        <v>39792</v>
      </c>
      <c r="E122" s="252" t="s">
        <v>1332</v>
      </c>
      <c r="F122" s="254">
        <v>10401</v>
      </c>
      <c r="G122" s="252" t="s">
        <v>1504</v>
      </c>
      <c r="H122" s="252" t="s">
        <v>1505</v>
      </c>
      <c r="I122" s="252">
        <v>9</v>
      </c>
      <c r="J122" s="255">
        <v>1</v>
      </c>
      <c r="K122" s="255">
        <v>1</v>
      </c>
      <c r="L122" s="255"/>
      <c r="M122" s="256">
        <v>2.2890599999999999E-3</v>
      </c>
      <c r="N122" s="249">
        <v>121</v>
      </c>
    </row>
    <row r="123" spans="1:14" x14ac:dyDescent="0.25">
      <c r="A123" s="252" t="s">
        <v>183</v>
      </c>
      <c r="B123" s="252" t="s">
        <v>1423</v>
      </c>
      <c r="C123" s="253" t="s">
        <v>214</v>
      </c>
      <c r="D123" s="252">
        <v>39792</v>
      </c>
      <c r="E123" s="252" t="s">
        <v>1332</v>
      </c>
      <c r="F123" s="254">
        <v>10401</v>
      </c>
      <c r="G123" s="252" t="s">
        <v>1506</v>
      </c>
      <c r="H123" s="252" t="s">
        <v>1507</v>
      </c>
      <c r="I123" s="252">
        <v>9</v>
      </c>
      <c r="J123" s="255">
        <v>1</v>
      </c>
      <c r="K123" s="255">
        <v>1</v>
      </c>
      <c r="L123" s="255"/>
      <c r="M123" s="256">
        <v>1.5740819999999999E-3</v>
      </c>
      <c r="N123" s="249">
        <v>122</v>
      </c>
    </row>
    <row r="124" spans="1:14" x14ac:dyDescent="0.25">
      <c r="A124" s="252" t="s">
        <v>183</v>
      </c>
      <c r="B124" s="252" t="s">
        <v>1423</v>
      </c>
      <c r="C124" s="253" t="s">
        <v>214</v>
      </c>
      <c r="D124" s="252">
        <v>39792</v>
      </c>
      <c r="E124" s="252" t="s">
        <v>1332</v>
      </c>
      <c r="F124" s="254">
        <v>10401</v>
      </c>
      <c r="G124" s="252" t="s">
        <v>1508</v>
      </c>
      <c r="H124" s="252" t="s">
        <v>1509</v>
      </c>
      <c r="I124" s="252">
        <v>9</v>
      </c>
      <c r="J124" s="255">
        <v>1</v>
      </c>
      <c r="K124" s="255">
        <v>1</v>
      </c>
      <c r="L124" s="255"/>
      <c r="M124" s="256">
        <v>5.030279999999999E-3</v>
      </c>
      <c r="N124" s="249">
        <v>123</v>
      </c>
    </row>
    <row r="125" spans="1:14" x14ac:dyDescent="0.25">
      <c r="A125" s="252" t="s">
        <v>183</v>
      </c>
      <c r="B125" s="252" t="s">
        <v>1423</v>
      </c>
      <c r="C125" s="253" t="s">
        <v>214</v>
      </c>
      <c r="D125" s="252">
        <v>39792</v>
      </c>
      <c r="E125" s="252" t="s">
        <v>1332</v>
      </c>
      <c r="F125" s="254">
        <v>10401</v>
      </c>
      <c r="G125" s="252" t="s">
        <v>1510</v>
      </c>
      <c r="H125" s="252" t="s">
        <v>1511</v>
      </c>
      <c r="I125" s="252">
        <v>9</v>
      </c>
      <c r="J125" s="255">
        <v>1</v>
      </c>
      <c r="K125" s="255">
        <v>1</v>
      </c>
      <c r="L125" s="255"/>
      <c r="M125" s="256">
        <v>4.1316119999999998E-3</v>
      </c>
      <c r="N125" s="249">
        <v>124</v>
      </c>
    </row>
    <row r="126" spans="1:14" x14ac:dyDescent="0.25">
      <c r="A126" s="252" t="s">
        <v>183</v>
      </c>
      <c r="B126" s="252" t="s">
        <v>1423</v>
      </c>
      <c r="C126" s="253" t="s">
        <v>214</v>
      </c>
      <c r="D126" s="252">
        <v>39792</v>
      </c>
      <c r="E126" s="252" t="s">
        <v>1332</v>
      </c>
      <c r="F126" s="254">
        <v>10401</v>
      </c>
      <c r="G126" s="252" t="s">
        <v>1512</v>
      </c>
      <c r="H126" s="252" t="s">
        <v>1513</v>
      </c>
      <c r="I126" s="252">
        <v>9</v>
      </c>
      <c r="J126" s="255">
        <v>1</v>
      </c>
      <c r="K126" s="255">
        <v>1</v>
      </c>
      <c r="L126" s="255"/>
      <c r="M126" s="256">
        <v>1.6260804E-2</v>
      </c>
      <c r="N126" s="249">
        <v>125</v>
      </c>
    </row>
    <row r="127" spans="1:14" x14ac:dyDescent="0.25">
      <c r="A127" s="252" t="s">
        <v>183</v>
      </c>
      <c r="B127" s="252" t="s">
        <v>1423</v>
      </c>
      <c r="C127" s="253" t="s">
        <v>214</v>
      </c>
      <c r="D127" s="252">
        <v>39792</v>
      </c>
      <c r="E127" s="252" t="s">
        <v>1332</v>
      </c>
      <c r="F127" s="254">
        <v>10401</v>
      </c>
      <c r="G127" s="252" t="s">
        <v>1514</v>
      </c>
      <c r="H127" s="252" t="s">
        <v>1515</v>
      </c>
      <c r="I127" s="252">
        <v>9</v>
      </c>
      <c r="J127" s="255">
        <v>1</v>
      </c>
      <c r="K127" s="255">
        <v>1</v>
      </c>
      <c r="L127" s="255"/>
      <c r="M127" s="256">
        <v>1.565604E-3</v>
      </c>
      <c r="N127" s="249">
        <v>126</v>
      </c>
    </row>
    <row r="128" spans="1:14" x14ac:dyDescent="0.25">
      <c r="A128" s="252" t="s">
        <v>183</v>
      </c>
      <c r="B128" s="252" t="s">
        <v>1423</v>
      </c>
      <c r="C128" s="253" t="s">
        <v>214</v>
      </c>
      <c r="D128" s="252">
        <v>39792</v>
      </c>
      <c r="E128" s="252" t="s">
        <v>1332</v>
      </c>
      <c r="F128" s="254">
        <v>10401</v>
      </c>
      <c r="G128" s="252" t="s">
        <v>1516</v>
      </c>
      <c r="H128" s="252" t="s">
        <v>1517</v>
      </c>
      <c r="I128" s="252">
        <v>9</v>
      </c>
      <c r="J128" s="255">
        <v>1</v>
      </c>
      <c r="K128" s="255">
        <v>1</v>
      </c>
      <c r="L128" s="255"/>
      <c r="M128" s="256">
        <v>5.99112E-3</v>
      </c>
      <c r="N128" s="249">
        <v>127</v>
      </c>
    </row>
    <row r="129" spans="1:14" x14ac:dyDescent="0.25">
      <c r="A129" s="252" t="s">
        <v>183</v>
      </c>
      <c r="B129" s="252" t="s">
        <v>1423</v>
      </c>
      <c r="C129" s="253" t="s">
        <v>214</v>
      </c>
      <c r="D129" s="252">
        <v>39792</v>
      </c>
      <c r="E129" s="252" t="s">
        <v>1332</v>
      </c>
      <c r="F129" s="254">
        <v>10501</v>
      </c>
      <c r="G129" s="252" t="s">
        <v>1518</v>
      </c>
      <c r="H129" s="252" t="s">
        <v>1519</v>
      </c>
      <c r="I129" s="252">
        <v>9</v>
      </c>
      <c r="J129" s="255">
        <v>1</v>
      </c>
      <c r="K129" s="255">
        <v>1</v>
      </c>
      <c r="L129" s="255"/>
      <c r="M129" s="256">
        <v>3.1953582000000001E-2</v>
      </c>
      <c r="N129" s="249">
        <v>128</v>
      </c>
    </row>
    <row r="130" spans="1:14" x14ac:dyDescent="0.25">
      <c r="A130" s="252" t="s">
        <v>183</v>
      </c>
      <c r="B130" s="252" t="s">
        <v>1423</v>
      </c>
      <c r="C130" s="253" t="s">
        <v>214</v>
      </c>
      <c r="D130" s="252">
        <v>39792</v>
      </c>
      <c r="E130" s="252" t="s">
        <v>1332</v>
      </c>
      <c r="F130" s="254">
        <v>10501</v>
      </c>
      <c r="G130" s="252" t="s">
        <v>1520</v>
      </c>
      <c r="H130" s="252" t="s">
        <v>1521</v>
      </c>
      <c r="I130" s="252">
        <v>9</v>
      </c>
      <c r="J130" s="255">
        <v>1</v>
      </c>
      <c r="K130" s="255">
        <v>1</v>
      </c>
      <c r="L130" s="255"/>
      <c r="M130" s="256">
        <v>1.6334279999999996E-2</v>
      </c>
      <c r="N130" s="249">
        <v>129</v>
      </c>
    </row>
    <row r="131" spans="1:14" x14ac:dyDescent="0.25">
      <c r="A131" s="252" t="s">
        <v>183</v>
      </c>
      <c r="B131" s="252" t="s">
        <v>1423</v>
      </c>
      <c r="C131" s="253" t="s">
        <v>214</v>
      </c>
      <c r="D131" s="252">
        <v>39792</v>
      </c>
      <c r="E131" s="252" t="s">
        <v>1332</v>
      </c>
      <c r="F131" s="254">
        <v>10501</v>
      </c>
      <c r="G131" s="252" t="s">
        <v>1522</v>
      </c>
      <c r="H131" s="252" t="s">
        <v>1523</v>
      </c>
      <c r="I131" s="252">
        <v>9</v>
      </c>
      <c r="J131" s="255">
        <v>1</v>
      </c>
      <c r="K131" s="255">
        <v>1</v>
      </c>
      <c r="L131" s="255"/>
      <c r="M131" s="256">
        <v>7.3334699999999999E-3</v>
      </c>
      <c r="N131" s="249">
        <v>130</v>
      </c>
    </row>
    <row r="132" spans="1:14" x14ac:dyDescent="0.25">
      <c r="A132" s="252" t="s">
        <v>183</v>
      </c>
      <c r="B132" s="252" t="s">
        <v>1423</v>
      </c>
      <c r="C132" s="253" t="s">
        <v>214</v>
      </c>
      <c r="D132" s="252">
        <v>39792</v>
      </c>
      <c r="E132" s="252" t="s">
        <v>1332</v>
      </c>
      <c r="F132" s="254">
        <v>10501</v>
      </c>
      <c r="G132" s="252" t="s">
        <v>1524</v>
      </c>
      <c r="H132" s="252" t="s">
        <v>1525</v>
      </c>
      <c r="I132" s="252">
        <v>9</v>
      </c>
      <c r="J132" s="255">
        <v>1</v>
      </c>
      <c r="K132" s="255">
        <v>1</v>
      </c>
      <c r="L132" s="255"/>
      <c r="M132" s="256">
        <v>5.6519999999999997E-4</v>
      </c>
      <c r="N132" s="249">
        <v>131</v>
      </c>
    </row>
    <row r="133" spans="1:14" x14ac:dyDescent="0.25">
      <c r="A133" s="252" t="s">
        <v>183</v>
      </c>
      <c r="B133" s="252" t="s">
        <v>1423</v>
      </c>
      <c r="C133" s="253" t="s">
        <v>214</v>
      </c>
      <c r="D133" s="252">
        <v>39792</v>
      </c>
      <c r="E133" s="252" t="s">
        <v>1332</v>
      </c>
      <c r="F133" s="254">
        <v>10501</v>
      </c>
      <c r="G133" s="252" t="s">
        <v>1526</v>
      </c>
      <c r="H133" s="252" t="s">
        <v>1527</v>
      </c>
      <c r="I133" s="252">
        <v>9</v>
      </c>
      <c r="J133" s="255">
        <v>1</v>
      </c>
      <c r="K133" s="255">
        <v>1</v>
      </c>
      <c r="L133" s="255"/>
      <c r="M133" s="256">
        <v>2.4620111999999996E-2</v>
      </c>
      <c r="N133" s="249">
        <v>132</v>
      </c>
    </row>
    <row r="134" spans="1:14" x14ac:dyDescent="0.25">
      <c r="A134" s="252" t="s">
        <v>183</v>
      </c>
      <c r="B134" s="252" t="s">
        <v>1423</v>
      </c>
      <c r="C134" s="253" t="s">
        <v>214</v>
      </c>
      <c r="D134" s="252">
        <v>39792</v>
      </c>
      <c r="E134" s="252" t="s">
        <v>1332</v>
      </c>
      <c r="F134" s="254">
        <v>10501</v>
      </c>
      <c r="G134" s="252" t="s">
        <v>1528</v>
      </c>
      <c r="H134" s="252" t="s">
        <v>1529</v>
      </c>
      <c r="I134" s="252">
        <v>9</v>
      </c>
      <c r="J134" s="255">
        <v>1</v>
      </c>
      <c r="K134" s="255">
        <v>1</v>
      </c>
      <c r="L134" s="255"/>
      <c r="M134" s="256">
        <v>1.0670975999999999E-2</v>
      </c>
      <c r="N134" s="249">
        <v>133</v>
      </c>
    </row>
    <row r="135" spans="1:14" x14ac:dyDescent="0.25">
      <c r="A135" s="252" t="s">
        <v>183</v>
      </c>
      <c r="B135" s="252" t="s">
        <v>1423</v>
      </c>
      <c r="C135" s="253" t="s">
        <v>214</v>
      </c>
      <c r="D135" s="252">
        <v>39792</v>
      </c>
      <c r="E135" s="252" t="s">
        <v>1332</v>
      </c>
      <c r="F135" s="254">
        <v>10501</v>
      </c>
      <c r="G135" s="252" t="s">
        <v>1530</v>
      </c>
      <c r="H135" s="252" t="s">
        <v>1531</v>
      </c>
      <c r="I135" s="252">
        <v>9</v>
      </c>
      <c r="J135" s="255">
        <v>1</v>
      </c>
      <c r="K135" s="255">
        <v>1</v>
      </c>
      <c r="L135" s="255"/>
      <c r="M135" s="256">
        <v>2.1296736E-2</v>
      </c>
      <c r="N135" s="249">
        <v>134</v>
      </c>
    </row>
    <row r="136" spans="1:14" x14ac:dyDescent="0.25">
      <c r="A136" s="252" t="s">
        <v>183</v>
      </c>
      <c r="B136" s="252" t="s">
        <v>1423</v>
      </c>
      <c r="C136" s="253" t="s">
        <v>214</v>
      </c>
      <c r="D136" s="252">
        <v>39792</v>
      </c>
      <c r="E136" s="252" t="s">
        <v>1332</v>
      </c>
      <c r="F136" s="254">
        <v>10501</v>
      </c>
      <c r="G136" s="252" t="s">
        <v>1532</v>
      </c>
      <c r="H136" s="252" t="s">
        <v>1533</v>
      </c>
      <c r="I136" s="252">
        <v>9</v>
      </c>
      <c r="J136" s="255">
        <v>1</v>
      </c>
      <c r="K136" s="255">
        <v>1</v>
      </c>
      <c r="L136" s="255"/>
      <c r="M136" s="256">
        <v>2.252322E-2</v>
      </c>
      <c r="N136" s="249">
        <v>135</v>
      </c>
    </row>
    <row r="137" spans="1:14" x14ac:dyDescent="0.25">
      <c r="A137" s="252" t="s">
        <v>183</v>
      </c>
      <c r="B137" s="252" t="s">
        <v>1423</v>
      </c>
      <c r="C137" s="253" t="s">
        <v>214</v>
      </c>
      <c r="D137" s="252">
        <v>39792</v>
      </c>
      <c r="E137" s="252" t="s">
        <v>1332</v>
      </c>
      <c r="F137" s="254">
        <v>10501</v>
      </c>
      <c r="G137" s="252" t="s">
        <v>1534</v>
      </c>
      <c r="H137" s="252" t="s">
        <v>1535</v>
      </c>
      <c r="I137" s="252">
        <v>9</v>
      </c>
      <c r="J137" s="255">
        <v>1</v>
      </c>
      <c r="K137" s="255">
        <v>1</v>
      </c>
      <c r="L137" s="255"/>
      <c r="M137" s="256">
        <v>4.9370220000000001E-3</v>
      </c>
      <c r="N137" s="249">
        <v>136</v>
      </c>
    </row>
    <row r="138" spans="1:14" x14ac:dyDescent="0.25">
      <c r="A138" s="252" t="s">
        <v>74</v>
      </c>
      <c r="B138" s="252" t="s">
        <v>2764</v>
      </c>
      <c r="C138" s="253" t="s">
        <v>214</v>
      </c>
      <c r="D138" s="252">
        <v>39792</v>
      </c>
      <c r="E138" s="252" t="s">
        <v>75</v>
      </c>
      <c r="F138" s="254" t="s">
        <v>2765</v>
      </c>
      <c r="G138" s="252" t="s">
        <v>2766</v>
      </c>
      <c r="H138" s="252" t="s">
        <v>2767</v>
      </c>
      <c r="I138" s="252">
        <v>8</v>
      </c>
      <c r="J138" s="255">
        <v>1</v>
      </c>
      <c r="K138" s="255">
        <v>1</v>
      </c>
      <c r="L138" s="255"/>
      <c r="M138" s="256">
        <v>6.123E-3</v>
      </c>
      <c r="N138" s="249">
        <v>137</v>
      </c>
    </row>
    <row r="139" spans="1:14" x14ac:dyDescent="0.25">
      <c r="A139" s="252" t="s">
        <v>74</v>
      </c>
      <c r="B139" s="252" t="s">
        <v>2764</v>
      </c>
      <c r="C139" s="253" t="s">
        <v>214</v>
      </c>
      <c r="D139" s="252">
        <v>39792</v>
      </c>
      <c r="E139" s="252" t="s">
        <v>75</v>
      </c>
      <c r="F139" s="254" t="s">
        <v>2765</v>
      </c>
      <c r="G139" s="252" t="s">
        <v>2768</v>
      </c>
      <c r="H139" s="252" t="s">
        <v>2769</v>
      </c>
      <c r="I139" s="252">
        <v>8</v>
      </c>
      <c r="J139" s="255">
        <v>1</v>
      </c>
      <c r="K139" s="255">
        <v>1</v>
      </c>
      <c r="L139" s="255"/>
      <c r="M139" s="256">
        <v>1.6950000000000001E-3</v>
      </c>
      <c r="N139" s="249">
        <v>138</v>
      </c>
    </row>
    <row r="140" spans="1:14" x14ac:dyDescent="0.25">
      <c r="A140" s="252" t="s">
        <v>135</v>
      </c>
      <c r="B140" s="252" t="s">
        <v>1536</v>
      </c>
      <c r="C140" s="253">
        <v>0</v>
      </c>
      <c r="D140" s="252">
        <v>39792</v>
      </c>
      <c r="E140" s="252" t="s">
        <v>1591</v>
      </c>
      <c r="F140" s="254" t="s">
        <v>1538</v>
      </c>
      <c r="G140" s="252" t="s">
        <v>2065</v>
      </c>
      <c r="H140" s="252" t="s">
        <v>2770</v>
      </c>
      <c r="I140" s="252">
        <v>5</v>
      </c>
      <c r="J140" s="255">
        <v>1</v>
      </c>
      <c r="K140" s="255">
        <v>1</v>
      </c>
      <c r="L140" s="255"/>
      <c r="M140" s="256">
        <v>6.5399999999999998E-3</v>
      </c>
      <c r="N140" s="249">
        <v>139</v>
      </c>
    </row>
    <row r="141" spans="1:14" x14ac:dyDescent="0.25">
      <c r="A141" s="252" t="s">
        <v>135</v>
      </c>
      <c r="B141" s="252" t="s">
        <v>1536</v>
      </c>
      <c r="C141" s="253">
        <v>0</v>
      </c>
      <c r="D141" s="252">
        <v>39792</v>
      </c>
      <c r="E141" s="252" t="s">
        <v>1591</v>
      </c>
      <c r="F141" s="254" t="s">
        <v>1538</v>
      </c>
      <c r="G141" s="252" t="s">
        <v>2771</v>
      </c>
      <c r="H141" s="252" t="s">
        <v>2772</v>
      </c>
      <c r="I141" s="252">
        <v>5</v>
      </c>
      <c r="J141" s="255">
        <v>1</v>
      </c>
      <c r="K141" s="255">
        <v>1</v>
      </c>
      <c r="L141" s="255"/>
      <c r="M141" s="256">
        <v>6.5399999999999998E-3</v>
      </c>
      <c r="N141" s="249">
        <v>140</v>
      </c>
    </row>
    <row r="142" spans="1:14" x14ac:dyDescent="0.25">
      <c r="A142" s="252" t="s">
        <v>135</v>
      </c>
      <c r="B142" s="252" t="s">
        <v>1536</v>
      </c>
      <c r="C142" s="253">
        <v>0</v>
      </c>
      <c r="D142" s="252">
        <v>39792</v>
      </c>
      <c r="E142" s="252" t="s">
        <v>1591</v>
      </c>
      <c r="F142" s="254" t="s">
        <v>1538</v>
      </c>
      <c r="G142" s="252" t="s">
        <v>2773</v>
      </c>
      <c r="H142" s="252" t="s">
        <v>2774</v>
      </c>
      <c r="I142" s="252">
        <v>5</v>
      </c>
      <c r="J142" s="255">
        <v>1</v>
      </c>
      <c r="K142" s="255">
        <v>1</v>
      </c>
      <c r="L142" s="255"/>
      <c r="M142" s="256">
        <v>6.5399999999999998E-3</v>
      </c>
      <c r="N142" s="249">
        <v>141</v>
      </c>
    </row>
    <row r="143" spans="1:14" x14ac:dyDescent="0.25">
      <c r="A143" s="252" t="s">
        <v>135</v>
      </c>
      <c r="B143" s="252" t="s">
        <v>1536</v>
      </c>
      <c r="C143" s="253">
        <v>0</v>
      </c>
      <c r="D143" s="252">
        <v>39792</v>
      </c>
      <c r="E143" s="252" t="s">
        <v>1591</v>
      </c>
      <c r="F143" s="254" t="s">
        <v>1538</v>
      </c>
      <c r="G143" s="252" t="s">
        <v>2775</v>
      </c>
      <c r="H143" s="252" t="s">
        <v>2776</v>
      </c>
      <c r="I143" s="252">
        <v>5</v>
      </c>
      <c r="J143" s="255">
        <v>1</v>
      </c>
      <c r="K143" s="255">
        <v>1</v>
      </c>
      <c r="L143" s="255"/>
      <c r="M143" s="256">
        <v>6.5399999999999998E-3</v>
      </c>
      <c r="N143" s="249">
        <v>142</v>
      </c>
    </row>
    <row r="144" spans="1:14" x14ac:dyDescent="0.25">
      <c r="A144" s="252" t="s">
        <v>135</v>
      </c>
      <c r="B144" s="252" t="s">
        <v>1536</v>
      </c>
      <c r="C144" s="253">
        <v>0</v>
      </c>
      <c r="D144" s="252">
        <v>39792</v>
      </c>
      <c r="E144" s="252" t="s">
        <v>1591</v>
      </c>
      <c r="F144" s="254" t="s">
        <v>1538</v>
      </c>
      <c r="G144" s="252" t="s">
        <v>2071</v>
      </c>
      <c r="H144" s="252" t="s">
        <v>2777</v>
      </c>
      <c r="I144" s="252">
        <v>5</v>
      </c>
      <c r="J144" s="255">
        <v>1</v>
      </c>
      <c r="K144" s="255">
        <v>1</v>
      </c>
      <c r="L144" s="255"/>
      <c r="M144" s="256">
        <v>6.5699999999999995E-3</v>
      </c>
      <c r="N144" s="249">
        <v>143</v>
      </c>
    </row>
    <row r="145" spans="1:14" x14ac:dyDescent="0.25">
      <c r="A145" s="252" t="s">
        <v>135</v>
      </c>
      <c r="B145" s="252" t="s">
        <v>1536</v>
      </c>
      <c r="C145" s="253">
        <v>0</v>
      </c>
      <c r="D145" s="252">
        <v>39792</v>
      </c>
      <c r="E145" s="252" t="s">
        <v>1591</v>
      </c>
      <c r="F145" s="254" t="s">
        <v>1538</v>
      </c>
      <c r="G145" s="252" t="s">
        <v>2778</v>
      </c>
      <c r="H145" s="252" t="s">
        <v>2779</v>
      </c>
      <c r="I145" s="252">
        <v>5</v>
      </c>
      <c r="J145" s="255">
        <v>1</v>
      </c>
      <c r="K145" s="255">
        <v>1</v>
      </c>
      <c r="L145" s="255"/>
      <c r="M145" s="256">
        <v>6.5699999999999995E-3</v>
      </c>
      <c r="N145" s="249">
        <v>144</v>
      </c>
    </row>
    <row r="146" spans="1:14" x14ac:dyDescent="0.25">
      <c r="A146" s="252" t="s">
        <v>135</v>
      </c>
      <c r="B146" s="252" t="s">
        <v>1536</v>
      </c>
      <c r="C146" s="253">
        <v>0</v>
      </c>
      <c r="D146" s="252">
        <v>39792</v>
      </c>
      <c r="E146" s="252" t="s">
        <v>1591</v>
      </c>
      <c r="F146" s="254" t="s">
        <v>1538</v>
      </c>
      <c r="G146" s="252" t="s">
        <v>2780</v>
      </c>
      <c r="H146" s="252" t="s">
        <v>2781</v>
      </c>
      <c r="I146" s="252">
        <v>5</v>
      </c>
      <c r="J146" s="255">
        <v>1</v>
      </c>
      <c r="K146" s="255">
        <v>1</v>
      </c>
      <c r="L146" s="255"/>
      <c r="M146" s="256">
        <v>6.5699999999999995E-3</v>
      </c>
      <c r="N146" s="249">
        <v>145</v>
      </c>
    </row>
    <row r="147" spans="1:14" x14ac:dyDescent="0.25">
      <c r="A147" s="252" t="s">
        <v>135</v>
      </c>
      <c r="B147" s="252" t="s">
        <v>1536</v>
      </c>
      <c r="C147" s="253">
        <v>0</v>
      </c>
      <c r="D147" s="252">
        <v>39792</v>
      </c>
      <c r="E147" s="252" t="s">
        <v>1591</v>
      </c>
      <c r="F147" s="254" t="s">
        <v>1538</v>
      </c>
      <c r="G147" s="252" t="s">
        <v>2073</v>
      </c>
      <c r="H147" s="252" t="s">
        <v>2782</v>
      </c>
      <c r="I147" s="252">
        <v>5</v>
      </c>
      <c r="J147" s="255">
        <v>1</v>
      </c>
      <c r="K147" s="255">
        <v>1</v>
      </c>
      <c r="L147" s="255"/>
      <c r="M147" s="256">
        <v>6.5699999999999995E-3</v>
      </c>
      <c r="N147" s="249">
        <v>146</v>
      </c>
    </row>
    <row r="148" spans="1:14" x14ac:dyDescent="0.25">
      <c r="A148" s="252" t="s">
        <v>135</v>
      </c>
      <c r="B148" s="252" t="s">
        <v>1536</v>
      </c>
      <c r="C148" s="253">
        <v>0</v>
      </c>
      <c r="D148" s="252">
        <v>39792</v>
      </c>
      <c r="E148" s="252" t="s">
        <v>1591</v>
      </c>
      <c r="F148" s="254" t="s">
        <v>1544</v>
      </c>
      <c r="G148" s="252" t="s">
        <v>1592</v>
      </c>
      <c r="H148" s="252" t="s">
        <v>1593</v>
      </c>
      <c r="I148" s="252">
        <v>5</v>
      </c>
      <c r="J148" s="255">
        <v>1</v>
      </c>
      <c r="K148" s="255">
        <v>1</v>
      </c>
      <c r="L148" s="255"/>
      <c r="M148" s="256">
        <v>6.5699999999999995E-3</v>
      </c>
      <c r="N148" s="249">
        <v>147</v>
      </c>
    </row>
    <row r="149" spans="1:14" x14ac:dyDescent="0.25">
      <c r="A149" s="252" t="s">
        <v>135</v>
      </c>
      <c r="B149" s="252" t="s">
        <v>1536</v>
      </c>
      <c r="C149" s="253">
        <v>0</v>
      </c>
      <c r="D149" s="252">
        <v>39792</v>
      </c>
      <c r="E149" s="252" t="s">
        <v>1591</v>
      </c>
      <c r="F149" s="254" t="s">
        <v>1544</v>
      </c>
      <c r="G149" s="252" t="s">
        <v>1594</v>
      </c>
      <c r="H149" s="252" t="s">
        <v>1595</v>
      </c>
      <c r="I149" s="252">
        <v>5</v>
      </c>
      <c r="J149" s="255">
        <v>1</v>
      </c>
      <c r="K149" s="255">
        <v>1</v>
      </c>
      <c r="L149" s="255"/>
      <c r="M149" s="256">
        <v>6.5699999999999995E-3</v>
      </c>
      <c r="N149" s="249">
        <v>148</v>
      </c>
    </row>
    <row r="150" spans="1:14" x14ac:dyDescent="0.25">
      <c r="A150" s="252" t="s">
        <v>135</v>
      </c>
      <c r="B150" s="252" t="s">
        <v>1536</v>
      </c>
      <c r="C150" s="253">
        <v>0</v>
      </c>
      <c r="D150" s="252">
        <v>39792</v>
      </c>
      <c r="E150" s="252" t="s">
        <v>1591</v>
      </c>
      <c r="F150" s="254" t="s">
        <v>1544</v>
      </c>
      <c r="G150" s="252" t="s">
        <v>1598</v>
      </c>
      <c r="H150" s="252" t="s">
        <v>1599</v>
      </c>
      <c r="I150" s="252">
        <v>5</v>
      </c>
      <c r="J150" s="255">
        <v>1</v>
      </c>
      <c r="K150" s="255">
        <v>1</v>
      </c>
      <c r="L150" s="255"/>
      <c r="M150" s="256">
        <v>6.5699999999999995E-3</v>
      </c>
      <c r="N150" s="249">
        <v>149</v>
      </c>
    </row>
    <row r="151" spans="1:14" x14ac:dyDescent="0.25">
      <c r="A151" s="252" t="s">
        <v>135</v>
      </c>
      <c r="B151" s="252" t="s">
        <v>1536</v>
      </c>
      <c r="C151" s="253">
        <v>0</v>
      </c>
      <c r="D151" s="252">
        <v>39792</v>
      </c>
      <c r="E151" s="252" t="s">
        <v>1591</v>
      </c>
      <c r="F151" s="254" t="s">
        <v>1544</v>
      </c>
      <c r="G151" s="252" t="s">
        <v>1600</v>
      </c>
      <c r="H151" s="252" t="s">
        <v>1601</v>
      </c>
      <c r="I151" s="252">
        <v>5</v>
      </c>
      <c r="J151" s="255">
        <v>1</v>
      </c>
      <c r="K151" s="255">
        <v>1</v>
      </c>
      <c r="L151" s="255"/>
      <c r="M151" s="256">
        <v>6.5699999999999995E-3</v>
      </c>
      <c r="N151" s="249">
        <v>150</v>
      </c>
    </row>
    <row r="152" spans="1:14" x14ac:dyDescent="0.25">
      <c r="A152" s="252" t="s">
        <v>135</v>
      </c>
      <c r="B152" s="252" t="s">
        <v>1536</v>
      </c>
      <c r="C152" s="253">
        <v>0</v>
      </c>
      <c r="D152" s="252">
        <v>39792</v>
      </c>
      <c r="E152" s="252" t="s">
        <v>1591</v>
      </c>
      <c r="F152" s="254" t="s">
        <v>1544</v>
      </c>
      <c r="G152" s="252" t="s">
        <v>1603</v>
      </c>
      <c r="H152" s="252" t="s">
        <v>1604</v>
      </c>
      <c r="I152" s="252">
        <v>5</v>
      </c>
      <c r="J152" s="255">
        <v>1</v>
      </c>
      <c r="K152" s="255">
        <v>1</v>
      </c>
      <c r="L152" s="255"/>
      <c r="M152" s="256">
        <v>6.5699999999999995E-3</v>
      </c>
      <c r="N152" s="249">
        <v>151</v>
      </c>
    </row>
    <row r="153" spans="1:14" x14ac:dyDescent="0.25">
      <c r="A153" s="252" t="s">
        <v>135</v>
      </c>
      <c r="B153" s="252" t="s">
        <v>1536</v>
      </c>
      <c r="C153" s="253">
        <v>0</v>
      </c>
      <c r="D153" s="252">
        <v>39792</v>
      </c>
      <c r="E153" s="252" t="s">
        <v>1591</v>
      </c>
      <c r="F153" s="254" t="s">
        <v>1544</v>
      </c>
      <c r="G153" s="252" t="s">
        <v>1605</v>
      </c>
      <c r="H153" s="252" t="s">
        <v>1606</v>
      </c>
      <c r="I153" s="252">
        <v>5</v>
      </c>
      <c r="J153" s="255">
        <v>1</v>
      </c>
      <c r="K153" s="255">
        <v>1</v>
      </c>
      <c r="L153" s="255"/>
      <c r="M153" s="256">
        <v>6.5699999999999995E-3</v>
      </c>
      <c r="N153" s="249">
        <v>152</v>
      </c>
    </row>
    <row r="154" spans="1:14" x14ac:dyDescent="0.25">
      <c r="A154" s="252" t="s">
        <v>135</v>
      </c>
      <c r="B154" s="252" t="s">
        <v>1536</v>
      </c>
      <c r="C154" s="253">
        <v>0</v>
      </c>
      <c r="D154" s="252">
        <v>39792</v>
      </c>
      <c r="E154" s="252" t="s">
        <v>1591</v>
      </c>
      <c r="F154" s="254" t="s">
        <v>1544</v>
      </c>
      <c r="G154" s="252" t="s">
        <v>1607</v>
      </c>
      <c r="H154" s="252" t="s">
        <v>1608</v>
      </c>
      <c r="I154" s="252">
        <v>5</v>
      </c>
      <c r="J154" s="255">
        <v>1</v>
      </c>
      <c r="K154" s="255">
        <v>1</v>
      </c>
      <c r="L154" s="255"/>
      <c r="M154" s="256">
        <v>6.5699999999999995E-3</v>
      </c>
      <c r="N154" s="249">
        <v>153</v>
      </c>
    </row>
    <row r="155" spans="1:14" x14ac:dyDescent="0.25">
      <c r="A155" s="252" t="s">
        <v>135</v>
      </c>
      <c r="B155" s="252" t="s">
        <v>1536</v>
      </c>
      <c r="C155" s="253">
        <v>0</v>
      </c>
      <c r="D155" s="252">
        <v>39792</v>
      </c>
      <c r="E155" s="252" t="s">
        <v>1591</v>
      </c>
      <c r="F155" s="254" t="s">
        <v>1544</v>
      </c>
      <c r="G155" s="252" t="s">
        <v>1610</v>
      </c>
      <c r="H155" s="252" t="s">
        <v>1611</v>
      </c>
      <c r="I155" s="252">
        <v>5</v>
      </c>
      <c r="J155" s="255">
        <v>1</v>
      </c>
      <c r="K155" s="255">
        <v>1</v>
      </c>
      <c r="L155" s="255"/>
      <c r="M155" s="256">
        <v>6.5699999999999995E-3</v>
      </c>
      <c r="N155" s="249">
        <v>154</v>
      </c>
    </row>
    <row r="156" spans="1:14" x14ac:dyDescent="0.25">
      <c r="A156" s="252" t="s">
        <v>135</v>
      </c>
      <c r="B156" s="252" t="s">
        <v>1536</v>
      </c>
      <c r="C156" s="253">
        <v>0</v>
      </c>
      <c r="D156" s="252">
        <v>39792</v>
      </c>
      <c r="E156" s="252" t="s">
        <v>1591</v>
      </c>
      <c r="F156" s="254" t="s">
        <v>1544</v>
      </c>
      <c r="G156" s="252" t="s">
        <v>1613</v>
      </c>
      <c r="H156" s="252" t="s">
        <v>1614</v>
      </c>
      <c r="I156" s="252">
        <v>5</v>
      </c>
      <c r="J156" s="255">
        <v>1</v>
      </c>
      <c r="K156" s="255">
        <v>1</v>
      </c>
      <c r="L156" s="255"/>
      <c r="M156" s="256">
        <v>6.5699999999999995E-3</v>
      </c>
      <c r="N156" s="249">
        <v>155</v>
      </c>
    </row>
    <row r="157" spans="1:14" x14ac:dyDescent="0.25">
      <c r="A157" s="252" t="s">
        <v>135</v>
      </c>
      <c r="B157" s="252" t="s">
        <v>1536</v>
      </c>
      <c r="C157" s="253">
        <v>0</v>
      </c>
      <c r="D157" s="252">
        <v>39792</v>
      </c>
      <c r="E157" s="252" t="s">
        <v>1591</v>
      </c>
      <c r="F157" s="254" t="s">
        <v>1544</v>
      </c>
      <c r="G157" s="252" t="s">
        <v>1618</v>
      </c>
      <c r="H157" s="252" t="s">
        <v>1619</v>
      </c>
      <c r="I157" s="252">
        <v>5</v>
      </c>
      <c r="J157" s="255">
        <v>1</v>
      </c>
      <c r="K157" s="255">
        <v>1</v>
      </c>
      <c r="L157" s="255"/>
      <c r="M157" s="256">
        <v>6.5699999999999995E-3</v>
      </c>
      <c r="N157" s="249">
        <v>156</v>
      </c>
    </row>
    <row r="158" spans="1:14" x14ac:dyDescent="0.25">
      <c r="A158" s="252" t="s">
        <v>135</v>
      </c>
      <c r="B158" s="252" t="s">
        <v>1536</v>
      </c>
      <c r="C158" s="253">
        <v>0</v>
      </c>
      <c r="D158" s="252">
        <v>39792</v>
      </c>
      <c r="E158" s="252" t="s">
        <v>1591</v>
      </c>
      <c r="F158" s="254" t="s">
        <v>1544</v>
      </c>
      <c r="G158" s="252" t="s">
        <v>1621</v>
      </c>
      <c r="H158" s="252" t="s">
        <v>1622</v>
      </c>
      <c r="I158" s="252">
        <v>5</v>
      </c>
      <c r="J158" s="255">
        <v>1</v>
      </c>
      <c r="K158" s="255">
        <v>1</v>
      </c>
      <c r="L158" s="255"/>
      <c r="M158" s="256">
        <v>6.5699999999999995E-3</v>
      </c>
      <c r="N158" s="249">
        <v>157</v>
      </c>
    </row>
    <row r="159" spans="1:14" x14ac:dyDescent="0.25">
      <c r="A159" s="252" t="s">
        <v>135</v>
      </c>
      <c r="B159" s="252" t="s">
        <v>1536</v>
      </c>
      <c r="C159" s="253">
        <v>0</v>
      </c>
      <c r="D159" s="252">
        <v>39792</v>
      </c>
      <c r="E159" s="252" t="s">
        <v>1591</v>
      </c>
      <c r="F159" s="254" t="s">
        <v>1544</v>
      </c>
      <c r="G159" s="252" t="s">
        <v>1623</v>
      </c>
      <c r="H159" s="252" t="s">
        <v>1624</v>
      </c>
      <c r="I159" s="252">
        <v>5</v>
      </c>
      <c r="J159" s="255">
        <v>1</v>
      </c>
      <c r="K159" s="255">
        <v>1</v>
      </c>
      <c r="L159" s="255"/>
      <c r="M159" s="256">
        <v>6.5699999999999995E-3</v>
      </c>
      <c r="N159" s="249">
        <v>158</v>
      </c>
    </row>
    <row r="160" spans="1:14" x14ac:dyDescent="0.25">
      <c r="A160" s="252" t="s">
        <v>135</v>
      </c>
      <c r="B160" s="252" t="s">
        <v>1536</v>
      </c>
      <c r="C160" s="253">
        <v>0</v>
      </c>
      <c r="D160" s="252">
        <v>39792</v>
      </c>
      <c r="E160" s="252" t="s">
        <v>1591</v>
      </c>
      <c r="F160" s="254" t="s">
        <v>1544</v>
      </c>
      <c r="G160" s="252" t="s">
        <v>1625</v>
      </c>
      <c r="H160" s="252" t="s">
        <v>1626</v>
      </c>
      <c r="I160" s="252">
        <v>5</v>
      </c>
      <c r="J160" s="255">
        <v>1</v>
      </c>
      <c r="K160" s="255">
        <v>1</v>
      </c>
      <c r="L160" s="255"/>
      <c r="M160" s="256">
        <v>6.5699999999999995E-3</v>
      </c>
      <c r="N160" s="249">
        <v>159</v>
      </c>
    </row>
    <row r="161" spans="1:14" x14ac:dyDescent="0.25">
      <c r="A161" s="252" t="s">
        <v>135</v>
      </c>
      <c r="B161" s="252" t="s">
        <v>1536</v>
      </c>
      <c r="C161" s="253">
        <v>0</v>
      </c>
      <c r="D161" s="252">
        <v>39792</v>
      </c>
      <c r="E161" s="252" t="s">
        <v>1591</v>
      </c>
      <c r="F161" s="254" t="s">
        <v>1631</v>
      </c>
      <c r="G161" s="252" t="s">
        <v>1669</v>
      </c>
      <c r="H161" s="252" t="s">
        <v>1670</v>
      </c>
      <c r="I161" s="252">
        <v>5</v>
      </c>
      <c r="J161" s="255">
        <v>1</v>
      </c>
      <c r="K161" s="255">
        <v>1</v>
      </c>
      <c r="L161" s="255"/>
      <c r="M161" s="256">
        <v>6.5699999999999995E-3</v>
      </c>
      <c r="N161" s="249">
        <v>160</v>
      </c>
    </row>
    <row r="162" spans="1:14" x14ac:dyDescent="0.25">
      <c r="A162" s="252" t="s">
        <v>135</v>
      </c>
      <c r="B162" s="252" t="s">
        <v>1536</v>
      </c>
      <c r="C162" s="253">
        <v>0</v>
      </c>
      <c r="D162" s="252">
        <v>39792</v>
      </c>
      <c r="E162" s="252" t="s">
        <v>1591</v>
      </c>
      <c r="F162" s="254" t="s">
        <v>1631</v>
      </c>
      <c r="G162" s="252" t="s">
        <v>1674</v>
      </c>
      <c r="H162" s="252" t="s">
        <v>1675</v>
      </c>
      <c r="I162" s="252">
        <v>5</v>
      </c>
      <c r="J162" s="255">
        <v>1</v>
      </c>
      <c r="K162" s="255">
        <v>1</v>
      </c>
      <c r="L162" s="255"/>
      <c r="M162" s="256">
        <v>6.5699999999999995E-3</v>
      </c>
      <c r="N162" s="249">
        <v>161</v>
      </c>
    </row>
    <row r="163" spans="1:14" x14ac:dyDescent="0.25">
      <c r="A163" s="252" t="s">
        <v>135</v>
      </c>
      <c r="B163" s="252" t="s">
        <v>1536</v>
      </c>
      <c r="C163" s="253">
        <v>0</v>
      </c>
      <c r="D163" s="252">
        <v>39792</v>
      </c>
      <c r="E163" s="252" t="s">
        <v>1591</v>
      </c>
      <c r="F163" s="254" t="s">
        <v>1631</v>
      </c>
      <c r="G163" s="252" t="s">
        <v>1679</v>
      </c>
      <c r="H163" s="252" t="s">
        <v>1680</v>
      </c>
      <c r="I163" s="252">
        <v>5</v>
      </c>
      <c r="J163" s="255">
        <v>1</v>
      </c>
      <c r="K163" s="255">
        <v>1</v>
      </c>
      <c r="L163" s="255"/>
      <c r="M163" s="256">
        <v>6.5699999999999995E-3</v>
      </c>
      <c r="N163" s="249">
        <v>162</v>
      </c>
    </row>
    <row r="164" spans="1:14" x14ac:dyDescent="0.25">
      <c r="A164" s="252" t="s">
        <v>135</v>
      </c>
      <c r="B164" s="252" t="s">
        <v>1536</v>
      </c>
      <c r="C164" s="253">
        <v>0</v>
      </c>
      <c r="D164" s="252">
        <v>39792</v>
      </c>
      <c r="E164" s="252" t="s">
        <v>1591</v>
      </c>
      <c r="F164" s="254" t="s">
        <v>1631</v>
      </c>
      <c r="G164" s="252" t="s">
        <v>1681</v>
      </c>
      <c r="H164" s="252" t="s">
        <v>1682</v>
      </c>
      <c r="I164" s="252">
        <v>5</v>
      </c>
      <c r="J164" s="255">
        <v>1</v>
      </c>
      <c r="K164" s="255">
        <v>1</v>
      </c>
      <c r="L164" s="255"/>
      <c r="M164" s="256">
        <v>6.5699999999999995E-3</v>
      </c>
      <c r="N164" s="249">
        <v>163</v>
      </c>
    </row>
    <row r="165" spans="1:14" x14ac:dyDescent="0.25">
      <c r="A165" s="252" t="s">
        <v>135</v>
      </c>
      <c r="B165" s="252" t="s">
        <v>1536</v>
      </c>
      <c r="C165" s="253">
        <v>0</v>
      </c>
      <c r="D165" s="252">
        <v>39792</v>
      </c>
      <c r="E165" s="252" t="s">
        <v>1591</v>
      </c>
      <c r="F165" s="254" t="s">
        <v>1631</v>
      </c>
      <c r="G165" s="252" t="s">
        <v>1685</v>
      </c>
      <c r="H165" s="252" t="s">
        <v>1686</v>
      </c>
      <c r="I165" s="252">
        <v>5</v>
      </c>
      <c r="J165" s="255">
        <v>1</v>
      </c>
      <c r="K165" s="255">
        <v>1</v>
      </c>
      <c r="L165" s="255"/>
      <c r="M165" s="256">
        <v>6.5699999999999995E-3</v>
      </c>
      <c r="N165" s="249">
        <v>164</v>
      </c>
    </row>
    <row r="166" spans="1:14" x14ac:dyDescent="0.25">
      <c r="A166" s="252" t="s">
        <v>135</v>
      </c>
      <c r="B166" s="252" t="s">
        <v>1536</v>
      </c>
      <c r="C166" s="253">
        <v>0</v>
      </c>
      <c r="D166" s="252">
        <v>39792</v>
      </c>
      <c r="E166" s="252" t="s">
        <v>1591</v>
      </c>
      <c r="F166" s="254" t="s">
        <v>1631</v>
      </c>
      <c r="G166" s="252" t="s">
        <v>1687</v>
      </c>
      <c r="H166" s="252" t="s">
        <v>1688</v>
      </c>
      <c r="I166" s="252">
        <v>5</v>
      </c>
      <c r="J166" s="255">
        <v>1</v>
      </c>
      <c r="K166" s="255">
        <v>1</v>
      </c>
      <c r="L166" s="255"/>
      <c r="M166" s="256">
        <v>6.5699999999999995E-3</v>
      </c>
      <c r="N166" s="249">
        <v>165</v>
      </c>
    </row>
    <row r="167" spans="1:14" x14ac:dyDescent="0.25">
      <c r="A167" s="252" t="s">
        <v>135</v>
      </c>
      <c r="B167" s="252" t="s">
        <v>1536</v>
      </c>
      <c r="C167" s="253">
        <v>0</v>
      </c>
      <c r="D167" s="252">
        <v>39792</v>
      </c>
      <c r="E167" s="252" t="s">
        <v>1591</v>
      </c>
      <c r="F167" s="254" t="s">
        <v>1631</v>
      </c>
      <c r="G167" s="252" t="s">
        <v>1691</v>
      </c>
      <c r="H167" s="252" t="s">
        <v>1692</v>
      </c>
      <c r="I167" s="252">
        <v>5</v>
      </c>
      <c r="J167" s="255">
        <v>1</v>
      </c>
      <c r="K167" s="255">
        <v>1</v>
      </c>
      <c r="L167" s="255"/>
      <c r="M167" s="256">
        <v>6.5699999999999995E-3</v>
      </c>
      <c r="N167" s="249">
        <v>166</v>
      </c>
    </row>
    <row r="168" spans="1:14" x14ac:dyDescent="0.25">
      <c r="A168" s="252" t="s">
        <v>135</v>
      </c>
      <c r="B168" s="252" t="s">
        <v>1536</v>
      </c>
      <c r="C168" s="253">
        <v>0</v>
      </c>
      <c r="D168" s="252">
        <v>39792</v>
      </c>
      <c r="E168" s="252" t="s">
        <v>1591</v>
      </c>
      <c r="F168" s="254" t="s">
        <v>1631</v>
      </c>
      <c r="G168" s="252" t="s">
        <v>1694</v>
      </c>
      <c r="H168" s="252" t="s">
        <v>1695</v>
      </c>
      <c r="I168" s="252">
        <v>5</v>
      </c>
      <c r="J168" s="255">
        <v>1</v>
      </c>
      <c r="K168" s="255">
        <v>1</v>
      </c>
      <c r="L168" s="255"/>
      <c r="M168" s="256">
        <v>6.5699999999999995E-3</v>
      </c>
      <c r="N168" s="249">
        <v>167</v>
      </c>
    </row>
    <row r="169" spans="1:14" x14ac:dyDescent="0.25">
      <c r="A169" s="252" t="s">
        <v>135</v>
      </c>
      <c r="B169" s="252" t="s">
        <v>1536</v>
      </c>
      <c r="C169" s="253">
        <v>0</v>
      </c>
      <c r="D169" s="252">
        <v>39792</v>
      </c>
      <c r="E169" s="252" t="s">
        <v>1591</v>
      </c>
      <c r="F169" s="254" t="s">
        <v>1631</v>
      </c>
      <c r="G169" s="252" t="s">
        <v>1699</v>
      </c>
      <c r="H169" s="252" t="s">
        <v>1700</v>
      </c>
      <c r="I169" s="252">
        <v>5</v>
      </c>
      <c r="J169" s="255">
        <v>1</v>
      </c>
      <c r="K169" s="255">
        <v>1</v>
      </c>
      <c r="L169" s="255"/>
      <c r="M169" s="256">
        <v>6.5699999999999995E-3</v>
      </c>
      <c r="N169" s="249">
        <v>168</v>
      </c>
    </row>
    <row r="170" spans="1:14" x14ac:dyDescent="0.25">
      <c r="A170" s="252" t="s">
        <v>135</v>
      </c>
      <c r="B170" s="252" t="s">
        <v>1536</v>
      </c>
      <c r="C170" s="253">
        <v>0</v>
      </c>
      <c r="D170" s="252">
        <v>39792</v>
      </c>
      <c r="E170" s="252" t="s">
        <v>1591</v>
      </c>
      <c r="F170" s="254" t="s">
        <v>1631</v>
      </c>
      <c r="G170" s="252" t="s">
        <v>1703</v>
      </c>
      <c r="H170" s="252" t="s">
        <v>1704</v>
      </c>
      <c r="I170" s="252">
        <v>5</v>
      </c>
      <c r="J170" s="255">
        <v>1</v>
      </c>
      <c r="K170" s="255">
        <v>1</v>
      </c>
      <c r="L170" s="255"/>
      <c r="M170" s="256">
        <v>6.5699999999999995E-3</v>
      </c>
      <c r="N170" s="249">
        <v>169</v>
      </c>
    </row>
    <row r="171" spans="1:14" x14ac:dyDescent="0.25">
      <c r="A171" s="252" t="s">
        <v>135</v>
      </c>
      <c r="B171" s="252" t="s">
        <v>1536</v>
      </c>
      <c r="C171" s="253">
        <v>0</v>
      </c>
      <c r="D171" s="252">
        <v>39792</v>
      </c>
      <c r="E171" s="252" t="s">
        <v>1591</v>
      </c>
      <c r="F171" s="254" t="s">
        <v>1631</v>
      </c>
      <c r="G171" s="252" t="s">
        <v>1705</v>
      </c>
      <c r="H171" s="252" t="s">
        <v>1706</v>
      </c>
      <c r="I171" s="252">
        <v>5</v>
      </c>
      <c r="J171" s="255">
        <v>1</v>
      </c>
      <c r="K171" s="255">
        <v>1</v>
      </c>
      <c r="L171" s="255"/>
      <c r="M171" s="256">
        <v>6.5699999999999995E-3</v>
      </c>
      <c r="N171" s="249">
        <v>170</v>
      </c>
    </row>
    <row r="172" spans="1:14" x14ac:dyDescent="0.25">
      <c r="A172" s="252" t="s">
        <v>135</v>
      </c>
      <c r="B172" s="252" t="s">
        <v>1536</v>
      </c>
      <c r="C172" s="253">
        <v>0</v>
      </c>
      <c r="D172" s="252">
        <v>39792</v>
      </c>
      <c r="E172" s="252" t="s">
        <v>1591</v>
      </c>
      <c r="F172" s="254" t="s">
        <v>1631</v>
      </c>
      <c r="G172" s="252" t="s">
        <v>1708</v>
      </c>
      <c r="H172" s="252" t="s">
        <v>1709</v>
      </c>
      <c r="I172" s="252">
        <v>5</v>
      </c>
      <c r="J172" s="255">
        <v>1</v>
      </c>
      <c r="K172" s="255">
        <v>1</v>
      </c>
      <c r="L172" s="255"/>
      <c r="M172" s="256">
        <v>6.5699999999999995E-3</v>
      </c>
      <c r="N172" s="249">
        <v>171</v>
      </c>
    </row>
    <row r="173" spans="1:14" x14ac:dyDescent="0.25">
      <c r="A173" s="252" t="s">
        <v>135</v>
      </c>
      <c r="B173" s="252" t="s">
        <v>1536</v>
      </c>
      <c r="C173" s="253">
        <v>0</v>
      </c>
      <c r="D173" s="252">
        <v>39792</v>
      </c>
      <c r="E173" s="252" t="s">
        <v>1591</v>
      </c>
      <c r="F173" s="254" t="s">
        <v>1713</v>
      </c>
      <c r="G173" s="252" t="s">
        <v>1714</v>
      </c>
      <c r="H173" s="252" t="s">
        <v>1715</v>
      </c>
      <c r="I173" s="252">
        <v>5</v>
      </c>
      <c r="J173" s="255">
        <v>1</v>
      </c>
      <c r="K173" s="255">
        <v>1</v>
      </c>
      <c r="L173" s="255"/>
      <c r="M173" s="256">
        <v>6.5399999999999998E-3</v>
      </c>
      <c r="N173" s="249">
        <v>172</v>
      </c>
    </row>
    <row r="174" spans="1:14" x14ac:dyDescent="0.25">
      <c r="A174" s="252" t="s">
        <v>135</v>
      </c>
      <c r="B174" s="252" t="s">
        <v>1536</v>
      </c>
      <c r="C174" s="253">
        <v>0</v>
      </c>
      <c r="D174" s="252">
        <v>39792</v>
      </c>
      <c r="E174" s="252" t="s">
        <v>1591</v>
      </c>
      <c r="F174" s="254" t="s">
        <v>1713</v>
      </c>
      <c r="G174" s="252" t="s">
        <v>1716</v>
      </c>
      <c r="H174" s="252" t="s">
        <v>1717</v>
      </c>
      <c r="I174" s="252">
        <v>5</v>
      </c>
      <c r="J174" s="255">
        <v>1</v>
      </c>
      <c r="K174" s="255">
        <v>1</v>
      </c>
      <c r="L174" s="255"/>
      <c r="M174" s="256">
        <v>6.5399999999999998E-3</v>
      </c>
      <c r="N174" s="249">
        <v>173</v>
      </c>
    </row>
    <row r="175" spans="1:14" x14ac:dyDescent="0.25">
      <c r="A175" s="252" t="s">
        <v>135</v>
      </c>
      <c r="B175" s="252" t="s">
        <v>1536</v>
      </c>
      <c r="C175" s="253">
        <v>0</v>
      </c>
      <c r="D175" s="252">
        <v>39792</v>
      </c>
      <c r="E175" s="252" t="s">
        <v>1591</v>
      </c>
      <c r="F175" s="254" t="s">
        <v>1713</v>
      </c>
      <c r="G175" s="252" t="s">
        <v>1718</v>
      </c>
      <c r="H175" s="252" t="s">
        <v>1719</v>
      </c>
      <c r="I175" s="252">
        <v>5</v>
      </c>
      <c r="J175" s="255">
        <v>1</v>
      </c>
      <c r="K175" s="255">
        <v>1</v>
      </c>
      <c r="L175" s="255"/>
      <c r="M175" s="256">
        <v>6.5399999999999998E-3</v>
      </c>
      <c r="N175" s="249">
        <v>174</v>
      </c>
    </row>
    <row r="176" spans="1:14" x14ac:dyDescent="0.25">
      <c r="A176" s="252" t="s">
        <v>135</v>
      </c>
      <c r="B176" s="252" t="s">
        <v>1536</v>
      </c>
      <c r="C176" s="253">
        <v>0</v>
      </c>
      <c r="D176" s="252">
        <v>39792</v>
      </c>
      <c r="E176" s="252" t="s">
        <v>1591</v>
      </c>
      <c r="F176" s="254" t="s">
        <v>1713</v>
      </c>
      <c r="G176" s="252" t="s">
        <v>1720</v>
      </c>
      <c r="H176" s="252" t="s">
        <v>1721</v>
      </c>
      <c r="I176" s="252">
        <v>5</v>
      </c>
      <c r="J176" s="255">
        <v>1</v>
      </c>
      <c r="K176" s="255">
        <v>1</v>
      </c>
      <c r="L176" s="255"/>
      <c r="M176" s="256">
        <v>6.5699999999999995E-3</v>
      </c>
      <c r="N176" s="249">
        <v>175</v>
      </c>
    </row>
    <row r="177" spans="1:14" x14ac:dyDescent="0.25">
      <c r="A177" s="252" t="s">
        <v>135</v>
      </c>
      <c r="B177" s="252" t="s">
        <v>1536</v>
      </c>
      <c r="C177" s="253">
        <v>0</v>
      </c>
      <c r="D177" s="252">
        <v>39792</v>
      </c>
      <c r="E177" s="252" t="s">
        <v>1591</v>
      </c>
      <c r="F177" s="254" t="s">
        <v>1713</v>
      </c>
      <c r="G177" s="252" t="s">
        <v>1722</v>
      </c>
      <c r="H177" s="252" t="s">
        <v>1723</v>
      </c>
      <c r="I177" s="252">
        <v>5</v>
      </c>
      <c r="J177" s="255">
        <v>1</v>
      </c>
      <c r="K177" s="255">
        <v>1</v>
      </c>
      <c r="L177" s="255"/>
      <c r="M177" s="256">
        <v>6.5699999999999995E-3</v>
      </c>
      <c r="N177" s="249">
        <v>176</v>
      </c>
    </row>
    <row r="178" spans="1:14" x14ac:dyDescent="0.25">
      <c r="A178" s="252" t="s">
        <v>135</v>
      </c>
      <c r="B178" s="252" t="s">
        <v>1536</v>
      </c>
      <c r="C178" s="253">
        <v>0</v>
      </c>
      <c r="D178" s="252">
        <v>39792</v>
      </c>
      <c r="E178" s="252" t="s">
        <v>1591</v>
      </c>
      <c r="F178" s="254" t="s">
        <v>1713</v>
      </c>
      <c r="G178" s="252" t="s">
        <v>1724</v>
      </c>
      <c r="H178" s="252" t="s">
        <v>1725</v>
      </c>
      <c r="I178" s="252">
        <v>5</v>
      </c>
      <c r="J178" s="255">
        <v>1</v>
      </c>
      <c r="K178" s="255">
        <v>1</v>
      </c>
      <c r="L178" s="255"/>
      <c r="M178" s="256">
        <v>6.5580000000000005E-3</v>
      </c>
      <c r="N178" s="249">
        <v>177</v>
      </c>
    </row>
    <row r="179" spans="1:14" x14ac:dyDescent="0.25">
      <c r="A179" s="252" t="s">
        <v>135</v>
      </c>
      <c r="B179" s="252" t="s">
        <v>1536</v>
      </c>
      <c r="C179" s="253">
        <v>0</v>
      </c>
      <c r="D179" s="252">
        <v>39792</v>
      </c>
      <c r="E179" s="252" t="s">
        <v>1591</v>
      </c>
      <c r="F179" s="254" t="s">
        <v>1726</v>
      </c>
      <c r="G179" s="252" t="s">
        <v>1727</v>
      </c>
      <c r="H179" s="252" t="s">
        <v>1728</v>
      </c>
      <c r="I179" s="252">
        <v>5</v>
      </c>
      <c r="J179" s="255">
        <v>1</v>
      </c>
      <c r="K179" s="255">
        <v>1</v>
      </c>
      <c r="L179" s="255"/>
      <c r="M179" s="256">
        <v>6.6329999999999991E-3</v>
      </c>
      <c r="N179" s="249">
        <v>178</v>
      </c>
    </row>
    <row r="180" spans="1:14" x14ac:dyDescent="0.25">
      <c r="A180" s="252" t="s">
        <v>135</v>
      </c>
      <c r="B180" s="252" t="s">
        <v>1536</v>
      </c>
      <c r="C180" s="253">
        <v>0</v>
      </c>
      <c r="D180" s="252">
        <v>39792</v>
      </c>
      <c r="E180" s="252" t="s">
        <v>1591</v>
      </c>
      <c r="F180" s="254" t="s">
        <v>1726</v>
      </c>
      <c r="G180" s="252" t="s">
        <v>1729</v>
      </c>
      <c r="H180" s="252" t="s">
        <v>1730</v>
      </c>
      <c r="I180" s="252">
        <v>5</v>
      </c>
      <c r="J180" s="255">
        <v>1</v>
      </c>
      <c r="K180" s="255">
        <v>1</v>
      </c>
      <c r="L180" s="255"/>
      <c r="M180" s="256">
        <v>1.1970000000000001E-3</v>
      </c>
      <c r="N180" s="249">
        <v>179</v>
      </c>
    </row>
    <row r="181" spans="1:14" x14ac:dyDescent="0.25">
      <c r="A181" s="252" t="s">
        <v>135</v>
      </c>
      <c r="B181" s="252" t="s">
        <v>1536</v>
      </c>
      <c r="C181" s="253">
        <v>0</v>
      </c>
      <c r="D181" s="252">
        <v>39792</v>
      </c>
      <c r="E181" s="252" t="s">
        <v>1591</v>
      </c>
      <c r="F181" s="254" t="s">
        <v>1726</v>
      </c>
      <c r="G181" s="252" t="s">
        <v>1731</v>
      </c>
      <c r="H181" s="252" t="s">
        <v>1732</v>
      </c>
      <c r="I181" s="252">
        <v>5</v>
      </c>
      <c r="J181" s="255">
        <v>1</v>
      </c>
      <c r="K181" s="255">
        <v>1</v>
      </c>
      <c r="L181" s="255"/>
      <c r="M181" s="256">
        <v>6.5699999999999995E-3</v>
      </c>
      <c r="N181" s="249">
        <v>180</v>
      </c>
    </row>
    <row r="182" spans="1:14" x14ac:dyDescent="0.25">
      <c r="A182" s="252" t="s">
        <v>135</v>
      </c>
      <c r="B182" s="252" t="s">
        <v>1536</v>
      </c>
      <c r="C182" s="253">
        <v>0</v>
      </c>
      <c r="D182" s="252">
        <v>39792</v>
      </c>
      <c r="E182" s="252" t="s">
        <v>1591</v>
      </c>
      <c r="F182" s="254" t="s">
        <v>1726</v>
      </c>
      <c r="G182" s="252" t="s">
        <v>1733</v>
      </c>
      <c r="H182" s="252" t="s">
        <v>1734</v>
      </c>
      <c r="I182" s="252">
        <v>5</v>
      </c>
      <c r="J182" s="255">
        <v>1</v>
      </c>
      <c r="K182" s="255">
        <v>1</v>
      </c>
      <c r="L182" s="255"/>
      <c r="M182" s="256">
        <v>6.6209999999999993E-3</v>
      </c>
      <c r="N182" s="249">
        <v>181</v>
      </c>
    </row>
    <row r="183" spans="1:14" x14ac:dyDescent="0.25">
      <c r="A183" s="252" t="s">
        <v>135</v>
      </c>
      <c r="B183" s="252" t="s">
        <v>1536</v>
      </c>
      <c r="C183" s="253">
        <v>0</v>
      </c>
      <c r="D183" s="252">
        <v>39792</v>
      </c>
      <c r="E183" s="252" t="s">
        <v>1591</v>
      </c>
      <c r="F183" s="254" t="s">
        <v>1726</v>
      </c>
      <c r="G183" s="252" t="s">
        <v>1735</v>
      </c>
      <c r="H183" s="252" t="s">
        <v>1736</v>
      </c>
      <c r="I183" s="252">
        <v>5</v>
      </c>
      <c r="J183" s="255">
        <v>1</v>
      </c>
      <c r="K183" s="255">
        <v>1</v>
      </c>
      <c r="L183" s="255"/>
      <c r="M183" s="256">
        <v>1.1970000000000001E-3</v>
      </c>
      <c r="N183" s="249">
        <v>182</v>
      </c>
    </row>
    <row r="184" spans="1:14" x14ac:dyDescent="0.25">
      <c r="A184" s="252" t="s">
        <v>135</v>
      </c>
      <c r="B184" s="252" t="s">
        <v>1536</v>
      </c>
      <c r="C184" s="253">
        <v>0</v>
      </c>
      <c r="D184" s="252">
        <v>39792</v>
      </c>
      <c r="E184" s="252" t="s">
        <v>1591</v>
      </c>
      <c r="F184" s="254" t="s">
        <v>1726</v>
      </c>
      <c r="G184" s="252" t="s">
        <v>1737</v>
      </c>
      <c r="H184" s="252" t="s">
        <v>1738</v>
      </c>
      <c r="I184" s="252">
        <v>5</v>
      </c>
      <c r="J184" s="255">
        <v>1</v>
      </c>
      <c r="K184" s="255">
        <v>1</v>
      </c>
      <c r="L184" s="255"/>
      <c r="M184" s="256">
        <v>6.6329999999999991E-3</v>
      </c>
      <c r="N184" s="249">
        <v>183</v>
      </c>
    </row>
    <row r="185" spans="1:14" x14ac:dyDescent="0.25">
      <c r="A185" s="252" t="s">
        <v>135</v>
      </c>
      <c r="B185" s="252" t="s">
        <v>1536</v>
      </c>
      <c r="C185" s="253">
        <v>0</v>
      </c>
      <c r="D185" s="252">
        <v>39792</v>
      </c>
      <c r="E185" s="252" t="s">
        <v>1591</v>
      </c>
      <c r="F185" s="254" t="s">
        <v>1726</v>
      </c>
      <c r="G185" s="252" t="s">
        <v>1739</v>
      </c>
      <c r="H185" s="252" t="s">
        <v>1740</v>
      </c>
      <c r="I185" s="252">
        <v>5</v>
      </c>
      <c r="J185" s="255">
        <v>1</v>
      </c>
      <c r="K185" s="255">
        <v>1</v>
      </c>
      <c r="L185" s="255"/>
      <c r="M185" s="256">
        <v>1.1970000000000001E-3</v>
      </c>
      <c r="N185" s="249">
        <v>184</v>
      </c>
    </row>
    <row r="186" spans="1:14" x14ac:dyDescent="0.25">
      <c r="A186" s="252" t="s">
        <v>135</v>
      </c>
      <c r="B186" s="252" t="s">
        <v>1536</v>
      </c>
      <c r="C186" s="253">
        <v>0</v>
      </c>
      <c r="D186" s="252">
        <v>39792</v>
      </c>
      <c r="E186" s="252" t="s">
        <v>1591</v>
      </c>
      <c r="F186" s="254" t="s">
        <v>1726</v>
      </c>
      <c r="G186" s="252" t="s">
        <v>1741</v>
      </c>
      <c r="H186" s="252" t="s">
        <v>1742</v>
      </c>
      <c r="I186" s="252">
        <v>5</v>
      </c>
      <c r="J186" s="255">
        <v>1</v>
      </c>
      <c r="K186" s="255">
        <v>1</v>
      </c>
      <c r="L186" s="255"/>
      <c r="M186" s="256">
        <v>6.5699999999999995E-3</v>
      </c>
      <c r="N186" s="249">
        <v>185</v>
      </c>
    </row>
    <row r="187" spans="1:14" x14ac:dyDescent="0.25">
      <c r="A187" s="252" t="s">
        <v>135</v>
      </c>
      <c r="B187" s="252" t="s">
        <v>1536</v>
      </c>
      <c r="C187" s="253">
        <v>0</v>
      </c>
      <c r="D187" s="252">
        <v>39792</v>
      </c>
      <c r="E187" s="252" t="s">
        <v>1591</v>
      </c>
      <c r="F187" s="254" t="s">
        <v>1726</v>
      </c>
      <c r="G187" s="252" t="s">
        <v>1743</v>
      </c>
      <c r="H187" s="252" t="s">
        <v>1744</v>
      </c>
      <c r="I187" s="252">
        <v>5</v>
      </c>
      <c r="J187" s="255">
        <v>1</v>
      </c>
      <c r="K187" s="255">
        <v>1</v>
      </c>
      <c r="L187" s="255"/>
      <c r="M187" s="256">
        <v>6.6209999999999993E-3</v>
      </c>
      <c r="N187" s="249">
        <v>186</v>
      </c>
    </row>
    <row r="188" spans="1:14" x14ac:dyDescent="0.25">
      <c r="A188" s="252" t="s">
        <v>135</v>
      </c>
      <c r="B188" s="252" t="s">
        <v>1536</v>
      </c>
      <c r="C188" s="253">
        <v>0</v>
      </c>
      <c r="D188" s="252">
        <v>39792</v>
      </c>
      <c r="E188" s="252" t="s">
        <v>1591</v>
      </c>
      <c r="F188" s="254" t="s">
        <v>1726</v>
      </c>
      <c r="G188" s="252" t="s">
        <v>1745</v>
      </c>
      <c r="H188" s="252" t="s">
        <v>1746</v>
      </c>
      <c r="I188" s="252">
        <v>5</v>
      </c>
      <c r="J188" s="255">
        <v>1</v>
      </c>
      <c r="K188" s="255">
        <v>1</v>
      </c>
      <c r="L188" s="255"/>
      <c r="M188" s="256">
        <v>1.1970000000000001E-3</v>
      </c>
      <c r="N188" s="249">
        <v>187</v>
      </c>
    </row>
    <row r="189" spans="1:14" x14ac:dyDescent="0.25">
      <c r="A189" s="252" t="s">
        <v>135</v>
      </c>
      <c r="B189" s="252" t="s">
        <v>1536</v>
      </c>
      <c r="C189" s="253">
        <v>0</v>
      </c>
      <c r="D189" s="252">
        <v>39792</v>
      </c>
      <c r="E189" s="252" t="s">
        <v>1591</v>
      </c>
      <c r="F189" s="254" t="s">
        <v>1726</v>
      </c>
      <c r="G189" s="252" t="s">
        <v>1747</v>
      </c>
      <c r="H189" s="252" t="s">
        <v>1748</v>
      </c>
      <c r="I189" s="252">
        <v>5</v>
      </c>
      <c r="J189" s="255">
        <v>1</v>
      </c>
      <c r="K189" s="255">
        <v>1</v>
      </c>
      <c r="L189" s="255"/>
      <c r="M189" s="256">
        <v>6.5699999999999995E-3</v>
      </c>
      <c r="N189" s="249">
        <v>188</v>
      </c>
    </row>
    <row r="190" spans="1:14" x14ac:dyDescent="0.25">
      <c r="A190" s="252" t="s">
        <v>135</v>
      </c>
      <c r="B190" s="252" t="s">
        <v>1536</v>
      </c>
      <c r="C190" s="253">
        <v>0</v>
      </c>
      <c r="D190" s="252">
        <v>39792</v>
      </c>
      <c r="E190" s="252" t="s">
        <v>1591</v>
      </c>
      <c r="F190" s="254" t="s">
        <v>1726</v>
      </c>
      <c r="G190" s="252" t="s">
        <v>1749</v>
      </c>
      <c r="H190" s="252" t="s">
        <v>1750</v>
      </c>
      <c r="I190" s="252">
        <v>5</v>
      </c>
      <c r="J190" s="255">
        <v>1</v>
      </c>
      <c r="K190" s="255">
        <v>1</v>
      </c>
      <c r="L190" s="255"/>
      <c r="M190" s="256">
        <v>6.5699999999999995E-3</v>
      </c>
      <c r="N190" s="249">
        <v>189</v>
      </c>
    </row>
    <row r="191" spans="1:14" x14ac:dyDescent="0.25">
      <c r="A191" s="252" t="s">
        <v>135</v>
      </c>
      <c r="B191" s="252" t="s">
        <v>1536</v>
      </c>
      <c r="C191" s="253">
        <v>0</v>
      </c>
      <c r="D191" s="252">
        <v>39792</v>
      </c>
      <c r="E191" s="252" t="s">
        <v>1591</v>
      </c>
      <c r="F191" s="254" t="s">
        <v>1726</v>
      </c>
      <c r="G191" s="252" t="s">
        <v>1751</v>
      </c>
      <c r="H191" s="252" t="s">
        <v>1752</v>
      </c>
      <c r="I191" s="252">
        <v>5</v>
      </c>
      <c r="J191" s="255">
        <v>1</v>
      </c>
      <c r="K191" s="255">
        <v>1</v>
      </c>
      <c r="L191" s="255"/>
      <c r="M191" s="256">
        <v>6.5580000000000005E-3</v>
      </c>
      <c r="N191" s="249">
        <v>190</v>
      </c>
    </row>
    <row r="192" spans="1:14" x14ac:dyDescent="0.25">
      <c r="A192" s="252" t="s">
        <v>135</v>
      </c>
      <c r="B192" s="252" t="s">
        <v>1536</v>
      </c>
      <c r="C192" s="253">
        <v>0</v>
      </c>
      <c r="D192" s="252">
        <v>39792</v>
      </c>
      <c r="E192" s="252" t="s">
        <v>1753</v>
      </c>
      <c r="F192" s="254" t="s">
        <v>1726</v>
      </c>
      <c r="G192" s="252" t="s">
        <v>1754</v>
      </c>
      <c r="H192" s="252" t="s">
        <v>1755</v>
      </c>
      <c r="I192" s="252">
        <v>5</v>
      </c>
      <c r="J192" s="255">
        <v>1</v>
      </c>
      <c r="K192" s="255">
        <v>1</v>
      </c>
      <c r="L192" s="255"/>
      <c r="M192" s="256">
        <v>1.8956999999999998E-2</v>
      </c>
      <c r="N192" s="249">
        <v>191</v>
      </c>
    </row>
    <row r="193" spans="1:14" x14ac:dyDescent="0.25">
      <c r="A193" s="252" t="s">
        <v>135</v>
      </c>
      <c r="B193" s="252" t="s">
        <v>1536</v>
      </c>
      <c r="C193" s="253">
        <v>0</v>
      </c>
      <c r="D193" s="252">
        <v>39792</v>
      </c>
      <c r="E193" s="252" t="s">
        <v>1753</v>
      </c>
      <c r="F193" s="254" t="s">
        <v>1726</v>
      </c>
      <c r="G193" s="252" t="s">
        <v>1756</v>
      </c>
      <c r="H193" s="252" t="s">
        <v>1757</v>
      </c>
      <c r="I193" s="252">
        <v>5</v>
      </c>
      <c r="J193" s="255">
        <v>1</v>
      </c>
      <c r="K193" s="255">
        <v>1</v>
      </c>
      <c r="L193" s="255"/>
      <c r="M193" s="256">
        <v>1.8956999999999998E-2</v>
      </c>
      <c r="N193" s="249">
        <v>192</v>
      </c>
    </row>
    <row r="194" spans="1:14" x14ac:dyDescent="0.25">
      <c r="A194" s="252" t="s">
        <v>135</v>
      </c>
      <c r="B194" s="252" t="s">
        <v>1536</v>
      </c>
      <c r="C194" s="253">
        <v>0</v>
      </c>
      <c r="D194" s="252">
        <v>39792</v>
      </c>
      <c r="E194" s="252" t="s">
        <v>1753</v>
      </c>
      <c r="F194" s="254" t="s">
        <v>1726</v>
      </c>
      <c r="G194" s="252" t="s">
        <v>1758</v>
      </c>
      <c r="H194" s="252" t="s">
        <v>1759</v>
      </c>
      <c r="I194" s="252">
        <v>5</v>
      </c>
      <c r="J194" s="255">
        <v>1</v>
      </c>
      <c r="K194" s="255">
        <v>1</v>
      </c>
      <c r="L194" s="255"/>
      <c r="M194" s="256">
        <v>1.8956999999999998E-2</v>
      </c>
      <c r="N194" s="249">
        <v>193</v>
      </c>
    </row>
    <row r="195" spans="1:14" x14ac:dyDescent="0.25">
      <c r="A195" s="252" t="s">
        <v>135</v>
      </c>
      <c r="B195" s="252" t="s">
        <v>1536</v>
      </c>
      <c r="C195" s="253">
        <v>0</v>
      </c>
      <c r="D195" s="252">
        <v>39792</v>
      </c>
      <c r="E195" s="252" t="s">
        <v>1753</v>
      </c>
      <c r="F195" s="254" t="s">
        <v>1726</v>
      </c>
      <c r="G195" s="252" t="s">
        <v>1760</v>
      </c>
      <c r="H195" s="252" t="s">
        <v>1761</v>
      </c>
      <c r="I195" s="252">
        <v>5</v>
      </c>
      <c r="J195" s="255">
        <v>1</v>
      </c>
      <c r="K195" s="255">
        <v>1</v>
      </c>
      <c r="L195" s="255"/>
      <c r="M195" s="256">
        <v>1.8956999999999998E-2</v>
      </c>
      <c r="N195" s="249">
        <v>194</v>
      </c>
    </row>
    <row r="196" spans="1:14" x14ac:dyDescent="0.25">
      <c r="A196" s="252" t="s">
        <v>135</v>
      </c>
      <c r="B196" s="252" t="s">
        <v>1536</v>
      </c>
      <c r="C196" s="253">
        <v>0</v>
      </c>
      <c r="D196" s="252">
        <v>39792</v>
      </c>
      <c r="E196" s="252" t="s">
        <v>1591</v>
      </c>
      <c r="F196" s="254" t="s">
        <v>2326</v>
      </c>
      <c r="G196" s="252" t="s">
        <v>2783</v>
      </c>
      <c r="H196" s="252" t="s">
        <v>2784</v>
      </c>
      <c r="I196" s="252">
        <v>5</v>
      </c>
      <c r="J196" s="255">
        <v>1</v>
      </c>
      <c r="K196" s="255">
        <v>1</v>
      </c>
      <c r="L196" s="255"/>
      <c r="M196" s="256">
        <v>6.6329999999999991E-3</v>
      </c>
      <c r="N196" s="249">
        <v>195</v>
      </c>
    </row>
    <row r="197" spans="1:14" x14ac:dyDescent="0.25">
      <c r="A197" s="252" t="s">
        <v>135</v>
      </c>
      <c r="B197" s="252" t="s">
        <v>1536</v>
      </c>
      <c r="C197" s="253">
        <v>0</v>
      </c>
      <c r="D197" s="252">
        <v>39792</v>
      </c>
      <c r="E197" s="252" t="s">
        <v>1591</v>
      </c>
      <c r="F197" s="254" t="s">
        <v>2326</v>
      </c>
      <c r="G197" s="252" t="s">
        <v>2785</v>
      </c>
      <c r="H197" s="252" t="s">
        <v>2786</v>
      </c>
      <c r="I197" s="252">
        <v>5</v>
      </c>
      <c r="J197" s="255">
        <v>1</v>
      </c>
      <c r="K197" s="255">
        <v>1</v>
      </c>
      <c r="L197" s="255"/>
      <c r="M197" s="256">
        <v>1.1970000000000001E-3</v>
      </c>
      <c r="N197" s="249">
        <v>196</v>
      </c>
    </row>
    <row r="198" spans="1:14" x14ac:dyDescent="0.25">
      <c r="A198" s="252" t="s">
        <v>135</v>
      </c>
      <c r="B198" s="252" t="s">
        <v>1536</v>
      </c>
      <c r="C198" s="253">
        <v>0</v>
      </c>
      <c r="D198" s="252">
        <v>39792</v>
      </c>
      <c r="E198" s="252" t="s">
        <v>1591</v>
      </c>
      <c r="F198" s="254" t="s">
        <v>2326</v>
      </c>
      <c r="G198" s="252" t="s">
        <v>2787</v>
      </c>
      <c r="H198" s="252" t="s">
        <v>2788</v>
      </c>
      <c r="I198" s="252">
        <v>5</v>
      </c>
      <c r="J198" s="255">
        <v>1</v>
      </c>
      <c r="K198" s="255">
        <v>1</v>
      </c>
      <c r="L198" s="255"/>
      <c r="M198" s="256">
        <v>6.5699999999999995E-3</v>
      </c>
      <c r="N198" s="249">
        <v>197</v>
      </c>
    </row>
    <row r="199" spans="1:14" x14ac:dyDescent="0.25">
      <c r="A199" s="252" t="s">
        <v>135</v>
      </c>
      <c r="B199" s="252" t="s">
        <v>1536</v>
      </c>
      <c r="C199" s="253">
        <v>0</v>
      </c>
      <c r="D199" s="252">
        <v>39792</v>
      </c>
      <c r="E199" s="252" t="s">
        <v>1591</v>
      </c>
      <c r="F199" s="254" t="s">
        <v>2326</v>
      </c>
      <c r="G199" s="252" t="s">
        <v>2789</v>
      </c>
      <c r="H199" s="252" t="s">
        <v>2790</v>
      </c>
      <c r="I199" s="252">
        <v>5</v>
      </c>
      <c r="J199" s="255">
        <v>1</v>
      </c>
      <c r="K199" s="255">
        <v>1</v>
      </c>
      <c r="L199" s="255"/>
      <c r="M199" s="256">
        <v>6.6209999999999993E-3</v>
      </c>
      <c r="N199" s="249">
        <v>198</v>
      </c>
    </row>
    <row r="200" spans="1:14" x14ac:dyDescent="0.25">
      <c r="A200" s="252" t="s">
        <v>135</v>
      </c>
      <c r="B200" s="252" t="s">
        <v>1536</v>
      </c>
      <c r="C200" s="253">
        <v>0</v>
      </c>
      <c r="D200" s="252">
        <v>39792</v>
      </c>
      <c r="E200" s="252" t="s">
        <v>1591</v>
      </c>
      <c r="F200" s="254" t="s">
        <v>2326</v>
      </c>
      <c r="G200" s="252" t="s">
        <v>2791</v>
      </c>
      <c r="H200" s="252" t="s">
        <v>2792</v>
      </c>
      <c r="I200" s="252">
        <v>5</v>
      </c>
      <c r="J200" s="255">
        <v>1</v>
      </c>
      <c r="K200" s="255">
        <v>1</v>
      </c>
      <c r="L200" s="255"/>
      <c r="M200" s="256">
        <v>1.1970000000000001E-3</v>
      </c>
      <c r="N200" s="249">
        <v>199</v>
      </c>
    </row>
    <row r="201" spans="1:14" x14ac:dyDescent="0.25">
      <c r="A201" s="252" t="s">
        <v>135</v>
      </c>
      <c r="B201" s="252" t="s">
        <v>1536</v>
      </c>
      <c r="C201" s="253">
        <v>0</v>
      </c>
      <c r="D201" s="252">
        <v>39792</v>
      </c>
      <c r="E201" s="252" t="s">
        <v>1591</v>
      </c>
      <c r="F201" s="254" t="s">
        <v>2326</v>
      </c>
      <c r="G201" s="252" t="s">
        <v>2793</v>
      </c>
      <c r="H201" s="252" t="s">
        <v>2794</v>
      </c>
      <c r="I201" s="252">
        <v>5</v>
      </c>
      <c r="J201" s="255">
        <v>1</v>
      </c>
      <c r="K201" s="255">
        <v>1</v>
      </c>
      <c r="L201" s="255"/>
      <c r="M201" s="256">
        <v>6.6329999999999991E-3</v>
      </c>
      <c r="N201" s="249">
        <v>200</v>
      </c>
    </row>
    <row r="202" spans="1:14" x14ac:dyDescent="0.25">
      <c r="A202" s="252" t="s">
        <v>135</v>
      </c>
      <c r="B202" s="252" t="s">
        <v>1536</v>
      </c>
      <c r="C202" s="253">
        <v>0</v>
      </c>
      <c r="D202" s="252">
        <v>39792</v>
      </c>
      <c r="E202" s="252" t="s">
        <v>1591</v>
      </c>
      <c r="F202" s="254" t="s">
        <v>2326</v>
      </c>
      <c r="G202" s="252" t="s">
        <v>2795</v>
      </c>
      <c r="H202" s="252" t="s">
        <v>2796</v>
      </c>
      <c r="I202" s="252">
        <v>5</v>
      </c>
      <c r="J202" s="255">
        <v>1</v>
      </c>
      <c r="K202" s="255">
        <v>1</v>
      </c>
      <c r="L202" s="255"/>
      <c r="M202" s="256">
        <v>1.1970000000000001E-3</v>
      </c>
      <c r="N202" s="249">
        <v>201</v>
      </c>
    </row>
    <row r="203" spans="1:14" x14ac:dyDescent="0.25">
      <c r="A203" s="252" t="s">
        <v>135</v>
      </c>
      <c r="B203" s="252" t="s">
        <v>1536</v>
      </c>
      <c r="C203" s="253">
        <v>0</v>
      </c>
      <c r="D203" s="252">
        <v>39792</v>
      </c>
      <c r="E203" s="252" t="s">
        <v>1591</v>
      </c>
      <c r="F203" s="254" t="s">
        <v>2326</v>
      </c>
      <c r="G203" s="252" t="s">
        <v>2797</v>
      </c>
      <c r="H203" s="252" t="s">
        <v>2798</v>
      </c>
      <c r="I203" s="252">
        <v>5</v>
      </c>
      <c r="J203" s="255">
        <v>1</v>
      </c>
      <c r="K203" s="255">
        <v>1</v>
      </c>
      <c r="L203" s="255"/>
      <c r="M203" s="256">
        <v>6.5699999999999995E-3</v>
      </c>
      <c r="N203" s="249">
        <v>202</v>
      </c>
    </row>
    <row r="204" spans="1:14" x14ac:dyDescent="0.25">
      <c r="A204" s="252" t="s">
        <v>135</v>
      </c>
      <c r="B204" s="252" t="s">
        <v>1536</v>
      </c>
      <c r="C204" s="253">
        <v>0</v>
      </c>
      <c r="D204" s="252">
        <v>39792</v>
      </c>
      <c r="E204" s="252" t="s">
        <v>1591</v>
      </c>
      <c r="F204" s="254" t="s">
        <v>2326</v>
      </c>
      <c r="G204" s="252" t="s">
        <v>2799</v>
      </c>
      <c r="H204" s="252" t="s">
        <v>2800</v>
      </c>
      <c r="I204" s="252">
        <v>5</v>
      </c>
      <c r="J204" s="255">
        <v>1</v>
      </c>
      <c r="K204" s="255">
        <v>1</v>
      </c>
      <c r="L204" s="255"/>
      <c r="M204" s="256">
        <v>6.6209999999999993E-3</v>
      </c>
      <c r="N204" s="249">
        <v>203</v>
      </c>
    </row>
    <row r="205" spans="1:14" x14ac:dyDescent="0.25">
      <c r="A205" s="252" t="s">
        <v>135</v>
      </c>
      <c r="B205" s="252" t="s">
        <v>1536</v>
      </c>
      <c r="C205" s="253">
        <v>0</v>
      </c>
      <c r="D205" s="252">
        <v>39792</v>
      </c>
      <c r="E205" s="252" t="s">
        <v>1591</v>
      </c>
      <c r="F205" s="254" t="s">
        <v>2326</v>
      </c>
      <c r="G205" s="252" t="s">
        <v>2801</v>
      </c>
      <c r="H205" s="252" t="s">
        <v>2802</v>
      </c>
      <c r="I205" s="252">
        <v>5</v>
      </c>
      <c r="J205" s="255">
        <v>1</v>
      </c>
      <c r="K205" s="255">
        <v>1</v>
      </c>
      <c r="L205" s="255"/>
      <c r="M205" s="256">
        <v>1.1970000000000001E-3</v>
      </c>
      <c r="N205" s="249">
        <v>204</v>
      </c>
    </row>
    <row r="206" spans="1:14" x14ac:dyDescent="0.25">
      <c r="A206" s="252" t="s">
        <v>135</v>
      </c>
      <c r="B206" s="252" t="s">
        <v>1536</v>
      </c>
      <c r="C206" s="253">
        <v>0</v>
      </c>
      <c r="D206" s="252">
        <v>39792</v>
      </c>
      <c r="E206" s="252" t="s">
        <v>1753</v>
      </c>
      <c r="F206" s="254" t="s">
        <v>2326</v>
      </c>
      <c r="G206" s="252" t="s">
        <v>2803</v>
      </c>
      <c r="H206" s="252" t="s">
        <v>2804</v>
      </c>
      <c r="I206" s="252">
        <v>5</v>
      </c>
      <c r="J206" s="255">
        <v>1</v>
      </c>
      <c r="K206" s="255">
        <v>1</v>
      </c>
      <c r="L206" s="255"/>
      <c r="M206" s="256">
        <v>1.8956999999999998E-2</v>
      </c>
      <c r="N206" s="249">
        <v>205</v>
      </c>
    </row>
    <row r="207" spans="1:14" x14ac:dyDescent="0.25">
      <c r="A207" s="252" t="s">
        <v>135</v>
      </c>
      <c r="B207" s="252" t="s">
        <v>1536</v>
      </c>
      <c r="C207" s="253">
        <v>0</v>
      </c>
      <c r="D207" s="252">
        <v>39792</v>
      </c>
      <c r="E207" s="252" t="s">
        <v>1753</v>
      </c>
      <c r="F207" s="254" t="s">
        <v>2326</v>
      </c>
      <c r="G207" s="252" t="s">
        <v>2805</v>
      </c>
      <c r="H207" s="252" t="s">
        <v>2806</v>
      </c>
      <c r="I207" s="252">
        <v>5</v>
      </c>
      <c r="J207" s="255">
        <v>1</v>
      </c>
      <c r="K207" s="255">
        <v>1</v>
      </c>
      <c r="L207" s="255"/>
      <c r="M207" s="256">
        <v>1.8956999999999998E-2</v>
      </c>
      <c r="N207" s="249">
        <v>206</v>
      </c>
    </row>
    <row r="208" spans="1:14" x14ac:dyDescent="0.25">
      <c r="A208" s="252" t="s">
        <v>135</v>
      </c>
      <c r="B208" s="252" t="s">
        <v>1536</v>
      </c>
      <c r="C208" s="253">
        <v>0</v>
      </c>
      <c r="D208" s="252">
        <v>39792</v>
      </c>
      <c r="E208" s="252" t="s">
        <v>1753</v>
      </c>
      <c r="F208" s="254" t="s">
        <v>2326</v>
      </c>
      <c r="G208" s="252" t="s">
        <v>2807</v>
      </c>
      <c r="H208" s="252" t="s">
        <v>2808</v>
      </c>
      <c r="I208" s="252">
        <v>5</v>
      </c>
      <c r="J208" s="255">
        <v>1</v>
      </c>
      <c r="K208" s="255">
        <v>1</v>
      </c>
      <c r="L208" s="255"/>
      <c r="M208" s="256">
        <v>1.8956999999999998E-2</v>
      </c>
      <c r="N208" s="249">
        <v>207</v>
      </c>
    </row>
    <row r="209" spans="1:14" x14ac:dyDescent="0.25">
      <c r="A209" s="252" t="s">
        <v>135</v>
      </c>
      <c r="B209" s="252" t="s">
        <v>1536</v>
      </c>
      <c r="C209" s="253">
        <v>0</v>
      </c>
      <c r="D209" s="252">
        <v>39792</v>
      </c>
      <c r="E209" s="252" t="s">
        <v>1753</v>
      </c>
      <c r="F209" s="254" t="s">
        <v>2326</v>
      </c>
      <c r="G209" s="252" t="s">
        <v>2809</v>
      </c>
      <c r="H209" s="252" t="s">
        <v>2810</v>
      </c>
      <c r="I209" s="252">
        <v>5</v>
      </c>
      <c r="J209" s="255">
        <v>1</v>
      </c>
      <c r="K209" s="255">
        <v>1</v>
      </c>
      <c r="L209" s="255"/>
      <c r="M209" s="256">
        <v>1.8956999999999998E-2</v>
      </c>
      <c r="N209" s="249">
        <v>208</v>
      </c>
    </row>
    <row r="210" spans="1:14" x14ac:dyDescent="0.25">
      <c r="A210" s="252" t="s">
        <v>135</v>
      </c>
      <c r="B210" s="252" t="s">
        <v>1536</v>
      </c>
      <c r="C210" s="253">
        <v>0</v>
      </c>
      <c r="D210" s="252">
        <v>41018</v>
      </c>
      <c r="E210" s="252" t="s">
        <v>1764</v>
      </c>
      <c r="F210" s="254" t="s">
        <v>1538</v>
      </c>
      <c r="G210" s="252" t="s">
        <v>2811</v>
      </c>
      <c r="H210" s="252" t="s">
        <v>2812</v>
      </c>
      <c r="I210" s="252">
        <v>3</v>
      </c>
      <c r="J210" s="255">
        <v>1</v>
      </c>
      <c r="K210" s="255">
        <v>1</v>
      </c>
      <c r="L210" s="255"/>
      <c r="M210" s="256">
        <v>1.119E-3</v>
      </c>
      <c r="N210" s="249">
        <v>209</v>
      </c>
    </row>
    <row r="211" spans="1:14" x14ac:dyDescent="0.25">
      <c r="A211" s="252" t="s">
        <v>135</v>
      </c>
      <c r="B211" s="252" t="s">
        <v>1536</v>
      </c>
      <c r="C211" s="253">
        <v>0</v>
      </c>
      <c r="D211" s="252">
        <v>41018</v>
      </c>
      <c r="E211" s="252" t="s">
        <v>1764</v>
      </c>
      <c r="F211" s="254" t="s">
        <v>1538</v>
      </c>
      <c r="G211" s="252" t="s">
        <v>2813</v>
      </c>
      <c r="H211" s="252" t="s">
        <v>2814</v>
      </c>
      <c r="I211" s="252">
        <v>3</v>
      </c>
      <c r="J211" s="255">
        <v>1</v>
      </c>
      <c r="K211" s="255">
        <v>1</v>
      </c>
      <c r="L211" s="255"/>
      <c r="M211" s="256">
        <v>1.8059999999999997E-3</v>
      </c>
      <c r="N211" s="249">
        <v>210</v>
      </c>
    </row>
    <row r="212" spans="1:14" x14ac:dyDescent="0.25">
      <c r="A212" s="252" t="s">
        <v>135</v>
      </c>
      <c r="B212" s="252" t="s">
        <v>1536</v>
      </c>
      <c r="C212" s="253">
        <v>0</v>
      </c>
      <c r="D212" s="252">
        <v>41018</v>
      </c>
      <c r="E212" s="252" t="s">
        <v>1764</v>
      </c>
      <c r="F212" s="254" t="s">
        <v>1538</v>
      </c>
      <c r="G212" s="252" t="s">
        <v>2815</v>
      </c>
      <c r="H212" s="252" t="s">
        <v>2816</v>
      </c>
      <c r="I212" s="252">
        <v>3</v>
      </c>
      <c r="J212" s="255">
        <v>1</v>
      </c>
      <c r="K212" s="255">
        <v>1</v>
      </c>
      <c r="L212" s="255"/>
      <c r="M212" s="256">
        <v>1.8059999999999997E-3</v>
      </c>
      <c r="N212" s="249">
        <v>211</v>
      </c>
    </row>
    <row r="213" spans="1:14" x14ac:dyDescent="0.25">
      <c r="A213" s="252" t="s">
        <v>135</v>
      </c>
      <c r="B213" s="252" t="s">
        <v>1536</v>
      </c>
      <c r="C213" s="253">
        <v>0</v>
      </c>
      <c r="D213" s="252">
        <v>41018</v>
      </c>
      <c r="E213" s="252" t="s">
        <v>1764</v>
      </c>
      <c r="F213" s="254" t="s">
        <v>1538</v>
      </c>
      <c r="G213" s="252" t="s">
        <v>2817</v>
      </c>
      <c r="H213" s="252" t="s">
        <v>2818</v>
      </c>
      <c r="I213" s="252">
        <v>3</v>
      </c>
      <c r="J213" s="255">
        <v>1</v>
      </c>
      <c r="K213" s="255">
        <v>1</v>
      </c>
      <c r="L213" s="255"/>
      <c r="M213" s="256">
        <v>6.3599999999999996E-4</v>
      </c>
      <c r="N213" s="249">
        <v>212</v>
      </c>
    </row>
    <row r="214" spans="1:14" x14ac:dyDescent="0.25">
      <c r="A214" s="252" t="s">
        <v>135</v>
      </c>
      <c r="B214" s="252" t="s">
        <v>1536</v>
      </c>
      <c r="C214" s="253">
        <v>0</v>
      </c>
      <c r="D214" s="252">
        <v>41018</v>
      </c>
      <c r="E214" s="252" t="s">
        <v>1764</v>
      </c>
      <c r="F214" s="254" t="s">
        <v>1538</v>
      </c>
      <c r="G214" s="252" t="s">
        <v>2819</v>
      </c>
      <c r="H214" s="252" t="s">
        <v>2820</v>
      </c>
      <c r="I214" s="252">
        <v>3</v>
      </c>
      <c r="J214" s="255">
        <v>1</v>
      </c>
      <c r="K214" s="255">
        <v>1</v>
      </c>
      <c r="L214" s="255"/>
      <c r="M214" s="256">
        <v>6.3599999999999996E-4</v>
      </c>
      <c r="N214" s="249">
        <v>213</v>
      </c>
    </row>
    <row r="215" spans="1:14" x14ac:dyDescent="0.25">
      <c r="A215" s="252" t="s">
        <v>135</v>
      </c>
      <c r="B215" s="252" t="s">
        <v>1536</v>
      </c>
      <c r="C215" s="253">
        <v>0</v>
      </c>
      <c r="D215" s="252">
        <v>41018</v>
      </c>
      <c r="E215" s="252" t="s">
        <v>1764</v>
      </c>
      <c r="F215" s="254" t="s">
        <v>1538</v>
      </c>
      <c r="G215" s="252" t="s">
        <v>2821</v>
      </c>
      <c r="H215" s="252" t="s">
        <v>2822</v>
      </c>
      <c r="I215" s="252">
        <v>3</v>
      </c>
      <c r="J215" s="255">
        <v>1</v>
      </c>
      <c r="K215" s="255">
        <v>1</v>
      </c>
      <c r="L215" s="255"/>
      <c r="M215" s="256">
        <v>4.0949999999999997E-3</v>
      </c>
      <c r="N215" s="249">
        <v>214</v>
      </c>
    </row>
    <row r="216" spans="1:14" x14ac:dyDescent="0.25">
      <c r="A216" s="252" t="s">
        <v>135</v>
      </c>
      <c r="B216" s="252" t="s">
        <v>1536</v>
      </c>
      <c r="C216" s="253">
        <v>0</v>
      </c>
      <c r="D216" s="252">
        <v>41018</v>
      </c>
      <c r="E216" s="252" t="s">
        <v>1764</v>
      </c>
      <c r="F216" s="254" t="s">
        <v>1538</v>
      </c>
      <c r="G216" s="252" t="s">
        <v>2823</v>
      </c>
      <c r="H216" s="252" t="s">
        <v>2824</v>
      </c>
      <c r="I216" s="252">
        <v>3</v>
      </c>
      <c r="J216" s="255">
        <v>1</v>
      </c>
      <c r="K216" s="255">
        <v>1</v>
      </c>
      <c r="L216" s="255"/>
      <c r="M216" s="256">
        <v>7.0200000000000004E-4</v>
      </c>
      <c r="N216" s="249">
        <v>215</v>
      </c>
    </row>
    <row r="217" spans="1:14" x14ac:dyDescent="0.25">
      <c r="A217" s="252" t="s">
        <v>135</v>
      </c>
      <c r="B217" s="252" t="s">
        <v>1536</v>
      </c>
      <c r="C217" s="253">
        <v>0</v>
      </c>
      <c r="D217" s="252">
        <v>41018</v>
      </c>
      <c r="E217" s="252" t="s">
        <v>1764</v>
      </c>
      <c r="F217" s="254" t="s">
        <v>1538</v>
      </c>
      <c r="G217" s="252" t="s">
        <v>2825</v>
      </c>
      <c r="H217" s="252" t="s">
        <v>2826</v>
      </c>
      <c r="I217" s="252">
        <v>3</v>
      </c>
      <c r="J217" s="255">
        <v>1</v>
      </c>
      <c r="K217" s="255">
        <v>1</v>
      </c>
      <c r="L217" s="255"/>
      <c r="M217" s="256">
        <v>1.8059999999999997E-3</v>
      </c>
      <c r="N217" s="249">
        <v>216</v>
      </c>
    </row>
    <row r="218" spans="1:14" x14ac:dyDescent="0.25">
      <c r="A218" s="252" t="s">
        <v>135</v>
      </c>
      <c r="B218" s="252" t="s">
        <v>1536</v>
      </c>
      <c r="C218" s="253">
        <v>0</v>
      </c>
      <c r="D218" s="252">
        <v>41018</v>
      </c>
      <c r="E218" s="252" t="s">
        <v>1764</v>
      </c>
      <c r="F218" s="254" t="s">
        <v>1538</v>
      </c>
      <c r="G218" s="252" t="s">
        <v>2827</v>
      </c>
      <c r="H218" s="252" t="s">
        <v>2828</v>
      </c>
      <c r="I218" s="252">
        <v>3</v>
      </c>
      <c r="J218" s="255">
        <v>1</v>
      </c>
      <c r="K218" s="255">
        <v>1</v>
      </c>
      <c r="L218" s="255"/>
      <c r="M218" s="256">
        <v>1.8059999999999997E-3</v>
      </c>
      <c r="N218" s="249">
        <v>217</v>
      </c>
    </row>
    <row r="219" spans="1:14" x14ac:dyDescent="0.25">
      <c r="A219" s="252" t="s">
        <v>135</v>
      </c>
      <c r="B219" s="252" t="s">
        <v>1536</v>
      </c>
      <c r="C219" s="253">
        <v>0</v>
      </c>
      <c r="D219" s="252">
        <v>41018</v>
      </c>
      <c r="E219" s="252" t="s">
        <v>1764</v>
      </c>
      <c r="F219" s="254" t="s">
        <v>1538</v>
      </c>
      <c r="G219" s="252" t="s">
        <v>2829</v>
      </c>
      <c r="H219" s="252" t="s">
        <v>2830</v>
      </c>
      <c r="I219" s="252">
        <v>3</v>
      </c>
      <c r="J219" s="255">
        <v>1</v>
      </c>
      <c r="K219" s="255">
        <v>1</v>
      </c>
      <c r="L219" s="255"/>
      <c r="M219" s="256">
        <v>3.8400000000000001E-4</v>
      </c>
      <c r="N219" s="249">
        <v>218</v>
      </c>
    </row>
    <row r="220" spans="1:14" x14ac:dyDescent="0.25">
      <c r="A220" s="252" t="s">
        <v>135</v>
      </c>
      <c r="B220" s="252" t="s">
        <v>1536</v>
      </c>
      <c r="C220" s="253">
        <v>0</v>
      </c>
      <c r="D220" s="252">
        <v>41018</v>
      </c>
      <c r="E220" s="252" t="s">
        <v>1764</v>
      </c>
      <c r="F220" s="254" t="s">
        <v>1538</v>
      </c>
      <c r="G220" s="252" t="s">
        <v>2831</v>
      </c>
      <c r="H220" s="252" t="s">
        <v>2832</v>
      </c>
      <c r="I220" s="252">
        <v>3</v>
      </c>
      <c r="J220" s="255">
        <v>1</v>
      </c>
      <c r="K220" s="255">
        <v>1</v>
      </c>
      <c r="L220" s="255"/>
      <c r="M220" s="256">
        <v>3.8400000000000001E-4</v>
      </c>
      <c r="N220" s="249">
        <v>219</v>
      </c>
    </row>
    <row r="221" spans="1:14" x14ac:dyDescent="0.25">
      <c r="A221" s="252" t="s">
        <v>135</v>
      </c>
      <c r="B221" s="252" t="s">
        <v>1536</v>
      </c>
      <c r="C221" s="253">
        <v>0</v>
      </c>
      <c r="D221" s="252">
        <v>41018</v>
      </c>
      <c r="E221" s="252" t="s">
        <v>1764</v>
      </c>
      <c r="F221" s="254" t="s">
        <v>1538</v>
      </c>
      <c r="G221" s="252" t="s">
        <v>2833</v>
      </c>
      <c r="H221" s="252" t="s">
        <v>2834</v>
      </c>
      <c r="I221" s="252">
        <v>3</v>
      </c>
      <c r="J221" s="255">
        <v>1</v>
      </c>
      <c r="K221" s="255">
        <v>1</v>
      </c>
      <c r="L221" s="255"/>
      <c r="M221" s="256">
        <v>1.9109999999999999E-3</v>
      </c>
      <c r="N221" s="249">
        <v>220</v>
      </c>
    </row>
    <row r="222" spans="1:14" x14ac:dyDescent="0.25">
      <c r="A222" s="252" t="s">
        <v>135</v>
      </c>
      <c r="B222" s="252" t="s">
        <v>1536</v>
      </c>
      <c r="C222" s="253">
        <v>0</v>
      </c>
      <c r="D222" s="252">
        <v>41018</v>
      </c>
      <c r="E222" s="252" t="s">
        <v>1764</v>
      </c>
      <c r="F222" s="254" t="s">
        <v>1538</v>
      </c>
      <c r="G222" s="252" t="s">
        <v>2835</v>
      </c>
      <c r="H222" s="252" t="s">
        <v>2836</v>
      </c>
      <c r="I222" s="252">
        <v>3</v>
      </c>
      <c r="J222" s="255">
        <v>1</v>
      </c>
      <c r="K222" s="255">
        <v>1</v>
      </c>
      <c r="L222" s="255"/>
      <c r="M222" s="256">
        <v>4.08E-4</v>
      </c>
      <c r="N222" s="249">
        <v>221</v>
      </c>
    </row>
    <row r="223" spans="1:14" x14ac:dyDescent="0.25">
      <c r="A223" s="252" t="s">
        <v>135</v>
      </c>
      <c r="B223" s="252" t="s">
        <v>1536</v>
      </c>
      <c r="C223" s="253">
        <v>0</v>
      </c>
      <c r="D223" s="252">
        <v>41018</v>
      </c>
      <c r="E223" s="252" t="s">
        <v>1764</v>
      </c>
      <c r="F223" s="254" t="s">
        <v>1538</v>
      </c>
      <c r="G223" s="252" t="s">
        <v>2837</v>
      </c>
      <c r="H223" s="252" t="s">
        <v>2838</v>
      </c>
      <c r="I223" s="252">
        <v>3</v>
      </c>
      <c r="J223" s="255">
        <v>1</v>
      </c>
      <c r="K223" s="255">
        <v>1</v>
      </c>
      <c r="L223" s="255"/>
      <c r="M223" s="256">
        <v>1.8059999999999997E-3</v>
      </c>
      <c r="N223" s="249">
        <v>222</v>
      </c>
    </row>
    <row r="224" spans="1:14" x14ac:dyDescent="0.25">
      <c r="A224" s="252" t="s">
        <v>135</v>
      </c>
      <c r="B224" s="252" t="s">
        <v>1536</v>
      </c>
      <c r="C224" s="253">
        <v>0</v>
      </c>
      <c r="D224" s="252">
        <v>41018</v>
      </c>
      <c r="E224" s="252" t="s">
        <v>1764</v>
      </c>
      <c r="F224" s="254" t="s">
        <v>1538</v>
      </c>
      <c r="G224" s="252" t="s">
        <v>2839</v>
      </c>
      <c r="H224" s="252" t="s">
        <v>2840</v>
      </c>
      <c r="I224" s="252">
        <v>3</v>
      </c>
      <c r="J224" s="255">
        <v>1</v>
      </c>
      <c r="K224" s="255">
        <v>1</v>
      </c>
      <c r="L224" s="255"/>
      <c r="M224" s="256">
        <v>1.8059999999999997E-3</v>
      </c>
      <c r="N224" s="249">
        <v>223</v>
      </c>
    </row>
    <row r="225" spans="1:14" x14ac:dyDescent="0.25">
      <c r="A225" s="252" t="s">
        <v>135</v>
      </c>
      <c r="B225" s="252" t="s">
        <v>1536</v>
      </c>
      <c r="C225" s="253">
        <v>0</v>
      </c>
      <c r="D225" s="252">
        <v>41018</v>
      </c>
      <c r="E225" s="252" t="s">
        <v>1764</v>
      </c>
      <c r="F225" s="254" t="s">
        <v>1538</v>
      </c>
      <c r="G225" s="252" t="s">
        <v>2841</v>
      </c>
      <c r="H225" s="252" t="s">
        <v>2842</v>
      </c>
      <c r="I225" s="252">
        <v>3</v>
      </c>
      <c r="J225" s="255">
        <v>1</v>
      </c>
      <c r="K225" s="255">
        <v>1</v>
      </c>
      <c r="L225" s="255"/>
      <c r="M225" s="256">
        <v>2.0699999999999999E-4</v>
      </c>
      <c r="N225" s="249">
        <v>224</v>
      </c>
    </row>
    <row r="226" spans="1:14" x14ac:dyDescent="0.25">
      <c r="A226" s="252" t="s">
        <v>135</v>
      </c>
      <c r="B226" s="252" t="s">
        <v>1536</v>
      </c>
      <c r="C226" s="253">
        <v>0</v>
      </c>
      <c r="D226" s="252">
        <v>41018</v>
      </c>
      <c r="E226" s="252" t="s">
        <v>1764</v>
      </c>
      <c r="F226" s="254" t="s">
        <v>1538</v>
      </c>
      <c r="G226" s="252" t="s">
        <v>2843</v>
      </c>
      <c r="H226" s="252" t="s">
        <v>2844</v>
      </c>
      <c r="I226" s="252">
        <v>3</v>
      </c>
      <c r="J226" s="255">
        <v>1</v>
      </c>
      <c r="K226" s="255">
        <v>1</v>
      </c>
      <c r="L226" s="255"/>
      <c r="M226" s="256">
        <v>2.0699999999999999E-4</v>
      </c>
      <c r="N226" s="249">
        <v>225</v>
      </c>
    </row>
    <row r="227" spans="1:14" x14ac:dyDescent="0.25">
      <c r="A227" s="252" t="s">
        <v>135</v>
      </c>
      <c r="B227" s="252" t="s">
        <v>1536</v>
      </c>
      <c r="C227" s="253">
        <v>0</v>
      </c>
      <c r="D227" s="252">
        <v>41018</v>
      </c>
      <c r="E227" s="252" t="s">
        <v>1764</v>
      </c>
      <c r="F227" s="254" t="s">
        <v>1538</v>
      </c>
      <c r="G227" s="252" t="s">
        <v>2845</v>
      </c>
      <c r="H227" s="252" t="s">
        <v>2846</v>
      </c>
      <c r="I227" s="252">
        <v>3</v>
      </c>
      <c r="J227" s="255">
        <v>1</v>
      </c>
      <c r="K227" s="255">
        <v>1</v>
      </c>
      <c r="L227" s="255"/>
      <c r="M227" s="256">
        <v>1.2210000000000001E-3</v>
      </c>
      <c r="N227" s="249">
        <v>226</v>
      </c>
    </row>
    <row r="228" spans="1:14" x14ac:dyDescent="0.25">
      <c r="A228" s="252" t="s">
        <v>135</v>
      </c>
      <c r="B228" s="252" t="s">
        <v>1536</v>
      </c>
      <c r="C228" s="253">
        <v>0</v>
      </c>
      <c r="D228" s="252">
        <v>41018</v>
      </c>
      <c r="E228" s="252" t="s">
        <v>1764</v>
      </c>
      <c r="F228" s="254" t="s">
        <v>1538</v>
      </c>
      <c r="G228" s="252" t="s">
        <v>2847</v>
      </c>
      <c r="H228" s="252" t="s">
        <v>2848</v>
      </c>
      <c r="I228" s="252">
        <v>3</v>
      </c>
      <c r="J228" s="255">
        <v>1</v>
      </c>
      <c r="K228" s="255">
        <v>1</v>
      </c>
      <c r="L228" s="255"/>
      <c r="M228" s="256">
        <v>1.0679999999999999E-3</v>
      </c>
      <c r="N228" s="249">
        <v>227</v>
      </c>
    </row>
    <row r="229" spans="1:14" x14ac:dyDescent="0.25">
      <c r="A229" s="252" t="s">
        <v>135</v>
      </c>
      <c r="B229" s="252" t="s">
        <v>1536</v>
      </c>
      <c r="C229" s="253">
        <v>0</v>
      </c>
      <c r="D229" s="252">
        <v>41018</v>
      </c>
      <c r="E229" s="252" t="s">
        <v>1764</v>
      </c>
      <c r="F229" s="254" t="s">
        <v>1538</v>
      </c>
      <c r="G229" s="252" t="s">
        <v>2849</v>
      </c>
      <c r="H229" s="252" t="s">
        <v>2850</v>
      </c>
      <c r="I229" s="252">
        <v>3</v>
      </c>
      <c r="J229" s="255">
        <v>1</v>
      </c>
      <c r="K229" s="255">
        <v>1</v>
      </c>
      <c r="L229" s="255"/>
      <c r="M229" s="256">
        <v>1.1970000000000001E-3</v>
      </c>
      <c r="N229" s="249">
        <v>228</v>
      </c>
    </row>
    <row r="230" spans="1:14" x14ac:dyDescent="0.25">
      <c r="A230" s="252" t="s">
        <v>135</v>
      </c>
      <c r="B230" s="252" t="s">
        <v>1536</v>
      </c>
      <c r="C230" s="253">
        <v>0</v>
      </c>
      <c r="D230" s="252">
        <v>41018</v>
      </c>
      <c r="E230" s="252" t="s">
        <v>1764</v>
      </c>
      <c r="F230" s="254" t="s">
        <v>1538</v>
      </c>
      <c r="G230" s="252" t="s">
        <v>2851</v>
      </c>
      <c r="H230" s="252" t="s">
        <v>2852</v>
      </c>
      <c r="I230" s="252">
        <v>3</v>
      </c>
      <c r="J230" s="255">
        <v>1</v>
      </c>
      <c r="K230" s="255">
        <v>1</v>
      </c>
      <c r="L230" s="255"/>
      <c r="M230" s="256">
        <v>3.1349999999999998E-3</v>
      </c>
      <c r="N230" s="249">
        <v>229</v>
      </c>
    </row>
    <row r="231" spans="1:14" x14ac:dyDescent="0.25">
      <c r="A231" s="252" t="s">
        <v>135</v>
      </c>
      <c r="B231" s="252" t="s">
        <v>1536</v>
      </c>
      <c r="C231" s="253">
        <v>0</v>
      </c>
      <c r="D231" s="252">
        <v>41018</v>
      </c>
      <c r="E231" s="252" t="s">
        <v>1764</v>
      </c>
      <c r="F231" s="254" t="s">
        <v>1538</v>
      </c>
      <c r="G231" s="252" t="s">
        <v>2853</v>
      </c>
      <c r="H231" s="252" t="s">
        <v>2854</v>
      </c>
      <c r="I231" s="252">
        <v>3</v>
      </c>
      <c r="J231" s="255">
        <v>1</v>
      </c>
      <c r="K231" s="255">
        <v>1</v>
      </c>
      <c r="L231" s="255"/>
      <c r="M231" s="256">
        <v>1.1999999999999999E-3</v>
      </c>
      <c r="N231" s="249">
        <v>230</v>
      </c>
    </row>
    <row r="232" spans="1:14" x14ac:dyDescent="0.25">
      <c r="A232" s="252" t="s">
        <v>135</v>
      </c>
      <c r="B232" s="252" t="s">
        <v>1536</v>
      </c>
      <c r="C232" s="253">
        <v>0</v>
      </c>
      <c r="D232" s="252">
        <v>41018</v>
      </c>
      <c r="E232" s="252" t="s">
        <v>1764</v>
      </c>
      <c r="F232" s="254" t="s">
        <v>1538</v>
      </c>
      <c r="G232" s="252" t="s">
        <v>2855</v>
      </c>
      <c r="H232" s="252" t="s">
        <v>2856</v>
      </c>
      <c r="I232" s="252">
        <v>3</v>
      </c>
      <c r="J232" s="255">
        <v>1</v>
      </c>
      <c r="K232" s="255">
        <v>1</v>
      </c>
      <c r="L232" s="255"/>
      <c r="M232" s="256">
        <v>6.0299999999999991E-4</v>
      </c>
      <c r="N232" s="249">
        <v>231</v>
      </c>
    </row>
    <row r="233" spans="1:14" x14ac:dyDescent="0.25">
      <c r="A233" s="252" t="s">
        <v>135</v>
      </c>
      <c r="B233" s="252" t="s">
        <v>1536</v>
      </c>
      <c r="C233" s="253">
        <v>0</v>
      </c>
      <c r="D233" s="252">
        <v>41018</v>
      </c>
      <c r="E233" s="252" t="s">
        <v>1764</v>
      </c>
      <c r="F233" s="254" t="s">
        <v>1538</v>
      </c>
      <c r="G233" s="252" t="s">
        <v>2857</v>
      </c>
      <c r="H233" s="252" t="s">
        <v>2858</v>
      </c>
      <c r="I233" s="252">
        <v>3</v>
      </c>
      <c r="J233" s="255">
        <v>1</v>
      </c>
      <c r="K233" s="255">
        <v>1</v>
      </c>
      <c r="L233" s="255"/>
      <c r="M233" s="256">
        <v>1.2059999999999998E-3</v>
      </c>
      <c r="N233" s="249">
        <v>232</v>
      </c>
    </row>
    <row r="234" spans="1:14" x14ac:dyDescent="0.25">
      <c r="A234" s="252" t="s">
        <v>135</v>
      </c>
      <c r="B234" s="252" t="s">
        <v>1536</v>
      </c>
      <c r="C234" s="253">
        <v>0</v>
      </c>
      <c r="D234" s="252">
        <v>41018</v>
      </c>
      <c r="E234" s="252" t="s">
        <v>1764</v>
      </c>
      <c r="F234" s="254" t="s">
        <v>1538</v>
      </c>
      <c r="G234" s="252" t="s">
        <v>2859</v>
      </c>
      <c r="H234" s="252" t="s">
        <v>2860</v>
      </c>
      <c r="I234" s="252">
        <v>3</v>
      </c>
      <c r="J234" s="255">
        <v>1</v>
      </c>
      <c r="K234" s="255">
        <v>1</v>
      </c>
      <c r="L234" s="255"/>
      <c r="M234" s="256">
        <v>1.8059999999999997E-3</v>
      </c>
      <c r="N234" s="249">
        <v>233</v>
      </c>
    </row>
    <row r="235" spans="1:14" x14ac:dyDescent="0.25">
      <c r="A235" s="252" t="s">
        <v>135</v>
      </c>
      <c r="B235" s="252" t="s">
        <v>1536</v>
      </c>
      <c r="C235" s="253">
        <v>0</v>
      </c>
      <c r="D235" s="252">
        <v>41018</v>
      </c>
      <c r="E235" s="252" t="s">
        <v>1764</v>
      </c>
      <c r="F235" s="254" t="s">
        <v>1538</v>
      </c>
      <c r="G235" s="252" t="s">
        <v>2861</v>
      </c>
      <c r="H235" s="252" t="s">
        <v>2862</v>
      </c>
      <c r="I235" s="252">
        <v>3</v>
      </c>
      <c r="J235" s="255">
        <v>1</v>
      </c>
      <c r="K235" s="255">
        <v>1</v>
      </c>
      <c r="L235" s="255"/>
      <c r="M235" s="256">
        <v>1.8059999999999997E-3</v>
      </c>
      <c r="N235" s="249">
        <v>234</v>
      </c>
    </row>
    <row r="236" spans="1:14" x14ac:dyDescent="0.25">
      <c r="A236" s="252" t="s">
        <v>135</v>
      </c>
      <c r="B236" s="252" t="s">
        <v>1536</v>
      </c>
      <c r="C236" s="253">
        <v>0</v>
      </c>
      <c r="D236" s="252">
        <v>41018</v>
      </c>
      <c r="E236" s="252" t="s">
        <v>1764</v>
      </c>
      <c r="F236" s="254" t="s">
        <v>1538</v>
      </c>
      <c r="G236" s="252" t="s">
        <v>2863</v>
      </c>
      <c r="H236" s="252" t="s">
        <v>2864</v>
      </c>
      <c r="I236" s="252">
        <v>3</v>
      </c>
      <c r="J236" s="255">
        <v>1</v>
      </c>
      <c r="K236" s="255">
        <v>1</v>
      </c>
      <c r="L236" s="255"/>
      <c r="M236" s="256">
        <v>6.87E-4</v>
      </c>
      <c r="N236" s="249">
        <v>235</v>
      </c>
    </row>
    <row r="237" spans="1:14" x14ac:dyDescent="0.25">
      <c r="A237" s="252" t="s">
        <v>135</v>
      </c>
      <c r="B237" s="252" t="s">
        <v>1536</v>
      </c>
      <c r="C237" s="253">
        <v>0</v>
      </c>
      <c r="D237" s="252">
        <v>41018</v>
      </c>
      <c r="E237" s="252" t="s">
        <v>1764</v>
      </c>
      <c r="F237" s="254" t="s">
        <v>1538</v>
      </c>
      <c r="G237" s="252" t="s">
        <v>2865</v>
      </c>
      <c r="H237" s="252" t="s">
        <v>2866</v>
      </c>
      <c r="I237" s="252">
        <v>3</v>
      </c>
      <c r="J237" s="255">
        <v>1</v>
      </c>
      <c r="K237" s="255">
        <v>1</v>
      </c>
      <c r="L237" s="255"/>
      <c r="M237" s="256">
        <v>6.87E-4</v>
      </c>
      <c r="N237" s="249">
        <v>236</v>
      </c>
    </row>
    <row r="238" spans="1:14" x14ac:dyDescent="0.25">
      <c r="A238" s="252" t="s">
        <v>135</v>
      </c>
      <c r="B238" s="252" t="s">
        <v>1536</v>
      </c>
      <c r="C238" s="253">
        <v>0</v>
      </c>
      <c r="D238" s="252">
        <v>41018</v>
      </c>
      <c r="E238" s="252" t="s">
        <v>1764</v>
      </c>
      <c r="F238" s="254" t="s">
        <v>1538</v>
      </c>
      <c r="G238" s="252" t="s">
        <v>2867</v>
      </c>
      <c r="H238" s="252" t="s">
        <v>2868</v>
      </c>
      <c r="I238" s="252">
        <v>3</v>
      </c>
      <c r="J238" s="255">
        <v>1</v>
      </c>
      <c r="K238" s="255">
        <v>1</v>
      </c>
      <c r="L238" s="255"/>
      <c r="M238" s="256">
        <v>3.0990000000000002E-3</v>
      </c>
      <c r="N238" s="249">
        <v>237</v>
      </c>
    </row>
    <row r="239" spans="1:14" x14ac:dyDescent="0.25">
      <c r="A239" s="252" t="s">
        <v>135</v>
      </c>
      <c r="B239" s="252" t="s">
        <v>1536</v>
      </c>
      <c r="C239" s="253">
        <v>0</v>
      </c>
      <c r="D239" s="252">
        <v>41018</v>
      </c>
      <c r="E239" s="252" t="s">
        <v>97</v>
      </c>
      <c r="F239" s="254" t="s">
        <v>1538</v>
      </c>
      <c r="G239" s="252" t="s">
        <v>2869</v>
      </c>
      <c r="H239" s="252" t="s">
        <v>2870</v>
      </c>
      <c r="I239" s="252">
        <v>9</v>
      </c>
      <c r="J239" s="255">
        <v>1</v>
      </c>
      <c r="K239" s="255">
        <v>1</v>
      </c>
      <c r="L239" s="255"/>
      <c r="M239" s="256">
        <v>2.8529999999999996E-3</v>
      </c>
      <c r="N239" s="249">
        <v>238</v>
      </c>
    </row>
    <row r="240" spans="1:14" x14ac:dyDescent="0.25">
      <c r="A240" s="252" t="s">
        <v>135</v>
      </c>
      <c r="B240" s="252" t="s">
        <v>1536</v>
      </c>
      <c r="C240" s="253">
        <v>0</v>
      </c>
      <c r="D240" s="252">
        <v>41018</v>
      </c>
      <c r="E240" s="252" t="s">
        <v>97</v>
      </c>
      <c r="F240" s="254" t="s">
        <v>1538</v>
      </c>
      <c r="G240" s="252" t="s">
        <v>2871</v>
      </c>
      <c r="H240" s="252" t="s">
        <v>2872</v>
      </c>
      <c r="I240" s="252">
        <v>9</v>
      </c>
      <c r="J240" s="255">
        <v>1</v>
      </c>
      <c r="K240" s="255">
        <v>1</v>
      </c>
      <c r="L240" s="255"/>
      <c r="M240" s="256">
        <v>2.4960000000000004E-3</v>
      </c>
      <c r="N240" s="249">
        <v>239</v>
      </c>
    </row>
    <row r="241" spans="1:14" x14ac:dyDescent="0.25">
      <c r="A241" s="252" t="s">
        <v>135</v>
      </c>
      <c r="B241" s="252" t="s">
        <v>1536</v>
      </c>
      <c r="C241" s="253">
        <v>0</v>
      </c>
      <c r="D241" s="252">
        <v>41018</v>
      </c>
      <c r="E241" s="252" t="s">
        <v>1764</v>
      </c>
      <c r="F241" s="254" t="s">
        <v>1538</v>
      </c>
      <c r="G241" s="252" t="s">
        <v>2873</v>
      </c>
      <c r="H241" s="252" t="s">
        <v>2874</v>
      </c>
      <c r="I241" s="252">
        <v>3</v>
      </c>
      <c r="J241" s="255">
        <v>1</v>
      </c>
      <c r="K241" s="255">
        <v>1</v>
      </c>
      <c r="L241" s="255"/>
      <c r="M241" s="256">
        <v>3.1500000000000001E-4</v>
      </c>
      <c r="N241" s="249">
        <v>240</v>
      </c>
    </row>
    <row r="242" spans="1:14" x14ac:dyDescent="0.25">
      <c r="A242" s="252" t="s">
        <v>135</v>
      </c>
      <c r="B242" s="252" t="s">
        <v>1536</v>
      </c>
      <c r="C242" s="253">
        <v>0</v>
      </c>
      <c r="D242" s="252">
        <v>41018</v>
      </c>
      <c r="E242" s="252" t="s">
        <v>1764</v>
      </c>
      <c r="F242" s="254" t="s">
        <v>1538</v>
      </c>
      <c r="G242" s="252" t="s">
        <v>2875</v>
      </c>
      <c r="H242" s="252" t="s">
        <v>2876</v>
      </c>
      <c r="I242" s="252">
        <v>3</v>
      </c>
      <c r="J242" s="255">
        <v>1</v>
      </c>
      <c r="K242" s="255">
        <v>1</v>
      </c>
      <c r="L242" s="255"/>
      <c r="M242" s="256">
        <v>1.8059999999999997E-3</v>
      </c>
      <c r="N242" s="249">
        <v>241</v>
      </c>
    </row>
    <row r="243" spans="1:14" x14ac:dyDescent="0.25">
      <c r="A243" s="252" t="s">
        <v>135</v>
      </c>
      <c r="B243" s="252" t="s">
        <v>1536</v>
      </c>
      <c r="C243" s="253">
        <v>0</v>
      </c>
      <c r="D243" s="252">
        <v>41018</v>
      </c>
      <c r="E243" s="252" t="s">
        <v>1764</v>
      </c>
      <c r="F243" s="254" t="s">
        <v>1538</v>
      </c>
      <c r="G243" s="252" t="s">
        <v>2877</v>
      </c>
      <c r="H243" s="252" t="s">
        <v>2878</v>
      </c>
      <c r="I243" s="252">
        <v>3</v>
      </c>
      <c r="J243" s="255">
        <v>1</v>
      </c>
      <c r="K243" s="255">
        <v>1</v>
      </c>
      <c r="L243" s="255"/>
      <c r="M243" s="256">
        <v>1.8059999999999997E-3</v>
      </c>
      <c r="N243" s="249">
        <v>242</v>
      </c>
    </row>
    <row r="244" spans="1:14" x14ac:dyDescent="0.25">
      <c r="A244" s="252" t="s">
        <v>135</v>
      </c>
      <c r="B244" s="252" t="s">
        <v>1536</v>
      </c>
      <c r="C244" s="253">
        <v>0</v>
      </c>
      <c r="D244" s="252">
        <v>41018</v>
      </c>
      <c r="E244" s="252" t="s">
        <v>1764</v>
      </c>
      <c r="F244" s="254" t="s">
        <v>1538</v>
      </c>
      <c r="G244" s="252" t="s">
        <v>2879</v>
      </c>
      <c r="H244" s="252" t="s">
        <v>2880</v>
      </c>
      <c r="I244" s="252">
        <v>3</v>
      </c>
      <c r="J244" s="255">
        <v>1</v>
      </c>
      <c r="K244" s="255">
        <v>1</v>
      </c>
      <c r="L244" s="255"/>
      <c r="M244" s="256">
        <v>1.4999999999999999E-4</v>
      </c>
      <c r="N244" s="249">
        <v>243</v>
      </c>
    </row>
    <row r="245" spans="1:14" x14ac:dyDescent="0.25">
      <c r="A245" s="252" t="s">
        <v>135</v>
      </c>
      <c r="B245" s="252" t="s">
        <v>1536</v>
      </c>
      <c r="C245" s="253">
        <v>0</v>
      </c>
      <c r="D245" s="252">
        <v>41018</v>
      </c>
      <c r="E245" s="252" t="s">
        <v>1764</v>
      </c>
      <c r="F245" s="254" t="s">
        <v>1538</v>
      </c>
      <c r="G245" s="252" t="s">
        <v>2881</v>
      </c>
      <c r="H245" s="252" t="s">
        <v>2882</v>
      </c>
      <c r="I245" s="252">
        <v>3</v>
      </c>
      <c r="J245" s="255">
        <v>1</v>
      </c>
      <c r="K245" s="255">
        <v>1</v>
      </c>
      <c r="L245" s="255"/>
      <c r="M245" s="256">
        <v>1.4999999999999999E-4</v>
      </c>
      <c r="N245" s="249">
        <v>244</v>
      </c>
    </row>
    <row r="246" spans="1:14" x14ac:dyDescent="0.25">
      <c r="A246" s="252" t="s">
        <v>135</v>
      </c>
      <c r="B246" s="252" t="s">
        <v>1536</v>
      </c>
      <c r="C246" s="253">
        <v>0</v>
      </c>
      <c r="D246" s="252">
        <v>41018</v>
      </c>
      <c r="E246" s="252" t="s">
        <v>1764</v>
      </c>
      <c r="F246" s="254" t="s">
        <v>1538</v>
      </c>
      <c r="G246" s="252" t="s">
        <v>2883</v>
      </c>
      <c r="H246" s="252" t="s">
        <v>2884</v>
      </c>
      <c r="I246" s="252">
        <v>3</v>
      </c>
      <c r="J246" s="255">
        <v>1</v>
      </c>
      <c r="K246" s="255">
        <v>1</v>
      </c>
      <c r="L246" s="255"/>
      <c r="M246" s="256">
        <v>9.9899999999999989E-4</v>
      </c>
      <c r="N246" s="249">
        <v>245</v>
      </c>
    </row>
    <row r="247" spans="1:14" x14ac:dyDescent="0.25">
      <c r="A247" s="252" t="s">
        <v>135</v>
      </c>
      <c r="B247" s="252" t="s">
        <v>1536</v>
      </c>
      <c r="C247" s="253">
        <v>0</v>
      </c>
      <c r="D247" s="252">
        <v>41018</v>
      </c>
      <c r="E247" s="252" t="s">
        <v>1764</v>
      </c>
      <c r="F247" s="254" t="s">
        <v>1538</v>
      </c>
      <c r="G247" s="252" t="s">
        <v>2885</v>
      </c>
      <c r="H247" s="252" t="s">
        <v>2886</v>
      </c>
      <c r="I247" s="252">
        <v>3</v>
      </c>
      <c r="J247" s="255">
        <v>1</v>
      </c>
      <c r="K247" s="255">
        <v>1</v>
      </c>
      <c r="L247" s="255"/>
      <c r="M247" s="256">
        <v>1.95E-4</v>
      </c>
      <c r="N247" s="249">
        <v>246</v>
      </c>
    </row>
    <row r="248" spans="1:14" x14ac:dyDescent="0.25">
      <c r="A248" s="252" t="s">
        <v>135</v>
      </c>
      <c r="B248" s="252" t="s">
        <v>1536</v>
      </c>
      <c r="C248" s="253">
        <v>0</v>
      </c>
      <c r="D248" s="252">
        <v>41018</v>
      </c>
      <c r="E248" s="252" t="s">
        <v>1764</v>
      </c>
      <c r="F248" s="254" t="s">
        <v>1538</v>
      </c>
      <c r="G248" s="252" t="s">
        <v>2887</v>
      </c>
      <c r="H248" s="252" t="s">
        <v>2888</v>
      </c>
      <c r="I248" s="252">
        <v>3</v>
      </c>
      <c r="J248" s="255">
        <v>1</v>
      </c>
      <c r="K248" s="255">
        <v>1</v>
      </c>
      <c r="L248" s="255"/>
      <c r="M248" s="256">
        <v>1.8059999999999997E-3</v>
      </c>
      <c r="N248" s="249">
        <v>247</v>
      </c>
    </row>
    <row r="249" spans="1:14" x14ac:dyDescent="0.25">
      <c r="A249" s="252" t="s">
        <v>135</v>
      </c>
      <c r="B249" s="252" t="s">
        <v>1536</v>
      </c>
      <c r="C249" s="253">
        <v>0</v>
      </c>
      <c r="D249" s="252">
        <v>41018</v>
      </c>
      <c r="E249" s="252" t="s">
        <v>1764</v>
      </c>
      <c r="F249" s="254" t="s">
        <v>1538</v>
      </c>
      <c r="G249" s="252" t="s">
        <v>2889</v>
      </c>
      <c r="H249" s="252" t="s">
        <v>2890</v>
      </c>
      <c r="I249" s="252">
        <v>3</v>
      </c>
      <c r="J249" s="255">
        <v>1</v>
      </c>
      <c r="K249" s="255">
        <v>1</v>
      </c>
      <c r="L249" s="255"/>
      <c r="M249" s="256">
        <v>1.8059999999999997E-3</v>
      </c>
      <c r="N249" s="249">
        <v>248</v>
      </c>
    </row>
    <row r="250" spans="1:14" x14ac:dyDescent="0.25">
      <c r="A250" s="252" t="s">
        <v>135</v>
      </c>
      <c r="B250" s="252" t="s">
        <v>1536</v>
      </c>
      <c r="C250" s="253">
        <v>0</v>
      </c>
      <c r="D250" s="252">
        <v>41018</v>
      </c>
      <c r="E250" s="252" t="s">
        <v>1764</v>
      </c>
      <c r="F250" s="254" t="s">
        <v>1538</v>
      </c>
      <c r="G250" s="252" t="s">
        <v>2891</v>
      </c>
      <c r="H250" s="252" t="s">
        <v>2892</v>
      </c>
      <c r="I250" s="252">
        <v>3</v>
      </c>
      <c r="J250" s="255">
        <v>1</v>
      </c>
      <c r="K250" s="255">
        <v>1</v>
      </c>
      <c r="L250" s="255"/>
      <c r="M250" s="256">
        <v>7.4999999999999993E-5</v>
      </c>
      <c r="N250" s="249">
        <v>249</v>
      </c>
    </row>
    <row r="251" spans="1:14" x14ac:dyDescent="0.25">
      <c r="A251" s="252" t="s">
        <v>135</v>
      </c>
      <c r="B251" s="252" t="s">
        <v>1536</v>
      </c>
      <c r="C251" s="253">
        <v>0</v>
      </c>
      <c r="D251" s="252">
        <v>41018</v>
      </c>
      <c r="E251" s="252" t="s">
        <v>1764</v>
      </c>
      <c r="F251" s="254" t="s">
        <v>1538</v>
      </c>
      <c r="G251" s="252" t="s">
        <v>2893</v>
      </c>
      <c r="H251" s="252" t="s">
        <v>2894</v>
      </c>
      <c r="I251" s="252">
        <v>3</v>
      </c>
      <c r="J251" s="255">
        <v>1</v>
      </c>
      <c r="K251" s="255">
        <v>1</v>
      </c>
      <c r="L251" s="255"/>
      <c r="M251" s="256">
        <v>7.4999999999999993E-5</v>
      </c>
      <c r="N251" s="249">
        <v>250</v>
      </c>
    </row>
    <row r="252" spans="1:14" x14ac:dyDescent="0.25">
      <c r="A252" s="252" t="s">
        <v>135</v>
      </c>
      <c r="B252" s="252" t="s">
        <v>1536</v>
      </c>
      <c r="C252" s="253">
        <v>0</v>
      </c>
      <c r="D252" s="252">
        <v>41018</v>
      </c>
      <c r="E252" s="252" t="s">
        <v>1764</v>
      </c>
      <c r="F252" s="254" t="s">
        <v>1538</v>
      </c>
      <c r="G252" s="252" t="s">
        <v>2895</v>
      </c>
      <c r="H252" s="252" t="s">
        <v>2896</v>
      </c>
      <c r="I252" s="252">
        <v>3</v>
      </c>
      <c r="J252" s="255">
        <v>1</v>
      </c>
      <c r="K252" s="255">
        <v>1</v>
      </c>
      <c r="L252" s="255"/>
      <c r="M252" s="256">
        <v>1.029E-3</v>
      </c>
      <c r="N252" s="249">
        <v>251</v>
      </c>
    </row>
    <row r="253" spans="1:14" x14ac:dyDescent="0.25">
      <c r="A253" s="252" t="s">
        <v>135</v>
      </c>
      <c r="B253" s="252" t="s">
        <v>1536</v>
      </c>
      <c r="C253" s="253">
        <v>0</v>
      </c>
      <c r="D253" s="252">
        <v>41018</v>
      </c>
      <c r="E253" s="252" t="s">
        <v>97</v>
      </c>
      <c r="F253" s="254" t="s">
        <v>1544</v>
      </c>
      <c r="G253" s="252" t="s">
        <v>1762</v>
      </c>
      <c r="H253" s="252" t="s">
        <v>1763</v>
      </c>
      <c r="I253" s="252">
        <v>9</v>
      </c>
      <c r="J253" s="255">
        <v>1</v>
      </c>
      <c r="K253" s="255">
        <v>1</v>
      </c>
      <c r="L253" s="255"/>
      <c r="M253" s="256">
        <v>2.4180000000000004E-3</v>
      </c>
      <c r="N253" s="249">
        <v>252</v>
      </c>
    </row>
    <row r="254" spans="1:14" x14ac:dyDescent="0.25">
      <c r="A254" s="252" t="s">
        <v>135</v>
      </c>
      <c r="B254" s="252" t="s">
        <v>1536</v>
      </c>
      <c r="C254" s="253">
        <v>0</v>
      </c>
      <c r="D254" s="252">
        <v>41018</v>
      </c>
      <c r="E254" s="252" t="s">
        <v>1764</v>
      </c>
      <c r="F254" s="254" t="s">
        <v>1544</v>
      </c>
      <c r="G254" s="252" t="s">
        <v>1765</v>
      </c>
      <c r="H254" s="252" t="s">
        <v>1766</v>
      </c>
      <c r="I254" s="252">
        <v>3</v>
      </c>
      <c r="J254" s="255">
        <v>1</v>
      </c>
      <c r="K254" s="255">
        <v>1</v>
      </c>
      <c r="L254" s="255"/>
      <c r="M254" s="256">
        <v>6.1800000000000006E-4</v>
      </c>
      <c r="N254" s="249">
        <v>253</v>
      </c>
    </row>
    <row r="255" spans="1:14" x14ac:dyDescent="0.25">
      <c r="A255" s="252" t="s">
        <v>135</v>
      </c>
      <c r="B255" s="252" t="s">
        <v>1536</v>
      </c>
      <c r="C255" s="253">
        <v>0</v>
      </c>
      <c r="D255" s="252">
        <v>41018</v>
      </c>
      <c r="E255" s="252" t="s">
        <v>1764</v>
      </c>
      <c r="F255" s="254" t="s">
        <v>1544</v>
      </c>
      <c r="G255" s="252" t="s">
        <v>1767</v>
      </c>
      <c r="H255" s="252" t="s">
        <v>1768</v>
      </c>
      <c r="I255" s="252">
        <v>3</v>
      </c>
      <c r="J255" s="255">
        <v>1</v>
      </c>
      <c r="K255" s="255">
        <v>1</v>
      </c>
      <c r="L255" s="255"/>
      <c r="M255" s="256">
        <v>1.8059999999999997E-3</v>
      </c>
      <c r="N255" s="249">
        <v>254</v>
      </c>
    </row>
    <row r="256" spans="1:14" x14ac:dyDescent="0.25">
      <c r="A256" s="252" t="s">
        <v>135</v>
      </c>
      <c r="B256" s="252" t="s">
        <v>1536</v>
      </c>
      <c r="C256" s="253">
        <v>0</v>
      </c>
      <c r="D256" s="252">
        <v>41018</v>
      </c>
      <c r="E256" s="252" t="s">
        <v>1764</v>
      </c>
      <c r="F256" s="254" t="s">
        <v>1544</v>
      </c>
      <c r="G256" s="252" t="s">
        <v>1769</v>
      </c>
      <c r="H256" s="252" t="s">
        <v>1770</v>
      </c>
      <c r="I256" s="252">
        <v>3</v>
      </c>
      <c r="J256" s="255">
        <v>1</v>
      </c>
      <c r="K256" s="255">
        <v>1</v>
      </c>
      <c r="L256" s="255"/>
      <c r="M256" s="256">
        <v>1.8059999999999997E-3</v>
      </c>
      <c r="N256" s="249">
        <v>255</v>
      </c>
    </row>
    <row r="257" spans="1:14" x14ac:dyDescent="0.25">
      <c r="A257" s="252" t="s">
        <v>135</v>
      </c>
      <c r="B257" s="252" t="s">
        <v>1536</v>
      </c>
      <c r="C257" s="253">
        <v>0</v>
      </c>
      <c r="D257" s="252">
        <v>41018</v>
      </c>
      <c r="E257" s="252" t="s">
        <v>1764</v>
      </c>
      <c r="F257" s="254" t="s">
        <v>1544</v>
      </c>
      <c r="G257" s="252" t="s">
        <v>1771</v>
      </c>
      <c r="H257" s="252" t="s">
        <v>1772</v>
      </c>
      <c r="I257" s="252">
        <v>3</v>
      </c>
      <c r="J257" s="255">
        <v>1</v>
      </c>
      <c r="K257" s="255">
        <v>1</v>
      </c>
      <c r="L257" s="255"/>
      <c r="M257" s="256">
        <v>3.3300000000000002E-4</v>
      </c>
      <c r="N257" s="249">
        <v>256</v>
      </c>
    </row>
    <row r="258" spans="1:14" x14ac:dyDescent="0.25">
      <c r="A258" s="252" t="s">
        <v>135</v>
      </c>
      <c r="B258" s="252" t="s">
        <v>1536</v>
      </c>
      <c r="C258" s="253">
        <v>0</v>
      </c>
      <c r="D258" s="252">
        <v>41018</v>
      </c>
      <c r="E258" s="252" t="s">
        <v>1764</v>
      </c>
      <c r="F258" s="254" t="s">
        <v>1544</v>
      </c>
      <c r="G258" s="252" t="s">
        <v>1773</v>
      </c>
      <c r="H258" s="252" t="s">
        <v>1774</v>
      </c>
      <c r="I258" s="252">
        <v>3</v>
      </c>
      <c r="J258" s="255">
        <v>1</v>
      </c>
      <c r="K258" s="255">
        <v>1</v>
      </c>
      <c r="L258" s="255"/>
      <c r="M258" s="256">
        <v>3.3300000000000002E-4</v>
      </c>
      <c r="N258" s="249">
        <v>257</v>
      </c>
    </row>
    <row r="259" spans="1:14" x14ac:dyDescent="0.25">
      <c r="A259" s="252" t="s">
        <v>135</v>
      </c>
      <c r="B259" s="252" t="s">
        <v>1536</v>
      </c>
      <c r="C259" s="253">
        <v>0</v>
      </c>
      <c r="D259" s="252">
        <v>41018</v>
      </c>
      <c r="E259" s="252" t="s">
        <v>1764</v>
      </c>
      <c r="F259" s="254" t="s">
        <v>1544</v>
      </c>
      <c r="G259" s="252" t="s">
        <v>1775</v>
      </c>
      <c r="H259" s="252" t="s">
        <v>1776</v>
      </c>
      <c r="I259" s="252">
        <v>3</v>
      </c>
      <c r="J259" s="255">
        <v>1</v>
      </c>
      <c r="K259" s="255">
        <v>1</v>
      </c>
      <c r="L259" s="255"/>
      <c r="M259" s="256">
        <v>1.7159999999999999E-3</v>
      </c>
      <c r="N259" s="249">
        <v>258</v>
      </c>
    </row>
    <row r="260" spans="1:14" x14ac:dyDescent="0.25">
      <c r="A260" s="252" t="s">
        <v>135</v>
      </c>
      <c r="B260" s="252" t="s">
        <v>1536</v>
      </c>
      <c r="C260" s="253">
        <v>0</v>
      </c>
      <c r="D260" s="252">
        <v>41018</v>
      </c>
      <c r="E260" s="252" t="s">
        <v>1764</v>
      </c>
      <c r="F260" s="254" t="s">
        <v>1544</v>
      </c>
      <c r="G260" s="252" t="s">
        <v>1777</v>
      </c>
      <c r="H260" s="252" t="s">
        <v>1778</v>
      </c>
      <c r="I260" s="252">
        <v>3</v>
      </c>
      <c r="J260" s="255">
        <v>1</v>
      </c>
      <c r="K260" s="255">
        <v>1</v>
      </c>
      <c r="L260" s="255"/>
      <c r="M260" s="256">
        <v>2.34E-4</v>
      </c>
      <c r="N260" s="249">
        <v>259</v>
      </c>
    </row>
    <row r="261" spans="1:14" x14ac:dyDescent="0.25">
      <c r="A261" s="252" t="s">
        <v>135</v>
      </c>
      <c r="B261" s="252" t="s">
        <v>1536</v>
      </c>
      <c r="C261" s="253">
        <v>0</v>
      </c>
      <c r="D261" s="252">
        <v>41018</v>
      </c>
      <c r="E261" s="252" t="s">
        <v>1764</v>
      </c>
      <c r="F261" s="254" t="s">
        <v>1544</v>
      </c>
      <c r="G261" s="252" t="s">
        <v>1779</v>
      </c>
      <c r="H261" s="252" t="s">
        <v>1780</v>
      </c>
      <c r="I261" s="252">
        <v>3</v>
      </c>
      <c r="J261" s="255">
        <v>1</v>
      </c>
      <c r="K261" s="255">
        <v>1</v>
      </c>
      <c r="L261" s="255"/>
      <c r="M261" s="256">
        <v>1.8059999999999997E-3</v>
      </c>
      <c r="N261" s="249">
        <v>260</v>
      </c>
    </row>
    <row r="262" spans="1:14" x14ac:dyDescent="0.25">
      <c r="A262" s="252" t="s">
        <v>135</v>
      </c>
      <c r="B262" s="252" t="s">
        <v>1536</v>
      </c>
      <c r="C262" s="253">
        <v>0</v>
      </c>
      <c r="D262" s="252">
        <v>41018</v>
      </c>
      <c r="E262" s="252" t="s">
        <v>1764</v>
      </c>
      <c r="F262" s="254" t="s">
        <v>1544</v>
      </c>
      <c r="G262" s="252" t="s">
        <v>1781</v>
      </c>
      <c r="H262" s="252" t="s">
        <v>1782</v>
      </c>
      <c r="I262" s="252">
        <v>3</v>
      </c>
      <c r="J262" s="255">
        <v>1</v>
      </c>
      <c r="K262" s="255">
        <v>1</v>
      </c>
      <c r="L262" s="255"/>
      <c r="M262" s="256">
        <v>1.8059999999999997E-3</v>
      </c>
      <c r="N262" s="249">
        <v>261</v>
      </c>
    </row>
    <row r="263" spans="1:14" x14ac:dyDescent="0.25">
      <c r="A263" s="252" t="s">
        <v>135</v>
      </c>
      <c r="B263" s="252" t="s">
        <v>1536</v>
      </c>
      <c r="C263" s="253">
        <v>0</v>
      </c>
      <c r="D263" s="252">
        <v>41018</v>
      </c>
      <c r="E263" s="252" t="s">
        <v>1764</v>
      </c>
      <c r="F263" s="254" t="s">
        <v>1544</v>
      </c>
      <c r="G263" s="252" t="s">
        <v>1783</v>
      </c>
      <c r="H263" s="252" t="s">
        <v>1784</v>
      </c>
      <c r="I263" s="252">
        <v>3</v>
      </c>
      <c r="J263" s="255">
        <v>1</v>
      </c>
      <c r="K263" s="255">
        <v>1</v>
      </c>
      <c r="L263" s="255"/>
      <c r="M263" s="256">
        <v>9.8999999999999994E-5</v>
      </c>
      <c r="N263" s="249">
        <v>262</v>
      </c>
    </row>
    <row r="264" spans="1:14" x14ac:dyDescent="0.25">
      <c r="A264" s="252" t="s">
        <v>135</v>
      </c>
      <c r="B264" s="252" t="s">
        <v>1536</v>
      </c>
      <c r="C264" s="253">
        <v>0</v>
      </c>
      <c r="D264" s="252">
        <v>41018</v>
      </c>
      <c r="E264" s="252" t="s">
        <v>1764</v>
      </c>
      <c r="F264" s="254" t="s">
        <v>1544</v>
      </c>
      <c r="G264" s="252" t="s">
        <v>1785</v>
      </c>
      <c r="H264" s="252" t="s">
        <v>1786</v>
      </c>
      <c r="I264" s="252">
        <v>3</v>
      </c>
      <c r="J264" s="255">
        <v>1</v>
      </c>
      <c r="K264" s="255">
        <v>1</v>
      </c>
      <c r="L264" s="255"/>
      <c r="M264" s="256">
        <v>9.8999999999999994E-5</v>
      </c>
      <c r="N264" s="249">
        <v>263</v>
      </c>
    </row>
    <row r="265" spans="1:14" x14ac:dyDescent="0.25">
      <c r="A265" s="252" t="s">
        <v>135</v>
      </c>
      <c r="B265" s="252" t="s">
        <v>1536</v>
      </c>
      <c r="C265" s="253">
        <v>0</v>
      </c>
      <c r="D265" s="252">
        <v>41018</v>
      </c>
      <c r="E265" s="252" t="s">
        <v>1764</v>
      </c>
      <c r="F265" s="254" t="s">
        <v>1544</v>
      </c>
      <c r="G265" s="252" t="s">
        <v>1787</v>
      </c>
      <c r="H265" s="252" t="s">
        <v>1788</v>
      </c>
      <c r="I265" s="252">
        <v>3</v>
      </c>
      <c r="J265" s="255">
        <v>1</v>
      </c>
      <c r="K265" s="255">
        <v>1</v>
      </c>
      <c r="L265" s="255"/>
      <c r="M265" s="256">
        <v>8.0699999999999999E-4</v>
      </c>
      <c r="N265" s="249">
        <v>264</v>
      </c>
    </row>
    <row r="266" spans="1:14" x14ac:dyDescent="0.25">
      <c r="A266" s="252" t="s">
        <v>135</v>
      </c>
      <c r="B266" s="252" t="s">
        <v>1536</v>
      </c>
      <c r="C266" s="253">
        <v>0</v>
      </c>
      <c r="D266" s="252">
        <v>41018</v>
      </c>
      <c r="E266" s="252" t="s">
        <v>1764</v>
      </c>
      <c r="F266" s="254" t="s">
        <v>1544</v>
      </c>
      <c r="G266" s="252" t="s">
        <v>1789</v>
      </c>
      <c r="H266" s="252" t="s">
        <v>1790</v>
      </c>
      <c r="I266" s="252">
        <v>3</v>
      </c>
      <c r="J266" s="255">
        <v>1</v>
      </c>
      <c r="K266" s="255">
        <v>1</v>
      </c>
      <c r="L266" s="255"/>
      <c r="M266" s="256">
        <v>1.2539999999999999E-3</v>
      </c>
      <c r="N266" s="249">
        <v>265</v>
      </c>
    </row>
    <row r="267" spans="1:14" x14ac:dyDescent="0.25">
      <c r="A267" s="252" t="s">
        <v>135</v>
      </c>
      <c r="B267" s="252" t="s">
        <v>1536</v>
      </c>
      <c r="C267" s="253">
        <v>0</v>
      </c>
      <c r="D267" s="252">
        <v>41018</v>
      </c>
      <c r="E267" s="252" t="s">
        <v>1764</v>
      </c>
      <c r="F267" s="254" t="s">
        <v>1544</v>
      </c>
      <c r="G267" s="252" t="s">
        <v>1791</v>
      </c>
      <c r="H267" s="252" t="s">
        <v>1792</v>
      </c>
      <c r="I267" s="252">
        <v>3</v>
      </c>
      <c r="J267" s="255">
        <v>1</v>
      </c>
      <c r="K267" s="255">
        <v>1</v>
      </c>
      <c r="L267" s="255"/>
      <c r="M267" s="256">
        <v>1.8059999999999997E-3</v>
      </c>
      <c r="N267" s="249">
        <v>266</v>
      </c>
    </row>
    <row r="268" spans="1:14" x14ac:dyDescent="0.25">
      <c r="A268" s="252" t="s">
        <v>135</v>
      </c>
      <c r="B268" s="252" t="s">
        <v>1536</v>
      </c>
      <c r="C268" s="253">
        <v>0</v>
      </c>
      <c r="D268" s="252">
        <v>41018</v>
      </c>
      <c r="E268" s="252" t="s">
        <v>1764</v>
      </c>
      <c r="F268" s="254" t="s">
        <v>1544</v>
      </c>
      <c r="G268" s="252" t="s">
        <v>1793</v>
      </c>
      <c r="H268" s="252" t="s">
        <v>1794</v>
      </c>
      <c r="I268" s="252">
        <v>3</v>
      </c>
      <c r="J268" s="255">
        <v>1</v>
      </c>
      <c r="K268" s="255">
        <v>1</v>
      </c>
      <c r="L268" s="255"/>
      <c r="M268" s="256">
        <v>1.8059999999999997E-3</v>
      </c>
      <c r="N268" s="249">
        <v>267</v>
      </c>
    </row>
    <row r="269" spans="1:14" x14ac:dyDescent="0.25">
      <c r="A269" s="252" t="s">
        <v>135</v>
      </c>
      <c r="B269" s="252" t="s">
        <v>1536</v>
      </c>
      <c r="C269" s="253">
        <v>0</v>
      </c>
      <c r="D269" s="252">
        <v>41018</v>
      </c>
      <c r="E269" s="252" t="s">
        <v>1764</v>
      </c>
      <c r="F269" s="254" t="s">
        <v>1544</v>
      </c>
      <c r="G269" s="252" t="s">
        <v>1795</v>
      </c>
      <c r="H269" s="252" t="s">
        <v>1796</v>
      </c>
      <c r="I269" s="252">
        <v>3</v>
      </c>
      <c r="J269" s="255">
        <v>1</v>
      </c>
      <c r="K269" s="255">
        <v>1</v>
      </c>
      <c r="L269" s="255"/>
      <c r="M269" s="256">
        <v>7.1700000000000008E-4</v>
      </c>
      <c r="N269" s="249">
        <v>268</v>
      </c>
    </row>
    <row r="270" spans="1:14" x14ac:dyDescent="0.25">
      <c r="A270" s="252" t="s">
        <v>135</v>
      </c>
      <c r="B270" s="252" t="s">
        <v>1536</v>
      </c>
      <c r="C270" s="253">
        <v>0</v>
      </c>
      <c r="D270" s="252">
        <v>41018</v>
      </c>
      <c r="E270" s="252" t="s">
        <v>1764</v>
      </c>
      <c r="F270" s="254" t="s">
        <v>1544</v>
      </c>
      <c r="G270" s="252" t="s">
        <v>1797</v>
      </c>
      <c r="H270" s="252" t="s">
        <v>1798</v>
      </c>
      <c r="I270" s="252">
        <v>3</v>
      </c>
      <c r="J270" s="255">
        <v>1</v>
      </c>
      <c r="K270" s="255">
        <v>1</v>
      </c>
      <c r="L270" s="255"/>
      <c r="M270" s="256">
        <v>7.1700000000000008E-4</v>
      </c>
      <c r="N270" s="249">
        <v>269</v>
      </c>
    </row>
    <row r="271" spans="1:14" x14ac:dyDescent="0.25">
      <c r="A271" s="252" t="s">
        <v>135</v>
      </c>
      <c r="B271" s="252" t="s">
        <v>1536</v>
      </c>
      <c r="C271" s="253">
        <v>0</v>
      </c>
      <c r="D271" s="252">
        <v>41018</v>
      </c>
      <c r="E271" s="252" t="s">
        <v>1764</v>
      </c>
      <c r="F271" s="254" t="s">
        <v>1544</v>
      </c>
      <c r="G271" s="252" t="s">
        <v>1799</v>
      </c>
      <c r="H271" s="252" t="s">
        <v>1800</v>
      </c>
      <c r="I271" s="252">
        <v>3</v>
      </c>
      <c r="J271" s="255">
        <v>1</v>
      </c>
      <c r="K271" s="255">
        <v>1</v>
      </c>
      <c r="L271" s="255"/>
      <c r="M271" s="256">
        <v>3.2099999999999997E-3</v>
      </c>
      <c r="N271" s="249">
        <v>270</v>
      </c>
    </row>
    <row r="272" spans="1:14" x14ac:dyDescent="0.25">
      <c r="A272" s="252" t="s">
        <v>135</v>
      </c>
      <c r="B272" s="252" t="s">
        <v>1536</v>
      </c>
      <c r="C272" s="253">
        <v>0</v>
      </c>
      <c r="D272" s="252">
        <v>41018</v>
      </c>
      <c r="E272" s="252" t="s">
        <v>1764</v>
      </c>
      <c r="F272" s="254" t="s">
        <v>1544</v>
      </c>
      <c r="G272" s="252" t="s">
        <v>1801</v>
      </c>
      <c r="H272" s="252" t="s">
        <v>1802</v>
      </c>
      <c r="I272" s="252">
        <v>3</v>
      </c>
      <c r="J272" s="255">
        <v>1</v>
      </c>
      <c r="K272" s="255">
        <v>1</v>
      </c>
      <c r="L272" s="255"/>
      <c r="M272" s="256">
        <v>2.9789999999999999E-3</v>
      </c>
      <c r="N272" s="249">
        <v>271</v>
      </c>
    </row>
    <row r="273" spans="1:14" x14ac:dyDescent="0.25">
      <c r="A273" s="252" t="s">
        <v>135</v>
      </c>
      <c r="B273" s="252" t="s">
        <v>1536</v>
      </c>
      <c r="C273" s="253">
        <v>0</v>
      </c>
      <c r="D273" s="252">
        <v>41018</v>
      </c>
      <c r="E273" s="252" t="s">
        <v>1764</v>
      </c>
      <c r="F273" s="254" t="s">
        <v>1544</v>
      </c>
      <c r="G273" s="252" t="s">
        <v>1803</v>
      </c>
      <c r="H273" s="252" t="s">
        <v>1804</v>
      </c>
      <c r="I273" s="252">
        <v>3</v>
      </c>
      <c r="J273" s="255">
        <v>1</v>
      </c>
      <c r="K273" s="255">
        <v>1</v>
      </c>
      <c r="L273" s="255"/>
      <c r="M273" s="256">
        <v>1.7759999999999998E-3</v>
      </c>
      <c r="N273" s="249">
        <v>272</v>
      </c>
    </row>
    <row r="274" spans="1:14" x14ac:dyDescent="0.25">
      <c r="A274" s="252" t="s">
        <v>135</v>
      </c>
      <c r="B274" s="252" t="s">
        <v>1536</v>
      </c>
      <c r="C274" s="253">
        <v>0</v>
      </c>
      <c r="D274" s="252">
        <v>41018</v>
      </c>
      <c r="E274" s="252" t="s">
        <v>1764</v>
      </c>
      <c r="F274" s="254" t="s">
        <v>1544</v>
      </c>
      <c r="G274" s="252" t="s">
        <v>1805</v>
      </c>
      <c r="H274" s="252" t="s">
        <v>1806</v>
      </c>
      <c r="I274" s="252">
        <v>3</v>
      </c>
      <c r="J274" s="255">
        <v>1</v>
      </c>
      <c r="K274" s="255">
        <v>1</v>
      </c>
      <c r="L274" s="255"/>
      <c r="M274" s="256">
        <v>1.7759999999999998E-3</v>
      </c>
      <c r="N274" s="249">
        <v>273</v>
      </c>
    </row>
    <row r="275" spans="1:14" x14ac:dyDescent="0.25">
      <c r="A275" s="252" t="s">
        <v>135</v>
      </c>
      <c r="B275" s="252" t="s">
        <v>1536</v>
      </c>
      <c r="C275" s="253">
        <v>0</v>
      </c>
      <c r="D275" s="252">
        <v>41018</v>
      </c>
      <c r="E275" s="252" t="s">
        <v>1764</v>
      </c>
      <c r="F275" s="254" t="s">
        <v>1544</v>
      </c>
      <c r="G275" s="252" t="s">
        <v>1807</v>
      </c>
      <c r="H275" s="252" t="s">
        <v>1808</v>
      </c>
      <c r="I275" s="252">
        <v>3</v>
      </c>
      <c r="J275" s="255">
        <v>1</v>
      </c>
      <c r="K275" s="255">
        <v>1</v>
      </c>
      <c r="L275" s="255"/>
      <c r="M275" s="256">
        <v>1.1819999999999999E-3</v>
      </c>
      <c r="N275" s="249">
        <v>274</v>
      </c>
    </row>
    <row r="276" spans="1:14" x14ac:dyDescent="0.25">
      <c r="A276" s="252" t="s">
        <v>135</v>
      </c>
      <c r="B276" s="252" t="s">
        <v>1536</v>
      </c>
      <c r="C276" s="253">
        <v>0</v>
      </c>
      <c r="D276" s="252">
        <v>41018</v>
      </c>
      <c r="E276" s="252" t="s">
        <v>1764</v>
      </c>
      <c r="F276" s="254" t="s">
        <v>1544</v>
      </c>
      <c r="G276" s="252" t="s">
        <v>1809</v>
      </c>
      <c r="H276" s="252" t="s">
        <v>1810</v>
      </c>
      <c r="I276" s="252">
        <v>3</v>
      </c>
      <c r="J276" s="255">
        <v>1</v>
      </c>
      <c r="K276" s="255">
        <v>1</v>
      </c>
      <c r="L276" s="255"/>
      <c r="M276" s="256">
        <v>1.1819999999999999E-3</v>
      </c>
      <c r="N276" s="249">
        <v>275</v>
      </c>
    </row>
    <row r="277" spans="1:14" x14ac:dyDescent="0.25">
      <c r="A277" s="252" t="s">
        <v>135</v>
      </c>
      <c r="B277" s="252" t="s">
        <v>1536</v>
      </c>
      <c r="C277" s="253">
        <v>0</v>
      </c>
      <c r="D277" s="252">
        <v>41018</v>
      </c>
      <c r="E277" s="252" t="s">
        <v>1764</v>
      </c>
      <c r="F277" s="254" t="s">
        <v>1544</v>
      </c>
      <c r="G277" s="252" t="s">
        <v>1811</v>
      </c>
      <c r="H277" s="252" t="s">
        <v>1812</v>
      </c>
      <c r="I277" s="252">
        <v>3</v>
      </c>
      <c r="J277" s="255">
        <v>1</v>
      </c>
      <c r="K277" s="255">
        <v>1</v>
      </c>
      <c r="L277" s="255"/>
      <c r="M277" s="256">
        <v>7.6559999999999996E-3</v>
      </c>
      <c r="N277" s="249">
        <v>276</v>
      </c>
    </row>
    <row r="278" spans="1:14" x14ac:dyDescent="0.25">
      <c r="A278" s="252" t="s">
        <v>135</v>
      </c>
      <c r="B278" s="252" t="s">
        <v>1536</v>
      </c>
      <c r="C278" s="253">
        <v>0</v>
      </c>
      <c r="D278" s="252">
        <v>41018</v>
      </c>
      <c r="E278" s="252" t="s">
        <v>1764</v>
      </c>
      <c r="F278" s="254" t="s">
        <v>1544</v>
      </c>
      <c r="G278" s="252" t="s">
        <v>1813</v>
      </c>
      <c r="H278" s="252" t="s">
        <v>1814</v>
      </c>
      <c r="I278" s="252">
        <v>3</v>
      </c>
      <c r="J278" s="255">
        <v>1</v>
      </c>
      <c r="K278" s="255">
        <v>1</v>
      </c>
      <c r="L278" s="255"/>
      <c r="M278" s="256">
        <v>1.2149999999999999E-3</v>
      </c>
      <c r="N278" s="249">
        <v>277</v>
      </c>
    </row>
    <row r="279" spans="1:14" x14ac:dyDescent="0.25">
      <c r="A279" s="252" t="s">
        <v>135</v>
      </c>
      <c r="B279" s="252" t="s">
        <v>1536</v>
      </c>
      <c r="C279" s="253">
        <v>0</v>
      </c>
      <c r="D279" s="252">
        <v>41018</v>
      </c>
      <c r="E279" s="252" t="s">
        <v>1764</v>
      </c>
      <c r="F279" s="254" t="s">
        <v>1544</v>
      </c>
      <c r="G279" s="252" t="s">
        <v>1815</v>
      </c>
      <c r="H279" s="252" t="s">
        <v>1816</v>
      </c>
      <c r="I279" s="252">
        <v>3</v>
      </c>
      <c r="J279" s="255">
        <v>1</v>
      </c>
      <c r="K279" s="255">
        <v>1</v>
      </c>
      <c r="L279" s="255"/>
      <c r="M279" s="256">
        <v>4.4999999999999999E-4</v>
      </c>
      <c r="N279" s="249">
        <v>278</v>
      </c>
    </row>
    <row r="280" spans="1:14" x14ac:dyDescent="0.25">
      <c r="A280" s="252" t="s">
        <v>135</v>
      </c>
      <c r="B280" s="252" t="s">
        <v>1536</v>
      </c>
      <c r="C280" s="253">
        <v>0</v>
      </c>
      <c r="D280" s="252">
        <v>41018</v>
      </c>
      <c r="E280" s="252" t="s">
        <v>1764</v>
      </c>
      <c r="F280" s="254" t="s">
        <v>1544</v>
      </c>
      <c r="G280" s="252" t="s">
        <v>1817</v>
      </c>
      <c r="H280" s="252" t="s">
        <v>1818</v>
      </c>
      <c r="I280" s="252">
        <v>3</v>
      </c>
      <c r="J280" s="255">
        <v>1</v>
      </c>
      <c r="K280" s="255">
        <v>1</v>
      </c>
      <c r="L280" s="255"/>
      <c r="M280" s="256">
        <v>1.2149999999999999E-3</v>
      </c>
      <c r="N280" s="249">
        <v>279</v>
      </c>
    </row>
    <row r="281" spans="1:14" x14ac:dyDescent="0.25">
      <c r="A281" s="252" t="s">
        <v>135</v>
      </c>
      <c r="B281" s="252" t="s">
        <v>1536</v>
      </c>
      <c r="C281" s="253">
        <v>0</v>
      </c>
      <c r="D281" s="252">
        <v>41018</v>
      </c>
      <c r="E281" s="252" t="s">
        <v>1764</v>
      </c>
      <c r="F281" s="254" t="s">
        <v>1544</v>
      </c>
      <c r="G281" s="252" t="s">
        <v>1819</v>
      </c>
      <c r="H281" s="252" t="s">
        <v>1820</v>
      </c>
      <c r="I281" s="252">
        <v>3</v>
      </c>
      <c r="J281" s="255">
        <v>1</v>
      </c>
      <c r="K281" s="255">
        <v>1</v>
      </c>
      <c r="L281" s="255"/>
      <c r="M281" s="256">
        <v>4.4999999999999999E-4</v>
      </c>
      <c r="N281" s="249">
        <v>280</v>
      </c>
    </row>
    <row r="282" spans="1:14" x14ac:dyDescent="0.25">
      <c r="A282" s="252" t="s">
        <v>135</v>
      </c>
      <c r="B282" s="252" t="s">
        <v>1536</v>
      </c>
      <c r="C282" s="253">
        <v>0</v>
      </c>
      <c r="D282" s="252">
        <v>41018</v>
      </c>
      <c r="E282" s="252" t="s">
        <v>1764</v>
      </c>
      <c r="F282" s="254" t="s">
        <v>1544</v>
      </c>
      <c r="G282" s="252" t="s">
        <v>1821</v>
      </c>
      <c r="H282" s="252" t="s">
        <v>1822</v>
      </c>
      <c r="I282" s="252">
        <v>3</v>
      </c>
      <c r="J282" s="255">
        <v>1</v>
      </c>
      <c r="K282" s="255">
        <v>1</v>
      </c>
      <c r="L282" s="255"/>
      <c r="M282" s="256">
        <v>2.4899999999999998E-4</v>
      </c>
      <c r="N282" s="249">
        <v>281</v>
      </c>
    </row>
    <row r="283" spans="1:14" x14ac:dyDescent="0.25">
      <c r="A283" s="252" t="s">
        <v>135</v>
      </c>
      <c r="B283" s="252" t="s">
        <v>1536</v>
      </c>
      <c r="C283" s="253">
        <v>0</v>
      </c>
      <c r="D283" s="252">
        <v>41018</v>
      </c>
      <c r="E283" s="252" t="s">
        <v>1764</v>
      </c>
      <c r="F283" s="254" t="s">
        <v>1544</v>
      </c>
      <c r="G283" s="252" t="s">
        <v>1823</v>
      </c>
      <c r="H283" s="252" t="s">
        <v>1824</v>
      </c>
      <c r="I283" s="252">
        <v>3</v>
      </c>
      <c r="J283" s="255">
        <v>1</v>
      </c>
      <c r="K283" s="255">
        <v>1</v>
      </c>
      <c r="L283" s="255"/>
      <c r="M283" s="256">
        <v>2.4899999999999998E-4</v>
      </c>
      <c r="N283" s="249">
        <v>282</v>
      </c>
    </row>
    <row r="284" spans="1:14" x14ac:dyDescent="0.25">
      <c r="A284" s="252" t="s">
        <v>135</v>
      </c>
      <c r="B284" s="252" t="s">
        <v>1536</v>
      </c>
      <c r="C284" s="253">
        <v>0</v>
      </c>
      <c r="D284" s="252">
        <v>41018</v>
      </c>
      <c r="E284" s="252" t="s">
        <v>1764</v>
      </c>
      <c r="F284" s="254" t="s">
        <v>1544</v>
      </c>
      <c r="G284" s="252" t="s">
        <v>1825</v>
      </c>
      <c r="H284" s="252" t="s">
        <v>1826</v>
      </c>
      <c r="I284" s="252">
        <v>3</v>
      </c>
      <c r="J284" s="255">
        <v>1</v>
      </c>
      <c r="K284" s="255">
        <v>1</v>
      </c>
      <c r="L284" s="255"/>
      <c r="M284" s="256">
        <v>7.9500000000000003E-4</v>
      </c>
      <c r="N284" s="249">
        <v>283</v>
      </c>
    </row>
    <row r="285" spans="1:14" x14ac:dyDescent="0.25">
      <c r="A285" s="252" t="s">
        <v>135</v>
      </c>
      <c r="B285" s="252" t="s">
        <v>1536</v>
      </c>
      <c r="C285" s="253">
        <v>0</v>
      </c>
      <c r="D285" s="252">
        <v>41018</v>
      </c>
      <c r="E285" s="252" t="s">
        <v>1764</v>
      </c>
      <c r="F285" s="254" t="s">
        <v>1544</v>
      </c>
      <c r="G285" s="252" t="s">
        <v>1827</v>
      </c>
      <c r="H285" s="252" t="s">
        <v>1828</v>
      </c>
      <c r="I285" s="252">
        <v>3</v>
      </c>
      <c r="J285" s="255">
        <v>1</v>
      </c>
      <c r="K285" s="255">
        <v>1</v>
      </c>
      <c r="L285" s="255"/>
      <c r="M285" s="256">
        <v>1.8059999999999997E-3</v>
      </c>
      <c r="N285" s="249">
        <v>284</v>
      </c>
    </row>
    <row r="286" spans="1:14" x14ac:dyDescent="0.25">
      <c r="A286" s="252" t="s">
        <v>135</v>
      </c>
      <c r="B286" s="252" t="s">
        <v>1536</v>
      </c>
      <c r="C286" s="253">
        <v>0</v>
      </c>
      <c r="D286" s="252">
        <v>41018</v>
      </c>
      <c r="E286" s="252" t="s">
        <v>1764</v>
      </c>
      <c r="F286" s="254" t="s">
        <v>1544</v>
      </c>
      <c r="G286" s="252" t="s">
        <v>1829</v>
      </c>
      <c r="H286" s="252" t="s">
        <v>1830</v>
      </c>
      <c r="I286" s="252">
        <v>3</v>
      </c>
      <c r="J286" s="255">
        <v>1</v>
      </c>
      <c r="K286" s="255">
        <v>1</v>
      </c>
      <c r="L286" s="255"/>
      <c r="M286" s="256">
        <v>1.8059999999999997E-3</v>
      </c>
      <c r="N286" s="249">
        <v>285</v>
      </c>
    </row>
    <row r="287" spans="1:14" x14ac:dyDescent="0.25">
      <c r="A287" s="252" t="s">
        <v>135</v>
      </c>
      <c r="B287" s="252" t="s">
        <v>1536</v>
      </c>
      <c r="C287" s="253">
        <v>0</v>
      </c>
      <c r="D287" s="252">
        <v>41018</v>
      </c>
      <c r="E287" s="252" t="s">
        <v>1764</v>
      </c>
      <c r="F287" s="254" t="s">
        <v>1544</v>
      </c>
      <c r="G287" s="252" t="s">
        <v>1831</v>
      </c>
      <c r="H287" s="252" t="s">
        <v>1832</v>
      </c>
      <c r="I287" s="252">
        <v>3</v>
      </c>
      <c r="J287" s="255">
        <v>1</v>
      </c>
      <c r="K287" s="255">
        <v>1</v>
      </c>
      <c r="L287" s="255"/>
      <c r="M287" s="256">
        <v>4.4099999999999999E-4</v>
      </c>
      <c r="N287" s="249">
        <v>286</v>
      </c>
    </row>
    <row r="288" spans="1:14" x14ac:dyDescent="0.25">
      <c r="A288" s="252" t="s">
        <v>135</v>
      </c>
      <c r="B288" s="252" t="s">
        <v>1536</v>
      </c>
      <c r="C288" s="253">
        <v>0</v>
      </c>
      <c r="D288" s="252">
        <v>41018</v>
      </c>
      <c r="E288" s="252" t="s">
        <v>1764</v>
      </c>
      <c r="F288" s="254" t="s">
        <v>1544</v>
      </c>
      <c r="G288" s="252" t="s">
        <v>1833</v>
      </c>
      <c r="H288" s="252" t="s">
        <v>1834</v>
      </c>
      <c r="I288" s="252">
        <v>3</v>
      </c>
      <c r="J288" s="255">
        <v>1</v>
      </c>
      <c r="K288" s="255">
        <v>1</v>
      </c>
      <c r="L288" s="255"/>
      <c r="M288" s="256">
        <v>4.4099999999999999E-4</v>
      </c>
      <c r="N288" s="249">
        <v>287</v>
      </c>
    </row>
    <row r="289" spans="1:14" x14ac:dyDescent="0.25">
      <c r="A289" s="252" t="s">
        <v>135</v>
      </c>
      <c r="B289" s="252" t="s">
        <v>1536</v>
      </c>
      <c r="C289" s="253">
        <v>0</v>
      </c>
      <c r="D289" s="252">
        <v>41018</v>
      </c>
      <c r="E289" s="252" t="s">
        <v>1764</v>
      </c>
      <c r="F289" s="254" t="s">
        <v>1544</v>
      </c>
      <c r="G289" s="252" t="s">
        <v>1835</v>
      </c>
      <c r="H289" s="252" t="s">
        <v>1836</v>
      </c>
      <c r="I289" s="252">
        <v>3</v>
      </c>
      <c r="J289" s="255">
        <v>1</v>
      </c>
      <c r="K289" s="255">
        <v>1</v>
      </c>
      <c r="L289" s="255"/>
      <c r="M289" s="256">
        <v>2.1329999999999999E-3</v>
      </c>
      <c r="N289" s="249">
        <v>288</v>
      </c>
    </row>
    <row r="290" spans="1:14" x14ac:dyDescent="0.25">
      <c r="A290" s="252" t="s">
        <v>135</v>
      </c>
      <c r="B290" s="252" t="s">
        <v>1536</v>
      </c>
      <c r="C290" s="253">
        <v>0</v>
      </c>
      <c r="D290" s="252">
        <v>41018</v>
      </c>
      <c r="E290" s="252" t="s">
        <v>1764</v>
      </c>
      <c r="F290" s="254" t="s">
        <v>1544</v>
      </c>
      <c r="G290" s="252" t="s">
        <v>1837</v>
      </c>
      <c r="H290" s="252" t="s">
        <v>1838</v>
      </c>
      <c r="I290" s="252">
        <v>3</v>
      </c>
      <c r="J290" s="255">
        <v>1</v>
      </c>
      <c r="K290" s="255">
        <v>1</v>
      </c>
      <c r="L290" s="255"/>
      <c r="M290" s="256">
        <v>1.1639999999999999E-3</v>
      </c>
      <c r="N290" s="249">
        <v>289</v>
      </c>
    </row>
    <row r="291" spans="1:14" x14ac:dyDescent="0.25">
      <c r="A291" s="252" t="s">
        <v>135</v>
      </c>
      <c r="B291" s="252" t="s">
        <v>1536</v>
      </c>
      <c r="C291" s="253">
        <v>0</v>
      </c>
      <c r="D291" s="252">
        <v>41018</v>
      </c>
      <c r="E291" s="252" t="s">
        <v>1764</v>
      </c>
      <c r="F291" s="254" t="s">
        <v>1544</v>
      </c>
      <c r="G291" s="252" t="s">
        <v>1839</v>
      </c>
      <c r="H291" s="252" t="s">
        <v>1840</v>
      </c>
      <c r="I291" s="252">
        <v>3</v>
      </c>
      <c r="J291" s="255">
        <v>1</v>
      </c>
      <c r="K291" s="255">
        <v>1</v>
      </c>
      <c r="L291" s="255"/>
      <c r="M291" s="256">
        <v>1.8059999999999997E-3</v>
      </c>
      <c r="N291" s="249">
        <v>290</v>
      </c>
    </row>
    <row r="292" spans="1:14" x14ac:dyDescent="0.25">
      <c r="A292" s="252" t="s">
        <v>135</v>
      </c>
      <c r="B292" s="252" t="s">
        <v>1536</v>
      </c>
      <c r="C292" s="253">
        <v>0</v>
      </c>
      <c r="D292" s="252">
        <v>41018</v>
      </c>
      <c r="E292" s="252" t="s">
        <v>1764</v>
      </c>
      <c r="F292" s="254" t="s">
        <v>1544</v>
      </c>
      <c r="G292" s="252" t="s">
        <v>1841</v>
      </c>
      <c r="H292" s="252" t="s">
        <v>1842</v>
      </c>
      <c r="I292" s="252">
        <v>3</v>
      </c>
      <c r="J292" s="255">
        <v>1</v>
      </c>
      <c r="K292" s="255">
        <v>1</v>
      </c>
      <c r="L292" s="255"/>
      <c r="M292" s="256">
        <v>1.8059999999999997E-3</v>
      </c>
      <c r="N292" s="249">
        <v>291</v>
      </c>
    </row>
    <row r="293" spans="1:14" x14ac:dyDescent="0.25">
      <c r="A293" s="252" t="s">
        <v>135</v>
      </c>
      <c r="B293" s="252" t="s">
        <v>1536</v>
      </c>
      <c r="C293" s="253">
        <v>0</v>
      </c>
      <c r="D293" s="252">
        <v>41018</v>
      </c>
      <c r="E293" s="252" t="s">
        <v>1764</v>
      </c>
      <c r="F293" s="254" t="s">
        <v>1544</v>
      </c>
      <c r="G293" s="252" t="s">
        <v>1843</v>
      </c>
      <c r="H293" s="252" t="s">
        <v>1844</v>
      </c>
      <c r="I293" s="252">
        <v>3</v>
      </c>
      <c r="J293" s="255">
        <v>1</v>
      </c>
      <c r="K293" s="255">
        <v>1</v>
      </c>
      <c r="L293" s="255"/>
      <c r="M293" s="256">
        <v>6.6300000000000007E-4</v>
      </c>
      <c r="N293" s="249">
        <v>292</v>
      </c>
    </row>
    <row r="294" spans="1:14" x14ac:dyDescent="0.25">
      <c r="A294" s="252" t="s">
        <v>135</v>
      </c>
      <c r="B294" s="252" t="s">
        <v>1536</v>
      </c>
      <c r="C294" s="253">
        <v>0</v>
      </c>
      <c r="D294" s="252">
        <v>41018</v>
      </c>
      <c r="E294" s="252" t="s">
        <v>1764</v>
      </c>
      <c r="F294" s="254" t="s">
        <v>1544</v>
      </c>
      <c r="G294" s="252" t="s">
        <v>1845</v>
      </c>
      <c r="H294" s="252" t="s">
        <v>1846</v>
      </c>
      <c r="I294" s="252">
        <v>3</v>
      </c>
      <c r="J294" s="255">
        <v>1</v>
      </c>
      <c r="K294" s="255">
        <v>1</v>
      </c>
      <c r="L294" s="255"/>
      <c r="M294" s="256">
        <v>6.6300000000000007E-4</v>
      </c>
      <c r="N294" s="249">
        <v>293</v>
      </c>
    </row>
    <row r="295" spans="1:14" x14ac:dyDescent="0.25">
      <c r="A295" s="252" t="s">
        <v>135</v>
      </c>
      <c r="B295" s="252" t="s">
        <v>1536</v>
      </c>
      <c r="C295" s="253">
        <v>0</v>
      </c>
      <c r="D295" s="252">
        <v>41018</v>
      </c>
      <c r="E295" s="252" t="s">
        <v>1764</v>
      </c>
      <c r="F295" s="254" t="s">
        <v>1544</v>
      </c>
      <c r="G295" s="252" t="s">
        <v>1847</v>
      </c>
      <c r="H295" s="252" t="s">
        <v>1848</v>
      </c>
      <c r="I295" s="252">
        <v>3</v>
      </c>
      <c r="J295" s="255">
        <v>1</v>
      </c>
      <c r="K295" s="255">
        <v>1</v>
      </c>
      <c r="L295" s="255"/>
      <c r="M295" s="256">
        <v>3.2160000000000001E-3</v>
      </c>
      <c r="N295" s="249">
        <v>294</v>
      </c>
    </row>
    <row r="296" spans="1:14" x14ac:dyDescent="0.25">
      <c r="A296" s="252" t="s">
        <v>135</v>
      </c>
      <c r="B296" s="252" t="s">
        <v>1536</v>
      </c>
      <c r="C296" s="253">
        <v>0</v>
      </c>
      <c r="D296" s="252">
        <v>41018</v>
      </c>
      <c r="E296" s="252" t="s">
        <v>97</v>
      </c>
      <c r="F296" s="254" t="s">
        <v>1631</v>
      </c>
      <c r="G296" s="252" t="s">
        <v>1849</v>
      </c>
      <c r="H296" s="252" t="s">
        <v>1850</v>
      </c>
      <c r="I296" s="252">
        <v>9</v>
      </c>
      <c r="J296" s="255">
        <v>1</v>
      </c>
      <c r="K296" s="255">
        <v>1</v>
      </c>
      <c r="L296" s="255"/>
      <c r="M296" s="256">
        <v>1.9979999999999998E-3</v>
      </c>
      <c r="N296" s="249">
        <v>295</v>
      </c>
    </row>
    <row r="297" spans="1:14" x14ac:dyDescent="0.25">
      <c r="A297" s="252" t="s">
        <v>135</v>
      </c>
      <c r="B297" s="252" t="s">
        <v>1536</v>
      </c>
      <c r="C297" s="253">
        <v>0</v>
      </c>
      <c r="D297" s="252">
        <v>41018</v>
      </c>
      <c r="E297" s="252" t="s">
        <v>1764</v>
      </c>
      <c r="F297" s="254" t="s">
        <v>1631</v>
      </c>
      <c r="G297" s="252" t="s">
        <v>1851</v>
      </c>
      <c r="H297" s="252" t="s">
        <v>1852</v>
      </c>
      <c r="I297" s="252">
        <v>3</v>
      </c>
      <c r="J297" s="255">
        <v>1</v>
      </c>
      <c r="K297" s="255">
        <v>1</v>
      </c>
      <c r="L297" s="255"/>
      <c r="M297" s="256">
        <v>3.8099999999999999E-4</v>
      </c>
      <c r="N297" s="249">
        <v>296</v>
      </c>
    </row>
    <row r="298" spans="1:14" x14ac:dyDescent="0.25">
      <c r="A298" s="252" t="s">
        <v>135</v>
      </c>
      <c r="B298" s="252" t="s">
        <v>1536</v>
      </c>
      <c r="C298" s="253">
        <v>0</v>
      </c>
      <c r="D298" s="252">
        <v>41018</v>
      </c>
      <c r="E298" s="252" t="s">
        <v>1764</v>
      </c>
      <c r="F298" s="254" t="s">
        <v>1631</v>
      </c>
      <c r="G298" s="252" t="s">
        <v>1853</v>
      </c>
      <c r="H298" s="252" t="s">
        <v>1854</v>
      </c>
      <c r="I298" s="252">
        <v>3</v>
      </c>
      <c r="J298" s="255">
        <v>1</v>
      </c>
      <c r="K298" s="255">
        <v>1</v>
      </c>
      <c r="L298" s="255"/>
      <c r="M298" s="256">
        <v>1.8059999999999997E-3</v>
      </c>
      <c r="N298" s="249">
        <v>297</v>
      </c>
    </row>
    <row r="299" spans="1:14" x14ac:dyDescent="0.25">
      <c r="A299" s="252" t="s">
        <v>135</v>
      </c>
      <c r="B299" s="252" t="s">
        <v>1536</v>
      </c>
      <c r="C299" s="253">
        <v>0</v>
      </c>
      <c r="D299" s="252">
        <v>41018</v>
      </c>
      <c r="E299" s="252" t="s">
        <v>1764</v>
      </c>
      <c r="F299" s="254" t="s">
        <v>1631</v>
      </c>
      <c r="G299" s="252" t="s">
        <v>1855</v>
      </c>
      <c r="H299" s="252" t="s">
        <v>1856</v>
      </c>
      <c r="I299" s="252">
        <v>3</v>
      </c>
      <c r="J299" s="255">
        <v>1</v>
      </c>
      <c r="K299" s="255">
        <v>1</v>
      </c>
      <c r="L299" s="255"/>
      <c r="M299" s="256">
        <v>1.8059999999999997E-3</v>
      </c>
      <c r="N299" s="249">
        <v>298</v>
      </c>
    </row>
    <row r="300" spans="1:14" x14ac:dyDescent="0.25">
      <c r="A300" s="252" t="s">
        <v>135</v>
      </c>
      <c r="B300" s="252" t="s">
        <v>1536</v>
      </c>
      <c r="C300" s="253">
        <v>0</v>
      </c>
      <c r="D300" s="252">
        <v>41018</v>
      </c>
      <c r="E300" s="252" t="s">
        <v>1764</v>
      </c>
      <c r="F300" s="254" t="s">
        <v>1631</v>
      </c>
      <c r="G300" s="252" t="s">
        <v>1857</v>
      </c>
      <c r="H300" s="252" t="s">
        <v>1858</v>
      </c>
      <c r="I300" s="252">
        <v>3</v>
      </c>
      <c r="J300" s="255">
        <v>1</v>
      </c>
      <c r="K300" s="255">
        <v>1</v>
      </c>
      <c r="L300" s="255"/>
      <c r="M300" s="256">
        <v>1.8900000000000001E-4</v>
      </c>
      <c r="N300" s="249">
        <v>299</v>
      </c>
    </row>
    <row r="301" spans="1:14" x14ac:dyDescent="0.25">
      <c r="A301" s="252" t="s">
        <v>135</v>
      </c>
      <c r="B301" s="252" t="s">
        <v>1536</v>
      </c>
      <c r="C301" s="253">
        <v>0</v>
      </c>
      <c r="D301" s="252">
        <v>41018</v>
      </c>
      <c r="E301" s="252" t="s">
        <v>1764</v>
      </c>
      <c r="F301" s="254" t="s">
        <v>1631</v>
      </c>
      <c r="G301" s="252" t="s">
        <v>1859</v>
      </c>
      <c r="H301" s="252" t="s">
        <v>1860</v>
      </c>
      <c r="I301" s="252">
        <v>3</v>
      </c>
      <c r="J301" s="255">
        <v>1</v>
      </c>
      <c r="K301" s="255">
        <v>1</v>
      </c>
      <c r="L301" s="255"/>
      <c r="M301" s="256">
        <v>1.8900000000000001E-4</v>
      </c>
      <c r="N301" s="249">
        <v>300</v>
      </c>
    </row>
    <row r="302" spans="1:14" x14ac:dyDescent="0.25">
      <c r="A302" s="252" t="s">
        <v>135</v>
      </c>
      <c r="B302" s="252" t="s">
        <v>1536</v>
      </c>
      <c r="C302" s="253">
        <v>0</v>
      </c>
      <c r="D302" s="252">
        <v>41018</v>
      </c>
      <c r="E302" s="252" t="s">
        <v>1764</v>
      </c>
      <c r="F302" s="254" t="s">
        <v>1631</v>
      </c>
      <c r="G302" s="252" t="s">
        <v>1861</v>
      </c>
      <c r="H302" s="252" t="s">
        <v>1862</v>
      </c>
      <c r="I302" s="252">
        <v>3</v>
      </c>
      <c r="J302" s="255">
        <v>1</v>
      </c>
      <c r="K302" s="255">
        <v>1</v>
      </c>
      <c r="L302" s="255"/>
      <c r="M302" s="256">
        <v>1.155E-3</v>
      </c>
      <c r="N302" s="249">
        <v>301</v>
      </c>
    </row>
    <row r="303" spans="1:14" x14ac:dyDescent="0.25">
      <c r="A303" s="252" t="s">
        <v>135</v>
      </c>
      <c r="B303" s="252" t="s">
        <v>1536</v>
      </c>
      <c r="C303" s="253">
        <v>0</v>
      </c>
      <c r="D303" s="252">
        <v>41018</v>
      </c>
      <c r="E303" s="252" t="s">
        <v>1764</v>
      </c>
      <c r="F303" s="254" t="s">
        <v>1631</v>
      </c>
      <c r="G303" s="252" t="s">
        <v>1863</v>
      </c>
      <c r="H303" s="252" t="s">
        <v>1864</v>
      </c>
      <c r="I303" s="252">
        <v>3</v>
      </c>
      <c r="J303" s="255">
        <v>1</v>
      </c>
      <c r="K303" s="255">
        <v>1</v>
      </c>
      <c r="L303" s="255"/>
      <c r="M303" s="256">
        <v>1.2989999999999998E-3</v>
      </c>
      <c r="N303" s="249">
        <v>302</v>
      </c>
    </row>
    <row r="304" spans="1:14" x14ac:dyDescent="0.25">
      <c r="A304" s="252" t="s">
        <v>135</v>
      </c>
      <c r="B304" s="252" t="s">
        <v>1536</v>
      </c>
      <c r="C304" s="253">
        <v>0</v>
      </c>
      <c r="D304" s="252">
        <v>41018</v>
      </c>
      <c r="E304" s="252" t="s">
        <v>1764</v>
      </c>
      <c r="F304" s="254" t="s">
        <v>1631</v>
      </c>
      <c r="G304" s="252" t="s">
        <v>1865</v>
      </c>
      <c r="H304" s="252" t="s">
        <v>1866</v>
      </c>
      <c r="I304" s="252">
        <v>3</v>
      </c>
      <c r="J304" s="255">
        <v>1</v>
      </c>
      <c r="K304" s="255">
        <v>1</v>
      </c>
      <c r="L304" s="255"/>
      <c r="M304" s="256">
        <v>1.8059999999999997E-3</v>
      </c>
      <c r="N304" s="249">
        <v>303</v>
      </c>
    </row>
    <row r="305" spans="1:14" x14ac:dyDescent="0.25">
      <c r="A305" s="252" t="s">
        <v>135</v>
      </c>
      <c r="B305" s="252" t="s">
        <v>1536</v>
      </c>
      <c r="C305" s="253">
        <v>0</v>
      </c>
      <c r="D305" s="252">
        <v>41018</v>
      </c>
      <c r="E305" s="252" t="s">
        <v>1764</v>
      </c>
      <c r="F305" s="254" t="s">
        <v>1631</v>
      </c>
      <c r="G305" s="252" t="s">
        <v>1867</v>
      </c>
      <c r="H305" s="252" t="s">
        <v>1868</v>
      </c>
      <c r="I305" s="252">
        <v>3</v>
      </c>
      <c r="J305" s="255">
        <v>1</v>
      </c>
      <c r="K305" s="255">
        <v>1</v>
      </c>
      <c r="L305" s="255"/>
      <c r="M305" s="256">
        <v>1.8059999999999997E-3</v>
      </c>
      <c r="N305" s="249">
        <v>304</v>
      </c>
    </row>
    <row r="306" spans="1:14" x14ac:dyDescent="0.25">
      <c r="A306" s="252" t="s">
        <v>135</v>
      </c>
      <c r="B306" s="252" t="s">
        <v>1536</v>
      </c>
      <c r="C306" s="253">
        <v>0</v>
      </c>
      <c r="D306" s="252">
        <v>41018</v>
      </c>
      <c r="E306" s="252" t="s">
        <v>1764</v>
      </c>
      <c r="F306" s="254" t="s">
        <v>1631</v>
      </c>
      <c r="G306" s="252" t="s">
        <v>1869</v>
      </c>
      <c r="H306" s="252" t="s">
        <v>1870</v>
      </c>
      <c r="I306" s="252">
        <v>3</v>
      </c>
      <c r="J306" s="255">
        <v>1</v>
      </c>
      <c r="K306" s="255">
        <v>1</v>
      </c>
      <c r="L306" s="255"/>
      <c r="M306" s="256">
        <v>7.4399999999999998E-4</v>
      </c>
      <c r="N306" s="249">
        <v>305</v>
      </c>
    </row>
    <row r="307" spans="1:14" x14ac:dyDescent="0.25">
      <c r="A307" s="252" t="s">
        <v>135</v>
      </c>
      <c r="B307" s="252" t="s">
        <v>1536</v>
      </c>
      <c r="C307" s="253">
        <v>0</v>
      </c>
      <c r="D307" s="252">
        <v>41018</v>
      </c>
      <c r="E307" s="252" t="s">
        <v>1764</v>
      </c>
      <c r="F307" s="254" t="s">
        <v>1631</v>
      </c>
      <c r="G307" s="252" t="s">
        <v>1871</v>
      </c>
      <c r="H307" s="252" t="s">
        <v>1872</v>
      </c>
      <c r="I307" s="252">
        <v>3</v>
      </c>
      <c r="J307" s="255">
        <v>1</v>
      </c>
      <c r="K307" s="255">
        <v>1</v>
      </c>
      <c r="L307" s="255"/>
      <c r="M307" s="256">
        <v>7.4399999999999998E-4</v>
      </c>
      <c r="N307" s="249">
        <v>306</v>
      </c>
    </row>
    <row r="308" spans="1:14" x14ac:dyDescent="0.25">
      <c r="A308" s="252" t="s">
        <v>135</v>
      </c>
      <c r="B308" s="252" t="s">
        <v>1536</v>
      </c>
      <c r="C308" s="253">
        <v>0</v>
      </c>
      <c r="D308" s="252">
        <v>41018</v>
      </c>
      <c r="E308" s="252" t="s">
        <v>1764</v>
      </c>
      <c r="F308" s="254" t="s">
        <v>1631</v>
      </c>
      <c r="G308" s="252" t="s">
        <v>1873</v>
      </c>
      <c r="H308" s="252" t="s">
        <v>1874</v>
      </c>
      <c r="I308" s="252">
        <v>3</v>
      </c>
      <c r="J308" s="255">
        <v>1</v>
      </c>
      <c r="K308" s="255">
        <v>1</v>
      </c>
      <c r="L308" s="255"/>
      <c r="M308" s="256">
        <v>3.3180000000000002E-3</v>
      </c>
      <c r="N308" s="249">
        <v>307</v>
      </c>
    </row>
    <row r="309" spans="1:14" x14ac:dyDescent="0.25">
      <c r="A309" s="252" t="s">
        <v>135</v>
      </c>
      <c r="B309" s="252" t="s">
        <v>1536</v>
      </c>
      <c r="C309" s="253">
        <v>0</v>
      </c>
      <c r="D309" s="252">
        <v>41018</v>
      </c>
      <c r="E309" s="252" t="s">
        <v>1764</v>
      </c>
      <c r="F309" s="254" t="s">
        <v>1631</v>
      </c>
      <c r="G309" s="252" t="s">
        <v>1875</v>
      </c>
      <c r="H309" s="252" t="s">
        <v>1876</v>
      </c>
      <c r="I309" s="252">
        <v>3</v>
      </c>
      <c r="J309" s="255">
        <v>1</v>
      </c>
      <c r="K309" s="255">
        <v>1</v>
      </c>
      <c r="L309" s="255"/>
      <c r="M309" s="256">
        <v>2.97E-3</v>
      </c>
      <c r="N309" s="249">
        <v>308</v>
      </c>
    </row>
    <row r="310" spans="1:14" x14ac:dyDescent="0.25">
      <c r="A310" s="252" t="s">
        <v>135</v>
      </c>
      <c r="B310" s="252" t="s">
        <v>1536</v>
      </c>
      <c r="C310" s="253">
        <v>0</v>
      </c>
      <c r="D310" s="252">
        <v>41018</v>
      </c>
      <c r="E310" s="252" t="s">
        <v>1764</v>
      </c>
      <c r="F310" s="254" t="s">
        <v>1631</v>
      </c>
      <c r="G310" s="252" t="s">
        <v>1877</v>
      </c>
      <c r="H310" s="252" t="s">
        <v>1878</v>
      </c>
      <c r="I310" s="252">
        <v>3</v>
      </c>
      <c r="J310" s="255">
        <v>1</v>
      </c>
      <c r="K310" s="255">
        <v>1</v>
      </c>
      <c r="L310" s="255"/>
      <c r="M310" s="256">
        <v>1.7759999999999998E-3</v>
      </c>
      <c r="N310" s="249">
        <v>309</v>
      </c>
    </row>
    <row r="311" spans="1:14" x14ac:dyDescent="0.25">
      <c r="A311" s="252" t="s">
        <v>135</v>
      </c>
      <c r="B311" s="252" t="s">
        <v>1536</v>
      </c>
      <c r="C311" s="253">
        <v>0</v>
      </c>
      <c r="D311" s="252">
        <v>41018</v>
      </c>
      <c r="E311" s="252" t="s">
        <v>1764</v>
      </c>
      <c r="F311" s="254" t="s">
        <v>1631</v>
      </c>
      <c r="G311" s="252" t="s">
        <v>1879</v>
      </c>
      <c r="H311" s="252" t="s">
        <v>1880</v>
      </c>
      <c r="I311" s="252">
        <v>3</v>
      </c>
      <c r="J311" s="255">
        <v>1</v>
      </c>
      <c r="K311" s="255">
        <v>1</v>
      </c>
      <c r="L311" s="255"/>
      <c r="M311" s="256">
        <v>1.7759999999999998E-3</v>
      </c>
      <c r="N311" s="249">
        <v>310</v>
      </c>
    </row>
    <row r="312" spans="1:14" x14ac:dyDescent="0.25">
      <c r="A312" s="252" t="s">
        <v>135</v>
      </c>
      <c r="B312" s="252" t="s">
        <v>1536</v>
      </c>
      <c r="C312" s="253">
        <v>0</v>
      </c>
      <c r="D312" s="252">
        <v>41018</v>
      </c>
      <c r="E312" s="252" t="s">
        <v>1764</v>
      </c>
      <c r="F312" s="254" t="s">
        <v>1631</v>
      </c>
      <c r="G312" s="252" t="s">
        <v>1881</v>
      </c>
      <c r="H312" s="252" t="s">
        <v>1882</v>
      </c>
      <c r="I312" s="252">
        <v>3</v>
      </c>
      <c r="J312" s="255">
        <v>1</v>
      </c>
      <c r="K312" s="255">
        <v>1</v>
      </c>
      <c r="L312" s="255"/>
      <c r="M312" s="256">
        <v>1.176E-3</v>
      </c>
      <c r="N312" s="249">
        <v>311</v>
      </c>
    </row>
    <row r="313" spans="1:14" x14ac:dyDescent="0.25">
      <c r="A313" s="252" t="s">
        <v>135</v>
      </c>
      <c r="B313" s="252" t="s">
        <v>1536</v>
      </c>
      <c r="C313" s="253">
        <v>0</v>
      </c>
      <c r="D313" s="252">
        <v>41018</v>
      </c>
      <c r="E313" s="252" t="s">
        <v>1764</v>
      </c>
      <c r="F313" s="254" t="s">
        <v>1631</v>
      </c>
      <c r="G313" s="252" t="s">
        <v>1883</v>
      </c>
      <c r="H313" s="252" t="s">
        <v>1884</v>
      </c>
      <c r="I313" s="252">
        <v>3</v>
      </c>
      <c r="J313" s="255">
        <v>1</v>
      </c>
      <c r="K313" s="255">
        <v>1</v>
      </c>
      <c r="L313" s="255"/>
      <c r="M313" s="256">
        <v>1.176E-3</v>
      </c>
      <c r="N313" s="249">
        <v>312</v>
      </c>
    </row>
    <row r="314" spans="1:14" x14ac:dyDescent="0.25">
      <c r="A314" s="252" t="s">
        <v>135</v>
      </c>
      <c r="B314" s="252" t="s">
        <v>1536</v>
      </c>
      <c r="C314" s="253">
        <v>0</v>
      </c>
      <c r="D314" s="252">
        <v>41018</v>
      </c>
      <c r="E314" s="252" t="s">
        <v>1764</v>
      </c>
      <c r="F314" s="254" t="s">
        <v>1631</v>
      </c>
      <c r="G314" s="252" t="s">
        <v>1885</v>
      </c>
      <c r="H314" s="252" t="s">
        <v>1886</v>
      </c>
      <c r="I314" s="252">
        <v>3</v>
      </c>
      <c r="J314" s="255">
        <v>1</v>
      </c>
      <c r="K314" s="255">
        <v>1</v>
      </c>
      <c r="L314" s="255"/>
      <c r="M314" s="256">
        <v>7.6349999999999994E-3</v>
      </c>
      <c r="N314" s="249">
        <v>313</v>
      </c>
    </row>
    <row r="315" spans="1:14" x14ac:dyDescent="0.25">
      <c r="A315" s="252" t="s">
        <v>135</v>
      </c>
      <c r="B315" s="252" t="s">
        <v>1536</v>
      </c>
      <c r="C315" s="253">
        <v>0</v>
      </c>
      <c r="D315" s="252">
        <v>41018</v>
      </c>
      <c r="E315" s="252" t="s">
        <v>1764</v>
      </c>
      <c r="F315" s="254" t="s">
        <v>1631</v>
      </c>
      <c r="G315" s="252" t="s">
        <v>1887</v>
      </c>
      <c r="H315" s="252" t="s">
        <v>1888</v>
      </c>
      <c r="I315" s="252">
        <v>3</v>
      </c>
      <c r="J315" s="255">
        <v>1</v>
      </c>
      <c r="K315" s="255">
        <v>1</v>
      </c>
      <c r="L315" s="255"/>
      <c r="M315" s="256">
        <v>1.2149999999999999E-3</v>
      </c>
      <c r="N315" s="249">
        <v>314</v>
      </c>
    </row>
    <row r="316" spans="1:14" x14ac:dyDescent="0.25">
      <c r="A316" s="252" t="s">
        <v>135</v>
      </c>
      <c r="B316" s="252" t="s">
        <v>1536</v>
      </c>
      <c r="C316" s="253">
        <v>0</v>
      </c>
      <c r="D316" s="252">
        <v>41018</v>
      </c>
      <c r="E316" s="252" t="s">
        <v>1764</v>
      </c>
      <c r="F316" s="254" t="s">
        <v>1631</v>
      </c>
      <c r="G316" s="252" t="s">
        <v>1889</v>
      </c>
      <c r="H316" s="252" t="s">
        <v>1890</v>
      </c>
      <c r="I316" s="252">
        <v>3</v>
      </c>
      <c r="J316" s="255">
        <v>1</v>
      </c>
      <c r="K316" s="255">
        <v>1</v>
      </c>
      <c r="L316" s="255"/>
      <c r="M316" s="256">
        <v>4.4999999999999999E-4</v>
      </c>
      <c r="N316" s="249">
        <v>315</v>
      </c>
    </row>
    <row r="317" spans="1:14" x14ac:dyDescent="0.25">
      <c r="A317" s="252" t="s">
        <v>135</v>
      </c>
      <c r="B317" s="252" t="s">
        <v>1536</v>
      </c>
      <c r="C317" s="253">
        <v>0</v>
      </c>
      <c r="D317" s="252">
        <v>41018</v>
      </c>
      <c r="E317" s="252" t="s">
        <v>1764</v>
      </c>
      <c r="F317" s="254" t="s">
        <v>1631</v>
      </c>
      <c r="G317" s="252" t="s">
        <v>1891</v>
      </c>
      <c r="H317" s="252" t="s">
        <v>1892</v>
      </c>
      <c r="I317" s="252">
        <v>3</v>
      </c>
      <c r="J317" s="255">
        <v>1</v>
      </c>
      <c r="K317" s="255">
        <v>1</v>
      </c>
      <c r="L317" s="255"/>
      <c r="M317" s="256">
        <v>1.2149999999999999E-3</v>
      </c>
      <c r="N317" s="249">
        <v>316</v>
      </c>
    </row>
    <row r="318" spans="1:14" x14ac:dyDescent="0.25">
      <c r="A318" s="252" t="s">
        <v>135</v>
      </c>
      <c r="B318" s="252" t="s">
        <v>1536</v>
      </c>
      <c r="C318" s="253">
        <v>0</v>
      </c>
      <c r="D318" s="252">
        <v>41018</v>
      </c>
      <c r="E318" s="252" t="s">
        <v>1764</v>
      </c>
      <c r="F318" s="254" t="s">
        <v>1631</v>
      </c>
      <c r="G318" s="252" t="s">
        <v>1893</v>
      </c>
      <c r="H318" s="252" t="s">
        <v>1894</v>
      </c>
      <c r="I318" s="252">
        <v>3</v>
      </c>
      <c r="J318" s="255">
        <v>1</v>
      </c>
      <c r="K318" s="255">
        <v>1</v>
      </c>
      <c r="L318" s="255"/>
      <c r="M318" s="256">
        <v>4.4999999999999999E-4</v>
      </c>
      <c r="N318" s="249">
        <v>317</v>
      </c>
    </row>
    <row r="319" spans="1:14" x14ac:dyDescent="0.25">
      <c r="A319" s="252" t="s">
        <v>135</v>
      </c>
      <c r="B319" s="252" t="s">
        <v>1536</v>
      </c>
      <c r="C319" s="253">
        <v>0</v>
      </c>
      <c r="D319" s="252">
        <v>41018</v>
      </c>
      <c r="E319" s="252" t="s">
        <v>1764</v>
      </c>
      <c r="F319" s="254" t="s">
        <v>1631</v>
      </c>
      <c r="G319" s="252" t="s">
        <v>1895</v>
      </c>
      <c r="H319" s="252" t="s">
        <v>1896</v>
      </c>
      <c r="I319" s="252">
        <v>3</v>
      </c>
      <c r="J319" s="255">
        <v>1</v>
      </c>
      <c r="K319" s="255">
        <v>1</v>
      </c>
      <c r="L319" s="255"/>
      <c r="M319" s="256">
        <v>2.4899999999999998E-4</v>
      </c>
      <c r="N319" s="249">
        <v>318</v>
      </c>
    </row>
    <row r="320" spans="1:14" x14ac:dyDescent="0.25">
      <c r="A320" s="252" t="s">
        <v>135</v>
      </c>
      <c r="B320" s="252" t="s">
        <v>1536</v>
      </c>
      <c r="C320" s="253">
        <v>0</v>
      </c>
      <c r="D320" s="252">
        <v>41018</v>
      </c>
      <c r="E320" s="252" t="s">
        <v>1764</v>
      </c>
      <c r="F320" s="254" t="s">
        <v>1631</v>
      </c>
      <c r="G320" s="252" t="s">
        <v>1897</v>
      </c>
      <c r="H320" s="252" t="s">
        <v>1898</v>
      </c>
      <c r="I320" s="252">
        <v>3</v>
      </c>
      <c r="J320" s="255">
        <v>1</v>
      </c>
      <c r="K320" s="255">
        <v>1</v>
      </c>
      <c r="L320" s="255"/>
      <c r="M320" s="256">
        <v>2.4899999999999998E-4</v>
      </c>
      <c r="N320" s="249">
        <v>319</v>
      </c>
    </row>
    <row r="321" spans="1:14" x14ac:dyDescent="0.25">
      <c r="A321" s="252" t="s">
        <v>135</v>
      </c>
      <c r="B321" s="252" t="s">
        <v>1536</v>
      </c>
      <c r="C321" s="253">
        <v>0</v>
      </c>
      <c r="D321" s="252">
        <v>41018</v>
      </c>
      <c r="E321" s="252" t="s">
        <v>1764</v>
      </c>
      <c r="F321" s="254" t="s">
        <v>1631</v>
      </c>
      <c r="G321" s="252" t="s">
        <v>1899</v>
      </c>
      <c r="H321" s="252" t="s">
        <v>1900</v>
      </c>
      <c r="I321" s="252">
        <v>3</v>
      </c>
      <c r="J321" s="255">
        <v>1</v>
      </c>
      <c r="K321" s="255">
        <v>1</v>
      </c>
      <c r="L321" s="255"/>
      <c r="M321" s="256">
        <v>6.8999999999999997E-4</v>
      </c>
      <c r="N321" s="249">
        <v>320</v>
      </c>
    </row>
    <row r="322" spans="1:14" x14ac:dyDescent="0.25">
      <c r="A322" s="252" t="s">
        <v>135</v>
      </c>
      <c r="B322" s="252" t="s">
        <v>1536</v>
      </c>
      <c r="C322" s="253">
        <v>0</v>
      </c>
      <c r="D322" s="252">
        <v>41018</v>
      </c>
      <c r="E322" s="252" t="s">
        <v>1764</v>
      </c>
      <c r="F322" s="254" t="s">
        <v>1631</v>
      </c>
      <c r="G322" s="252" t="s">
        <v>1901</v>
      </c>
      <c r="H322" s="252" t="s">
        <v>1902</v>
      </c>
      <c r="I322" s="252">
        <v>3</v>
      </c>
      <c r="J322" s="255">
        <v>1</v>
      </c>
      <c r="K322" s="255">
        <v>1</v>
      </c>
      <c r="L322" s="255"/>
      <c r="M322" s="256">
        <v>1.8059999999999997E-3</v>
      </c>
      <c r="N322" s="249">
        <v>321</v>
      </c>
    </row>
    <row r="323" spans="1:14" x14ac:dyDescent="0.25">
      <c r="A323" s="252" t="s">
        <v>135</v>
      </c>
      <c r="B323" s="252" t="s">
        <v>1536</v>
      </c>
      <c r="C323" s="253">
        <v>0</v>
      </c>
      <c r="D323" s="252">
        <v>41018</v>
      </c>
      <c r="E323" s="252" t="s">
        <v>1764</v>
      </c>
      <c r="F323" s="254" t="s">
        <v>1631</v>
      </c>
      <c r="G323" s="252" t="s">
        <v>1903</v>
      </c>
      <c r="H323" s="252" t="s">
        <v>1904</v>
      </c>
      <c r="I323" s="252">
        <v>3</v>
      </c>
      <c r="J323" s="255">
        <v>1</v>
      </c>
      <c r="K323" s="255">
        <v>1</v>
      </c>
      <c r="L323" s="255"/>
      <c r="M323" s="256">
        <v>1.8059999999999997E-3</v>
      </c>
      <c r="N323" s="249">
        <v>322</v>
      </c>
    </row>
    <row r="324" spans="1:14" x14ac:dyDescent="0.25">
      <c r="A324" s="252" t="s">
        <v>135</v>
      </c>
      <c r="B324" s="252" t="s">
        <v>1536</v>
      </c>
      <c r="C324" s="253">
        <v>0</v>
      </c>
      <c r="D324" s="252">
        <v>41018</v>
      </c>
      <c r="E324" s="252" t="s">
        <v>1764</v>
      </c>
      <c r="F324" s="254" t="s">
        <v>1631</v>
      </c>
      <c r="G324" s="252" t="s">
        <v>1905</v>
      </c>
      <c r="H324" s="252" t="s">
        <v>1906</v>
      </c>
      <c r="I324" s="252">
        <v>3</v>
      </c>
      <c r="J324" s="255">
        <v>1</v>
      </c>
      <c r="K324" s="255">
        <v>1</v>
      </c>
      <c r="L324" s="255"/>
      <c r="M324" s="256">
        <v>3.7500000000000001E-4</v>
      </c>
      <c r="N324" s="249">
        <v>323</v>
      </c>
    </row>
    <row r="325" spans="1:14" x14ac:dyDescent="0.25">
      <c r="A325" s="252" t="s">
        <v>135</v>
      </c>
      <c r="B325" s="252" t="s">
        <v>1536</v>
      </c>
      <c r="C325" s="253">
        <v>0</v>
      </c>
      <c r="D325" s="252">
        <v>41018</v>
      </c>
      <c r="E325" s="252" t="s">
        <v>1764</v>
      </c>
      <c r="F325" s="254" t="s">
        <v>1631</v>
      </c>
      <c r="G325" s="252" t="s">
        <v>1907</v>
      </c>
      <c r="H325" s="252" t="s">
        <v>1908</v>
      </c>
      <c r="I325" s="252">
        <v>3</v>
      </c>
      <c r="J325" s="255">
        <v>1</v>
      </c>
      <c r="K325" s="255">
        <v>1</v>
      </c>
      <c r="L325" s="255"/>
      <c r="M325" s="256">
        <v>3.7500000000000001E-4</v>
      </c>
      <c r="N325" s="249">
        <v>324</v>
      </c>
    </row>
    <row r="326" spans="1:14" x14ac:dyDescent="0.25">
      <c r="A326" s="252" t="s">
        <v>135</v>
      </c>
      <c r="B326" s="252" t="s">
        <v>1536</v>
      </c>
      <c r="C326" s="253">
        <v>0</v>
      </c>
      <c r="D326" s="252">
        <v>41018</v>
      </c>
      <c r="E326" s="252" t="s">
        <v>1764</v>
      </c>
      <c r="F326" s="254" t="s">
        <v>1631</v>
      </c>
      <c r="G326" s="252" t="s">
        <v>1909</v>
      </c>
      <c r="H326" s="252" t="s">
        <v>1910</v>
      </c>
      <c r="I326" s="252">
        <v>3</v>
      </c>
      <c r="J326" s="255">
        <v>1</v>
      </c>
      <c r="K326" s="255">
        <v>1</v>
      </c>
      <c r="L326" s="255"/>
      <c r="M326" s="256">
        <v>1.8839999999999998E-3</v>
      </c>
      <c r="N326" s="249">
        <v>325</v>
      </c>
    </row>
    <row r="327" spans="1:14" x14ac:dyDescent="0.25">
      <c r="A327" s="252" t="s">
        <v>135</v>
      </c>
      <c r="B327" s="252" t="s">
        <v>1536</v>
      </c>
      <c r="C327" s="253">
        <v>0</v>
      </c>
      <c r="D327" s="252">
        <v>41018</v>
      </c>
      <c r="E327" s="252" t="s">
        <v>1764</v>
      </c>
      <c r="F327" s="254" t="s">
        <v>1631</v>
      </c>
      <c r="G327" s="252" t="s">
        <v>1911</v>
      </c>
      <c r="H327" s="252" t="s">
        <v>1912</v>
      </c>
      <c r="I327" s="252">
        <v>3</v>
      </c>
      <c r="J327" s="255">
        <v>1</v>
      </c>
      <c r="K327" s="255">
        <v>1</v>
      </c>
      <c r="L327" s="255"/>
      <c r="M327" s="256">
        <v>2.9220000000000001E-3</v>
      </c>
      <c r="N327" s="249">
        <v>326</v>
      </c>
    </row>
    <row r="328" spans="1:14" x14ac:dyDescent="0.25">
      <c r="A328" s="252" t="s">
        <v>135</v>
      </c>
      <c r="B328" s="252" t="s">
        <v>1536</v>
      </c>
      <c r="C328" s="253">
        <v>0</v>
      </c>
      <c r="D328" s="252">
        <v>41018</v>
      </c>
      <c r="E328" s="252" t="s">
        <v>1764</v>
      </c>
      <c r="F328" s="254" t="s">
        <v>1631</v>
      </c>
      <c r="G328" s="252" t="s">
        <v>1913</v>
      </c>
      <c r="H328" s="252" t="s">
        <v>1914</v>
      </c>
      <c r="I328" s="252">
        <v>3</v>
      </c>
      <c r="J328" s="255">
        <v>1</v>
      </c>
      <c r="K328" s="255">
        <v>1</v>
      </c>
      <c r="L328" s="255"/>
      <c r="M328" s="256">
        <v>1.7759999999999998E-3</v>
      </c>
      <c r="N328" s="249">
        <v>327</v>
      </c>
    </row>
    <row r="329" spans="1:14" x14ac:dyDescent="0.25">
      <c r="A329" s="252" t="s">
        <v>135</v>
      </c>
      <c r="B329" s="252" t="s">
        <v>1536</v>
      </c>
      <c r="C329" s="253">
        <v>0</v>
      </c>
      <c r="D329" s="252">
        <v>41018</v>
      </c>
      <c r="E329" s="252" t="s">
        <v>1764</v>
      </c>
      <c r="F329" s="254" t="s">
        <v>1631</v>
      </c>
      <c r="G329" s="252" t="s">
        <v>1915</v>
      </c>
      <c r="H329" s="252" t="s">
        <v>1916</v>
      </c>
      <c r="I329" s="252">
        <v>3</v>
      </c>
      <c r="J329" s="255">
        <v>1</v>
      </c>
      <c r="K329" s="255">
        <v>1</v>
      </c>
      <c r="L329" s="255"/>
      <c r="M329" s="256">
        <v>1.7759999999999998E-3</v>
      </c>
      <c r="N329" s="249">
        <v>328</v>
      </c>
    </row>
    <row r="330" spans="1:14" x14ac:dyDescent="0.25">
      <c r="A330" s="252" t="s">
        <v>135</v>
      </c>
      <c r="B330" s="252" t="s">
        <v>1536</v>
      </c>
      <c r="C330" s="253">
        <v>0</v>
      </c>
      <c r="D330" s="252">
        <v>41018</v>
      </c>
      <c r="E330" s="252" t="s">
        <v>1764</v>
      </c>
      <c r="F330" s="254" t="s">
        <v>1631</v>
      </c>
      <c r="G330" s="252" t="s">
        <v>1917</v>
      </c>
      <c r="H330" s="252" t="s">
        <v>1918</v>
      </c>
      <c r="I330" s="252">
        <v>3</v>
      </c>
      <c r="J330" s="255">
        <v>1</v>
      </c>
      <c r="K330" s="255">
        <v>1</v>
      </c>
      <c r="L330" s="255"/>
      <c r="M330" s="256">
        <v>1.1459999999999999E-3</v>
      </c>
      <c r="N330" s="249">
        <v>329</v>
      </c>
    </row>
    <row r="331" spans="1:14" x14ac:dyDescent="0.25">
      <c r="A331" s="252" t="s">
        <v>135</v>
      </c>
      <c r="B331" s="252" t="s">
        <v>1536</v>
      </c>
      <c r="C331" s="253">
        <v>0</v>
      </c>
      <c r="D331" s="252">
        <v>41018</v>
      </c>
      <c r="E331" s="252" t="s">
        <v>1764</v>
      </c>
      <c r="F331" s="254" t="s">
        <v>1631</v>
      </c>
      <c r="G331" s="252" t="s">
        <v>1919</v>
      </c>
      <c r="H331" s="252" t="s">
        <v>1920</v>
      </c>
      <c r="I331" s="252">
        <v>3</v>
      </c>
      <c r="J331" s="255">
        <v>1</v>
      </c>
      <c r="K331" s="255">
        <v>1</v>
      </c>
      <c r="L331" s="255"/>
      <c r="M331" s="256">
        <v>1.1459999999999999E-3</v>
      </c>
      <c r="N331" s="249">
        <v>330</v>
      </c>
    </row>
    <row r="332" spans="1:14" x14ac:dyDescent="0.25">
      <c r="A332" s="252" t="s">
        <v>135</v>
      </c>
      <c r="B332" s="252" t="s">
        <v>1536</v>
      </c>
      <c r="C332" s="253">
        <v>0</v>
      </c>
      <c r="D332" s="252">
        <v>41018</v>
      </c>
      <c r="E332" s="252" t="s">
        <v>1764</v>
      </c>
      <c r="F332" s="254" t="s">
        <v>1631</v>
      </c>
      <c r="G332" s="252" t="s">
        <v>1921</v>
      </c>
      <c r="H332" s="252" t="s">
        <v>1922</v>
      </c>
      <c r="I332" s="252">
        <v>3</v>
      </c>
      <c r="J332" s="255">
        <v>1</v>
      </c>
      <c r="K332" s="255">
        <v>1</v>
      </c>
      <c r="L332" s="255"/>
      <c r="M332" s="256">
        <v>7.5269999999999998E-3</v>
      </c>
      <c r="N332" s="249">
        <v>331</v>
      </c>
    </row>
    <row r="333" spans="1:14" x14ac:dyDescent="0.25">
      <c r="A333" s="252" t="s">
        <v>135</v>
      </c>
      <c r="B333" s="252" t="s">
        <v>1536</v>
      </c>
      <c r="C333" s="253">
        <v>0</v>
      </c>
      <c r="D333" s="252">
        <v>41018</v>
      </c>
      <c r="E333" s="252" t="s">
        <v>1764</v>
      </c>
      <c r="F333" s="254" t="s">
        <v>1631</v>
      </c>
      <c r="G333" s="252" t="s">
        <v>1923</v>
      </c>
      <c r="H333" s="252" t="s">
        <v>1924</v>
      </c>
      <c r="I333" s="252">
        <v>3</v>
      </c>
      <c r="J333" s="255">
        <v>1</v>
      </c>
      <c r="K333" s="255">
        <v>1</v>
      </c>
      <c r="L333" s="255"/>
      <c r="M333" s="256">
        <v>1.2149999999999999E-3</v>
      </c>
      <c r="N333" s="249">
        <v>332</v>
      </c>
    </row>
    <row r="334" spans="1:14" x14ac:dyDescent="0.25">
      <c r="A334" s="252" t="s">
        <v>135</v>
      </c>
      <c r="B334" s="252" t="s">
        <v>1536</v>
      </c>
      <c r="C334" s="253">
        <v>0</v>
      </c>
      <c r="D334" s="252">
        <v>41018</v>
      </c>
      <c r="E334" s="252" t="s">
        <v>1764</v>
      </c>
      <c r="F334" s="254" t="s">
        <v>1631</v>
      </c>
      <c r="G334" s="252" t="s">
        <v>1925</v>
      </c>
      <c r="H334" s="252" t="s">
        <v>1926</v>
      </c>
      <c r="I334" s="252">
        <v>3</v>
      </c>
      <c r="J334" s="255">
        <v>1</v>
      </c>
      <c r="K334" s="255">
        <v>1</v>
      </c>
      <c r="L334" s="255"/>
      <c r="M334" s="256">
        <v>4.4999999999999999E-4</v>
      </c>
      <c r="N334" s="249">
        <v>333</v>
      </c>
    </row>
    <row r="335" spans="1:14" x14ac:dyDescent="0.25">
      <c r="A335" s="252" t="s">
        <v>135</v>
      </c>
      <c r="B335" s="252" t="s">
        <v>1536</v>
      </c>
      <c r="C335" s="253">
        <v>0</v>
      </c>
      <c r="D335" s="252">
        <v>41018</v>
      </c>
      <c r="E335" s="252" t="s">
        <v>1764</v>
      </c>
      <c r="F335" s="254" t="s">
        <v>1631</v>
      </c>
      <c r="G335" s="252" t="s">
        <v>1927</v>
      </c>
      <c r="H335" s="252" t="s">
        <v>1928</v>
      </c>
      <c r="I335" s="252">
        <v>3</v>
      </c>
      <c r="J335" s="255">
        <v>1</v>
      </c>
      <c r="K335" s="255">
        <v>1</v>
      </c>
      <c r="L335" s="255"/>
      <c r="M335" s="256">
        <v>1.2149999999999999E-3</v>
      </c>
      <c r="N335" s="249">
        <v>334</v>
      </c>
    </row>
    <row r="336" spans="1:14" x14ac:dyDescent="0.25">
      <c r="A336" s="252" t="s">
        <v>135</v>
      </c>
      <c r="B336" s="252" t="s">
        <v>1536</v>
      </c>
      <c r="C336" s="253">
        <v>0</v>
      </c>
      <c r="D336" s="252">
        <v>41018</v>
      </c>
      <c r="E336" s="252" t="s">
        <v>1764</v>
      </c>
      <c r="F336" s="254" t="s">
        <v>1631</v>
      </c>
      <c r="G336" s="252" t="s">
        <v>1929</v>
      </c>
      <c r="H336" s="252" t="s">
        <v>1930</v>
      </c>
      <c r="I336" s="252">
        <v>3</v>
      </c>
      <c r="J336" s="255">
        <v>1</v>
      </c>
      <c r="K336" s="255">
        <v>1</v>
      </c>
      <c r="L336" s="255"/>
      <c r="M336" s="256">
        <v>4.4999999999999999E-4</v>
      </c>
      <c r="N336" s="249">
        <v>335</v>
      </c>
    </row>
    <row r="337" spans="1:14" x14ac:dyDescent="0.25">
      <c r="A337" s="252" t="s">
        <v>135</v>
      </c>
      <c r="B337" s="252" t="s">
        <v>1536</v>
      </c>
      <c r="C337" s="253">
        <v>0</v>
      </c>
      <c r="D337" s="252">
        <v>41018</v>
      </c>
      <c r="E337" s="252" t="s">
        <v>1764</v>
      </c>
      <c r="F337" s="254" t="s">
        <v>1631</v>
      </c>
      <c r="G337" s="252" t="s">
        <v>1931</v>
      </c>
      <c r="H337" s="252" t="s">
        <v>1932</v>
      </c>
      <c r="I337" s="252">
        <v>3</v>
      </c>
      <c r="J337" s="255">
        <v>1</v>
      </c>
      <c r="K337" s="255">
        <v>1</v>
      </c>
      <c r="L337" s="255"/>
      <c r="M337" s="256">
        <v>2.4899999999999998E-4</v>
      </c>
      <c r="N337" s="249">
        <v>336</v>
      </c>
    </row>
    <row r="338" spans="1:14" x14ac:dyDescent="0.25">
      <c r="A338" s="252" t="s">
        <v>135</v>
      </c>
      <c r="B338" s="252" t="s">
        <v>1536</v>
      </c>
      <c r="C338" s="253">
        <v>0</v>
      </c>
      <c r="D338" s="252">
        <v>41018</v>
      </c>
      <c r="E338" s="252" t="s">
        <v>1764</v>
      </c>
      <c r="F338" s="254" t="s">
        <v>1631</v>
      </c>
      <c r="G338" s="252" t="s">
        <v>1933</v>
      </c>
      <c r="H338" s="252" t="s">
        <v>1934</v>
      </c>
      <c r="I338" s="252">
        <v>3</v>
      </c>
      <c r="J338" s="255">
        <v>1</v>
      </c>
      <c r="K338" s="255">
        <v>1</v>
      </c>
      <c r="L338" s="255"/>
      <c r="M338" s="256">
        <v>2.4899999999999998E-4</v>
      </c>
      <c r="N338" s="249">
        <v>337</v>
      </c>
    </row>
    <row r="339" spans="1:14" x14ac:dyDescent="0.25">
      <c r="A339" s="252" t="s">
        <v>135</v>
      </c>
      <c r="B339" s="252" t="s">
        <v>1536</v>
      </c>
      <c r="C339" s="253">
        <v>0</v>
      </c>
      <c r="D339" s="252">
        <v>41018</v>
      </c>
      <c r="E339" s="252" t="s">
        <v>1764</v>
      </c>
      <c r="F339" s="254" t="s">
        <v>2619</v>
      </c>
      <c r="G339" s="252" t="s">
        <v>2897</v>
      </c>
      <c r="H339" s="252" t="s">
        <v>2898</v>
      </c>
      <c r="I339" s="252">
        <v>3</v>
      </c>
      <c r="J339" s="255">
        <v>1</v>
      </c>
      <c r="K339" s="255">
        <v>1</v>
      </c>
      <c r="L339" s="255"/>
      <c r="M339" s="256">
        <v>9.5699999999999995E-4</v>
      </c>
      <c r="N339" s="249">
        <v>338</v>
      </c>
    </row>
    <row r="340" spans="1:14" x14ac:dyDescent="0.25">
      <c r="A340" s="252" t="s">
        <v>135</v>
      </c>
      <c r="B340" s="252" t="s">
        <v>1536</v>
      </c>
      <c r="C340" s="253">
        <v>0</v>
      </c>
      <c r="D340" s="252">
        <v>41018</v>
      </c>
      <c r="E340" s="252" t="s">
        <v>1764</v>
      </c>
      <c r="F340" s="254" t="s">
        <v>2619</v>
      </c>
      <c r="G340" s="252" t="s">
        <v>2899</v>
      </c>
      <c r="H340" s="252" t="s">
        <v>2900</v>
      </c>
      <c r="I340" s="252">
        <v>3</v>
      </c>
      <c r="J340" s="255">
        <v>1</v>
      </c>
      <c r="K340" s="255">
        <v>1</v>
      </c>
      <c r="L340" s="255"/>
      <c r="M340" s="256">
        <v>1.8059999999999997E-3</v>
      </c>
      <c r="N340" s="249">
        <v>339</v>
      </c>
    </row>
    <row r="341" spans="1:14" x14ac:dyDescent="0.25">
      <c r="A341" s="252" t="s">
        <v>135</v>
      </c>
      <c r="B341" s="252" t="s">
        <v>1536</v>
      </c>
      <c r="C341" s="253">
        <v>0</v>
      </c>
      <c r="D341" s="252">
        <v>41018</v>
      </c>
      <c r="E341" s="252" t="s">
        <v>1764</v>
      </c>
      <c r="F341" s="254" t="s">
        <v>2619</v>
      </c>
      <c r="G341" s="252" t="s">
        <v>2901</v>
      </c>
      <c r="H341" s="252" t="s">
        <v>2902</v>
      </c>
      <c r="I341" s="252">
        <v>3</v>
      </c>
      <c r="J341" s="255">
        <v>1</v>
      </c>
      <c r="K341" s="255">
        <v>1</v>
      </c>
      <c r="L341" s="255"/>
      <c r="M341" s="256">
        <v>1.8059999999999997E-3</v>
      </c>
      <c r="N341" s="249">
        <v>340</v>
      </c>
    </row>
    <row r="342" spans="1:14" x14ac:dyDescent="0.25">
      <c r="A342" s="252" t="s">
        <v>135</v>
      </c>
      <c r="B342" s="252" t="s">
        <v>1536</v>
      </c>
      <c r="C342" s="253">
        <v>0</v>
      </c>
      <c r="D342" s="252">
        <v>41018</v>
      </c>
      <c r="E342" s="252" t="s">
        <v>1764</v>
      </c>
      <c r="F342" s="254" t="s">
        <v>2619</v>
      </c>
      <c r="G342" s="252" t="s">
        <v>2903</v>
      </c>
      <c r="H342" s="252" t="s">
        <v>2904</v>
      </c>
      <c r="I342" s="252">
        <v>3</v>
      </c>
      <c r="J342" s="255">
        <v>1</v>
      </c>
      <c r="K342" s="255">
        <v>1</v>
      </c>
      <c r="L342" s="255"/>
      <c r="M342" s="256">
        <v>5.3700000000000004E-4</v>
      </c>
      <c r="N342" s="249">
        <v>341</v>
      </c>
    </row>
    <row r="343" spans="1:14" x14ac:dyDescent="0.25">
      <c r="A343" s="252" t="s">
        <v>135</v>
      </c>
      <c r="B343" s="252" t="s">
        <v>1536</v>
      </c>
      <c r="C343" s="253">
        <v>0</v>
      </c>
      <c r="D343" s="252">
        <v>41018</v>
      </c>
      <c r="E343" s="252" t="s">
        <v>1764</v>
      </c>
      <c r="F343" s="254" t="s">
        <v>2619</v>
      </c>
      <c r="G343" s="252" t="s">
        <v>2905</v>
      </c>
      <c r="H343" s="252" t="s">
        <v>2906</v>
      </c>
      <c r="I343" s="252">
        <v>3</v>
      </c>
      <c r="J343" s="255">
        <v>1</v>
      </c>
      <c r="K343" s="255">
        <v>1</v>
      </c>
      <c r="L343" s="255"/>
      <c r="M343" s="256">
        <v>5.3700000000000004E-4</v>
      </c>
      <c r="N343" s="249">
        <v>342</v>
      </c>
    </row>
    <row r="344" spans="1:14" x14ac:dyDescent="0.25">
      <c r="A344" s="252" t="s">
        <v>135</v>
      </c>
      <c r="B344" s="252" t="s">
        <v>1536</v>
      </c>
      <c r="C344" s="253">
        <v>0</v>
      </c>
      <c r="D344" s="252">
        <v>41018</v>
      </c>
      <c r="E344" s="252" t="s">
        <v>1764</v>
      </c>
      <c r="F344" s="254" t="s">
        <v>2619</v>
      </c>
      <c r="G344" s="252" t="s">
        <v>2907</v>
      </c>
      <c r="H344" s="252" t="s">
        <v>2908</v>
      </c>
      <c r="I344" s="252">
        <v>3</v>
      </c>
      <c r="J344" s="255">
        <v>1</v>
      </c>
      <c r="K344" s="255">
        <v>1</v>
      </c>
      <c r="L344" s="255"/>
      <c r="M344" s="256">
        <v>2.7569999999999999E-3</v>
      </c>
      <c r="N344" s="249">
        <v>343</v>
      </c>
    </row>
    <row r="345" spans="1:14" x14ac:dyDescent="0.25">
      <c r="A345" s="252" t="s">
        <v>135</v>
      </c>
      <c r="B345" s="252" t="s">
        <v>1536</v>
      </c>
      <c r="C345" s="253">
        <v>0</v>
      </c>
      <c r="D345" s="252">
        <v>41018</v>
      </c>
      <c r="E345" s="252" t="s">
        <v>1764</v>
      </c>
      <c r="F345" s="254" t="s">
        <v>2619</v>
      </c>
      <c r="G345" s="252" t="s">
        <v>2909</v>
      </c>
      <c r="H345" s="252" t="s">
        <v>2910</v>
      </c>
      <c r="I345" s="252">
        <v>3</v>
      </c>
      <c r="J345" s="255">
        <v>1</v>
      </c>
      <c r="K345" s="255">
        <v>1</v>
      </c>
      <c r="L345" s="255"/>
      <c r="M345" s="256">
        <v>4.7339999999999995E-3</v>
      </c>
      <c r="N345" s="249">
        <v>344</v>
      </c>
    </row>
    <row r="346" spans="1:14" x14ac:dyDescent="0.25">
      <c r="A346" s="252" t="s">
        <v>135</v>
      </c>
      <c r="B346" s="252" t="s">
        <v>1536</v>
      </c>
      <c r="C346" s="253">
        <v>0</v>
      </c>
      <c r="D346" s="252">
        <v>41018</v>
      </c>
      <c r="E346" s="252" t="s">
        <v>1764</v>
      </c>
      <c r="F346" s="254" t="s">
        <v>2619</v>
      </c>
      <c r="G346" s="252" t="s">
        <v>2911</v>
      </c>
      <c r="H346" s="252" t="s">
        <v>2912</v>
      </c>
      <c r="I346" s="252">
        <v>3</v>
      </c>
      <c r="J346" s="255">
        <v>1</v>
      </c>
      <c r="K346" s="255">
        <v>1</v>
      </c>
      <c r="L346" s="255"/>
      <c r="M346" s="256">
        <v>1.7759999999999998E-3</v>
      </c>
      <c r="N346" s="249">
        <v>345</v>
      </c>
    </row>
    <row r="347" spans="1:14" x14ac:dyDescent="0.25">
      <c r="A347" s="252" t="s">
        <v>135</v>
      </c>
      <c r="B347" s="252" t="s">
        <v>1536</v>
      </c>
      <c r="C347" s="253">
        <v>0</v>
      </c>
      <c r="D347" s="252">
        <v>41018</v>
      </c>
      <c r="E347" s="252" t="s">
        <v>1764</v>
      </c>
      <c r="F347" s="254" t="s">
        <v>2619</v>
      </c>
      <c r="G347" s="252" t="s">
        <v>2913</v>
      </c>
      <c r="H347" s="252" t="s">
        <v>2914</v>
      </c>
      <c r="I347" s="252">
        <v>3</v>
      </c>
      <c r="J347" s="255">
        <v>1</v>
      </c>
      <c r="K347" s="255">
        <v>1</v>
      </c>
      <c r="L347" s="255"/>
      <c r="M347" s="256">
        <v>1.7759999999999998E-3</v>
      </c>
      <c r="N347" s="249">
        <v>346</v>
      </c>
    </row>
    <row r="348" spans="1:14" x14ac:dyDescent="0.25">
      <c r="A348" s="252" t="s">
        <v>135</v>
      </c>
      <c r="B348" s="252" t="s">
        <v>1536</v>
      </c>
      <c r="C348" s="253">
        <v>0</v>
      </c>
      <c r="D348" s="252">
        <v>41018</v>
      </c>
      <c r="E348" s="252" t="s">
        <v>1764</v>
      </c>
      <c r="F348" s="254" t="s">
        <v>2619</v>
      </c>
      <c r="G348" s="252" t="s">
        <v>2915</v>
      </c>
      <c r="H348" s="252" t="s">
        <v>2916</v>
      </c>
      <c r="I348" s="252">
        <v>3</v>
      </c>
      <c r="J348" s="255">
        <v>1</v>
      </c>
      <c r="K348" s="255">
        <v>1</v>
      </c>
      <c r="L348" s="255"/>
      <c r="M348" s="256">
        <v>1.7759999999999998E-3</v>
      </c>
      <c r="N348" s="249">
        <v>347</v>
      </c>
    </row>
    <row r="349" spans="1:14" x14ac:dyDescent="0.25">
      <c r="A349" s="252" t="s">
        <v>135</v>
      </c>
      <c r="B349" s="252" t="s">
        <v>1536</v>
      </c>
      <c r="C349" s="253">
        <v>0</v>
      </c>
      <c r="D349" s="252">
        <v>41018</v>
      </c>
      <c r="E349" s="252" t="s">
        <v>1764</v>
      </c>
      <c r="F349" s="254" t="s">
        <v>2619</v>
      </c>
      <c r="G349" s="252" t="s">
        <v>2917</v>
      </c>
      <c r="H349" s="252" t="s">
        <v>2918</v>
      </c>
      <c r="I349" s="252">
        <v>3</v>
      </c>
      <c r="J349" s="255">
        <v>1</v>
      </c>
      <c r="K349" s="255">
        <v>1</v>
      </c>
      <c r="L349" s="255"/>
      <c r="M349" s="256">
        <v>1.101E-3</v>
      </c>
      <c r="N349" s="249">
        <v>348</v>
      </c>
    </row>
    <row r="350" spans="1:14" x14ac:dyDescent="0.25">
      <c r="A350" s="252" t="s">
        <v>135</v>
      </c>
      <c r="B350" s="252" t="s">
        <v>1536</v>
      </c>
      <c r="C350" s="253">
        <v>0</v>
      </c>
      <c r="D350" s="252">
        <v>41018</v>
      </c>
      <c r="E350" s="252" t="s">
        <v>1764</v>
      </c>
      <c r="F350" s="254" t="s">
        <v>2619</v>
      </c>
      <c r="G350" s="252" t="s">
        <v>2919</v>
      </c>
      <c r="H350" s="252" t="s">
        <v>2920</v>
      </c>
      <c r="I350" s="252">
        <v>3</v>
      </c>
      <c r="J350" s="255">
        <v>1</v>
      </c>
      <c r="K350" s="255">
        <v>1</v>
      </c>
      <c r="L350" s="255"/>
      <c r="M350" s="256">
        <v>1.101E-3</v>
      </c>
      <c r="N350" s="249">
        <v>349</v>
      </c>
    </row>
    <row r="351" spans="1:14" x14ac:dyDescent="0.25">
      <c r="A351" s="252" t="s">
        <v>135</v>
      </c>
      <c r="B351" s="252" t="s">
        <v>1536</v>
      </c>
      <c r="C351" s="253">
        <v>0</v>
      </c>
      <c r="D351" s="252">
        <v>41018</v>
      </c>
      <c r="E351" s="252" t="s">
        <v>1764</v>
      </c>
      <c r="F351" s="254" t="s">
        <v>2619</v>
      </c>
      <c r="G351" s="252" t="s">
        <v>2921</v>
      </c>
      <c r="H351" s="252" t="s">
        <v>2922</v>
      </c>
      <c r="I351" s="252">
        <v>3</v>
      </c>
      <c r="J351" s="255">
        <v>1</v>
      </c>
      <c r="K351" s="255">
        <v>1</v>
      </c>
      <c r="L351" s="255"/>
      <c r="M351" s="256">
        <v>1.2149999999999999E-3</v>
      </c>
      <c r="N351" s="249">
        <v>350</v>
      </c>
    </row>
    <row r="352" spans="1:14" x14ac:dyDescent="0.25">
      <c r="A352" s="252" t="s">
        <v>135</v>
      </c>
      <c r="B352" s="252" t="s">
        <v>1536</v>
      </c>
      <c r="C352" s="253">
        <v>0</v>
      </c>
      <c r="D352" s="252">
        <v>41018</v>
      </c>
      <c r="E352" s="252" t="s">
        <v>1764</v>
      </c>
      <c r="F352" s="254" t="s">
        <v>2619</v>
      </c>
      <c r="G352" s="252" t="s">
        <v>2923</v>
      </c>
      <c r="H352" s="252" t="s">
        <v>2924</v>
      </c>
      <c r="I352" s="252">
        <v>3</v>
      </c>
      <c r="J352" s="255">
        <v>1</v>
      </c>
      <c r="K352" s="255">
        <v>1</v>
      </c>
      <c r="L352" s="255"/>
      <c r="M352" s="256">
        <v>4.4999999999999999E-4</v>
      </c>
      <c r="N352" s="249">
        <v>351</v>
      </c>
    </row>
    <row r="353" spans="1:14" x14ac:dyDescent="0.25">
      <c r="A353" s="252" t="s">
        <v>135</v>
      </c>
      <c r="B353" s="252" t="s">
        <v>1536</v>
      </c>
      <c r="C353" s="253">
        <v>0</v>
      </c>
      <c r="D353" s="252">
        <v>41018</v>
      </c>
      <c r="E353" s="252" t="s">
        <v>1764</v>
      </c>
      <c r="F353" s="254" t="s">
        <v>2619</v>
      </c>
      <c r="G353" s="252" t="s">
        <v>2925</v>
      </c>
      <c r="H353" s="252" t="s">
        <v>2926</v>
      </c>
      <c r="I353" s="252">
        <v>3</v>
      </c>
      <c r="J353" s="255">
        <v>1</v>
      </c>
      <c r="K353" s="255">
        <v>1</v>
      </c>
      <c r="L353" s="255"/>
      <c r="M353" s="256">
        <v>2.4899999999999998E-4</v>
      </c>
      <c r="N353" s="249">
        <v>352</v>
      </c>
    </row>
    <row r="354" spans="1:14" x14ac:dyDescent="0.25">
      <c r="A354" s="252" t="s">
        <v>135</v>
      </c>
      <c r="B354" s="252" t="s">
        <v>1536</v>
      </c>
      <c r="C354" s="253">
        <v>0</v>
      </c>
      <c r="D354" s="252">
        <v>41018</v>
      </c>
      <c r="E354" s="252" t="s">
        <v>1764</v>
      </c>
      <c r="F354" s="254" t="s">
        <v>2619</v>
      </c>
      <c r="G354" s="252" t="s">
        <v>2927</v>
      </c>
      <c r="H354" s="252" t="s">
        <v>2928</v>
      </c>
      <c r="I354" s="252">
        <v>3</v>
      </c>
      <c r="J354" s="255">
        <v>1</v>
      </c>
      <c r="K354" s="255">
        <v>1</v>
      </c>
      <c r="L354" s="255"/>
      <c r="M354" s="256">
        <v>1.101E-3</v>
      </c>
      <c r="N354" s="249">
        <v>353</v>
      </c>
    </row>
    <row r="355" spans="1:14" x14ac:dyDescent="0.25">
      <c r="A355" s="252" t="s">
        <v>135</v>
      </c>
      <c r="B355" s="252" t="s">
        <v>1536</v>
      </c>
      <c r="C355" s="253">
        <v>0</v>
      </c>
      <c r="D355" s="252">
        <v>41018</v>
      </c>
      <c r="E355" s="252" t="s">
        <v>1764</v>
      </c>
      <c r="F355" s="254" t="s">
        <v>2619</v>
      </c>
      <c r="G355" s="252" t="s">
        <v>2929</v>
      </c>
      <c r="H355" s="252" t="s">
        <v>2930</v>
      </c>
      <c r="I355" s="252">
        <v>3</v>
      </c>
      <c r="J355" s="255">
        <v>1</v>
      </c>
      <c r="K355" s="255">
        <v>1</v>
      </c>
      <c r="L355" s="255"/>
      <c r="M355" s="256">
        <v>1.101E-3</v>
      </c>
      <c r="N355" s="249">
        <v>354</v>
      </c>
    </row>
    <row r="356" spans="1:14" x14ac:dyDescent="0.25">
      <c r="A356" s="252" t="s">
        <v>135</v>
      </c>
      <c r="B356" s="252" t="s">
        <v>1536</v>
      </c>
      <c r="C356" s="253">
        <v>0</v>
      </c>
      <c r="D356" s="252">
        <v>41018</v>
      </c>
      <c r="E356" s="252" t="s">
        <v>1764</v>
      </c>
      <c r="F356" s="254" t="s">
        <v>2619</v>
      </c>
      <c r="G356" s="252" t="s">
        <v>2931</v>
      </c>
      <c r="H356" s="252" t="s">
        <v>2932</v>
      </c>
      <c r="I356" s="252">
        <v>3</v>
      </c>
      <c r="J356" s="255">
        <v>1</v>
      </c>
      <c r="K356" s="255">
        <v>1</v>
      </c>
      <c r="L356" s="255"/>
      <c r="M356" s="256">
        <v>1.1160000000000002E-2</v>
      </c>
      <c r="N356" s="249">
        <v>355</v>
      </c>
    </row>
    <row r="357" spans="1:14" x14ac:dyDescent="0.25">
      <c r="A357" s="252" t="s">
        <v>135</v>
      </c>
      <c r="B357" s="252" t="s">
        <v>1536</v>
      </c>
      <c r="C357" s="253">
        <v>0</v>
      </c>
      <c r="D357" s="252">
        <v>41018</v>
      </c>
      <c r="E357" s="252" t="s">
        <v>1764</v>
      </c>
      <c r="F357" s="254" t="s">
        <v>2619</v>
      </c>
      <c r="G357" s="252" t="s">
        <v>2933</v>
      </c>
      <c r="H357" s="252" t="s">
        <v>2934</v>
      </c>
      <c r="I357" s="252">
        <v>3</v>
      </c>
      <c r="J357" s="255">
        <v>1</v>
      </c>
      <c r="K357" s="255">
        <v>1</v>
      </c>
      <c r="L357" s="255"/>
      <c r="M357" s="256">
        <v>1.2149999999999999E-3</v>
      </c>
      <c r="N357" s="249">
        <v>356</v>
      </c>
    </row>
    <row r="358" spans="1:14" x14ac:dyDescent="0.25">
      <c r="A358" s="252" t="s">
        <v>135</v>
      </c>
      <c r="B358" s="252" t="s">
        <v>1536</v>
      </c>
      <c r="C358" s="253">
        <v>0</v>
      </c>
      <c r="D358" s="252">
        <v>41018</v>
      </c>
      <c r="E358" s="252" t="s">
        <v>1764</v>
      </c>
      <c r="F358" s="254" t="s">
        <v>2619</v>
      </c>
      <c r="G358" s="252" t="s">
        <v>2935</v>
      </c>
      <c r="H358" s="252" t="s">
        <v>2936</v>
      </c>
      <c r="I358" s="252">
        <v>3</v>
      </c>
      <c r="J358" s="255">
        <v>1</v>
      </c>
      <c r="K358" s="255">
        <v>1</v>
      </c>
      <c r="L358" s="255"/>
      <c r="M358" s="256">
        <v>4.4999999999999999E-4</v>
      </c>
      <c r="N358" s="249">
        <v>357</v>
      </c>
    </row>
    <row r="359" spans="1:14" x14ac:dyDescent="0.25">
      <c r="A359" s="252" t="s">
        <v>135</v>
      </c>
      <c r="B359" s="252" t="s">
        <v>1536</v>
      </c>
      <c r="C359" s="253">
        <v>0</v>
      </c>
      <c r="D359" s="252">
        <v>41018</v>
      </c>
      <c r="E359" s="252" t="s">
        <v>1764</v>
      </c>
      <c r="F359" s="254" t="s">
        <v>2619</v>
      </c>
      <c r="G359" s="252" t="s">
        <v>2937</v>
      </c>
      <c r="H359" s="252" t="s">
        <v>2938</v>
      </c>
      <c r="I359" s="252">
        <v>3</v>
      </c>
      <c r="J359" s="255">
        <v>1</v>
      </c>
      <c r="K359" s="255">
        <v>1</v>
      </c>
      <c r="L359" s="255"/>
      <c r="M359" s="256">
        <v>2.4899999999999998E-4</v>
      </c>
      <c r="N359" s="249">
        <v>358</v>
      </c>
    </row>
    <row r="360" spans="1:14" x14ac:dyDescent="0.25">
      <c r="A360" s="252" t="s">
        <v>135</v>
      </c>
      <c r="B360" s="252" t="s">
        <v>1536</v>
      </c>
      <c r="C360" s="253">
        <v>0</v>
      </c>
      <c r="D360" s="252">
        <v>41018</v>
      </c>
      <c r="E360" s="252" t="s">
        <v>1764</v>
      </c>
      <c r="F360" s="254" t="s">
        <v>1713</v>
      </c>
      <c r="G360" s="252" t="s">
        <v>1935</v>
      </c>
      <c r="H360" s="252" t="s">
        <v>1936</v>
      </c>
      <c r="I360" s="252">
        <v>3</v>
      </c>
      <c r="J360" s="255">
        <v>1</v>
      </c>
      <c r="K360" s="255">
        <v>1</v>
      </c>
      <c r="L360" s="255"/>
      <c r="M360" s="256">
        <v>1.539E-3</v>
      </c>
      <c r="N360" s="249">
        <v>359</v>
      </c>
    </row>
    <row r="361" spans="1:14" x14ac:dyDescent="0.25">
      <c r="A361" s="252" t="s">
        <v>135</v>
      </c>
      <c r="B361" s="252" t="s">
        <v>1536</v>
      </c>
      <c r="C361" s="253">
        <v>0</v>
      </c>
      <c r="D361" s="252">
        <v>41018</v>
      </c>
      <c r="E361" s="252" t="s">
        <v>1764</v>
      </c>
      <c r="F361" s="254" t="s">
        <v>1713</v>
      </c>
      <c r="G361" s="252" t="s">
        <v>1937</v>
      </c>
      <c r="H361" s="252" t="s">
        <v>1938</v>
      </c>
      <c r="I361" s="252">
        <v>3</v>
      </c>
      <c r="J361" s="255">
        <v>1</v>
      </c>
      <c r="K361" s="255">
        <v>1</v>
      </c>
      <c r="L361" s="255"/>
      <c r="M361" s="256">
        <v>5.9099999999999995E-4</v>
      </c>
      <c r="N361" s="249">
        <v>360</v>
      </c>
    </row>
    <row r="362" spans="1:14" x14ac:dyDescent="0.25">
      <c r="A362" s="252" t="s">
        <v>135</v>
      </c>
      <c r="B362" s="252" t="s">
        <v>1536</v>
      </c>
      <c r="C362" s="253">
        <v>0</v>
      </c>
      <c r="D362" s="252">
        <v>41018</v>
      </c>
      <c r="E362" s="252" t="s">
        <v>1764</v>
      </c>
      <c r="F362" s="254" t="s">
        <v>1713</v>
      </c>
      <c r="G362" s="252" t="s">
        <v>1939</v>
      </c>
      <c r="H362" s="252" t="s">
        <v>1940</v>
      </c>
      <c r="I362" s="252">
        <v>3</v>
      </c>
      <c r="J362" s="255">
        <v>1</v>
      </c>
      <c r="K362" s="255">
        <v>1</v>
      </c>
      <c r="L362" s="255"/>
      <c r="M362" s="256">
        <v>2.1299999999999997E-4</v>
      </c>
      <c r="N362" s="249">
        <v>361</v>
      </c>
    </row>
    <row r="363" spans="1:14" x14ac:dyDescent="0.25">
      <c r="A363" s="252" t="s">
        <v>135</v>
      </c>
      <c r="B363" s="252" t="s">
        <v>1536</v>
      </c>
      <c r="C363" s="253">
        <v>0</v>
      </c>
      <c r="D363" s="252">
        <v>41018</v>
      </c>
      <c r="E363" s="252" t="s">
        <v>1764</v>
      </c>
      <c r="F363" s="254" t="s">
        <v>1713</v>
      </c>
      <c r="G363" s="252" t="s">
        <v>1941</v>
      </c>
      <c r="H363" s="252" t="s">
        <v>1942</v>
      </c>
      <c r="I363" s="252">
        <v>3</v>
      </c>
      <c r="J363" s="255">
        <v>1</v>
      </c>
      <c r="K363" s="255">
        <v>1</v>
      </c>
      <c r="L363" s="255"/>
      <c r="M363" s="256">
        <v>3.6899999999999997E-4</v>
      </c>
      <c r="N363" s="249">
        <v>362</v>
      </c>
    </row>
    <row r="364" spans="1:14" x14ac:dyDescent="0.25">
      <c r="A364" s="252" t="s">
        <v>135</v>
      </c>
      <c r="B364" s="252" t="s">
        <v>1536</v>
      </c>
      <c r="C364" s="253">
        <v>0</v>
      </c>
      <c r="D364" s="252">
        <v>41018</v>
      </c>
      <c r="E364" s="252" t="s">
        <v>1764</v>
      </c>
      <c r="F364" s="254" t="s">
        <v>1713</v>
      </c>
      <c r="G364" s="252" t="s">
        <v>1943</v>
      </c>
      <c r="H364" s="252" t="s">
        <v>1944</v>
      </c>
      <c r="I364" s="252">
        <v>3</v>
      </c>
      <c r="J364" s="255">
        <v>1</v>
      </c>
      <c r="K364" s="255">
        <v>1</v>
      </c>
      <c r="L364" s="255"/>
      <c r="M364" s="256">
        <v>6.5399999999999996E-4</v>
      </c>
      <c r="N364" s="249">
        <v>363</v>
      </c>
    </row>
    <row r="365" spans="1:14" x14ac:dyDescent="0.25">
      <c r="A365" s="252" t="s">
        <v>135</v>
      </c>
      <c r="B365" s="252" t="s">
        <v>1536</v>
      </c>
      <c r="C365" s="253">
        <v>0</v>
      </c>
      <c r="D365" s="252">
        <v>41018</v>
      </c>
      <c r="E365" s="252" t="s">
        <v>1764</v>
      </c>
      <c r="F365" s="254" t="s">
        <v>1713</v>
      </c>
      <c r="G365" s="252" t="s">
        <v>1945</v>
      </c>
      <c r="H365" s="252" t="s">
        <v>1946</v>
      </c>
      <c r="I365" s="252">
        <v>3</v>
      </c>
      <c r="J365" s="255">
        <v>1</v>
      </c>
      <c r="K365" s="255">
        <v>1</v>
      </c>
      <c r="L365" s="255"/>
      <c r="M365" s="256">
        <v>1.8059999999999997E-3</v>
      </c>
      <c r="N365" s="249">
        <v>364</v>
      </c>
    </row>
    <row r="366" spans="1:14" x14ac:dyDescent="0.25">
      <c r="A366" s="252" t="s">
        <v>135</v>
      </c>
      <c r="B366" s="252" t="s">
        <v>1536</v>
      </c>
      <c r="C366" s="253">
        <v>0</v>
      </c>
      <c r="D366" s="252">
        <v>41018</v>
      </c>
      <c r="E366" s="252" t="s">
        <v>1764</v>
      </c>
      <c r="F366" s="254" t="s">
        <v>1713</v>
      </c>
      <c r="G366" s="252" t="s">
        <v>1947</v>
      </c>
      <c r="H366" s="252" t="s">
        <v>1948</v>
      </c>
      <c r="I366" s="252">
        <v>3</v>
      </c>
      <c r="J366" s="255">
        <v>1</v>
      </c>
      <c r="K366" s="255">
        <v>1</v>
      </c>
      <c r="L366" s="255"/>
      <c r="M366" s="256">
        <v>5.8769999999999994E-3</v>
      </c>
      <c r="N366" s="249">
        <v>365</v>
      </c>
    </row>
    <row r="367" spans="1:14" x14ac:dyDescent="0.25">
      <c r="A367" s="252" t="s">
        <v>135</v>
      </c>
      <c r="B367" s="252" t="s">
        <v>1536</v>
      </c>
      <c r="C367" s="253">
        <v>0</v>
      </c>
      <c r="D367" s="252">
        <v>41018</v>
      </c>
      <c r="E367" s="252" t="s">
        <v>1764</v>
      </c>
      <c r="F367" s="254" t="s">
        <v>1713</v>
      </c>
      <c r="G367" s="252" t="s">
        <v>1949</v>
      </c>
      <c r="H367" s="252" t="s">
        <v>1950</v>
      </c>
      <c r="I367" s="252">
        <v>3</v>
      </c>
      <c r="J367" s="255">
        <v>1</v>
      </c>
      <c r="K367" s="255">
        <v>1</v>
      </c>
      <c r="L367" s="255"/>
      <c r="M367" s="256">
        <v>1.4190000000000001E-3</v>
      </c>
      <c r="N367" s="249">
        <v>366</v>
      </c>
    </row>
    <row r="368" spans="1:14" x14ac:dyDescent="0.25">
      <c r="A368" s="252" t="s">
        <v>135</v>
      </c>
      <c r="B368" s="252" t="s">
        <v>1536</v>
      </c>
      <c r="C368" s="253">
        <v>0</v>
      </c>
      <c r="D368" s="252">
        <v>41018</v>
      </c>
      <c r="E368" s="252" t="s">
        <v>1764</v>
      </c>
      <c r="F368" s="254" t="s">
        <v>1713</v>
      </c>
      <c r="G368" s="252" t="s">
        <v>1951</v>
      </c>
      <c r="H368" s="252" t="s">
        <v>1952</v>
      </c>
      <c r="I368" s="252">
        <v>3</v>
      </c>
      <c r="J368" s="255">
        <v>1</v>
      </c>
      <c r="K368" s="255">
        <v>1</v>
      </c>
      <c r="L368" s="255"/>
      <c r="M368" s="256">
        <v>1.8059999999999997E-3</v>
      </c>
      <c r="N368" s="249">
        <v>367</v>
      </c>
    </row>
    <row r="369" spans="1:14" x14ac:dyDescent="0.25">
      <c r="A369" s="252" t="s">
        <v>135</v>
      </c>
      <c r="B369" s="252" t="s">
        <v>1536</v>
      </c>
      <c r="C369" s="253">
        <v>0</v>
      </c>
      <c r="D369" s="252">
        <v>41018</v>
      </c>
      <c r="E369" s="252" t="s">
        <v>1764</v>
      </c>
      <c r="F369" s="254" t="s">
        <v>1713</v>
      </c>
      <c r="G369" s="252" t="s">
        <v>1953</v>
      </c>
      <c r="H369" s="252" t="s">
        <v>1954</v>
      </c>
      <c r="I369" s="252">
        <v>3</v>
      </c>
      <c r="J369" s="255">
        <v>1</v>
      </c>
      <c r="K369" s="255">
        <v>1</v>
      </c>
      <c r="L369" s="255"/>
      <c r="M369" s="256">
        <v>8.1599999999999999E-4</v>
      </c>
      <c r="N369" s="249">
        <v>368</v>
      </c>
    </row>
    <row r="370" spans="1:14" x14ac:dyDescent="0.25">
      <c r="A370" s="252" t="s">
        <v>135</v>
      </c>
      <c r="B370" s="252" t="s">
        <v>1536</v>
      </c>
      <c r="C370" s="253">
        <v>0</v>
      </c>
      <c r="D370" s="252">
        <v>41018</v>
      </c>
      <c r="E370" s="252" t="s">
        <v>1764</v>
      </c>
      <c r="F370" s="254" t="s">
        <v>1713</v>
      </c>
      <c r="G370" s="252" t="s">
        <v>1955</v>
      </c>
      <c r="H370" s="252" t="s">
        <v>1956</v>
      </c>
      <c r="I370" s="252">
        <v>3</v>
      </c>
      <c r="J370" s="255">
        <v>1</v>
      </c>
      <c r="K370" s="255">
        <v>1</v>
      </c>
      <c r="L370" s="255"/>
      <c r="M370" s="256">
        <v>8.1599999999999999E-4</v>
      </c>
      <c r="N370" s="249">
        <v>369</v>
      </c>
    </row>
    <row r="371" spans="1:14" x14ac:dyDescent="0.25">
      <c r="A371" s="252" t="s">
        <v>135</v>
      </c>
      <c r="B371" s="252" t="s">
        <v>1536</v>
      </c>
      <c r="C371" s="253">
        <v>0</v>
      </c>
      <c r="D371" s="252">
        <v>41018</v>
      </c>
      <c r="E371" s="252" t="s">
        <v>1764</v>
      </c>
      <c r="F371" s="254" t="s">
        <v>1713</v>
      </c>
      <c r="G371" s="252" t="s">
        <v>1957</v>
      </c>
      <c r="H371" s="252" t="s">
        <v>1958</v>
      </c>
      <c r="I371" s="252">
        <v>3</v>
      </c>
      <c r="J371" s="255">
        <v>1</v>
      </c>
      <c r="K371" s="255">
        <v>1</v>
      </c>
      <c r="L371" s="255"/>
      <c r="M371" s="256">
        <v>4.6950000000000004E-3</v>
      </c>
      <c r="N371" s="249">
        <v>370</v>
      </c>
    </row>
    <row r="372" spans="1:14" x14ac:dyDescent="0.25">
      <c r="A372" s="252" t="s">
        <v>135</v>
      </c>
      <c r="B372" s="252" t="s">
        <v>1536</v>
      </c>
      <c r="C372" s="253">
        <v>0</v>
      </c>
      <c r="D372" s="252">
        <v>41018</v>
      </c>
      <c r="E372" s="252" t="s">
        <v>1764</v>
      </c>
      <c r="F372" s="254" t="s">
        <v>1713</v>
      </c>
      <c r="G372" s="252" t="s">
        <v>1959</v>
      </c>
      <c r="H372" s="252" t="s">
        <v>1960</v>
      </c>
      <c r="I372" s="252">
        <v>3</v>
      </c>
      <c r="J372" s="255">
        <v>1</v>
      </c>
      <c r="K372" s="255">
        <v>1</v>
      </c>
      <c r="L372" s="255"/>
      <c r="M372" s="256">
        <v>1.8059999999999997E-3</v>
      </c>
      <c r="N372" s="249">
        <v>371</v>
      </c>
    </row>
    <row r="373" spans="1:14" x14ac:dyDescent="0.25">
      <c r="A373" s="252" t="s">
        <v>135</v>
      </c>
      <c r="B373" s="252" t="s">
        <v>1536</v>
      </c>
      <c r="C373" s="253">
        <v>0</v>
      </c>
      <c r="D373" s="252">
        <v>41018</v>
      </c>
      <c r="E373" s="252" t="s">
        <v>1764</v>
      </c>
      <c r="F373" s="254" t="s">
        <v>1713</v>
      </c>
      <c r="G373" s="252" t="s">
        <v>1961</v>
      </c>
      <c r="H373" s="252" t="s">
        <v>1962</v>
      </c>
      <c r="I373" s="252">
        <v>3</v>
      </c>
      <c r="J373" s="255">
        <v>1</v>
      </c>
      <c r="K373" s="255">
        <v>1</v>
      </c>
      <c r="L373" s="255"/>
      <c r="M373" s="256">
        <v>3.5100000000000002E-4</v>
      </c>
      <c r="N373" s="249">
        <v>372</v>
      </c>
    </row>
    <row r="374" spans="1:14" x14ac:dyDescent="0.25">
      <c r="A374" s="252" t="s">
        <v>135</v>
      </c>
      <c r="B374" s="252" t="s">
        <v>1536</v>
      </c>
      <c r="C374" s="253">
        <v>0</v>
      </c>
      <c r="D374" s="252">
        <v>41018</v>
      </c>
      <c r="E374" s="252" t="s">
        <v>1764</v>
      </c>
      <c r="F374" s="254" t="s">
        <v>1713</v>
      </c>
      <c r="G374" s="252" t="s">
        <v>1963</v>
      </c>
      <c r="H374" s="252" t="s">
        <v>1964</v>
      </c>
      <c r="I374" s="252">
        <v>3</v>
      </c>
      <c r="J374" s="255">
        <v>1</v>
      </c>
      <c r="K374" s="255">
        <v>1</v>
      </c>
      <c r="L374" s="255"/>
      <c r="M374" s="256">
        <v>1.8059999999999997E-3</v>
      </c>
      <c r="N374" s="249">
        <v>373</v>
      </c>
    </row>
    <row r="375" spans="1:14" x14ac:dyDescent="0.25">
      <c r="A375" s="252" t="s">
        <v>135</v>
      </c>
      <c r="B375" s="252" t="s">
        <v>1536</v>
      </c>
      <c r="C375" s="253">
        <v>0</v>
      </c>
      <c r="D375" s="252">
        <v>41018</v>
      </c>
      <c r="E375" s="252" t="s">
        <v>1764</v>
      </c>
      <c r="F375" s="254" t="s">
        <v>1713</v>
      </c>
      <c r="G375" s="252" t="s">
        <v>1965</v>
      </c>
      <c r="H375" s="252" t="s">
        <v>1966</v>
      </c>
      <c r="I375" s="252">
        <v>3</v>
      </c>
      <c r="J375" s="255">
        <v>1</v>
      </c>
      <c r="K375" s="255">
        <v>1</v>
      </c>
      <c r="L375" s="255"/>
      <c r="M375" s="256">
        <v>1.7099999999999998E-4</v>
      </c>
      <c r="N375" s="249">
        <v>374</v>
      </c>
    </row>
    <row r="376" spans="1:14" x14ac:dyDescent="0.25">
      <c r="A376" s="252" t="s">
        <v>135</v>
      </c>
      <c r="B376" s="252" t="s">
        <v>1536</v>
      </c>
      <c r="C376" s="253">
        <v>0</v>
      </c>
      <c r="D376" s="252">
        <v>41018</v>
      </c>
      <c r="E376" s="252" t="s">
        <v>1764</v>
      </c>
      <c r="F376" s="254" t="s">
        <v>1713</v>
      </c>
      <c r="G376" s="252" t="s">
        <v>1967</v>
      </c>
      <c r="H376" s="252" t="s">
        <v>1968</v>
      </c>
      <c r="I376" s="252">
        <v>3</v>
      </c>
      <c r="J376" s="255">
        <v>1</v>
      </c>
      <c r="K376" s="255">
        <v>1</v>
      </c>
      <c r="L376" s="255"/>
      <c r="M376" s="256">
        <v>1.7099999999999998E-4</v>
      </c>
      <c r="N376" s="249">
        <v>375</v>
      </c>
    </row>
    <row r="377" spans="1:14" x14ac:dyDescent="0.25">
      <c r="A377" s="252" t="s">
        <v>135</v>
      </c>
      <c r="B377" s="252" t="s">
        <v>1536</v>
      </c>
      <c r="C377" s="253">
        <v>0</v>
      </c>
      <c r="D377" s="252">
        <v>41018</v>
      </c>
      <c r="E377" s="252" t="s">
        <v>1764</v>
      </c>
      <c r="F377" s="254" t="s">
        <v>1713</v>
      </c>
      <c r="G377" s="252" t="s">
        <v>1969</v>
      </c>
      <c r="H377" s="252" t="s">
        <v>1970</v>
      </c>
      <c r="I377" s="252">
        <v>3</v>
      </c>
      <c r="J377" s="255">
        <v>1</v>
      </c>
      <c r="K377" s="255">
        <v>1</v>
      </c>
      <c r="L377" s="255"/>
      <c r="M377" s="256">
        <v>1.0859999999999999E-3</v>
      </c>
      <c r="N377" s="249">
        <v>376</v>
      </c>
    </row>
    <row r="378" spans="1:14" x14ac:dyDescent="0.25">
      <c r="A378" s="252" t="s">
        <v>135</v>
      </c>
      <c r="B378" s="252" t="s">
        <v>1536</v>
      </c>
      <c r="C378" s="253">
        <v>0</v>
      </c>
      <c r="D378" s="252">
        <v>41018</v>
      </c>
      <c r="E378" s="252" t="s">
        <v>1764</v>
      </c>
      <c r="F378" s="254" t="s">
        <v>1713</v>
      </c>
      <c r="G378" s="252" t="s">
        <v>1971</v>
      </c>
      <c r="H378" s="252" t="s">
        <v>1972</v>
      </c>
      <c r="I378" s="252">
        <v>3</v>
      </c>
      <c r="J378" s="255">
        <v>1</v>
      </c>
      <c r="K378" s="255">
        <v>1</v>
      </c>
      <c r="L378" s="255"/>
      <c r="M378" s="256">
        <v>1.8059999999999997E-3</v>
      </c>
      <c r="N378" s="249">
        <v>377</v>
      </c>
    </row>
    <row r="379" spans="1:14" x14ac:dyDescent="0.25">
      <c r="A379" s="252" t="s">
        <v>135</v>
      </c>
      <c r="B379" s="252" t="s">
        <v>1536</v>
      </c>
      <c r="C379" s="253">
        <v>0</v>
      </c>
      <c r="D379" s="252">
        <v>41018</v>
      </c>
      <c r="E379" s="252" t="s">
        <v>1764</v>
      </c>
      <c r="F379" s="254" t="s">
        <v>1726</v>
      </c>
      <c r="G379" s="252" t="s">
        <v>1973</v>
      </c>
      <c r="H379" s="252" t="s">
        <v>1974</v>
      </c>
      <c r="I379" s="252">
        <v>3</v>
      </c>
      <c r="J379" s="255">
        <v>1</v>
      </c>
      <c r="K379" s="255">
        <v>1</v>
      </c>
      <c r="L379" s="255"/>
      <c r="M379" s="256">
        <v>1.1850000000000001E-3</v>
      </c>
      <c r="N379" s="249">
        <v>378</v>
      </c>
    </row>
    <row r="380" spans="1:14" x14ac:dyDescent="0.25">
      <c r="A380" s="252" t="s">
        <v>135</v>
      </c>
      <c r="B380" s="252" t="s">
        <v>1536</v>
      </c>
      <c r="C380" s="253">
        <v>0</v>
      </c>
      <c r="D380" s="252">
        <v>41018</v>
      </c>
      <c r="E380" s="252" t="s">
        <v>1764</v>
      </c>
      <c r="F380" s="254" t="s">
        <v>1726</v>
      </c>
      <c r="G380" s="252" t="s">
        <v>1975</v>
      </c>
      <c r="H380" s="252" t="s">
        <v>1976</v>
      </c>
      <c r="I380" s="252">
        <v>3</v>
      </c>
      <c r="J380" s="255">
        <v>1</v>
      </c>
      <c r="K380" s="255">
        <v>1</v>
      </c>
      <c r="L380" s="255"/>
      <c r="M380" s="256">
        <v>3.7199999999999998E-3</v>
      </c>
      <c r="N380" s="249">
        <v>379</v>
      </c>
    </row>
    <row r="381" spans="1:14" x14ac:dyDescent="0.25">
      <c r="A381" s="252" t="s">
        <v>135</v>
      </c>
      <c r="B381" s="252" t="s">
        <v>1536</v>
      </c>
      <c r="C381" s="253">
        <v>0</v>
      </c>
      <c r="D381" s="252">
        <v>41018</v>
      </c>
      <c r="E381" s="252" t="s">
        <v>1764</v>
      </c>
      <c r="F381" s="254" t="s">
        <v>1726</v>
      </c>
      <c r="G381" s="252" t="s">
        <v>1977</v>
      </c>
      <c r="H381" s="252" t="s">
        <v>1978</v>
      </c>
      <c r="I381" s="252">
        <v>3</v>
      </c>
      <c r="J381" s="255">
        <v>1</v>
      </c>
      <c r="K381" s="255">
        <v>1</v>
      </c>
      <c r="L381" s="255"/>
      <c r="M381" s="256">
        <v>1.1970000000000001E-3</v>
      </c>
      <c r="N381" s="249">
        <v>380</v>
      </c>
    </row>
    <row r="382" spans="1:14" x14ac:dyDescent="0.25">
      <c r="A382" s="252" t="s">
        <v>135</v>
      </c>
      <c r="B382" s="252" t="s">
        <v>1536</v>
      </c>
      <c r="C382" s="253">
        <v>0</v>
      </c>
      <c r="D382" s="252">
        <v>41018</v>
      </c>
      <c r="E382" s="252" t="s">
        <v>1764</v>
      </c>
      <c r="F382" s="254" t="s">
        <v>1726</v>
      </c>
      <c r="G382" s="252" t="s">
        <v>1979</v>
      </c>
      <c r="H382" s="252" t="s">
        <v>1980</v>
      </c>
      <c r="I382" s="252">
        <v>3</v>
      </c>
      <c r="J382" s="255">
        <v>1</v>
      </c>
      <c r="K382" s="255">
        <v>1</v>
      </c>
      <c r="L382" s="255"/>
      <c r="M382" s="256">
        <v>6.7499999999999993E-4</v>
      </c>
      <c r="N382" s="249">
        <v>381</v>
      </c>
    </row>
    <row r="383" spans="1:14" x14ac:dyDescent="0.25">
      <c r="A383" s="252" t="s">
        <v>135</v>
      </c>
      <c r="B383" s="252" t="s">
        <v>1536</v>
      </c>
      <c r="C383" s="253">
        <v>0</v>
      </c>
      <c r="D383" s="252">
        <v>41018</v>
      </c>
      <c r="E383" s="252" t="s">
        <v>1764</v>
      </c>
      <c r="F383" s="254" t="s">
        <v>1726</v>
      </c>
      <c r="G383" s="252" t="s">
        <v>1981</v>
      </c>
      <c r="H383" s="252" t="s">
        <v>1982</v>
      </c>
      <c r="I383" s="252">
        <v>3</v>
      </c>
      <c r="J383" s="255">
        <v>1</v>
      </c>
      <c r="K383" s="255">
        <v>1</v>
      </c>
      <c r="L383" s="255"/>
      <c r="M383" s="256">
        <v>1.1999999999999999E-3</v>
      </c>
      <c r="N383" s="249">
        <v>382</v>
      </c>
    </row>
    <row r="384" spans="1:14" x14ac:dyDescent="0.25">
      <c r="A384" s="252" t="s">
        <v>135</v>
      </c>
      <c r="B384" s="252" t="s">
        <v>1536</v>
      </c>
      <c r="C384" s="253">
        <v>0</v>
      </c>
      <c r="D384" s="252">
        <v>41018</v>
      </c>
      <c r="E384" s="252" t="s">
        <v>1764</v>
      </c>
      <c r="F384" s="254" t="s">
        <v>1726</v>
      </c>
      <c r="G384" s="252" t="s">
        <v>1983</v>
      </c>
      <c r="H384" s="252" t="s">
        <v>1984</v>
      </c>
      <c r="I384" s="252">
        <v>3</v>
      </c>
      <c r="J384" s="255">
        <v>1</v>
      </c>
      <c r="K384" s="255">
        <v>1</v>
      </c>
      <c r="L384" s="255"/>
      <c r="M384" s="256">
        <v>2.1599999999999996E-4</v>
      </c>
      <c r="N384" s="249">
        <v>383</v>
      </c>
    </row>
    <row r="385" spans="1:14" x14ac:dyDescent="0.25">
      <c r="A385" s="252" t="s">
        <v>135</v>
      </c>
      <c r="B385" s="252" t="s">
        <v>1536</v>
      </c>
      <c r="C385" s="253">
        <v>0</v>
      </c>
      <c r="D385" s="252">
        <v>41018</v>
      </c>
      <c r="E385" s="252" t="s">
        <v>1764</v>
      </c>
      <c r="F385" s="254" t="s">
        <v>1726</v>
      </c>
      <c r="G385" s="252" t="s">
        <v>1985</v>
      </c>
      <c r="H385" s="252" t="s">
        <v>1986</v>
      </c>
      <c r="I385" s="252">
        <v>3</v>
      </c>
      <c r="J385" s="255">
        <v>1</v>
      </c>
      <c r="K385" s="255">
        <v>1</v>
      </c>
      <c r="L385" s="255"/>
      <c r="M385" s="256">
        <v>1.8059999999999997E-3</v>
      </c>
      <c r="N385" s="249">
        <v>384</v>
      </c>
    </row>
    <row r="386" spans="1:14" x14ac:dyDescent="0.25">
      <c r="A386" s="252" t="s">
        <v>135</v>
      </c>
      <c r="B386" s="252" t="s">
        <v>1536</v>
      </c>
      <c r="C386" s="253">
        <v>0</v>
      </c>
      <c r="D386" s="252">
        <v>41018</v>
      </c>
      <c r="E386" s="252" t="s">
        <v>1764</v>
      </c>
      <c r="F386" s="254" t="s">
        <v>1726</v>
      </c>
      <c r="G386" s="252" t="s">
        <v>1987</v>
      </c>
      <c r="H386" s="252" t="s">
        <v>1988</v>
      </c>
      <c r="I386" s="252">
        <v>3</v>
      </c>
      <c r="J386" s="255">
        <v>1</v>
      </c>
      <c r="K386" s="255">
        <v>1</v>
      </c>
      <c r="L386" s="255"/>
      <c r="M386" s="256">
        <v>1.8059999999999997E-3</v>
      </c>
      <c r="N386" s="249">
        <v>385</v>
      </c>
    </row>
    <row r="387" spans="1:14" x14ac:dyDescent="0.25">
      <c r="A387" s="252" t="s">
        <v>135</v>
      </c>
      <c r="B387" s="252" t="s">
        <v>1536</v>
      </c>
      <c r="C387" s="253">
        <v>0</v>
      </c>
      <c r="D387" s="252">
        <v>41018</v>
      </c>
      <c r="E387" s="252" t="s">
        <v>1764</v>
      </c>
      <c r="F387" s="254" t="s">
        <v>1726</v>
      </c>
      <c r="G387" s="252" t="s">
        <v>1989</v>
      </c>
      <c r="H387" s="252" t="s">
        <v>1990</v>
      </c>
      <c r="I387" s="252">
        <v>3</v>
      </c>
      <c r="J387" s="255">
        <v>1</v>
      </c>
      <c r="K387" s="255">
        <v>1</v>
      </c>
      <c r="L387" s="255"/>
      <c r="M387" s="256">
        <v>8.9999999999999992E-5</v>
      </c>
      <c r="N387" s="249">
        <v>386</v>
      </c>
    </row>
    <row r="388" spans="1:14" x14ac:dyDescent="0.25">
      <c r="A388" s="252" t="s">
        <v>135</v>
      </c>
      <c r="B388" s="252" t="s">
        <v>1536</v>
      </c>
      <c r="C388" s="253">
        <v>0</v>
      </c>
      <c r="D388" s="252">
        <v>41018</v>
      </c>
      <c r="E388" s="252" t="s">
        <v>1764</v>
      </c>
      <c r="F388" s="254" t="s">
        <v>1726</v>
      </c>
      <c r="G388" s="252" t="s">
        <v>1991</v>
      </c>
      <c r="H388" s="252" t="s">
        <v>1992</v>
      </c>
      <c r="I388" s="252">
        <v>3</v>
      </c>
      <c r="J388" s="255">
        <v>1</v>
      </c>
      <c r="K388" s="255">
        <v>1</v>
      </c>
      <c r="L388" s="255"/>
      <c r="M388" s="256">
        <v>8.9999999999999992E-5</v>
      </c>
      <c r="N388" s="249">
        <v>387</v>
      </c>
    </row>
    <row r="389" spans="1:14" x14ac:dyDescent="0.25">
      <c r="A389" s="252" t="s">
        <v>135</v>
      </c>
      <c r="B389" s="252" t="s">
        <v>1536</v>
      </c>
      <c r="C389" s="253">
        <v>0</v>
      </c>
      <c r="D389" s="252">
        <v>41018</v>
      </c>
      <c r="E389" s="252" t="s">
        <v>1764</v>
      </c>
      <c r="F389" s="254" t="s">
        <v>1726</v>
      </c>
      <c r="G389" s="252" t="s">
        <v>1993</v>
      </c>
      <c r="H389" s="252" t="s">
        <v>1994</v>
      </c>
      <c r="I389" s="252">
        <v>3</v>
      </c>
      <c r="J389" s="255">
        <v>1</v>
      </c>
      <c r="K389" s="255">
        <v>1</v>
      </c>
      <c r="L389" s="255"/>
      <c r="M389" s="256">
        <v>1.4369999999999999E-3</v>
      </c>
      <c r="N389" s="249">
        <v>388</v>
      </c>
    </row>
    <row r="390" spans="1:14" x14ac:dyDescent="0.25">
      <c r="A390" s="252" t="s">
        <v>135</v>
      </c>
      <c r="B390" s="252" t="s">
        <v>1536</v>
      </c>
      <c r="C390" s="253">
        <v>0</v>
      </c>
      <c r="D390" s="252">
        <v>41018</v>
      </c>
      <c r="E390" s="252" t="s">
        <v>1764</v>
      </c>
      <c r="F390" s="254" t="s">
        <v>1726</v>
      </c>
      <c r="G390" s="252" t="s">
        <v>1995</v>
      </c>
      <c r="H390" s="252" t="s">
        <v>1996</v>
      </c>
      <c r="I390" s="252">
        <v>3</v>
      </c>
      <c r="J390" s="255">
        <v>1</v>
      </c>
      <c r="K390" s="255">
        <v>1</v>
      </c>
      <c r="L390" s="255"/>
      <c r="M390" s="256">
        <v>2.8499999999999999E-4</v>
      </c>
      <c r="N390" s="249">
        <v>389</v>
      </c>
    </row>
    <row r="391" spans="1:14" x14ac:dyDescent="0.25">
      <c r="A391" s="252" t="s">
        <v>135</v>
      </c>
      <c r="B391" s="252" t="s">
        <v>1536</v>
      </c>
      <c r="C391" s="253">
        <v>0</v>
      </c>
      <c r="D391" s="252">
        <v>41018</v>
      </c>
      <c r="E391" s="252" t="s">
        <v>1764</v>
      </c>
      <c r="F391" s="254" t="s">
        <v>1726</v>
      </c>
      <c r="G391" s="252" t="s">
        <v>1997</v>
      </c>
      <c r="H391" s="252" t="s">
        <v>1998</v>
      </c>
      <c r="I391" s="252">
        <v>3</v>
      </c>
      <c r="J391" s="255">
        <v>1</v>
      </c>
      <c r="K391" s="255">
        <v>1</v>
      </c>
      <c r="L391" s="255"/>
      <c r="M391" s="256">
        <v>1.8059999999999997E-3</v>
      </c>
      <c r="N391" s="249">
        <v>390</v>
      </c>
    </row>
    <row r="392" spans="1:14" x14ac:dyDescent="0.25">
      <c r="A392" s="252" t="s">
        <v>135</v>
      </c>
      <c r="B392" s="252" t="s">
        <v>1536</v>
      </c>
      <c r="C392" s="253">
        <v>0</v>
      </c>
      <c r="D392" s="252">
        <v>41018</v>
      </c>
      <c r="E392" s="252" t="s">
        <v>1764</v>
      </c>
      <c r="F392" s="254" t="s">
        <v>1726</v>
      </c>
      <c r="G392" s="252" t="s">
        <v>1999</v>
      </c>
      <c r="H392" s="252" t="s">
        <v>2000</v>
      </c>
      <c r="I392" s="252">
        <v>3</v>
      </c>
      <c r="J392" s="255">
        <v>1</v>
      </c>
      <c r="K392" s="255">
        <v>1</v>
      </c>
      <c r="L392" s="255"/>
      <c r="M392" s="256">
        <v>1.2899999999999999E-4</v>
      </c>
      <c r="N392" s="249">
        <v>391</v>
      </c>
    </row>
    <row r="393" spans="1:14" x14ac:dyDescent="0.25">
      <c r="A393" s="252" t="s">
        <v>135</v>
      </c>
      <c r="B393" s="252" t="s">
        <v>1536</v>
      </c>
      <c r="C393" s="253">
        <v>0</v>
      </c>
      <c r="D393" s="252">
        <v>41018</v>
      </c>
      <c r="E393" s="252" t="s">
        <v>1764</v>
      </c>
      <c r="F393" s="254" t="s">
        <v>1726</v>
      </c>
      <c r="G393" s="252" t="s">
        <v>2001</v>
      </c>
      <c r="H393" s="252" t="s">
        <v>2002</v>
      </c>
      <c r="I393" s="252">
        <v>3</v>
      </c>
      <c r="J393" s="255">
        <v>1</v>
      </c>
      <c r="K393" s="255">
        <v>1</v>
      </c>
      <c r="L393" s="255"/>
      <c r="M393" s="256">
        <v>1.2899999999999999E-4</v>
      </c>
      <c r="N393" s="249">
        <v>392</v>
      </c>
    </row>
    <row r="394" spans="1:14" x14ac:dyDescent="0.25">
      <c r="A394" s="252" t="s">
        <v>135</v>
      </c>
      <c r="B394" s="252" t="s">
        <v>1536</v>
      </c>
      <c r="C394" s="253">
        <v>0</v>
      </c>
      <c r="D394" s="252">
        <v>41018</v>
      </c>
      <c r="E394" s="252" t="s">
        <v>1764</v>
      </c>
      <c r="F394" s="254" t="s">
        <v>1726</v>
      </c>
      <c r="G394" s="252" t="s">
        <v>2003</v>
      </c>
      <c r="H394" s="252" t="s">
        <v>2004</v>
      </c>
      <c r="I394" s="252">
        <v>3</v>
      </c>
      <c r="J394" s="255">
        <v>1</v>
      </c>
      <c r="K394" s="255">
        <v>1</v>
      </c>
      <c r="L394" s="255"/>
      <c r="M394" s="256">
        <v>9.2699999999999987E-4</v>
      </c>
      <c r="N394" s="249">
        <v>393</v>
      </c>
    </row>
    <row r="395" spans="1:14" x14ac:dyDescent="0.25">
      <c r="A395" s="252" t="s">
        <v>135</v>
      </c>
      <c r="B395" s="252" t="s">
        <v>1536</v>
      </c>
      <c r="C395" s="253">
        <v>0</v>
      </c>
      <c r="D395" s="252">
        <v>41018</v>
      </c>
      <c r="E395" s="252" t="s">
        <v>1764</v>
      </c>
      <c r="F395" s="254" t="s">
        <v>1726</v>
      </c>
      <c r="G395" s="252" t="s">
        <v>2005</v>
      </c>
      <c r="H395" s="252" t="s">
        <v>2006</v>
      </c>
      <c r="I395" s="252">
        <v>3</v>
      </c>
      <c r="J395" s="255">
        <v>1</v>
      </c>
      <c r="K395" s="255">
        <v>1</v>
      </c>
      <c r="L395" s="255"/>
      <c r="M395" s="256">
        <v>1.8059999999999997E-3</v>
      </c>
      <c r="N395" s="249">
        <v>394</v>
      </c>
    </row>
    <row r="396" spans="1:14" x14ac:dyDescent="0.25">
      <c r="A396" s="252" t="s">
        <v>135</v>
      </c>
      <c r="B396" s="252" t="s">
        <v>1536</v>
      </c>
      <c r="C396" s="253">
        <v>0</v>
      </c>
      <c r="D396" s="252">
        <v>41018</v>
      </c>
      <c r="E396" s="252" t="s">
        <v>1764</v>
      </c>
      <c r="F396" s="254" t="s">
        <v>1726</v>
      </c>
      <c r="G396" s="252" t="s">
        <v>2007</v>
      </c>
      <c r="H396" s="252" t="s">
        <v>2008</v>
      </c>
      <c r="I396" s="252">
        <v>3</v>
      </c>
      <c r="J396" s="255">
        <v>1</v>
      </c>
      <c r="K396" s="255">
        <v>1</v>
      </c>
      <c r="L396" s="255"/>
      <c r="M396" s="256">
        <v>1.323E-3</v>
      </c>
      <c r="N396" s="249">
        <v>395</v>
      </c>
    </row>
    <row r="397" spans="1:14" x14ac:dyDescent="0.25">
      <c r="A397" s="252" t="s">
        <v>135</v>
      </c>
      <c r="B397" s="252" t="s">
        <v>1536</v>
      </c>
      <c r="C397" s="253">
        <v>0</v>
      </c>
      <c r="D397" s="252">
        <v>41018</v>
      </c>
      <c r="E397" s="252" t="s">
        <v>1764</v>
      </c>
      <c r="F397" s="254" t="s">
        <v>1726</v>
      </c>
      <c r="G397" s="252" t="s">
        <v>2009</v>
      </c>
      <c r="H397" s="252" t="s">
        <v>2010</v>
      </c>
      <c r="I397" s="252">
        <v>3</v>
      </c>
      <c r="J397" s="255">
        <v>1</v>
      </c>
      <c r="K397" s="255">
        <v>1</v>
      </c>
      <c r="L397" s="255"/>
      <c r="M397" s="256">
        <v>1.8059999999999997E-3</v>
      </c>
      <c r="N397" s="249">
        <v>396</v>
      </c>
    </row>
    <row r="398" spans="1:14" x14ac:dyDescent="0.25">
      <c r="A398" s="252" t="s">
        <v>135</v>
      </c>
      <c r="B398" s="252" t="s">
        <v>1536</v>
      </c>
      <c r="C398" s="253">
        <v>0</v>
      </c>
      <c r="D398" s="252">
        <v>41018</v>
      </c>
      <c r="E398" s="252" t="s">
        <v>1764</v>
      </c>
      <c r="F398" s="254" t="s">
        <v>1726</v>
      </c>
      <c r="G398" s="252" t="s">
        <v>2011</v>
      </c>
      <c r="H398" s="252" t="s">
        <v>2012</v>
      </c>
      <c r="I398" s="252">
        <v>3</v>
      </c>
      <c r="J398" s="255">
        <v>1</v>
      </c>
      <c r="K398" s="255">
        <v>1</v>
      </c>
      <c r="L398" s="255"/>
      <c r="M398" s="256">
        <v>1.8059999999999997E-3</v>
      </c>
      <c r="N398" s="249">
        <v>397</v>
      </c>
    </row>
    <row r="399" spans="1:14" x14ac:dyDescent="0.25">
      <c r="A399" s="252" t="s">
        <v>135</v>
      </c>
      <c r="B399" s="252" t="s">
        <v>1536</v>
      </c>
      <c r="C399" s="253">
        <v>0</v>
      </c>
      <c r="D399" s="252">
        <v>41018</v>
      </c>
      <c r="E399" s="252" t="s">
        <v>1764</v>
      </c>
      <c r="F399" s="254" t="s">
        <v>1726</v>
      </c>
      <c r="G399" s="252" t="s">
        <v>2013</v>
      </c>
      <c r="H399" s="252" t="s">
        <v>2014</v>
      </c>
      <c r="I399" s="252">
        <v>3</v>
      </c>
      <c r="J399" s="255">
        <v>1</v>
      </c>
      <c r="K399" s="255">
        <v>1</v>
      </c>
      <c r="L399" s="255"/>
      <c r="M399" s="256">
        <v>7.5899999999999991E-4</v>
      </c>
      <c r="N399" s="249">
        <v>398</v>
      </c>
    </row>
    <row r="400" spans="1:14" x14ac:dyDescent="0.25">
      <c r="A400" s="252" t="s">
        <v>135</v>
      </c>
      <c r="B400" s="252" t="s">
        <v>1536</v>
      </c>
      <c r="C400" s="253">
        <v>0</v>
      </c>
      <c r="D400" s="252">
        <v>41018</v>
      </c>
      <c r="E400" s="252" t="s">
        <v>1764</v>
      </c>
      <c r="F400" s="254" t="s">
        <v>1726</v>
      </c>
      <c r="G400" s="252" t="s">
        <v>2015</v>
      </c>
      <c r="H400" s="252" t="s">
        <v>2016</v>
      </c>
      <c r="I400" s="252">
        <v>3</v>
      </c>
      <c r="J400" s="255">
        <v>1</v>
      </c>
      <c r="K400" s="255">
        <v>1</v>
      </c>
      <c r="L400" s="255"/>
      <c r="M400" s="256">
        <v>7.5899999999999991E-4</v>
      </c>
      <c r="N400" s="249">
        <v>399</v>
      </c>
    </row>
    <row r="401" spans="1:14" x14ac:dyDescent="0.25">
      <c r="A401" s="252" t="s">
        <v>135</v>
      </c>
      <c r="B401" s="252" t="s">
        <v>1536</v>
      </c>
      <c r="C401" s="253">
        <v>0</v>
      </c>
      <c r="D401" s="252">
        <v>41018</v>
      </c>
      <c r="E401" s="252" t="s">
        <v>1764</v>
      </c>
      <c r="F401" s="254" t="s">
        <v>1726</v>
      </c>
      <c r="G401" s="252" t="s">
        <v>2017</v>
      </c>
      <c r="H401" s="252" t="s">
        <v>2018</v>
      </c>
      <c r="I401" s="252">
        <v>3</v>
      </c>
      <c r="J401" s="255">
        <v>1</v>
      </c>
      <c r="K401" s="255">
        <v>1</v>
      </c>
      <c r="L401" s="255"/>
      <c r="M401" s="256">
        <v>3.4589999999999994E-3</v>
      </c>
      <c r="N401" s="249">
        <v>400</v>
      </c>
    </row>
    <row r="402" spans="1:14" x14ac:dyDescent="0.25">
      <c r="A402" s="252" t="s">
        <v>135</v>
      </c>
      <c r="B402" s="252" t="s">
        <v>1536</v>
      </c>
      <c r="C402" s="253">
        <v>0</v>
      </c>
      <c r="D402" s="252">
        <v>41018</v>
      </c>
      <c r="E402" s="252" t="s">
        <v>1764</v>
      </c>
      <c r="F402" s="254" t="s">
        <v>2326</v>
      </c>
      <c r="G402" s="252" t="s">
        <v>2939</v>
      </c>
      <c r="H402" s="252" t="s">
        <v>2940</v>
      </c>
      <c r="I402" s="252">
        <v>3</v>
      </c>
      <c r="J402" s="255">
        <v>1</v>
      </c>
      <c r="K402" s="255">
        <v>1</v>
      </c>
      <c r="L402" s="255"/>
      <c r="M402" s="256">
        <v>7.6800000000000002E-4</v>
      </c>
      <c r="N402" s="249">
        <v>401</v>
      </c>
    </row>
    <row r="403" spans="1:14" x14ac:dyDescent="0.25">
      <c r="A403" s="252" t="s">
        <v>135</v>
      </c>
      <c r="B403" s="252" t="s">
        <v>1536</v>
      </c>
      <c r="C403" s="253">
        <v>0</v>
      </c>
      <c r="D403" s="252">
        <v>41018</v>
      </c>
      <c r="E403" s="252" t="s">
        <v>1764</v>
      </c>
      <c r="F403" s="254" t="s">
        <v>2326</v>
      </c>
      <c r="G403" s="252" t="s">
        <v>2941</v>
      </c>
      <c r="H403" s="252" t="s">
        <v>2942</v>
      </c>
      <c r="I403" s="252">
        <v>3</v>
      </c>
      <c r="J403" s="255">
        <v>1</v>
      </c>
      <c r="K403" s="255">
        <v>1</v>
      </c>
      <c r="L403" s="255"/>
      <c r="M403" s="256">
        <v>2.7809999999999996E-3</v>
      </c>
      <c r="N403" s="249">
        <v>402</v>
      </c>
    </row>
    <row r="404" spans="1:14" x14ac:dyDescent="0.25">
      <c r="A404" s="252" t="s">
        <v>135</v>
      </c>
      <c r="B404" s="252" t="s">
        <v>1536</v>
      </c>
      <c r="C404" s="253">
        <v>0</v>
      </c>
      <c r="D404" s="252">
        <v>41018</v>
      </c>
      <c r="E404" s="252" t="s">
        <v>1764</v>
      </c>
      <c r="F404" s="254" t="s">
        <v>2326</v>
      </c>
      <c r="G404" s="252" t="s">
        <v>2943</v>
      </c>
      <c r="H404" s="252" t="s">
        <v>2944</v>
      </c>
      <c r="I404" s="252">
        <v>3</v>
      </c>
      <c r="J404" s="255">
        <v>1</v>
      </c>
      <c r="K404" s="255">
        <v>1</v>
      </c>
      <c r="L404" s="255"/>
      <c r="M404" s="256">
        <v>5.9099999999999995E-4</v>
      </c>
      <c r="N404" s="249">
        <v>403</v>
      </c>
    </row>
    <row r="405" spans="1:14" x14ac:dyDescent="0.25">
      <c r="A405" s="252" t="s">
        <v>135</v>
      </c>
      <c r="B405" s="252" t="s">
        <v>1536</v>
      </c>
      <c r="C405" s="253">
        <v>0</v>
      </c>
      <c r="D405" s="252">
        <v>41018</v>
      </c>
      <c r="E405" s="252" t="s">
        <v>1764</v>
      </c>
      <c r="F405" s="254" t="s">
        <v>2326</v>
      </c>
      <c r="G405" s="252" t="s">
        <v>2945</v>
      </c>
      <c r="H405" s="252" t="s">
        <v>2946</v>
      </c>
      <c r="I405" s="252">
        <v>3</v>
      </c>
      <c r="J405" s="255">
        <v>1</v>
      </c>
      <c r="K405" s="255">
        <v>1</v>
      </c>
      <c r="L405" s="255"/>
      <c r="M405" s="256">
        <v>5.9099999999999995E-4</v>
      </c>
      <c r="N405" s="249">
        <v>404</v>
      </c>
    </row>
    <row r="406" spans="1:14" x14ac:dyDescent="0.25">
      <c r="A406" s="252" t="s">
        <v>135</v>
      </c>
      <c r="B406" s="252" t="s">
        <v>1536</v>
      </c>
      <c r="C406" s="253">
        <v>0</v>
      </c>
      <c r="D406" s="252">
        <v>41018</v>
      </c>
      <c r="E406" s="252" t="s">
        <v>1764</v>
      </c>
      <c r="F406" s="254" t="s">
        <v>2326</v>
      </c>
      <c r="G406" s="252" t="s">
        <v>2947</v>
      </c>
      <c r="H406" s="252" t="s">
        <v>2948</v>
      </c>
      <c r="I406" s="252">
        <v>3</v>
      </c>
      <c r="J406" s="255">
        <v>1</v>
      </c>
      <c r="K406" s="255">
        <v>1</v>
      </c>
      <c r="L406" s="255"/>
      <c r="M406" s="256">
        <v>2.2199999999999998E-4</v>
      </c>
      <c r="N406" s="249">
        <v>405</v>
      </c>
    </row>
    <row r="407" spans="1:14" x14ac:dyDescent="0.25">
      <c r="A407" s="252" t="s">
        <v>135</v>
      </c>
      <c r="B407" s="252" t="s">
        <v>1536</v>
      </c>
      <c r="C407" s="253">
        <v>0</v>
      </c>
      <c r="D407" s="252">
        <v>41018</v>
      </c>
      <c r="E407" s="252" t="s">
        <v>1764</v>
      </c>
      <c r="F407" s="254" t="s">
        <v>2326</v>
      </c>
      <c r="G407" s="252" t="s">
        <v>2949</v>
      </c>
      <c r="H407" s="252" t="s">
        <v>2950</v>
      </c>
      <c r="I407" s="252">
        <v>3</v>
      </c>
      <c r="J407" s="255">
        <v>1</v>
      </c>
      <c r="K407" s="255">
        <v>1</v>
      </c>
      <c r="L407" s="255"/>
      <c r="M407" s="256">
        <v>1.8059999999999997E-3</v>
      </c>
      <c r="N407" s="249">
        <v>406</v>
      </c>
    </row>
    <row r="408" spans="1:14" x14ac:dyDescent="0.25">
      <c r="A408" s="252" t="s">
        <v>135</v>
      </c>
      <c r="B408" s="252" t="s">
        <v>1536</v>
      </c>
      <c r="C408" s="253">
        <v>0</v>
      </c>
      <c r="D408" s="252">
        <v>41018</v>
      </c>
      <c r="E408" s="252" t="s">
        <v>1764</v>
      </c>
      <c r="F408" s="254" t="s">
        <v>2326</v>
      </c>
      <c r="G408" s="252" t="s">
        <v>2951</v>
      </c>
      <c r="H408" s="252" t="s">
        <v>2952</v>
      </c>
      <c r="I408" s="252">
        <v>3</v>
      </c>
      <c r="J408" s="255">
        <v>1</v>
      </c>
      <c r="K408" s="255">
        <v>1</v>
      </c>
      <c r="L408" s="255"/>
      <c r="M408" s="256">
        <v>1.8059999999999997E-3</v>
      </c>
      <c r="N408" s="249">
        <v>407</v>
      </c>
    </row>
    <row r="409" spans="1:14" x14ac:dyDescent="0.25">
      <c r="A409" s="252" t="s">
        <v>135</v>
      </c>
      <c r="B409" s="252" t="s">
        <v>1536</v>
      </c>
      <c r="C409" s="253">
        <v>0</v>
      </c>
      <c r="D409" s="252">
        <v>41018</v>
      </c>
      <c r="E409" s="252" t="s">
        <v>1764</v>
      </c>
      <c r="F409" s="254" t="s">
        <v>2326</v>
      </c>
      <c r="G409" s="252" t="s">
        <v>2953</v>
      </c>
      <c r="H409" s="252" t="s">
        <v>2954</v>
      </c>
      <c r="I409" s="252">
        <v>3</v>
      </c>
      <c r="J409" s="255">
        <v>1</v>
      </c>
      <c r="K409" s="255">
        <v>1</v>
      </c>
      <c r="L409" s="255"/>
      <c r="M409" s="256">
        <v>9.2999999999999997E-5</v>
      </c>
      <c r="N409" s="249">
        <v>408</v>
      </c>
    </row>
    <row r="410" spans="1:14" x14ac:dyDescent="0.25">
      <c r="A410" s="252" t="s">
        <v>135</v>
      </c>
      <c r="B410" s="252" t="s">
        <v>1536</v>
      </c>
      <c r="C410" s="253">
        <v>0</v>
      </c>
      <c r="D410" s="252">
        <v>41018</v>
      </c>
      <c r="E410" s="252" t="s">
        <v>1764</v>
      </c>
      <c r="F410" s="254" t="s">
        <v>2326</v>
      </c>
      <c r="G410" s="252" t="s">
        <v>2955</v>
      </c>
      <c r="H410" s="252" t="s">
        <v>2956</v>
      </c>
      <c r="I410" s="252">
        <v>3</v>
      </c>
      <c r="J410" s="255">
        <v>1</v>
      </c>
      <c r="K410" s="255">
        <v>1</v>
      </c>
      <c r="L410" s="255"/>
      <c r="M410" s="256">
        <v>9.2999999999999997E-5</v>
      </c>
      <c r="N410" s="249">
        <v>409</v>
      </c>
    </row>
    <row r="411" spans="1:14" x14ac:dyDescent="0.25">
      <c r="A411" s="252" t="s">
        <v>135</v>
      </c>
      <c r="B411" s="252" t="s">
        <v>1536</v>
      </c>
      <c r="C411" s="253">
        <v>0</v>
      </c>
      <c r="D411" s="252">
        <v>41018</v>
      </c>
      <c r="E411" s="252" t="s">
        <v>1764</v>
      </c>
      <c r="F411" s="254" t="s">
        <v>2326</v>
      </c>
      <c r="G411" s="252" t="s">
        <v>2957</v>
      </c>
      <c r="H411" s="252" t="s">
        <v>2958</v>
      </c>
      <c r="I411" s="252">
        <v>3</v>
      </c>
      <c r="J411" s="255">
        <v>1</v>
      </c>
      <c r="K411" s="255">
        <v>1</v>
      </c>
      <c r="L411" s="255"/>
      <c r="M411" s="256">
        <v>1.41E-3</v>
      </c>
      <c r="N411" s="249">
        <v>410</v>
      </c>
    </row>
    <row r="412" spans="1:14" x14ac:dyDescent="0.25">
      <c r="A412" s="252" t="s">
        <v>135</v>
      </c>
      <c r="B412" s="252" t="s">
        <v>1536</v>
      </c>
      <c r="C412" s="253">
        <v>0</v>
      </c>
      <c r="D412" s="252">
        <v>41018</v>
      </c>
      <c r="E412" s="252" t="s">
        <v>1764</v>
      </c>
      <c r="F412" s="254" t="s">
        <v>2326</v>
      </c>
      <c r="G412" s="252" t="s">
        <v>2959</v>
      </c>
      <c r="H412" s="252" t="s">
        <v>2960</v>
      </c>
      <c r="I412" s="252">
        <v>3</v>
      </c>
      <c r="J412" s="255">
        <v>1</v>
      </c>
      <c r="K412" s="255">
        <v>1</v>
      </c>
      <c r="L412" s="255"/>
      <c r="M412" s="256">
        <v>1.323E-3</v>
      </c>
      <c r="N412" s="249">
        <v>411</v>
      </c>
    </row>
    <row r="413" spans="1:14" x14ac:dyDescent="0.25">
      <c r="A413" s="252" t="s">
        <v>135</v>
      </c>
      <c r="B413" s="252" t="s">
        <v>1536</v>
      </c>
      <c r="C413" s="253">
        <v>0</v>
      </c>
      <c r="D413" s="252">
        <v>41018</v>
      </c>
      <c r="E413" s="252" t="s">
        <v>1764</v>
      </c>
      <c r="F413" s="254" t="s">
        <v>2326</v>
      </c>
      <c r="G413" s="252" t="s">
        <v>2961</v>
      </c>
      <c r="H413" s="252" t="s">
        <v>2962</v>
      </c>
      <c r="I413" s="252">
        <v>3</v>
      </c>
      <c r="J413" s="255">
        <v>1</v>
      </c>
      <c r="K413" s="255">
        <v>1</v>
      </c>
      <c r="L413" s="255"/>
      <c r="M413" s="256">
        <v>1.8059999999999997E-3</v>
      </c>
      <c r="N413" s="249">
        <v>412</v>
      </c>
    </row>
    <row r="414" spans="1:14" x14ac:dyDescent="0.25">
      <c r="A414" s="252" t="s">
        <v>135</v>
      </c>
      <c r="B414" s="252" t="s">
        <v>1536</v>
      </c>
      <c r="C414" s="253">
        <v>0</v>
      </c>
      <c r="D414" s="252">
        <v>41018</v>
      </c>
      <c r="E414" s="252" t="s">
        <v>1764</v>
      </c>
      <c r="F414" s="254" t="s">
        <v>2326</v>
      </c>
      <c r="G414" s="252" t="s">
        <v>2963</v>
      </c>
      <c r="H414" s="252" t="s">
        <v>2964</v>
      </c>
      <c r="I414" s="252">
        <v>3</v>
      </c>
      <c r="J414" s="255">
        <v>1</v>
      </c>
      <c r="K414" s="255">
        <v>1</v>
      </c>
      <c r="L414" s="255"/>
      <c r="M414" s="256">
        <v>1.8059999999999997E-3</v>
      </c>
      <c r="N414" s="249">
        <v>413</v>
      </c>
    </row>
    <row r="415" spans="1:14" x14ac:dyDescent="0.25">
      <c r="A415" s="252" t="s">
        <v>135</v>
      </c>
      <c r="B415" s="252" t="s">
        <v>1536</v>
      </c>
      <c r="C415" s="253">
        <v>0</v>
      </c>
      <c r="D415" s="252">
        <v>41018</v>
      </c>
      <c r="E415" s="252" t="s">
        <v>1764</v>
      </c>
      <c r="F415" s="254" t="s">
        <v>2326</v>
      </c>
      <c r="G415" s="252" t="s">
        <v>2965</v>
      </c>
      <c r="H415" s="252" t="s">
        <v>2966</v>
      </c>
      <c r="I415" s="252">
        <v>3</v>
      </c>
      <c r="J415" s="255">
        <v>1</v>
      </c>
      <c r="K415" s="255">
        <v>1</v>
      </c>
      <c r="L415" s="255"/>
      <c r="M415" s="256">
        <v>7.5899999999999991E-4</v>
      </c>
      <c r="N415" s="249">
        <v>414</v>
      </c>
    </row>
    <row r="416" spans="1:14" x14ac:dyDescent="0.25">
      <c r="A416" s="252" t="s">
        <v>135</v>
      </c>
      <c r="B416" s="252" t="s">
        <v>1536</v>
      </c>
      <c r="C416" s="253">
        <v>0</v>
      </c>
      <c r="D416" s="252">
        <v>41018</v>
      </c>
      <c r="E416" s="252" t="s">
        <v>1764</v>
      </c>
      <c r="F416" s="254" t="s">
        <v>2326</v>
      </c>
      <c r="G416" s="252" t="s">
        <v>2967</v>
      </c>
      <c r="H416" s="252" t="s">
        <v>2968</v>
      </c>
      <c r="I416" s="252">
        <v>3</v>
      </c>
      <c r="J416" s="255">
        <v>1</v>
      </c>
      <c r="K416" s="255">
        <v>1</v>
      </c>
      <c r="L416" s="255"/>
      <c r="M416" s="256">
        <v>7.5899999999999991E-4</v>
      </c>
      <c r="N416" s="249">
        <v>415</v>
      </c>
    </row>
    <row r="417" spans="1:14" x14ac:dyDescent="0.25">
      <c r="A417" s="252" t="s">
        <v>135</v>
      </c>
      <c r="B417" s="252" t="s">
        <v>1536</v>
      </c>
      <c r="C417" s="253">
        <v>0</v>
      </c>
      <c r="D417" s="252">
        <v>41018</v>
      </c>
      <c r="E417" s="252" t="s">
        <v>1764</v>
      </c>
      <c r="F417" s="254" t="s">
        <v>2326</v>
      </c>
      <c r="G417" s="252" t="s">
        <v>2969</v>
      </c>
      <c r="H417" s="252" t="s">
        <v>2970</v>
      </c>
      <c r="I417" s="252">
        <v>3</v>
      </c>
      <c r="J417" s="255">
        <v>1</v>
      </c>
      <c r="K417" s="255">
        <v>1</v>
      </c>
      <c r="L417" s="255"/>
      <c r="M417" s="256">
        <v>3.3779999999999995E-3</v>
      </c>
      <c r="N417" s="249">
        <v>416</v>
      </c>
    </row>
    <row r="418" spans="1:14" x14ac:dyDescent="0.25">
      <c r="A418" s="252" t="s">
        <v>135</v>
      </c>
      <c r="B418" s="252" t="s">
        <v>1536</v>
      </c>
      <c r="C418" s="253">
        <v>0</v>
      </c>
      <c r="D418" s="252">
        <v>41018</v>
      </c>
      <c r="E418" s="252" t="s">
        <v>1764</v>
      </c>
      <c r="F418" s="254" t="s">
        <v>2656</v>
      </c>
      <c r="G418" s="252" t="s">
        <v>2971</v>
      </c>
      <c r="H418" s="252" t="s">
        <v>2972</v>
      </c>
      <c r="I418" s="252">
        <v>3</v>
      </c>
      <c r="J418" s="255">
        <v>1</v>
      </c>
      <c r="K418" s="255">
        <v>1</v>
      </c>
      <c r="L418" s="255"/>
      <c r="M418" s="256">
        <v>7.139999999999999E-4</v>
      </c>
      <c r="N418" s="249">
        <v>417</v>
      </c>
    </row>
    <row r="419" spans="1:14" x14ac:dyDescent="0.25">
      <c r="A419" s="252" t="s">
        <v>135</v>
      </c>
      <c r="B419" s="252" t="s">
        <v>1536</v>
      </c>
      <c r="C419" s="253">
        <v>0</v>
      </c>
      <c r="D419" s="252">
        <v>41018</v>
      </c>
      <c r="E419" s="252" t="s">
        <v>1764</v>
      </c>
      <c r="F419" s="254" t="s">
        <v>2656</v>
      </c>
      <c r="G419" s="252" t="s">
        <v>2973</v>
      </c>
      <c r="H419" s="252" t="s">
        <v>2974</v>
      </c>
      <c r="I419" s="252">
        <v>3</v>
      </c>
      <c r="J419" s="255">
        <v>1</v>
      </c>
      <c r="K419" s="255">
        <v>1</v>
      </c>
      <c r="L419" s="255"/>
      <c r="M419" s="256">
        <v>1.8059999999999997E-3</v>
      </c>
      <c r="N419" s="249">
        <v>418</v>
      </c>
    </row>
    <row r="420" spans="1:14" x14ac:dyDescent="0.25">
      <c r="A420" s="252" t="s">
        <v>135</v>
      </c>
      <c r="B420" s="252" t="s">
        <v>1536</v>
      </c>
      <c r="C420" s="253">
        <v>0</v>
      </c>
      <c r="D420" s="252">
        <v>41018</v>
      </c>
      <c r="E420" s="252" t="s">
        <v>1764</v>
      </c>
      <c r="F420" s="254" t="s">
        <v>2656</v>
      </c>
      <c r="G420" s="252" t="s">
        <v>2975</v>
      </c>
      <c r="H420" s="252" t="s">
        <v>2976</v>
      </c>
      <c r="I420" s="252">
        <v>3</v>
      </c>
      <c r="J420" s="255">
        <v>1</v>
      </c>
      <c r="K420" s="255">
        <v>1</v>
      </c>
      <c r="L420" s="255"/>
      <c r="M420" s="256">
        <v>1.8059999999999997E-3</v>
      </c>
      <c r="N420" s="249">
        <v>419</v>
      </c>
    </row>
    <row r="421" spans="1:14" x14ac:dyDescent="0.25">
      <c r="A421" s="252" t="s">
        <v>135</v>
      </c>
      <c r="B421" s="252" t="s">
        <v>1536</v>
      </c>
      <c r="C421" s="253">
        <v>0</v>
      </c>
      <c r="D421" s="252">
        <v>41018</v>
      </c>
      <c r="E421" s="252" t="s">
        <v>1764</v>
      </c>
      <c r="F421" s="254" t="s">
        <v>2656</v>
      </c>
      <c r="G421" s="252" t="s">
        <v>2977</v>
      </c>
      <c r="H421" s="252" t="s">
        <v>2978</v>
      </c>
      <c r="I421" s="252">
        <v>3</v>
      </c>
      <c r="J421" s="255">
        <v>1</v>
      </c>
      <c r="K421" s="255">
        <v>1</v>
      </c>
      <c r="L421" s="255"/>
      <c r="M421" s="256">
        <v>3.8999999999999999E-4</v>
      </c>
      <c r="N421" s="249">
        <v>420</v>
      </c>
    </row>
    <row r="422" spans="1:14" x14ac:dyDescent="0.25">
      <c r="A422" s="252" t="s">
        <v>135</v>
      </c>
      <c r="B422" s="252" t="s">
        <v>1536</v>
      </c>
      <c r="C422" s="253">
        <v>0</v>
      </c>
      <c r="D422" s="252">
        <v>41018</v>
      </c>
      <c r="E422" s="252" t="s">
        <v>1764</v>
      </c>
      <c r="F422" s="254" t="s">
        <v>2656</v>
      </c>
      <c r="G422" s="252" t="s">
        <v>2979</v>
      </c>
      <c r="H422" s="252" t="s">
        <v>2980</v>
      </c>
      <c r="I422" s="252">
        <v>3</v>
      </c>
      <c r="J422" s="255">
        <v>1</v>
      </c>
      <c r="K422" s="255">
        <v>1</v>
      </c>
      <c r="L422" s="255"/>
      <c r="M422" s="256">
        <v>3.8999999999999999E-4</v>
      </c>
      <c r="N422" s="249">
        <v>421</v>
      </c>
    </row>
    <row r="423" spans="1:14" x14ac:dyDescent="0.25">
      <c r="A423" s="252" t="s">
        <v>135</v>
      </c>
      <c r="B423" s="252" t="s">
        <v>1536</v>
      </c>
      <c r="C423" s="253">
        <v>0</v>
      </c>
      <c r="D423" s="252">
        <v>41018</v>
      </c>
      <c r="E423" s="252" t="s">
        <v>1764</v>
      </c>
      <c r="F423" s="254" t="s">
        <v>2656</v>
      </c>
      <c r="G423" s="252" t="s">
        <v>2981</v>
      </c>
      <c r="H423" s="252" t="s">
        <v>2982</v>
      </c>
      <c r="I423" s="252">
        <v>3</v>
      </c>
      <c r="J423" s="255">
        <v>1</v>
      </c>
      <c r="K423" s="255">
        <v>1</v>
      </c>
      <c r="L423" s="255"/>
      <c r="M423" s="256">
        <v>2.9039999999999999E-3</v>
      </c>
      <c r="N423" s="249">
        <v>422</v>
      </c>
    </row>
    <row r="424" spans="1:14" x14ac:dyDescent="0.25">
      <c r="A424" s="252" t="s">
        <v>135</v>
      </c>
      <c r="B424" s="252" t="s">
        <v>1536</v>
      </c>
      <c r="C424" s="253">
        <v>0</v>
      </c>
      <c r="D424" s="252">
        <v>41018</v>
      </c>
      <c r="E424" s="252" t="s">
        <v>1764</v>
      </c>
      <c r="F424" s="254" t="s">
        <v>2656</v>
      </c>
      <c r="G424" s="252" t="s">
        <v>2983</v>
      </c>
      <c r="H424" s="252" t="s">
        <v>2984</v>
      </c>
      <c r="I424" s="252">
        <v>3</v>
      </c>
      <c r="J424" s="255">
        <v>1</v>
      </c>
      <c r="K424" s="255">
        <v>1</v>
      </c>
      <c r="L424" s="255"/>
      <c r="M424" s="256">
        <v>3.9150000000000001E-3</v>
      </c>
      <c r="N424" s="249">
        <v>423</v>
      </c>
    </row>
    <row r="425" spans="1:14" x14ac:dyDescent="0.25">
      <c r="A425" s="252" t="s">
        <v>135</v>
      </c>
      <c r="B425" s="252" t="s">
        <v>1536</v>
      </c>
      <c r="C425" s="253">
        <v>0</v>
      </c>
      <c r="D425" s="252">
        <v>41018</v>
      </c>
      <c r="E425" s="252" t="s">
        <v>1764</v>
      </c>
      <c r="F425" s="254" t="s">
        <v>2656</v>
      </c>
      <c r="G425" s="252" t="s">
        <v>2985</v>
      </c>
      <c r="H425" s="252" t="s">
        <v>2986</v>
      </c>
      <c r="I425" s="252">
        <v>3</v>
      </c>
      <c r="J425" s="255">
        <v>1</v>
      </c>
      <c r="K425" s="255">
        <v>1</v>
      </c>
      <c r="L425" s="255"/>
      <c r="M425" s="256">
        <v>1.8059999999999997E-3</v>
      </c>
      <c r="N425" s="249">
        <v>424</v>
      </c>
    </row>
    <row r="426" spans="1:14" x14ac:dyDescent="0.25">
      <c r="A426" s="252" t="s">
        <v>135</v>
      </c>
      <c r="B426" s="252" t="s">
        <v>1536</v>
      </c>
      <c r="C426" s="253">
        <v>0</v>
      </c>
      <c r="D426" s="252">
        <v>41018</v>
      </c>
      <c r="E426" s="252" t="s">
        <v>1764</v>
      </c>
      <c r="F426" s="254" t="s">
        <v>2656</v>
      </c>
      <c r="G426" s="252" t="s">
        <v>2987</v>
      </c>
      <c r="H426" s="252" t="s">
        <v>2988</v>
      </c>
      <c r="I426" s="252">
        <v>3</v>
      </c>
      <c r="J426" s="255">
        <v>1</v>
      </c>
      <c r="K426" s="255">
        <v>1</v>
      </c>
      <c r="L426" s="255"/>
      <c r="M426" s="256">
        <v>1.7759999999999998E-3</v>
      </c>
      <c r="N426" s="249">
        <v>425</v>
      </c>
    </row>
    <row r="427" spans="1:14" x14ac:dyDescent="0.25">
      <c r="A427" s="252" t="s">
        <v>135</v>
      </c>
      <c r="B427" s="252" t="s">
        <v>1536</v>
      </c>
      <c r="C427" s="253">
        <v>0</v>
      </c>
      <c r="D427" s="252">
        <v>41018</v>
      </c>
      <c r="E427" s="252" t="s">
        <v>1764</v>
      </c>
      <c r="F427" s="254" t="s">
        <v>2656</v>
      </c>
      <c r="G427" s="252" t="s">
        <v>2989</v>
      </c>
      <c r="H427" s="252" t="s">
        <v>2990</v>
      </c>
      <c r="I427" s="252">
        <v>3</v>
      </c>
      <c r="J427" s="255">
        <v>1</v>
      </c>
      <c r="K427" s="255">
        <v>1</v>
      </c>
      <c r="L427" s="255"/>
      <c r="M427" s="256">
        <v>1.7759999999999998E-3</v>
      </c>
      <c r="N427" s="249">
        <v>426</v>
      </c>
    </row>
    <row r="428" spans="1:14" x14ac:dyDescent="0.25">
      <c r="A428" s="252" t="s">
        <v>135</v>
      </c>
      <c r="B428" s="252" t="s">
        <v>1536</v>
      </c>
      <c r="C428" s="253">
        <v>0</v>
      </c>
      <c r="D428" s="252">
        <v>41018</v>
      </c>
      <c r="E428" s="252" t="s">
        <v>1764</v>
      </c>
      <c r="F428" s="254" t="s">
        <v>2656</v>
      </c>
      <c r="G428" s="252" t="s">
        <v>2991</v>
      </c>
      <c r="H428" s="252" t="s">
        <v>2992</v>
      </c>
      <c r="I428" s="252">
        <v>3</v>
      </c>
      <c r="J428" s="255">
        <v>1</v>
      </c>
      <c r="K428" s="255">
        <v>1</v>
      </c>
      <c r="L428" s="255"/>
      <c r="M428" s="256">
        <v>9.9899999999999989E-4</v>
      </c>
      <c r="N428" s="249">
        <v>427</v>
      </c>
    </row>
    <row r="429" spans="1:14" x14ac:dyDescent="0.25">
      <c r="A429" s="252" t="s">
        <v>135</v>
      </c>
      <c r="B429" s="252" t="s">
        <v>1536</v>
      </c>
      <c r="C429" s="253">
        <v>0</v>
      </c>
      <c r="D429" s="252">
        <v>41018</v>
      </c>
      <c r="E429" s="252" t="s">
        <v>1764</v>
      </c>
      <c r="F429" s="254" t="s">
        <v>2656</v>
      </c>
      <c r="G429" s="252" t="s">
        <v>2993</v>
      </c>
      <c r="H429" s="252" t="s">
        <v>2994</v>
      </c>
      <c r="I429" s="252">
        <v>3</v>
      </c>
      <c r="J429" s="255">
        <v>1</v>
      </c>
      <c r="K429" s="255">
        <v>1</v>
      </c>
      <c r="L429" s="255"/>
      <c r="M429" s="256">
        <v>9.9899999999999989E-4</v>
      </c>
      <c r="N429" s="249">
        <v>428</v>
      </c>
    </row>
    <row r="430" spans="1:14" x14ac:dyDescent="0.25">
      <c r="A430" s="252" t="s">
        <v>135</v>
      </c>
      <c r="B430" s="252" t="s">
        <v>1536</v>
      </c>
      <c r="C430" s="253">
        <v>0</v>
      </c>
      <c r="D430" s="252">
        <v>41018</v>
      </c>
      <c r="E430" s="252" t="s">
        <v>1764</v>
      </c>
      <c r="F430" s="254" t="s">
        <v>2656</v>
      </c>
      <c r="G430" s="252" t="s">
        <v>2995</v>
      </c>
      <c r="H430" s="252" t="s">
        <v>2996</v>
      </c>
      <c r="I430" s="252">
        <v>3</v>
      </c>
      <c r="J430" s="255">
        <v>1</v>
      </c>
      <c r="K430" s="255">
        <v>1</v>
      </c>
      <c r="L430" s="255"/>
      <c r="M430" s="256">
        <v>6.0599999999999998E-4</v>
      </c>
      <c r="N430" s="249">
        <v>429</v>
      </c>
    </row>
    <row r="431" spans="1:14" x14ac:dyDescent="0.25">
      <c r="A431" s="252" t="s">
        <v>135</v>
      </c>
      <c r="B431" s="252" t="s">
        <v>1536</v>
      </c>
      <c r="C431" s="253">
        <v>0</v>
      </c>
      <c r="D431" s="252">
        <v>41018</v>
      </c>
      <c r="E431" s="252" t="s">
        <v>1764</v>
      </c>
      <c r="F431" s="254" t="s">
        <v>2656</v>
      </c>
      <c r="G431" s="252" t="s">
        <v>2997</v>
      </c>
      <c r="H431" s="252" t="s">
        <v>2998</v>
      </c>
      <c r="I431" s="252">
        <v>3</v>
      </c>
      <c r="J431" s="255">
        <v>1</v>
      </c>
      <c r="K431" s="255">
        <v>1</v>
      </c>
      <c r="L431" s="255"/>
      <c r="M431" s="256">
        <v>4.4999999999999999E-4</v>
      </c>
      <c r="N431" s="249">
        <v>430</v>
      </c>
    </row>
    <row r="432" spans="1:14" x14ac:dyDescent="0.25">
      <c r="A432" s="252" t="s">
        <v>135</v>
      </c>
      <c r="B432" s="252" t="s">
        <v>1536</v>
      </c>
      <c r="C432" s="253">
        <v>0</v>
      </c>
      <c r="D432" s="252">
        <v>41018</v>
      </c>
      <c r="E432" s="252" t="s">
        <v>1764</v>
      </c>
      <c r="F432" s="254" t="s">
        <v>2656</v>
      </c>
      <c r="G432" s="252" t="s">
        <v>2999</v>
      </c>
      <c r="H432" s="252" t="s">
        <v>3000</v>
      </c>
      <c r="I432" s="252">
        <v>3</v>
      </c>
      <c r="J432" s="255">
        <v>1</v>
      </c>
      <c r="K432" s="255">
        <v>1</v>
      </c>
      <c r="L432" s="255"/>
      <c r="M432" s="256">
        <v>4.4999999999999999E-4</v>
      </c>
      <c r="N432" s="249">
        <v>431</v>
      </c>
    </row>
    <row r="433" spans="1:14" x14ac:dyDescent="0.25">
      <c r="A433" s="252" t="s">
        <v>135</v>
      </c>
      <c r="B433" s="252" t="s">
        <v>1536</v>
      </c>
      <c r="C433" s="253">
        <v>0</v>
      </c>
      <c r="D433" s="252">
        <v>41018</v>
      </c>
      <c r="E433" s="252" t="s">
        <v>1764</v>
      </c>
      <c r="F433" s="254" t="s">
        <v>2656</v>
      </c>
      <c r="G433" s="252" t="s">
        <v>3001</v>
      </c>
      <c r="H433" s="252" t="s">
        <v>3002</v>
      </c>
      <c r="I433" s="252">
        <v>3</v>
      </c>
      <c r="J433" s="255">
        <v>1</v>
      </c>
      <c r="K433" s="255">
        <v>1</v>
      </c>
      <c r="L433" s="255"/>
      <c r="M433" s="256">
        <v>9.9899999999999989E-4</v>
      </c>
      <c r="N433" s="249">
        <v>432</v>
      </c>
    </row>
    <row r="434" spans="1:14" x14ac:dyDescent="0.25">
      <c r="A434" s="252" t="s">
        <v>135</v>
      </c>
      <c r="B434" s="252" t="s">
        <v>1536</v>
      </c>
      <c r="C434" s="253">
        <v>0</v>
      </c>
      <c r="D434" s="252">
        <v>41018</v>
      </c>
      <c r="E434" s="252" t="s">
        <v>1764</v>
      </c>
      <c r="F434" s="254" t="s">
        <v>2656</v>
      </c>
      <c r="G434" s="252" t="s">
        <v>3003</v>
      </c>
      <c r="H434" s="252" t="s">
        <v>3004</v>
      </c>
      <c r="I434" s="252">
        <v>3</v>
      </c>
      <c r="J434" s="255">
        <v>1</v>
      </c>
      <c r="K434" s="255">
        <v>1</v>
      </c>
      <c r="L434" s="255"/>
      <c r="M434" s="256">
        <v>9.9899999999999989E-4</v>
      </c>
      <c r="N434" s="249">
        <v>433</v>
      </c>
    </row>
    <row r="435" spans="1:14" x14ac:dyDescent="0.25">
      <c r="A435" s="252" t="s">
        <v>135</v>
      </c>
      <c r="B435" s="252" t="s">
        <v>1536</v>
      </c>
      <c r="C435" s="253">
        <v>0</v>
      </c>
      <c r="D435" s="252">
        <v>41018</v>
      </c>
      <c r="E435" s="252" t="s">
        <v>1764</v>
      </c>
      <c r="F435" s="254" t="s">
        <v>2656</v>
      </c>
      <c r="G435" s="252" t="s">
        <v>3005</v>
      </c>
      <c r="H435" s="252" t="s">
        <v>3006</v>
      </c>
      <c r="I435" s="252">
        <v>3</v>
      </c>
      <c r="J435" s="255">
        <v>1</v>
      </c>
      <c r="K435" s="255">
        <v>1</v>
      </c>
      <c r="L435" s="255"/>
      <c r="M435" s="256">
        <v>1.0733999999999999E-2</v>
      </c>
      <c r="N435" s="249">
        <v>434</v>
      </c>
    </row>
    <row r="436" spans="1:14" x14ac:dyDescent="0.25">
      <c r="A436" s="252" t="s">
        <v>135</v>
      </c>
      <c r="B436" s="252" t="s">
        <v>1536</v>
      </c>
      <c r="C436" s="253">
        <v>0</v>
      </c>
      <c r="D436" s="252">
        <v>41018</v>
      </c>
      <c r="E436" s="252" t="s">
        <v>1764</v>
      </c>
      <c r="F436" s="254" t="s">
        <v>2656</v>
      </c>
      <c r="G436" s="252" t="s">
        <v>3007</v>
      </c>
      <c r="H436" s="252" t="s">
        <v>3008</v>
      </c>
      <c r="I436" s="252">
        <v>3</v>
      </c>
      <c r="J436" s="255">
        <v>1</v>
      </c>
      <c r="K436" s="255">
        <v>1</v>
      </c>
      <c r="L436" s="255"/>
      <c r="M436" s="256">
        <v>1.2149999999999999E-3</v>
      </c>
      <c r="N436" s="249">
        <v>435</v>
      </c>
    </row>
    <row r="437" spans="1:14" x14ac:dyDescent="0.25">
      <c r="A437" s="252" t="s">
        <v>135</v>
      </c>
      <c r="B437" s="252" t="s">
        <v>1536</v>
      </c>
      <c r="C437" s="253">
        <v>0</v>
      </c>
      <c r="D437" s="252">
        <v>41018</v>
      </c>
      <c r="E437" s="252" t="s">
        <v>1764</v>
      </c>
      <c r="F437" s="254" t="s">
        <v>2656</v>
      </c>
      <c r="G437" s="252" t="s">
        <v>3009</v>
      </c>
      <c r="H437" s="252" t="s">
        <v>3010</v>
      </c>
      <c r="I437" s="252">
        <v>3</v>
      </c>
      <c r="J437" s="255">
        <v>1</v>
      </c>
      <c r="K437" s="255">
        <v>1</v>
      </c>
      <c r="L437" s="255"/>
      <c r="M437" s="256">
        <v>4.4999999999999999E-4</v>
      </c>
      <c r="N437" s="249">
        <v>436</v>
      </c>
    </row>
    <row r="438" spans="1:14" x14ac:dyDescent="0.25">
      <c r="A438" s="252" t="s">
        <v>135</v>
      </c>
      <c r="B438" s="252" t="s">
        <v>1536</v>
      </c>
      <c r="C438" s="253">
        <v>0</v>
      </c>
      <c r="D438" s="252">
        <v>41018</v>
      </c>
      <c r="E438" s="252" t="s">
        <v>1764</v>
      </c>
      <c r="F438" s="254" t="s">
        <v>2656</v>
      </c>
      <c r="G438" s="252" t="s">
        <v>3011</v>
      </c>
      <c r="H438" s="252" t="s">
        <v>3012</v>
      </c>
      <c r="I438" s="252">
        <v>3</v>
      </c>
      <c r="J438" s="255">
        <v>1</v>
      </c>
      <c r="K438" s="255">
        <v>1</v>
      </c>
      <c r="L438" s="255"/>
      <c r="M438" s="256">
        <v>2.4899999999999998E-4</v>
      </c>
      <c r="N438" s="249">
        <v>437</v>
      </c>
    </row>
    <row r="439" spans="1:14" x14ac:dyDescent="0.25">
      <c r="A439" s="252" t="s">
        <v>135</v>
      </c>
      <c r="B439" s="252" t="s">
        <v>3013</v>
      </c>
      <c r="C439" s="253">
        <v>0</v>
      </c>
      <c r="D439" s="252">
        <v>57057</v>
      </c>
      <c r="E439" s="252" t="s">
        <v>1764</v>
      </c>
      <c r="F439" s="254" t="s">
        <v>1538</v>
      </c>
      <c r="G439" s="252" t="s">
        <v>3014</v>
      </c>
      <c r="H439" s="252" t="s">
        <v>3015</v>
      </c>
      <c r="I439" s="252">
        <v>5</v>
      </c>
      <c r="J439" s="255">
        <v>1</v>
      </c>
      <c r="K439" s="255">
        <v>1</v>
      </c>
      <c r="L439" s="255"/>
      <c r="M439" s="256">
        <v>1.8059999999999997E-3</v>
      </c>
      <c r="N439" s="249">
        <v>438</v>
      </c>
    </row>
    <row r="440" spans="1:14" x14ac:dyDescent="0.25">
      <c r="A440" s="252" t="s">
        <v>135</v>
      </c>
      <c r="B440" s="252" t="s">
        <v>3013</v>
      </c>
      <c r="C440" s="253">
        <v>0</v>
      </c>
      <c r="D440" s="252">
        <v>57057</v>
      </c>
      <c r="E440" s="252" t="s">
        <v>1764</v>
      </c>
      <c r="F440" s="254" t="s">
        <v>1538</v>
      </c>
      <c r="G440" s="252" t="s">
        <v>3016</v>
      </c>
      <c r="H440" s="252" t="s">
        <v>3017</v>
      </c>
      <c r="I440" s="252">
        <v>5</v>
      </c>
      <c r="J440" s="255">
        <v>1</v>
      </c>
      <c r="K440" s="255">
        <v>1</v>
      </c>
      <c r="L440" s="255"/>
      <c r="M440" s="256">
        <v>1.8059999999999997E-3</v>
      </c>
      <c r="N440" s="249">
        <v>439</v>
      </c>
    </row>
    <row r="441" spans="1:14" x14ac:dyDescent="0.25">
      <c r="A441" s="252" t="s">
        <v>135</v>
      </c>
      <c r="B441" s="252" t="s">
        <v>3013</v>
      </c>
      <c r="C441" s="253">
        <v>0</v>
      </c>
      <c r="D441" s="252">
        <v>57057</v>
      </c>
      <c r="E441" s="252" t="s">
        <v>1764</v>
      </c>
      <c r="F441" s="254" t="s">
        <v>1538</v>
      </c>
      <c r="G441" s="252" t="s">
        <v>3018</v>
      </c>
      <c r="H441" s="252" t="s">
        <v>3019</v>
      </c>
      <c r="I441" s="252">
        <v>5</v>
      </c>
      <c r="J441" s="255">
        <v>1</v>
      </c>
      <c r="K441" s="255">
        <v>1</v>
      </c>
      <c r="L441" s="255"/>
      <c r="M441" s="256">
        <v>8.1599999999999999E-4</v>
      </c>
      <c r="N441" s="249">
        <v>440</v>
      </c>
    </row>
    <row r="442" spans="1:14" x14ac:dyDescent="0.25">
      <c r="A442" s="252" t="s">
        <v>135</v>
      </c>
      <c r="B442" s="252" t="s">
        <v>3013</v>
      </c>
      <c r="C442" s="253">
        <v>0</v>
      </c>
      <c r="D442" s="252">
        <v>57057</v>
      </c>
      <c r="E442" s="252" t="s">
        <v>1764</v>
      </c>
      <c r="F442" s="254" t="s">
        <v>1538</v>
      </c>
      <c r="G442" s="252" t="s">
        <v>3020</v>
      </c>
      <c r="H442" s="252" t="s">
        <v>3021</v>
      </c>
      <c r="I442" s="252">
        <v>5</v>
      </c>
      <c r="J442" s="255">
        <v>1</v>
      </c>
      <c r="K442" s="255">
        <v>1</v>
      </c>
      <c r="L442" s="255"/>
      <c r="M442" s="256">
        <v>4.5300000000000001E-4</v>
      </c>
      <c r="N442" s="249">
        <v>441</v>
      </c>
    </row>
    <row r="443" spans="1:14" x14ac:dyDescent="0.25">
      <c r="A443" s="252" t="s">
        <v>135</v>
      </c>
      <c r="B443" s="252" t="s">
        <v>3013</v>
      </c>
      <c r="C443" s="253">
        <v>0</v>
      </c>
      <c r="D443" s="252">
        <v>57057</v>
      </c>
      <c r="E443" s="252" t="s">
        <v>1764</v>
      </c>
      <c r="F443" s="254" t="s">
        <v>1538</v>
      </c>
      <c r="G443" s="252" t="s">
        <v>3022</v>
      </c>
      <c r="H443" s="252" t="s">
        <v>3023</v>
      </c>
      <c r="I443" s="252">
        <v>5</v>
      </c>
      <c r="J443" s="255">
        <v>1</v>
      </c>
      <c r="K443" s="255">
        <v>1</v>
      </c>
      <c r="L443" s="255"/>
      <c r="M443" s="256">
        <v>4.5300000000000001E-4</v>
      </c>
      <c r="N443" s="249">
        <v>442</v>
      </c>
    </row>
    <row r="444" spans="1:14" x14ac:dyDescent="0.25">
      <c r="A444" s="252" t="s">
        <v>135</v>
      </c>
      <c r="B444" s="252" t="s">
        <v>3013</v>
      </c>
      <c r="C444" s="253">
        <v>0</v>
      </c>
      <c r="D444" s="252">
        <v>57057</v>
      </c>
      <c r="E444" s="252" t="s">
        <v>1764</v>
      </c>
      <c r="F444" s="254" t="s">
        <v>1538</v>
      </c>
      <c r="G444" s="252" t="s">
        <v>3024</v>
      </c>
      <c r="H444" s="252" t="s">
        <v>3025</v>
      </c>
      <c r="I444" s="252">
        <v>5</v>
      </c>
      <c r="J444" s="255">
        <v>1</v>
      </c>
      <c r="K444" s="255">
        <v>1</v>
      </c>
      <c r="L444" s="255"/>
      <c r="M444" s="256">
        <v>2.9009999999999999E-3</v>
      </c>
      <c r="N444" s="249">
        <v>443</v>
      </c>
    </row>
    <row r="445" spans="1:14" x14ac:dyDescent="0.25">
      <c r="A445" s="252" t="s">
        <v>135</v>
      </c>
      <c r="B445" s="252" t="s">
        <v>3013</v>
      </c>
      <c r="C445" s="253">
        <v>0</v>
      </c>
      <c r="D445" s="252">
        <v>57057</v>
      </c>
      <c r="E445" s="252" t="s">
        <v>1764</v>
      </c>
      <c r="F445" s="254" t="s">
        <v>1538</v>
      </c>
      <c r="G445" s="252" t="s">
        <v>3026</v>
      </c>
      <c r="H445" s="252" t="s">
        <v>3027</v>
      </c>
      <c r="I445" s="252">
        <v>5</v>
      </c>
      <c r="J445" s="255">
        <v>1</v>
      </c>
      <c r="K445" s="255">
        <v>1</v>
      </c>
      <c r="L445" s="255"/>
      <c r="M445" s="256">
        <v>1.8059999999999997E-3</v>
      </c>
      <c r="N445" s="249">
        <v>444</v>
      </c>
    </row>
    <row r="446" spans="1:14" x14ac:dyDescent="0.25">
      <c r="A446" s="252" t="s">
        <v>135</v>
      </c>
      <c r="B446" s="252" t="s">
        <v>3013</v>
      </c>
      <c r="C446" s="253">
        <v>0</v>
      </c>
      <c r="D446" s="252">
        <v>57057</v>
      </c>
      <c r="E446" s="252" t="s">
        <v>1764</v>
      </c>
      <c r="F446" s="254" t="s">
        <v>1538</v>
      </c>
      <c r="G446" s="252" t="s">
        <v>3028</v>
      </c>
      <c r="H446" s="252" t="s">
        <v>3029</v>
      </c>
      <c r="I446" s="252">
        <v>5</v>
      </c>
      <c r="J446" s="255">
        <v>1</v>
      </c>
      <c r="K446" s="255">
        <v>1</v>
      </c>
      <c r="L446" s="255"/>
      <c r="M446" s="256">
        <v>1.8059999999999997E-3</v>
      </c>
      <c r="N446" s="249">
        <v>445</v>
      </c>
    </row>
    <row r="447" spans="1:14" x14ac:dyDescent="0.25">
      <c r="A447" s="252" t="s">
        <v>135</v>
      </c>
      <c r="B447" s="252" t="s">
        <v>3013</v>
      </c>
      <c r="C447" s="253">
        <v>0</v>
      </c>
      <c r="D447" s="252">
        <v>57057</v>
      </c>
      <c r="E447" s="252" t="s">
        <v>1764</v>
      </c>
      <c r="F447" s="254" t="s">
        <v>1538</v>
      </c>
      <c r="G447" s="252" t="s">
        <v>3030</v>
      </c>
      <c r="H447" s="252" t="s">
        <v>3031</v>
      </c>
      <c r="I447" s="252">
        <v>5</v>
      </c>
      <c r="J447" s="255">
        <v>1</v>
      </c>
      <c r="K447" s="255">
        <v>1</v>
      </c>
      <c r="L447" s="255"/>
      <c r="M447" s="256">
        <v>8.1599999999999999E-4</v>
      </c>
      <c r="N447" s="249">
        <v>446</v>
      </c>
    </row>
    <row r="448" spans="1:14" x14ac:dyDescent="0.25">
      <c r="A448" s="252" t="s">
        <v>135</v>
      </c>
      <c r="B448" s="252" t="s">
        <v>3013</v>
      </c>
      <c r="C448" s="253">
        <v>0</v>
      </c>
      <c r="D448" s="252">
        <v>57057</v>
      </c>
      <c r="E448" s="252" t="s">
        <v>1764</v>
      </c>
      <c r="F448" s="254" t="s">
        <v>1538</v>
      </c>
      <c r="G448" s="252" t="s">
        <v>3032</v>
      </c>
      <c r="H448" s="252" t="s">
        <v>3033</v>
      </c>
      <c r="I448" s="252">
        <v>5</v>
      </c>
      <c r="J448" s="255">
        <v>1</v>
      </c>
      <c r="K448" s="255">
        <v>1</v>
      </c>
      <c r="L448" s="255"/>
      <c r="M448" s="256">
        <v>4.5300000000000001E-4</v>
      </c>
      <c r="N448" s="249">
        <v>447</v>
      </c>
    </row>
    <row r="449" spans="1:14" x14ac:dyDescent="0.25">
      <c r="A449" s="252" t="s">
        <v>135</v>
      </c>
      <c r="B449" s="252" t="s">
        <v>3013</v>
      </c>
      <c r="C449" s="253">
        <v>0</v>
      </c>
      <c r="D449" s="252">
        <v>57057</v>
      </c>
      <c r="E449" s="252" t="s">
        <v>1764</v>
      </c>
      <c r="F449" s="254" t="s">
        <v>1538</v>
      </c>
      <c r="G449" s="252" t="s">
        <v>3034</v>
      </c>
      <c r="H449" s="252" t="s">
        <v>3035</v>
      </c>
      <c r="I449" s="252">
        <v>5</v>
      </c>
      <c r="J449" s="255">
        <v>1</v>
      </c>
      <c r="K449" s="255">
        <v>1</v>
      </c>
      <c r="L449" s="255"/>
      <c r="M449" s="256">
        <v>4.5300000000000001E-4</v>
      </c>
      <c r="N449" s="249">
        <v>448</v>
      </c>
    </row>
    <row r="450" spans="1:14" x14ac:dyDescent="0.25">
      <c r="A450" s="252" t="s">
        <v>135</v>
      </c>
      <c r="B450" s="252" t="s">
        <v>3013</v>
      </c>
      <c r="C450" s="253">
        <v>0</v>
      </c>
      <c r="D450" s="252">
        <v>57057</v>
      </c>
      <c r="E450" s="252" t="s">
        <v>1764</v>
      </c>
      <c r="F450" s="254" t="s">
        <v>1538</v>
      </c>
      <c r="G450" s="252" t="s">
        <v>3036</v>
      </c>
      <c r="H450" s="252" t="s">
        <v>3037</v>
      </c>
      <c r="I450" s="252">
        <v>5</v>
      </c>
      <c r="J450" s="255">
        <v>1</v>
      </c>
      <c r="K450" s="255">
        <v>1</v>
      </c>
      <c r="L450" s="255"/>
      <c r="M450" s="256">
        <v>2.9009999999999999E-3</v>
      </c>
      <c r="N450" s="249">
        <v>449</v>
      </c>
    </row>
    <row r="451" spans="1:14" x14ac:dyDescent="0.25">
      <c r="A451" s="252" t="s">
        <v>204</v>
      </c>
      <c r="B451" s="252" t="s">
        <v>2019</v>
      </c>
      <c r="C451" s="253">
        <v>0</v>
      </c>
      <c r="D451" s="252">
        <v>39792</v>
      </c>
      <c r="E451" s="252" t="s">
        <v>1537</v>
      </c>
      <c r="F451" s="254" t="s">
        <v>1538</v>
      </c>
      <c r="G451" s="252" t="s">
        <v>2067</v>
      </c>
      <c r="H451" s="252" t="s">
        <v>2068</v>
      </c>
      <c r="I451" s="252">
        <v>5</v>
      </c>
      <c r="J451" s="255">
        <v>1</v>
      </c>
      <c r="K451" s="255">
        <v>1</v>
      </c>
      <c r="L451" s="255"/>
      <c r="M451" s="256">
        <v>2.3930999999999997E-2</v>
      </c>
      <c r="N451" s="249">
        <v>450</v>
      </c>
    </row>
    <row r="452" spans="1:14" x14ac:dyDescent="0.25">
      <c r="A452" s="252" t="s">
        <v>204</v>
      </c>
      <c r="B452" s="252" t="s">
        <v>2019</v>
      </c>
      <c r="C452" s="253">
        <v>0</v>
      </c>
      <c r="D452" s="252">
        <v>39792</v>
      </c>
      <c r="E452" s="252" t="s">
        <v>1537</v>
      </c>
      <c r="F452" s="254" t="s">
        <v>1538</v>
      </c>
      <c r="G452" s="252" t="s">
        <v>2069</v>
      </c>
      <c r="H452" s="252" t="s">
        <v>2070</v>
      </c>
      <c r="I452" s="252">
        <v>5</v>
      </c>
      <c r="J452" s="255">
        <v>1</v>
      </c>
      <c r="K452" s="255">
        <v>1</v>
      </c>
      <c r="L452" s="255"/>
      <c r="M452" s="256">
        <v>2.3930999999999997E-2</v>
      </c>
      <c r="N452" s="249">
        <v>451</v>
      </c>
    </row>
    <row r="453" spans="1:14" x14ac:dyDescent="0.25">
      <c r="A453" s="252" t="s">
        <v>204</v>
      </c>
      <c r="B453" s="252" t="s">
        <v>2019</v>
      </c>
      <c r="C453" s="253">
        <v>0</v>
      </c>
      <c r="D453" s="252">
        <v>39792</v>
      </c>
      <c r="E453" s="252" t="s">
        <v>1764</v>
      </c>
      <c r="F453" s="254" t="s">
        <v>1538</v>
      </c>
      <c r="G453" s="252" t="s">
        <v>2073</v>
      </c>
      <c r="H453" s="252" t="s">
        <v>2074</v>
      </c>
      <c r="I453" s="252">
        <v>5</v>
      </c>
      <c r="J453" s="255">
        <v>1</v>
      </c>
      <c r="K453" s="255">
        <v>1</v>
      </c>
      <c r="L453" s="255"/>
      <c r="M453" s="256">
        <v>1.1429999999999999E-3</v>
      </c>
      <c r="N453" s="249">
        <v>452</v>
      </c>
    </row>
    <row r="454" spans="1:14" x14ac:dyDescent="0.25">
      <c r="A454" s="252" t="s">
        <v>204</v>
      </c>
      <c r="B454" s="252" t="s">
        <v>2019</v>
      </c>
      <c r="C454" s="253">
        <v>0</v>
      </c>
      <c r="D454" s="252">
        <v>39792</v>
      </c>
      <c r="E454" s="252" t="s">
        <v>1764</v>
      </c>
      <c r="F454" s="254" t="s">
        <v>1538</v>
      </c>
      <c r="G454" s="252" t="s">
        <v>2075</v>
      </c>
      <c r="H454" s="252" t="s">
        <v>2076</v>
      </c>
      <c r="I454" s="252">
        <v>5</v>
      </c>
      <c r="J454" s="255">
        <v>1</v>
      </c>
      <c r="K454" s="255">
        <v>1</v>
      </c>
      <c r="L454" s="255"/>
      <c r="M454" s="256">
        <v>1.8059999999999997E-3</v>
      </c>
      <c r="N454" s="249">
        <v>453</v>
      </c>
    </row>
    <row r="455" spans="1:14" x14ac:dyDescent="0.25">
      <c r="A455" s="252" t="s">
        <v>204</v>
      </c>
      <c r="B455" s="252" t="s">
        <v>2019</v>
      </c>
      <c r="C455" s="253">
        <v>0</v>
      </c>
      <c r="D455" s="252">
        <v>39792</v>
      </c>
      <c r="E455" s="252" t="s">
        <v>1764</v>
      </c>
      <c r="F455" s="254" t="s">
        <v>1538</v>
      </c>
      <c r="G455" s="252" t="s">
        <v>2077</v>
      </c>
      <c r="H455" s="252" t="s">
        <v>2078</v>
      </c>
      <c r="I455" s="252">
        <v>5</v>
      </c>
      <c r="J455" s="255">
        <v>1</v>
      </c>
      <c r="K455" s="255">
        <v>1</v>
      </c>
      <c r="L455" s="255"/>
      <c r="M455" s="256">
        <v>1.8059999999999997E-3</v>
      </c>
      <c r="N455" s="249">
        <v>454</v>
      </c>
    </row>
    <row r="456" spans="1:14" x14ac:dyDescent="0.25">
      <c r="A456" s="252" t="s">
        <v>204</v>
      </c>
      <c r="B456" s="252" t="s">
        <v>2019</v>
      </c>
      <c r="C456" s="253">
        <v>0</v>
      </c>
      <c r="D456" s="252">
        <v>39792</v>
      </c>
      <c r="E456" s="252" t="s">
        <v>1764</v>
      </c>
      <c r="F456" s="254" t="s">
        <v>1538</v>
      </c>
      <c r="G456" s="252" t="s">
        <v>2079</v>
      </c>
      <c r="H456" s="252" t="s">
        <v>2080</v>
      </c>
      <c r="I456" s="252">
        <v>5</v>
      </c>
      <c r="J456" s="255">
        <v>1</v>
      </c>
      <c r="K456" s="255">
        <v>1</v>
      </c>
      <c r="L456" s="255"/>
      <c r="M456" s="256">
        <v>6.5099999999999999E-4</v>
      </c>
      <c r="N456" s="249">
        <v>455</v>
      </c>
    </row>
    <row r="457" spans="1:14" x14ac:dyDescent="0.25">
      <c r="A457" s="252" t="s">
        <v>204</v>
      </c>
      <c r="B457" s="252" t="s">
        <v>2019</v>
      </c>
      <c r="C457" s="253">
        <v>0</v>
      </c>
      <c r="D457" s="252">
        <v>39792</v>
      </c>
      <c r="E457" s="252" t="s">
        <v>1764</v>
      </c>
      <c r="F457" s="254" t="s">
        <v>1538</v>
      </c>
      <c r="G457" s="252" t="s">
        <v>2081</v>
      </c>
      <c r="H457" s="252" t="s">
        <v>2082</v>
      </c>
      <c r="I457" s="252">
        <v>5</v>
      </c>
      <c r="J457" s="255">
        <v>1</v>
      </c>
      <c r="K457" s="255">
        <v>1</v>
      </c>
      <c r="L457" s="255"/>
      <c r="M457" s="256">
        <v>6.5099999999999999E-4</v>
      </c>
      <c r="N457" s="249">
        <v>456</v>
      </c>
    </row>
    <row r="458" spans="1:14" x14ac:dyDescent="0.25">
      <c r="A458" s="252" t="s">
        <v>204</v>
      </c>
      <c r="B458" s="252" t="s">
        <v>2019</v>
      </c>
      <c r="C458" s="253">
        <v>0</v>
      </c>
      <c r="D458" s="252">
        <v>39792</v>
      </c>
      <c r="E458" s="252" t="s">
        <v>1764</v>
      </c>
      <c r="F458" s="254" t="s">
        <v>1538</v>
      </c>
      <c r="G458" s="252" t="s">
        <v>2083</v>
      </c>
      <c r="H458" s="252" t="s">
        <v>2084</v>
      </c>
      <c r="I458" s="252">
        <v>5</v>
      </c>
      <c r="J458" s="255">
        <v>1</v>
      </c>
      <c r="K458" s="255">
        <v>1</v>
      </c>
      <c r="L458" s="255"/>
      <c r="M458" s="256">
        <v>4.4130000000000003E-3</v>
      </c>
      <c r="N458" s="249">
        <v>457</v>
      </c>
    </row>
    <row r="459" spans="1:14" x14ac:dyDescent="0.25">
      <c r="A459" s="252" t="s">
        <v>204</v>
      </c>
      <c r="B459" s="252" t="s">
        <v>2019</v>
      </c>
      <c r="C459" s="253">
        <v>0</v>
      </c>
      <c r="D459" s="252">
        <v>39792</v>
      </c>
      <c r="E459" s="252" t="s">
        <v>1764</v>
      </c>
      <c r="F459" s="254" t="s">
        <v>1538</v>
      </c>
      <c r="G459" s="252" t="s">
        <v>2085</v>
      </c>
      <c r="H459" s="252" t="s">
        <v>2086</v>
      </c>
      <c r="I459" s="252">
        <v>5</v>
      </c>
      <c r="J459" s="255">
        <v>1</v>
      </c>
      <c r="K459" s="255">
        <v>1</v>
      </c>
      <c r="L459" s="255"/>
      <c r="M459" s="256">
        <v>4.3799999999999997E-4</v>
      </c>
      <c r="N459" s="249">
        <v>458</v>
      </c>
    </row>
    <row r="460" spans="1:14" x14ac:dyDescent="0.25">
      <c r="A460" s="252" t="s">
        <v>204</v>
      </c>
      <c r="B460" s="252" t="s">
        <v>2019</v>
      </c>
      <c r="C460" s="253">
        <v>0</v>
      </c>
      <c r="D460" s="252">
        <v>39792</v>
      </c>
      <c r="E460" s="252" t="s">
        <v>1764</v>
      </c>
      <c r="F460" s="254" t="s">
        <v>1538</v>
      </c>
      <c r="G460" s="252" t="s">
        <v>2087</v>
      </c>
      <c r="H460" s="252" t="s">
        <v>2088</v>
      </c>
      <c r="I460" s="252">
        <v>5</v>
      </c>
      <c r="J460" s="255">
        <v>1</v>
      </c>
      <c r="K460" s="255">
        <v>1</v>
      </c>
      <c r="L460" s="255"/>
      <c r="M460" s="256">
        <v>1.8059999999999997E-3</v>
      </c>
      <c r="N460" s="249">
        <v>459</v>
      </c>
    </row>
    <row r="461" spans="1:14" x14ac:dyDescent="0.25">
      <c r="A461" s="252" t="s">
        <v>204</v>
      </c>
      <c r="B461" s="252" t="s">
        <v>2019</v>
      </c>
      <c r="C461" s="253">
        <v>0</v>
      </c>
      <c r="D461" s="252">
        <v>39792</v>
      </c>
      <c r="E461" s="252" t="s">
        <v>1764</v>
      </c>
      <c r="F461" s="254" t="s">
        <v>1538</v>
      </c>
      <c r="G461" s="252" t="s">
        <v>2089</v>
      </c>
      <c r="H461" s="252" t="s">
        <v>2090</v>
      </c>
      <c r="I461" s="252">
        <v>5</v>
      </c>
      <c r="J461" s="255">
        <v>1</v>
      </c>
      <c r="K461" s="255">
        <v>1</v>
      </c>
      <c r="L461" s="255"/>
      <c r="M461" s="256">
        <v>1.8059999999999997E-3</v>
      </c>
      <c r="N461" s="249">
        <v>460</v>
      </c>
    </row>
    <row r="462" spans="1:14" x14ac:dyDescent="0.25">
      <c r="A462" s="252" t="s">
        <v>204</v>
      </c>
      <c r="B462" s="252" t="s">
        <v>2019</v>
      </c>
      <c r="C462" s="253">
        <v>0</v>
      </c>
      <c r="D462" s="252">
        <v>39792</v>
      </c>
      <c r="E462" s="252" t="s">
        <v>1764</v>
      </c>
      <c r="F462" s="254" t="s">
        <v>1538</v>
      </c>
      <c r="G462" s="252" t="s">
        <v>2091</v>
      </c>
      <c r="H462" s="252" t="s">
        <v>2092</v>
      </c>
      <c r="I462" s="252">
        <v>5</v>
      </c>
      <c r="J462" s="255">
        <v>1</v>
      </c>
      <c r="K462" s="255">
        <v>1</v>
      </c>
      <c r="L462" s="255"/>
      <c r="M462" s="256">
        <v>2.2199999999999998E-4</v>
      </c>
      <c r="N462" s="249">
        <v>461</v>
      </c>
    </row>
    <row r="463" spans="1:14" x14ac:dyDescent="0.25">
      <c r="A463" s="252" t="s">
        <v>204</v>
      </c>
      <c r="B463" s="252" t="s">
        <v>2019</v>
      </c>
      <c r="C463" s="253">
        <v>0</v>
      </c>
      <c r="D463" s="252">
        <v>39792</v>
      </c>
      <c r="E463" s="252" t="s">
        <v>1764</v>
      </c>
      <c r="F463" s="254" t="s">
        <v>1538</v>
      </c>
      <c r="G463" s="252" t="s">
        <v>2093</v>
      </c>
      <c r="H463" s="252" t="s">
        <v>2094</v>
      </c>
      <c r="I463" s="252">
        <v>5</v>
      </c>
      <c r="J463" s="255">
        <v>1</v>
      </c>
      <c r="K463" s="255">
        <v>1</v>
      </c>
      <c r="L463" s="255"/>
      <c r="M463" s="256">
        <v>2.2199999999999998E-4</v>
      </c>
      <c r="N463" s="249">
        <v>462</v>
      </c>
    </row>
    <row r="464" spans="1:14" x14ac:dyDescent="0.25">
      <c r="A464" s="252" t="s">
        <v>204</v>
      </c>
      <c r="B464" s="252" t="s">
        <v>2019</v>
      </c>
      <c r="C464" s="253">
        <v>0</v>
      </c>
      <c r="D464" s="252">
        <v>39792</v>
      </c>
      <c r="E464" s="252" t="s">
        <v>1764</v>
      </c>
      <c r="F464" s="254" t="s">
        <v>1538</v>
      </c>
      <c r="G464" s="252" t="s">
        <v>2095</v>
      </c>
      <c r="H464" s="252" t="s">
        <v>2096</v>
      </c>
      <c r="I464" s="252">
        <v>5</v>
      </c>
      <c r="J464" s="255">
        <v>1</v>
      </c>
      <c r="K464" s="255">
        <v>1</v>
      </c>
      <c r="L464" s="255"/>
      <c r="M464" s="256">
        <v>1.8659999999999998E-3</v>
      </c>
      <c r="N464" s="249">
        <v>463</v>
      </c>
    </row>
    <row r="465" spans="1:14" x14ac:dyDescent="0.25">
      <c r="A465" s="252" t="s">
        <v>204</v>
      </c>
      <c r="B465" s="252" t="s">
        <v>2019</v>
      </c>
      <c r="C465" s="253">
        <v>0</v>
      </c>
      <c r="D465" s="252">
        <v>39792</v>
      </c>
      <c r="E465" s="252" t="s">
        <v>1764</v>
      </c>
      <c r="F465" s="254" t="s">
        <v>1538</v>
      </c>
      <c r="G465" s="252" t="s">
        <v>2097</v>
      </c>
      <c r="H465" s="252" t="s">
        <v>2098</v>
      </c>
      <c r="I465" s="252">
        <v>5</v>
      </c>
      <c r="J465" s="255">
        <v>1</v>
      </c>
      <c r="K465" s="255">
        <v>1</v>
      </c>
      <c r="L465" s="255"/>
      <c r="M465" s="256">
        <v>4.1999999999999996E-4</v>
      </c>
      <c r="N465" s="249">
        <v>464</v>
      </c>
    </row>
    <row r="466" spans="1:14" x14ac:dyDescent="0.25">
      <c r="A466" s="252" t="s">
        <v>204</v>
      </c>
      <c r="B466" s="252" t="s">
        <v>2019</v>
      </c>
      <c r="C466" s="253">
        <v>0</v>
      </c>
      <c r="D466" s="252">
        <v>39792</v>
      </c>
      <c r="E466" s="252" t="s">
        <v>1764</v>
      </c>
      <c r="F466" s="254" t="s">
        <v>1538</v>
      </c>
      <c r="G466" s="252" t="s">
        <v>2099</v>
      </c>
      <c r="H466" s="252" t="s">
        <v>2100</v>
      </c>
      <c r="I466" s="252">
        <v>5</v>
      </c>
      <c r="J466" s="255">
        <v>1</v>
      </c>
      <c r="K466" s="255">
        <v>1</v>
      </c>
      <c r="L466" s="255"/>
      <c r="M466" s="256">
        <v>1.8059999999999997E-3</v>
      </c>
      <c r="N466" s="249">
        <v>465</v>
      </c>
    </row>
    <row r="467" spans="1:14" x14ac:dyDescent="0.25">
      <c r="A467" s="252" t="s">
        <v>204</v>
      </c>
      <c r="B467" s="252" t="s">
        <v>2019</v>
      </c>
      <c r="C467" s="253">
        <v>0</v>
      </c>
      <c r="D467" s="252">
        <v>39792</v>
      </c>
      <c r="E467" s="252" t="s">
        <v>1764</v>
      </c>
      <c r="F467" s="254" t="s">
        <v>1538</v>
      </c>
      <c r="G467" s="252" t="s">
        <v>2102</v>
      </c>
      <c r="H467" s="252" t="s">
        <v>2103</v>
      </c>
      <c r="I467" s="252">
        <v>5</v>
      </c>
      <c r="J467" s="255">
        <v>1</v>
      </c>
      <c r="K467" s="255">
        <v>1</v>
      </c>
      <c r="L467" s="255"/>
      <c r="M467" s="256">
        <v>1.8059999999999997E-3</v>
      </c>
      <c r="N467" s="249">
        <v>466</v>
      </c>
    </row>
    <row r="468" spans="1:14" x14ac:dyDescent="0.25">
      <c r="A468" s="252" t="s">
        <v>204</v>
      </c>
      <c r="B468" s="252" t="s">
        <v>2019</v>
      </c>
      <c r="C468" s="253">
        <v>0</v>
      </c>
      <c r="D468" s="252">
        <v>39792</v>
      </c>
      <c r="E468" s="252" t="s">
        <v>1764</v>
      </c>
      <c r="F468" s="254" t="s">
        <v>1538</v>
      </c>
      <c r="G468" s="252" t="s">
        <v>2104</v>
      </c>
      <c r="H468" s="252" t="s">
        <v>2105</v>
      </c>
      <c r="I468" s="252">
        <v>5</v>
      </c>
      <c r="J468" s="255">
        <v>1</v>
      </c>
      <c r="K468" s="255">
        <v>1</v>
      </c>
      <c r="L468" s="255"/>
      <c r="M468" s="256">
        <v>2.1299999999999997E-4</v>
      </c>
      <c r="N468" s="249">
        <v>467</v>
      </c>
    </row>
    <row r="469" spans="1:14" x14ac:dyDescent="0.25">
      <c r="A469" s="252" t="s">
        <v>204</v>
      </c>
      <c r="B469" s="252" t="s">
        <v>2019</v>
      </c>
      <c r="C469" s="253">
        <v>0</v>
      </c>
      <c r="D469" s="252">
        <v>39792</v>
      </c>
      <c r="E469" s="252" t="s">
        <v>1764</v>
      </c>
      <c r="F469" s="254" t="s">
        <v>1538</v>
      </c>
      <c r="G469" s="252" t="s">
        <v>2106</v>
      </c>
      <c r="H469" s="252" t="s">
        <v>2107</v>
      </c>
      <c r="I469" s="252">
        <v>5</v>
      </c>
      <c r="J469" s="255">
        <v>1</v>
      </c>
      <c r="K469" s="255">
        <v>1</v>
      </c>
      <c r="L469" s="255"/>
      <c r="M469" s="256">
        <v>2.1299999999999997E-4</v>
      </c>
      <c r="N469" s="249">
        <v>468</v>
      </c>
    </row>
    <row r="470" spans="1:14" x14ac:dyDescent="0.25">
      <c r="A470" s="252" t="s">
        <v>204</v>
      </c>
      <c r="B470" s="252" t="s">
        <v>2019</v>
      </c>
      <c r="C470" s="253">
        <v>0</v>
      </c>
      <c r="D470" s="252">
        <v>39792</v>
      </c>
      <c r="E470" s="252" t="s">
        <v>1764</v>
      </c>
      <c r="F470" s="254" t="s">
        <v>1538</v>
      </c>
      <c r="G470" s="252" t="s">
        <v>2108</v>
      </c>
      <c r="H470" s="252" t="s">
        <v>2109</v>
      </c>
      <c r="I470" s="252">
        <v>5</v>
      </c>
      <c r="J470" s="255">
        <v>1</v>
      </c>
      <c r="K470" s="255">
        <v>1</v>
      </c>
      <c r="L470" s="255"/>
      <c r="M470" s="256">
        <v>1.5299999999999999E-3</v>
      </c>
      <c r="N470" s="249">
        <v>469</v>
      </c>
    </row>
    <row r="471" spans="1:14" x14ac:dyDescent="0.25">
      <c r="A471" s="252" t="s">
        <v>204</v>
      </c>
      <c r="B471" s="252" t="s">
        <v>2019</v>
      </c>
      <c r="C471" s="253">
        <v>0</v>
      </c>
      <c r="D471" s="252">
        <v>39792</v>
      </c>
      <c r="E471" s="252" t="s">
        <v>1764</v>
      </c>
      <c r="F471" s="254" t="s">
        <v>1538</v>
      </c>
      <c r="G471" s="252" t="s">
        <v>2110</v>
      </c>
      <c r="H471" s="252" t="s">
        <v>2111</v>
      </c>
      <c r="I471" s="252">
        <v>5</v>
      </c>
      <c r="J471" s="255">
        <v>1</v>
      </c>
      <c r="K471" s="255">
        <v>1</v>
      </c>
      <c r="L471" s="255"/>
      <c r="M471" s="256">
        <v>6.7200000000000007E-4</v>
      </c>
      <c r="N471" s="249">
        <v>470</v>
      </c>
    </row>
    <row r="472" spans="1:14" x14ac:dyDescent="0.25">
      <c r="A472" s="252" t="s">
        <v>204</v>
      </c>
      <c r="B472" s="252" t="s">
        <v>2019</v>
      </c>
      <c r="C472" s="253">
        <v>0</v>
      </c>
      <c r="D472" s="252">
        <v>39792</v>
      </c>
      <c r="E472" s="252" t="s">
        <v>1764</v>
      </c>
      <c r="F472" s="254" t="s">
        <v>1538</v>
      </c>
      <c r="G472" s="252" t="s">
        <v>2112</v>
      </c>
      <c r="H472" s="252" t="s">
        <v>2113</v>
      </c>
      <c r="I472" s="252">
        <v>5</v>
      </c>
      <c r="J472" s="255">
        <v>1</v>
      </c>
      <c r="K472" s="255">
        <v>1</v>
      </c>
      <c r="L472" s="255"/>
      <c r="M472" s="256">
        <v>1.8059999999999997E-3</v>
      </c>
      <c r="N472" s="249">
        <v>471</v>
      </c>
    </row>
    <row r="473" spans="1:14" x14ac:dyDescent="0.25">
      <c r="A473" s="252" t="s">
        <v>204</v>
      </c>
      <c r="B473" s="252" t="s">
        <v>2019</v>
      </c>
      <c r="C473" s="253">
        <v>0</v>
      </c>
      <c r="D473" s="252">
        <v>39792</v>
      </c>
      <c r="E473" s="252" t="s">
        <v>1764</v>
      </c>
      <c r="F473" s="254" t="s">
        <v>1538</v>
      </c>
      <c r="G473" s="252" t="s">
        <v>2115</v>
      </c>
      <c r="H473" s="252" t="s">
        <v>2116</v>
      </c>
      <c r="I473" s="252">
        <v>5</v>
      </c>
      <c r="J473" s="255">
        <v>1</v>
      </c>
      <c r="K473" s="255">
        <v>1</v>
      </c>
      <c r="L473" s="255"/>
      <c r="M473" s="256">
        <v>1.8059999999999997E-3</v>
      </c>
      <c r="N473" s="249">
        <v>472</v>
      </c>
    </row>
    <row r="474" spans="1:14" x14ac:dyDescent="0.25">
      <c r="A474" s="252" t="s">
        <v>204</v>
      </c>
      <c r="B474" s="252" t="s">
        <v>2019</v>
      </c>
      <c r="C474" s="253">
        <v>0</v>
      </c>
      <c r="D474" s="252">
        <v>39792</v>
      </c>
      <c r="E474" s="252" t="s">
        <v>1764</v>
      </c>
      <c r="F474" s="254" t="s">
        <v>1538</v>
      </c>
      <c r="G474" s="252" t="s">
        <v>2117</v>
      </c>
      <c r="H474" s="252" t="s">
        <v>2118</v>
      </c>
      <c r="I474" s="252">
        <v>5</v>
      </c>
      <c r="J474" s="255">
        <v>1</v>
      </c>
      <c r="K474" s="255">
        <v>1</v>
      </c>
      <c r="L474" s="255"/>
      <c r="M474" s="256">
        <v>3.6599999999999995E-4</v>
      </c>
      <c r="N474" s="249">
        <v>473</v>
      </c>
    </row>
    <row r="475" spans="1:14" x14ac:dyDescent="0.25">
      <c r="A475" s="252" t="s">
        <v>204</v>
      </c>
      <c r="B475" s="252" t="s">
        <v>2019</v>
      </c>
      <c r="C475" s="253">
        <v>0</v>
      </c>
      <c r="D475" s="252">
        <v>39792</v>
      </c>
      <c r="E475" s="252" t="s">
        <v>1764</v>
      </c>
      <c r="F475" s="254" t="s">
        <v>1538</v>
      </c>
      <c r="G475" s="252" t="s">
        <v>2119</v>
      </c>
      <c r="H475" s="252" t="s">
        <v>2120</v>
      </c>
      <c r="I475" s="252">
        <v>5</v>
      </c>
      <c r="J475" s="255">
        <v>1</v>
      </c>
      <c r="K475" s="255">
        <v>1</v>
      </c>
      <c r="L475" s="255"/>
      <c r="M475" s="256">
        <v>3.6599999999999995E-4</v>
      </c>
      <c r="N475" s="249">
        <v>474</v>
      </c>
    </row>
    <row r="476" spans="1:14" x14ac:dyDescent="0.25">
      <c r="A476" s="252" t="s">
        <v>204</v>
      </c>
      <c r="B476" s="252" t="s">
        <v>2019</v>
      </c>
      <c r="C476" s="253">
        <v>0</v>
      </c>
      <c r="D476" s="252">
        <v>39792</v>
      </c>
      <c r="E476" s="252" t="s">
        <v>1764</v>
      </c>
      <c r="F476" s="254" t="s">
        <v>1538</v>
      </c>
      <c r="G476" s="252" t="s">
        <v>2121</v>
      </c>
      <c r="H476" s="252" t="s">
        <v>2122</v>
      </c>
      <c r="I476" s="252">
        <v>5</v>
      </c>
      <c r="J476" s="255">
        <v>1</v>
      </c>
      <c r="K476" s="255">
        <v>1</v>
      </c>
      <c r="L476" s="255"/>
      <c r="M476" s="256">
        <v>2.0009999999999997E-3</v>
      </c>
      <c r="N476" s="249">
        <v>475</v>
      </c>
    </row>
    <row r="477" spans="1:14" x14ac:dyDescent="0.25">
      <c r="A477" s="252" t="s">
        <v>204</v>
      </c>
      <c r="B477" s="252" t="s">
        <v>2019</v>
      </c>
      <c r="C477" s="253">
        <v>0</v>
      </c>
      <c r="D477" s="252">
        <v>39792</v>
      </c>
      <c r="E477" s="252" t="s">
        <v>1764</v>
      </c>
      <c r="F477" s="254" t="s">
        <v>1538</v>
      </c>
      <c r="G477" s="252" t="s">
        <v>2123</v>
      </c>
      <c r="H477" s="252" t="s">
        <v>2124</v>
      </c>
      <c r="I477" s="252">
        <v>5</v>
      </c>
      <c r="J477" s="255">
        <v>1</v>
      </c>
      <c r="K477" s="255">
        <v>1</v>
      </c>
      <c r="L477" s="255"/>
      <c r="M477" s="256">
        <v>1.5899999999999999E-4</v>
      </c>
      <c r="N477" s="249">
        <v>476</v>
      </c>
    </row>
    <row r="478" spans="1:14" x14ac:dyDescent="0.25">
      <c r="A478" s="252" t="s">
        <v>204</v>
      </c>
      <c r="B478" s="252" t="s">
        <v>2019</v>
      </c>
      <c r="C478" s="253">
        <v>0</v>
      </c>
      <c r="D478" s="252">
        <v>39792</v>
      </c>
      <c r="E478" s="252" t="s">
        <v>1764</v>
      </c>
      <c r="F478" s="254" t="s">
        <v>1538</v>
      </c>
      <c r="G478" s="252" t="s">
        <v>2125</v>
      </c>
      <c r="H478" s="252" t="s">
        <v>2126</v>
      </c>
      <c r="I478" s="252">
        <v>5</v>
      </c>
      <c r="J478" s="255">
        <v>1</v>
      </c>
      <c r="K478" s="255">
        <v>1</v>
      </c>
      <c r="L478" s="255"/>
      <c r="M478" s="256">
        <v>1.8059999999999997E-3</v>
      </c>
      <c r="N478" s="249">
        <v>477</v>
      </c>
    </row>
    <row r="479" spans="1:14" x14ac:dyDescent="0.25">
      <c r="A479" s="252" t="s">
        <v>204</v>
      </c>
      <c r="B479" s="252" t="s">
        <v>2019</v>
      </c>
      <c r="C479" s="253">
        <v>0</v>
      </c>
      <c r="D479" s="252">
        <v>39792</v>
      </c>
      <c r="E479" s="252" t="s">
        <v>1764</v>
      </c>
      <c r="F479" s="254" t="s">
        <v>1538</v>
      </c>
      <c r="G479" s="252" t="s">
        <v>2127</v>
      </c>
      <c r="H479" s="252" t="s">
        <v>2128</v>
      </c>
      <c r="I479" s="252">
        <v>5</v>
      </c>
      <c r="J479" s="255">
        <v>1</v>
      </c>
      <c r="K479" s="255">
        <v>1</v>
      </c>
      <c r="L479" s="255"/>
      <c r="M479" s="256">
        <v>1.8059999999999997E-3</v>
      </c>
      <c r="N479" s="249">
        <v>478</v>
      </c>
    </row>
    <row r="480" spans="1:14" x14ac:dyDescent="0.25">
      <c r="A480" s="252" t="s">
        <v>204</v>
      </c>
      <c r="B480" s="252" t="s">
        <v>2019</v>
      </c>
      <c r="C480" s="253">
        <v>0</v>
      </c>
      <c r="D480" s="252">
        <v>39792</v>
      </c>
      <c r="E480" s="252" t="s">
        <v>1764</v>
      </c>
      <c r="F480" s="254" t="s">
        <v>1538</v>
      </c>
      <c r="G480" s="252" t="s">
        <v>2129</v>
      </c>
      <c r="H480" s="252" t="s">
        <v>2130</v>
      </c>
      <c r="I480" s="252">
        <v>5</v>
      </c>
      <c r="J480" s="255">
        <v>1</v>
      </c>
      <c r="K480" s="255">
        <v>1</v>
      </c>
      <c r="L480" s="255"/>
      <c r="M480" s="256">
        <v>5.3999999999999991E-5</v>
      </c>
      <c r="N480" s="249">
        <v>479</v>
      </c>
    </row>
    <row r="481" spans="1:14" x14ac:dyDescent="0.25">
      <c r="A481" s="252" t="s">
        <v>204</v>
      </c>
      <c r="B481" s="252" t="s">
        <v>2019</v>
      </c>
      <c r="C481" s="253">
        <v>0</v>
      </c>
      <c r="D481" s="252">
        <v>39792</v>
      </c>
      <c r="E481" s="252" t="s">
        <v>1764</v>
      </c>
      <c r="F481" s="254" t="s">
        <v>1538</v>
      </c>
      <c r="G481" s="252" t="s">
        <v>2131</v>
      </c>
      <c r="H481" s="252" t="s">
        <v>2132</v>
      </c>
      <c r="I481" s="252">
        <v>5</v>
      </c>
      <c r="J481" s="255">
        <v>1</v>
      </c>
      <c r="K481" s="255">
        <v>1</v>
      </c>
      <c r="L481" s="255"/>
      <c r="M481" s="256">
        <v>5.3999999999999991E-5</v>
      </c>
      <c r="N481" s="249">
        <v>480</v>
      </c>
    </row>
    <row r="482" spans="1:14" x14ac:dyDescent="0.25">
      <c r="A482" s="252" t="s">
        <v>204</v>
      </c>
      <c r="B482" s="252" t="s">
        <v>2019</v>
      </c>
      <c r="C482" s="253">
        <v>0</v>
      </c>
      <c r="D482" s="252">
        <v>39792</v>
      </c>
      <c r="E482" s="252" t="s">
        <v>1764</v>
      </c>
      <c r="F482" s="254" t="s">
        <v>1538</v>
      </c>
      <c r="G482" s="252" t="s">
        <v>2133</v>
      </c>
      <c r="H482" s="252" t="s">
        <v>2134</v>
      </c>
      <c r="I482" s="252">
        <v>5</v>
      </c>
      <c r="J482" s="255">
        <v>1</v>
      </c>
      <c r="K482" s="255">
        <v>1</v>
      </c>
      <c r="L482" s="255"/>
      <c r="M482" s="256">
        <v>1.0170000000000001E-3</v>
      </c>
      <c r="N482" s="249">
        <v>481</v>
      </c>
    </row>
    <row r="483" spans="1:14" x14ac:dyDescent="0.25">
      <c r="A483" s="252" t="s">
        <v>204</v>
      </c>
      <c r="B483" s="252" t="s">
        <v>2019</v>
      </c>
      <c r="C483" s="253">
        <v>0</v>
      </c>
      <c r="D483" s="252">
        <v>39792</v>
      </c>
      <c r="E483" s="252" t="s">
        <v>1764</v>
      </c>
      <c r="F483" s="254" t="s">
        <v>1538</v>
      </c>
      <c r="G483" s="252" t="s">
        <v>2137</v>
      </c>
      <c r="H483" s="252" t="s">
        <v>2138</v>
      </c>
      <c r="I483" s="252">
        <v>5</v>
      </c>
      <c r="J483" s="255">
        <v>1</v>
      </c>
      <c r="K483" s="255">
        <v>1</v>
      </c>
      <c r="L483" s="255"/>
      <c r="M483" s="256">
        <v>3.2400000000000001E-4</v>
      </c>
      <c r="N483" s="249">
        <v>482</v>
      </c>
    </row>
    <row r="484" spans="1:14" x14ac:dyDescent="0.25">
      <c r="A484" s="252" t="s">
        <v>204</v>
      </c>
      <c r="B484" s="252" t="s">
        <v>2019</v>
      </c>
      <c r="C484" s="253">
        <v>0</v>
      </c>
      <c r="D484" s="252">
        <v>39792</v>
      </c>
      <c r="E484" s="252" t="s">
        <v>1764</v>
      </c>
      <c r="F484" s="254" t="s">
        <v>1538</v>
      </c>
      <c r="G484" s="252" t="s">
        <v>2139</v>
      </c>
      <c r="H484" s="252" t="s">
        <v>2140</v>
      </c>
      <c r="I484" s="252">
        <v>5</v>
      </c>
      <c r="J484" s="255">
        <v>1</v>
      </c>
      <c r="K484" s="255">
        <v>1</v>
      </c>
      <c r="L484" s="255"/>
      <c r="M484" s="256">
        <v>1.8059999999999997E-3</v>
      </c>
      <c r="N484" s="249">
        <v>483</v>
      </c>
    </row>
    <row r="485" spans="1:14" x14ac:dyDescent="0.25">
      <c r="A485" s="252" t="s">
        <v>204</v>
      </c>
      <c r="B485" s="252" t="s">
        <v>2019</v>
      </c>
      <c r="C485" s="253">
        <v>0</v>
      </c>
      <c r="D485" s="252">
        <v>39792</v>
      </c>
      <c r="E485" s="252" t="s">
        <v>1764</v>
      </c>
      <c r="F485" s="254" t="s">
        <v>1538</v>
      </c>
      <c r="G485" s="252" t="s">
        <v>2141</v>
      </c>
      <c r="H485" s="252" t="s">
        <v>2142</v>
      </c>
      <c r="I485" s="252">
        <v>5</v>
      </c>
      <c r="J485" s="255">
        <v>1</v>
      </c>
      <c r="K485" s="255">
        <v>1</v>
      </c>
      <c r="L485" s="255"/>
      <c r="M485" s="256">
        <v>1.8059999999999997E-3</v>
      </c>
      <c r="N485" s="249">
        <v>484</v>
      </c>
    </row>
    <row r="486" spans="1:14" x14ac:dyDescent="0.25">
      <c r="A486" s="252" t="s">
        <v>204</v>
      </c>
      <c r="B486" s="252" t="s">
        <v>2019</v>
      </c>
      <c r="C486" s="253">
        <v>0</v>
      </c>
      <c r="D486" s="252">
        <v>39792</v>
      </c>
      <c r="E486" s="252" t="s">
        <v>1764</v>
      </c>
      <c r="F486" s="254" t="s">
        <v>1538</v>
      </c>
      <c r="G486" s="252" t="s">
        <v>2143</v>
      </c>
      <c r="H486" s="252" t="s">
        <v>2144</v>
      </c>
      <c r="I486" s="252">
        <v>5</v>
      </c>
      <c r="J486" s="255">
        <v>1</v>
      </c>
      <c r="K486" s="255">
        <v>1</v>
      </c>
      <c r="L486" s="255"/>
      <c r="M486" s="256">
        <v>1.5300000000000001E-4</v>
      </c>
      <c r="N486" s="249">
        <v>485</v>
      </c>
    </row>
    <row r="487" spans="1:14" x14ac:dyDescent="0.25">
      <c r="A487" s="252" t="s">
        <v>204</v>
      </c>
      <c r="B487" s="252" t="s">
        <v>2019</v>
      </c>
      <c r="C487" s="253">
        <v>0</v>
      </c>
      <c r="D487" s="252">
        <v>39792</v>
      </c>
      <c r="E487" s="252" t="s">
        <v>1764</v>
      </c>
      <c r="F487" s="254" t="s">
        <v>1538</v>
      </c>
      <c r="G487" s="252" t="s">
        <v>2145</v>
      </c>
      <c r="H487" s="252" t="s">
        <v>2146</v>
      </c>
      <c r="I487" s="252">
        <v>5</v>
      </c>
      <c r="J487" s="255">
        <v>1</v>
      </c>
      <c r="K487" s="255">
        <v>1</v>
      </c>
      <c r="L487" s="255"/>
      <c r="M487" s="256">
        <v>1.5300000000000001E-4</v>
      </c>
      <c r="N487" s="249">
        <v>486</v>
      </c>
    </row>
    <row r="488" spans="1:14" x14ac:dyDescent="0.25">
      <c r="A488" s="252" t="s">
        <v>204</v>
      </c>
      <c r="B488" s="252" t="s">
        <v>2019</v>
      </c>
      <c r="C488" s="253">
        <v>0</v>
      </c>
      <c r="D488" s="252">
        <v>39792</v>
      </c>
      <c r="E488" s="252" t="s">
        <v>1764</v>
      </c>
      <c r="F488" s="254" t="s">
        <v>1538</v>
      </c>
      <c r="G488" s="252" t="s">
        <v>2147</v>
      </c>
      <c r="H488" s="252" t="s">
        <v>2148</v>
      </c>
      <c r="I488" s="252">
        <v>5</v>
      </c>
      <c r="J488" s="255">
        <v>1</v>
      </c>
      <c r="K488" s="255">
        <v>1</v>
      </c>
      <c r="L488" s="255"/>
      <c r="M488" s="256">
        <v>1.044E-3</v>
      </c>
      <c r="N488" s="249">
        <v>487</v>
      </c>
    </row>
    <row r="489" spans="1:14" x14ac:dyDescent="0.25">
      <c r="A489" s="252" t="s">
        <v>204</v>
      </c>
      <c r="B489" s="252" t="s">
        <v>2019</v>
      </c>
      <c r="C489" s="253">
        <v>0</v>
      </c>
      <c r="D489" s="252">
        <v>39792</v>
      </c>
      <c r="E489" s="252" t="s">
        <v>1764</v>
      </c>
      <c r="F489" s="254" t="s">
        <v>1544</v>
      </c>
      <c r="G489" s="252" t="s">
        <v>1579</v>
      </c>
      <c r="H489" s="252" t="s">
        <v>2162</v>
      </c>
      <c r="I489" s="252">
        <v>5</v>
      </c>
      <c r="J489" s="255">
        <v>1</v>
      </c>
      <c r="K489" s="255">
        <v>1</v>
      </c>
      <c r="L489" s="255"/>
      <c r="M489" s="256">
        <v>2.8799999999999995E-4</v>
      </c>
      <c r="N489" s="249">
        <v>488</v>
      </c>
    </row>
    <row r="490" spans="1:14" x14ac:dyDescent="0.25">
      <c r="A490" s="252" t="s">
        <v>204</v>
      </c>
      <c r="B490" s="252" t="s">
        <v>2019</v>
      </c>
      <c r="C490" s="253">
        <v>0</v>
      </c>
      <c r="D490" s="252">
        <v>39792</v>
      </c>
      <c r="E490" s="252" t="s">
        <v>1764</v>
      </c>
      <c r="F490" s="254" t="s">
        <v>1544</v>
      </c>
      <c r="G490" s="252" t="s">
        <v>2163</v>
      </c>
      <c r="H490" s="252" t="s">
        <v>2164</v>
      </c>
      <c r="I490" s="252">
        <v>5</v>
      </c>
      <c r="J490" s="255">
        <v>1</v>
      </c>
      <c r="K490" s="255">
        <v>1</v>
      </c>
      <c r="L490" s="255"/>
      <c r="M490" s="256">
        <v>1.8059999999999997E-3</v>
      </c>
      <c r="N490" s="249">
        <v>489</v>
      </c>
    </row>
    <row r="491" spans="1:14" x14ac:dyDescent="0.25">
      <c r="A491" s="252" t="s">
        <v>204</v>
      </c>
      <c r="B491" s="252" t="s">
        <v>2019</v>
      </c>
      <c r="C491" s="253">
        <v>0</v>
      </c>
      <c r="D491" s="252">
        <v>39792</v>
      </c>
      <c r="E491" s="252" t="s">
        <v>1764</v>
      </c>
      <c r="F491" s="254" t="s">
        <v>1544</v>
      </c>
      <c r="G491" s="252" t="s">
        <v>2165</v>
      </c>
      <c r="H491" s="252" t="s">
        <v>2166</v>
      </c>
      <c r="I491" s="252">
        <v>5</v>
      </c>
      <c r="J491" s="255">
        <v>1</v>
      </c>
      <c r="K491" s="255">
        <v>1</v>
      </c>
      <c r="L491" s="255"/>
      <c r="M491" s="256">
        <v>1.3200000000000001E-4</v>
      </c>
      <c r="N491" s="249">
        <v>490</v>
      </c>
    </row>
    <row r="492" spans="1:14" x14ac:dyDescent="0.25">
      <c r="A492" s="252" t="s">
        <v>204</v>
      </c>
      <c r="B492" s="252" t="s">
        <v>2019</v>
      </c>
      <c r="C492" s="253">
        <v>0</v>
      </c>
      <c r="D492" s="252">
        <v>39792</v>
      </c>
      <c r="E492" s="252" t="s">
        <v>1764</v>
      </c>
      <c r="F492" s="254" t="s">
        <v>1544</v>
      </c>
      <c r="G492" s="252" t="s">
        <v>2167</v>
      </c>
      <c r="H492" s="252" t="s">
        <v>2168</v>
      </c>
      <c r="I492" s="252">
        <v>5</v>
      </c>
      <c r="J492" s="255">
        <v>1</v>
      </c>
      <c r="K492" s="255">
        <v>1</v>
      </c>
      <c r="L492" s="255"/>
      <c r="M492" s="256">
        <v>1.3200000000000001E-4</v>
      </c>
      <c r="N492" s="249">
        <v>491</v>
      </c>
    </row>
    <row r="493" spans="1:14" x14ac:dyDescent="0.25">
      <c r="A493" s="252" t="s">
        <v>204</v>
      </c>
      <c r="B493" s="252" t="s">
        <v>2019</v>
      </c>
      <c r="C493" s="253">
        <v>0</v>
      </c>
      <c r="D493" s="252">
        <v>39792</v>
      </c>
      <c r="E493" s="252" t="s">
        <v>1764</v>
      </c>
      <c r="F493" s="254" t="s">
        <v>1544</v>
      </c>
      <c r="G493" s="252" t="s">
        <v>2169</v>
      </c>
      <c r="H493" s="252" t="s">
        <v>2170</v>
      </c>
      <c r="I493" s="252">
        <v>5</v>
      </c>
      <c r="J493" s="255">
        <v>1</v>
      </c>
      <c r="K493" s="255">
        <v>1</v>
      </c>
      <c r="L493" s="255"/>
      <c r="M493" s="256">
        <v>1.1069999999999999E-3</v>
      </c>
      <c r="N493" s="249">
        <v>492</v>
      </c>
    </row>
    <row r="494" spans="1:14" x14ac:dyDescent="0.25">
      <c r="A494" s="252" t="s">
        <v>204</v>
      </c>
      <c r="B494" s="252" t="s">
        <v>2019</v>
      </c>
      <c r="C494" s="253">
        <v>0</v>
      </c>
      <c r="D494" s="252">
        <v>39792</v>
      </c>
      <c r="E494" s="252" t="s">
        <v>1764</v>
      </c>
      <c r="F494" s="254" t="s">
        <v>1544</v>
      </c>
      <c r="G494" s="252" t="s">
        <v>2172</v>
      </c>
      <c r="H494" s="252" t="s">
        <v>2173</v>
      </c>
      <c r="I494" s="252">
        <v>5</v>
      </c>
      <c r="J494" s="255">
        <v>1</v>
      </c>
      <c r="K494" s="255">
        <v>1</v>
      </c>
      <c r="L494" s="255"/>
      <c r="M494" s="256">
        <v>1.8059999999999997E-3</v>
      </c>
      <c r="N494" s="249">
        <v>493</v>
      </c>
    </row>
    <row r="495" spans="1:14" x14ac:dyDescent="0.25">
      <c r="A495" s="252" t="s">
        <v>204</v>
      </c>
      <c r="B495" s="252" t="s">
        <v>2019</v>
      </c>
      <c r="C495" s="253">
        <v>0</v>
      </c>
      <c r="D495" s="252">
        <v>39792</v>
      </c>
      <c r="E495" s="252" t="s">
        <v>1764</v>
      </c>
      <c r="F495" s="254" t="s">
        <v>1544</v>
      </c>
      <c r="G495" s="252" t="s">
        <v>1581</v>
      </c>
      <c r="H495" s="252" t="s">
        <v>2174</v>
      </c>
      <c r="I495" s="252">
        <v>5</v>
      </c>
      <c r="J495" s="255">
        <v>1</v>
      </c>
      <c r="K495" s="255">
        <v>1</v>
      </c>
      <c r="L495" s="255"/>
      <c r="M495" s="256">
        <v>1.359E-3</v>
      </c>
      <c r="N495" s="249">
        <v>494</v>
      </c>
    </row>
    <row r="496" spans="1:14" x14ac:dyDescent="0.25">
      <c r="A496" s="252" t="s">
        <v>204</v>
      </c>
      <c r="B496" s="252" t="s">
        <v>2019</v>
      </c>
      <c r="C496" s="253">
        <v>0</v>
      </c>
      <c r="D496" s="252">
        <v>39792</v>
      </c>
      <c r="E496" s="252" t="s">
        <v>1764</v>
      </c>
      <c r="F496" s="254" t="s">
        <v>1544</v>
      </c>
      <c r="G496" s="252" t="s">
        <v>2175</v>
      </c>
      <c r="H496" s="252" t="s">
        <v>2176</v>
      </c>
      <c r="I496" s="252">
        <v>5</v>
      </c>
      <c r="J496" s="255">
        <v>1</v>
      </c>
      <c r="K496" s="255">
        <v>1</v>
      </c>
      <c r="L496" s="255"/>
      <c r="M496" s="256">
        <v>1.2149999999999999E-3</v>
      </c>
      <c r="N496" s="249">
        <v>495</v>
      </c>
    </row>
    <row r="497" spans="1:14" x14ac:dyDescent="0.25">
      <c r="A497" s="252" t="s">
        <v>204</v>
      </c>
      <c r="B497" s="252" t="s">
        <v>2019</v>
      </c>
      <c r="C497" s="253">
        <v>0</v>
      </c>
      <c r="D497" s="252">
        <v>39792</v>
      </c>
      <c r="E497" s="252" t="s">
        <v>1764</v>
      </c>
      <c r="F497" s="254" t="s">
        <v>1544</v>
      </c>
      <c r="G497" s="252" t="s">
        <v>2177</v>
      </c>
      <c r="H497" s="252" t="s">
        <v>2178</v>
      </c>
      <c r="I497" s="252">
        <v>5</v>
      </c>
      <c r="J497" s="255">
        <v>1</v>
      </c>
      <c r="K497" s="255">
        <v>1</v>
      </c>
      <c r="L497" s="255"/>
      <c r="M497" s="256">
        <v>2.1599999999999996E-4</v>
      </c>
      <c r="N497" s="249">
        <v>496</v>
      </c>
    </row>
    <row r="498" spans="1:14" x14ac:dyDescent="0.25">
      <c r="A498" s="252" t="s">
        <v>204</v>
      </c>
      <c r="B498" s="252" t="s">
        <v>2019</v>
      </c>
      <c r="C498" s="253">
        <v>0</v>
      </c>
      <c r="D498" s="252">
        <v>39792</v>
      </c>
      <c r="E498" s="252" t="s">
        <v>1764</v>
      </c>
      <c r="F498" s="254" t="s">
        <v>1544</v>
      </c>
      <c r="G498" s="252" t="s">
        <v>2179</v>
      </c>
      <c r="H498" s="252" t="s">
        <v>2180</v>
      </c>
      <c r="I498" s="252">
        <v>5</v>
      </c>
      <c r="J498" s="255">
        <v>1</v>
      </c>
      <c r="K498" s="255">
        <v>1</v>
      </c>
      <c r="L498" s="255"/>
      <c r="M498" s="256">
        <v>3.9899999999999999E-4</v>
      </c>
      <c r="N498" s="249">
        <v>497</v>
      </c>
    </row>
    <row r="499" spans="1:14" x14ac:dyDescent="0.25">
      <c r="A499" s="252" t="s">
        <v>204</v>
      </c>
      <c r="B499" s="252" t="s">
        <v>2019</v>
      </c>
      <c r="C499" s="253">
        <v>0</v>
      </c>
      <c r="D499" s="252">
        <v>39792</v>
      </c>
      <c r="E499" s="252" t="s">
        <v>1764</v>
      </c>
      <c r="F499" s="254" t="s">
        <v>1544</v>
      </c>
      <c r="G499" s="252" t="s">
        <v>2181</v>
      </c>
      <c r="H499" s="252" t="s">
        <v>2182</v>
      </c>
      <c r="I499" s="252">
        <v>5</v>
      </c>
      <c r="J499" s="255">
        <v>1</v>
      </c>
      <c r="K499" s="255">
        <v>1</v>
      </c>
      <c r="L499" s="255"/>
      <c r="M499" s="256">
        <v>3.921E-3</v>
      </c>
      <c r="N499" s="249">
        <v>498</v>
      </c>
    </row>
    <row r="500" spans="1:14" x14ac:dyDescent="0.25">
      <c r="A500" s="252" t="s">
        <v>204</v>
      </c>
      <c r="B500" s="252" t="s">
        <v>2019</v>
      </c>
      <c r="C500" s="253">
        <v>0</v>
      </c>
      <c r="D500" s="252">
        <v>39792</v>
      </c>
      <c r="E500" s="252" t="s">
        <v>1764</v>
      </c>
      <c r="F500" s="254" t="s">
        <v>1544</v>
      </c>
      <c r="G500" s="252" t="s">
        <v>2183</v>
      </c>
      <c r="H500" s="252" t="s">
        <v>2184</v>
      </c>
      <c r="I500" s="252">
        <v>5</v>
      </c>
      <c r="J500" s="255">
        <v>1</v>
      </c>
      <c r="K500" s="255">
        <v>1</v>
      </c>
      <c r="L500" s="255"/>
      <c r="M500" s="256">
        <v>1.2149999999999999E-3</v>
      </c>
      <c r="N500" s="249">
        <v>499</v>
      </c>
    </row>
    <row r="501" spans="1:14" x14ac:dyDescent="0.25">
      <c r="A501" s="252" t="s">
        <v>204</v>
      </c>
      <c r="B501" s="252" t="s">
        <v>2019</v>
      </c>
      <c r="C501" s="253">
        <v>0</v>
      </c>
      <c r="D501" s="252">
        <v>39792</v>
      </c>
      <c r="E501" s="252" t="s">
        <v>1764</v>
      </c>
      <c r="F501" s="254" t="s">
        <v>1544</v>
      </c>
      <c r="G501" s="252" t="s">
        <v>2185</v>
      </c>
      <c r="H501" s="252" t="s">
        <v>2186</v>
      </c>
      <c r="I501" s="252">
        <v>5</v>
      </c>
      <c r="J501" s="255">
        <v>1</v>
      </c>
      <c r="K501" s="255">
        <v>1</v>
      </c>
      <c r="L501" s="255"/>
      <c r="M501" s="256">
        <v>1.7759999999999998E-3</v>
      </c>
      <c r="N501" s="249">
        <v>500</v>
      </c>
    </row>
    <row r="502" spans="1:14" x14ac:dyDescent="0.25">
      <c r="A502" s="252" t="s">
        <v>204</v>
      </c>
      <c r="B502" s="252" t="s">
        <v>2019</v>
      </c>
      <c r="C502" s="253">
        <v>0</v>
      </c>
      <c r="D502" s="252">
        <v>39792</v>
      </c>
      <c r="E502" s="252" t="s">
        <v>1764</v>
      </c>
      <c r="F502" s="254" t="s">
        <v>1544</v>
      </c>
      <c r="G502" s="252" t="s">
        <v>2187</v>
      </c>
      <c r="H502" s="252" t="s">
        <v>2188</v>
      </c>
      <c r="I502" s="252">
        <v>5</v>
      </c>
      <c r="J502" s="255">
        <v>1</v>
      </c>
      <c r="K502" s="255">
        <v>1</v>
      </c>
      <c r="L502" s="255"/>
      <c r="M502" s="256">
        <v>1.7759999999999998E-3</v>
      </c>
      <c r="N502" s="249">
        <v>501</v>
      </c>
    </row>
    <row r="503" spans="1:14" x14ac:dyDescent="0.25">
      <c r="A503" s="252" t="s">
        <v>204</v>
      </c>
      <c r="B503" s="252" t="s">
        <v>2019</v>
      </c>
      <c r="C503" s="253">
        <v>0</v>
      </c>
      <c r="D503" s="252">
        <v>39792</v>
      </c>
      <c r="E503" s="252" t="s">
        <v>1764</v>
      </c>
      <c r="F503" s="254" t="s">
        <v>1544</v>
      </c>
      <c r="G503" s="252" t="s">
        <v>2189</v>
      </c>
      <c r="H503" s="252" t="s">
        <v>2190</v>
      </c>
      <c r="I503" s="252">
        <v>5</v>
      </c>
      <c r="J503" s="255">
        <v>1</v>
      </c>
      <c r="K503" s="255">
        <v>1</v>
      </c>
      <c r="L503" s="255"/>
      <c r="M503" s="256">
        <v>3.9599999999999998E-4</v>
      </c>
      <c r="N503" s="249">
        <v>502</v>
      </c>
    </row>
    <row r="504" spans="1:14" x14ac:dyDescent="0.25">
      <c r="A504" s="252" t="s">
        <v>204</v>
      </c>
      <c r="B504" s="252" t="s">
        <v>2019</v>
      </c>
      <c r="C504" s="253">
        <v>0</v>
      </c>
      <c r="D504" s="252">
        <v>39792</v>
      </c>
      <c r="E504" s="252" t="s">
        <v>1764</v>
      </c>
      <c r="F504" s="254" t="s">
        <v>1544</v>
      </c>
      <c r="G504" s="252" t="s">
        <v>2191</v>
      </c>
      <c r="H504" s="252" t="s">
        <v>2192</v>
      </c>
      <c r="I504" s="252">
        <v>5</v>
      </c>
      <c r="J504" s="255">
        <v>1</v>
      </c>
      <c r="K504" s="255">
        <v>1</v>
      </c>
      <c r="L504" s="255"/>
      <c r="M504" s="256">
        <v>4.4999999999999999E-4</v>
      </c>
      <c r="N504" s="249">
        <v>503</v>
      </c>
    </row>
    <row r="505" spans="1:14" x14ac:dyDescent="0.25">
      <c r="A505" s="252" t="s">
        <v>204</v>
      </c>
      <c r="B505" s="252" t="s">
        <v>2019</v>
      </c>
      <c r="C505" s="253">
        <v>0</v>
      </c>
      <c r="D505" s="252">
        <v>39792</v>
      </c>
      <c r="E505" s="252" t="s">
        <v>1764</v>
      </c>
      <c r="F505" s="254" t="s">
        <v>1544</v>
      </c>
      <c r="G505" s="252" t="s">
        <v>2193</v>
      </c>
      <c r="H505" s="252" t="s">
        <v>2194</v>
      </c>
      <c r="I505" s="252">
        <v>5</v>
      </c>
      <c r="J505" s="255">
        <v>1</v>
      </c>
      <c r="K505" s="255">
        <v>1</v>
      </c>
      <c r="L505" s="255"/>
      <c r="M505" s="256">
        <v>2.31E-4</v>
      </c>
      <c r="N505" s="249">
        <v>504</v>
      </c>
    </row>
    <row r="506" spans="1:14" x14ac:dyDescent="0.25">
      <c r="A506" s="252" t="s">
        <v>204</v>
      </c>
      <c r="B506" s="252" t="s">
        <v>2019</v>
      </c>
      <c r="C506" s="253">
        <v>0</v>
      </c>
      <c r="D506" s="252">
        <v>39792</v>
      </c>
      <c r="E506" s="252" t="s">
        <v>1764</v>
      </c>
      <c r="F506" s="254" t="s">
        <v>1544</v>
      </c>
      <c r="G506" s="252" t="s">
        <v>2195</v>
      </c>
      <c r="H506" s="252" t="s">
        <v>2196</v>
      </c>
      <c r="I506" s="252">
        <v>5</v>
      </c>
      <c r="J506" s="255">
        <v>1</v>
      </c>
      <c r="K506" s="255">
        <v>1</v>
      </c>
      <c r="L506" s="255"/>
      <c r="M506" s="256">
        <v>2.4899999999999998E-4</v>
      </c>
      <c r="N506" s="249">
        <v>505</v>
      </c>
    </row>
    <row r="507" spans="1:14" x14ac:dyDescent="0.25">
      <c r="A507" s="252" t="s">
        <v>204</v>
      </c>
      <c r="B507" s="252" t="s">
        <v>2019</v>
      </c>
      <c r="C507" s="253">
        <v>0</v>
      </c>
      <c r="D507" s="252">
        <v>39792</v>
      </c>
      <c r="E507" s="252" t="s">
        <v>1764</v>
      </c>
      <c r="F507" s="254" t="s">
        <v>1544</v>
      </c>
      <c r="G507" s="252" t="s">
        <v>1584</v>
      </c>
      <c r="H507" s="252" t="s">
        <v>2197</v>
      </c>
      <c r="I507" s="252">
        <v>5</v>
      </c>
      <c r="J507" s="255">
        <v>1</v>
      </c>
      <c r="K507" s="255">
        <v>1</v>
      </c>
      <c r="L507" s="255"/>
      <c r="M507" s="256">
        <v>1.539E-3</v>
      </c>
      <c r="N507" s="249">
        <v>506</v>
      </c>
    </row>
    <row r="508" spans="1:14" x14ac:dyDescent="0.25">
      <c r="A508" s="252" t="s">
        <v>204</v>
      </c>
      <c r="B508" s="252" t="s">
        <v>2019</v>
      </c>
      <c r="C508" s="253">
        <v>0</v>
      </c>
      <c r="D508" s="252">
        <v>39792</v>
      </c>
      <c r="E508" s="252" t="s">
        <v>1764</v>
      </c>
      <c r="F508" s="254" t="s">
        <v>1544</v>
      </c>
      <c r="G508" s="252" t="s">
        <v>2198</v>
      </c>
      <c r="H508" s="252" t="s">
        <v>2199</v>
      </c>
      <c r="I508" s="252">
        <v>5</v>
      </c>
      <c r="J508" s="255">
        <v>1</v>
      </c>
      <c r="K508" s="255">
        <v>1</v>
      </c>
      <c r="L508" s="255"/>
      <c r="M508" s="256">
        <v>5.9099999999999995E-4</v>
      </c>
      <c r="N508" s="249">
        <v>507</v>
      </c>
    </row>
    <row r="509" spans="1:14" x14ac:dyDescent="0.25">
      <c r="A509" s="252" t="s">
        <v>204</v>
      </c>
      <c r="B509" s="252" t="s">
        <v>2019</v>
      </c>
      <c r="C509" s="253">
        <v>0</v>
      </c>
      <c r="D509" s="252">
        <v>39792</v>
      </c>
      <c r="E509" s="252" t="s">
        <v>1764</v>
      </c>
      <c r="F509" s="254" t="s">
        <v>1544</v>
      </c>
      <c r="G509" s="252" t="s">
        <v>2200</v>
      </c>
      <c r="H509" s="252" t="s">
        <v>2201</v>
      </c>
      <c r="I509" s="252">
        <v>5</v>
      </c>
      <c r="J509" s="255">
        <v>1</v>
      </c>
      <c r="K509" s="255">
        <v>1</v>
      </c>
      <c r="L509" s="255"/>
      <c r="M509" s="256">
        <v>1.2E-4</v>
      </c>
      <c r="N509" s="249">
        <v>508</v>
      </c>
    </row>
    <row r="510" spans="1:14" x14ac:dyDescent="0.25">
      <c r="A510" s="252" t="s">
        <v>204</v>
      </c>
      <c r="B510" s="252" t="s">
        <v>2019</v>
      </c>
      <c r="C510" s="253">
        <v>0</v>
      </c>
      <c r="D510" s="252">
        <v>39792</v>
      </c>
      <c r="E510" s="252" t="s">
        <v>1764</v>
      </c>
      <c r="F510" s="254" t="s">
        <v>1544</v>
      </c>
      <c r="G510" s="252" t="s">
        <v>2202</v>
      </c>
      <c r="H510" s="252" t="s">
        <v>2203</v>
      </c>
      <c r="I510" s="252">
        <v>5</v>
      </c>
      <c r="J510" s="255">
        <v>1</v>
      </c>
      <c r="K510" s="255">
        <v>1</v>
      </c>
      <c r="L510" s="255"/>
      <c r="M510" s="256">
        <v>3.1200000000000005E-4</v>
      </c>
      <c r="N510" s="249">
        <v>509</v>
      </c>
    </row>
    <row r="511" spans="1:14" x14ac:dyDescent="0.25">
      <c r="A511" s="252" t="s">
        <v>204</v>
      </c>
      <c r="B511" s="252" t="s">
        <v>2019</v>
      </c>
      <c r="C511" s="253">
        <v>0</v>
      </c>
      <c r="D511" s="252">
        <v>39792</v>
      </c>
      <c r="E511" s="252" t="s">
        <v>1764</v>
      </c>
      <c r="F511" s="254" t="s">
        <v>1544</v>
      </c>
      <c r="G511" s="252" t="s">
        <v>2204</v>
      </c>
      <c r="H511" s="252" t="s">
        <v>2205</v>
      </c>
      <c r="I511" s="252">
        <v>5</v>
      </c>
      <c r="J511" s="255">
        <v>1</v>
      </c>
      <c r="K511" s="255">
        <v>1</v>
      </c>
      <c r="L511" s="255"/>
      <c r="M511" s="256">
        <v>5.9699999999999998E-4</v>
      </c>
      <c r="N511" s="249">
        <v>510</v>
      </c>
    </row>
    <row r="512" spans="1:14" x14ac:dyDescent="0.25">
      <c r="A512" s="252" t="s">
        <v>204</v>
      </c>
      <c r="B512" s="252" t="s">
        <v>2019</v>
      </c>
      <c r="C512" s="253">
        <v>0</v>
      </c>
      <c r="D512" s="252">
        <v>39792</v>
      </c>
      <c r="E512" s="252" t="s">
        <v>1764</v>
      </c>
      <c r="F512" s="254" t="s">
        <v>1544</v>
      </c>
      <c r="G512" s="252" t="s">
        <v>2207</v>
      </c>
      <c r="H512" s="252" t="s">
        <v>2208</v>
      </c>
      <c r="I512" s="252">
        <v>5</v>
      </c>
      <c r="J512" s="255">
        <v>1</v>
      </c>
      <c r="K512" s="255">
        <v>1</v>
      </c>
      <c r="L512" s="255"/>
      <c r="M512" s="256">
        <v>1.8059999999999997E-3</v>
      </c>
      <c r="N512" s="249">
        <v>511</v>
      </c>
    </row>
    <row r="513" spans="1:14" x14ac:dyDescent="0.25">
      <c r="A513" s="252" t="s">
        <v>204</v>
      </c>
      <c r="B513" s="252" t="s">
        <v>2019</v>
      </c>
      <c r="C513" s="253">
        <v>0</v>
      </c>
      <c r="D513" s="252">
        <v>39792</v>
      </c>
      <c r="E513" s="252" t="s">
        <v>1764</v>
      </c>
      <c r="F513" s="254" t="s">
        <v>1544</v>
      </c>
      <c r="G513" s="252" t="s">
        <v>2209</v>
      </c>
      <c r="H513" s="252" t="s">
        <v>2210</v>
      </c>
      <c r="I513" s="252">
        <v>5</v>
      </c>
      <c r="J513" s="255">
        <v>1</v>
      </c>
      <c r="K513" s="255">
        <v>1</v>
      </c>
      <c r="L513" s="255"/>
      <c r="M513" s="256">
        <v>3.7439999999999999E-3</v>
      </c>
      <c r="N513" s="249">
        <v>512</v>
      </c>
    </row>
    <row r="514" spans="1:14" x14ac:dyDescent="0.25">
      <c r="A514" s="252" t="s">
        <v>204</v>
      </c>
      <c r="B514" s="252" t="s">
        <v>2019</v>
      </c>
      <c r="C514" s="253">
        <v>0</v>
      </c>
      <c r="D514" s="252">
        <v>39792</v>
      </c>
      <c r="E514" s="252" t="s">
        <v>1764</v>
      </c>
      <c r="F514" s="254" t="s">
        <v>1631</v>
      </c>
      <c r="G514" s="252" t="s">
        <v>2242</v>
      </c>
      <c r="H514" s="252" t="s">
        <v>2243</v>
      </c>
      <c r="I514" s="252">
        <v>5</v>
      </c>
      <c r="J514" s="255">
        <v>1</v>
      </c>
      <c r="K514" s="255">
        <v>1</v>
      </c>
      <c r="L514" s="255"/>
      <c r="M514" s="256">
        <v>3.0900000000000003E-4</v>
      </c>
      <c r="N514" s="249">
        <v>513</v>
      </c>
    </row>
    <row r="515" spans="1:14" x14ac:dyDescent="0.25">
      <c r="A515" s="252" t="s">
        <v>204</v>
      </c>
      <c r="B515" s="252" t="s">
        <v>2019</v>
      </c>
      <c r="C515" s="253">
        <v>0</v>
      </c>
      <c r="D515" s="252">
        <v>39792</v>
      </c>
      <c r="E515" s="252" t="s">
        <v>1764</v>
      </c>
      <c r="F515" s="254" t="s">
        <v>1631</v>
      </c>
      <c r="G515" s="252" t="s">
        <v>2244</v>
      </c>
      <c r="H515" s="252" t="s">
        <v>2245</v>
      </c>
      <c r="I515" s="252">
        <v>5</v>
      </c>
      <c r="J515" s="255">
        <v>1</v>
      </c>
      <c r="K515" s="255">
        <v>1</v>
      </c>
      <c r="L515" s="255"/>
      <c r="M515" s="256">
        <v>1.8059999999999997E-3</v>
      </c>
      <c r="N515" s="249">
        <v>514</v>
      </c>
    </row>
    <row r="516" spans="1:14" x14ac:dyDescent="0.25">
      <c r="A516" s="252" t="s">
        <v>204</v>
      </c>
      <c r="B516" s="252" t="s">
        <v>2019</v>
      </c>
      <c r="C516" s="253">
        <v>0</v>
      </c>
      <c r="D516" s="252">
        <v>39792</v>
      </c>
      <c r="E516" s="252" t="s">
        <v>1764</v>
      </c>
      <c r="F516" s="254" t="s">
        <v>1631</v>
      </c>
      <c r="G516" s="252" t="s">
        <v>2247</v>
      </c>
      <c r="H516" s="252" t="s">
        <v>2248</v>
      </c>
      <c r="I516" s="252">
        <v>5</v>
      </c>
      <c r="J516" s="255">
        <v>1</v>
      </c>
      <c r="K516" s="255">
        <v>1</v>
      </c>
      <c r="L516" s="255"/>
      <c r="M516" s="256">
        <v>1.8059999999999997E-3</v>
      </c>
      <c r="N516" s="249">
        <v>515</v>
      </c>
    </row>
    <row r="517" spans="1:14" x14ac:dyDescent="0.25">
      <c r="A517" s="252" t="s">
        <v>204</v>
      </c>
      <c r="B517" s="252" t="s">
        <v>2019</v>
      </c>
      <c r="C517" s="253">
        <v>0</v>
      </c>
      <c r="D517" s="252">
        <v>39792</v>
      </c>
      <c r="E517" s="252" t="s">
        <v>1764</v>
      </c>
      <c r="F517" s="254" t="s">
        <v>1631</v>
      </c>
      <c r="G517" s="252" t="s">
        <v>2249</v>
      </c>
      <c r="H517" s="252" t="s">
        <v>2250</v>
      </c>
      <c r="I517" s="252">
        <v>5</v>
      </c>
      <c r="J517" s="255">
        <v>1</v>
      </c>
      <c r="K517" s="255">
        <v>1</v>
      </c>
      <c r="L517" s="255"/>
      <c r="M517" s="256">
        <v>1.4399999999999998E-4</v>
      </c>
      <c r="N517" s="249">
        <v>516</v>
      </c>
    </row>
    <row r="518" spans="1:14" x14ac:dyDescent="0.25">
      <c r="A518" s="252" t="s">
        <v>204</v>
      </c>
      <c r="B518" s="252" t="s">
        <v>2019</v>
      </c>
      <c r="C518" s="253">
        <v>0</v>
      </c>
      <c r="D518" s="252">
        <v>39792</v>
      </c>
      <c r="E518" s="252" t="s">
        <v>1764</v>
      </c>
      <c r="F518" s="254" t="s">
        <v>1631</v>
      </c>
      <c r="G518" s="252" t="s">
        <v>2251</v>
      </c>
      <c r="H518" s="252" t="s">
        <v>2252</v>
      </c>
      <c r="I518" s="252">
        <v>5</v>
      </c>
      <c r="J518" s="255">
        <v>1</v>
      </c>
      <c r="K518" s="255">
        <v>1</v>
      </c>
      <c r="L518" s="255"/>
      <c r="M518" s="256">
        <v>1.4399999999999998E-4</v>
      </c>
      <c r="N518" s="249">
        <v>517</v>
      </c>
    </row>
    <row r="519" spans="1:14" x14ac:dyDescent="0.25">
      <c r="A519" s="252" t="s">
        <v>204</v>
      </c>
      <c r="B519" s="252" t="s">
        <v>2019</v>
      </c>
      <c r="C519" s="253">
        <v>0</v>
      </c>
      <c r="D519" s="252">
        <v>39792</v>
      </c>
      <c r="E519" s="252" t="s">
        <v>1764</v>
      </c>
      <c r="F519" s="254" t="s">
        <v>1631</v>
      </c>
      <c r="G519" s="252" t="s">
        <v>2253</v>
      </c>
      <c r="H519" s="252" t="s">
        <v>2254</v>
      </c>
      <c r="I519" s="252">
        <v>5</v>
      </c>
      <c r="J519" s="255">
        <v>1</v>
      </c>
      <c r="K519" s="255">
        <v>1</v>
      </c>
      <c r="L519" s="255"/>
      <c r="M519" s="256">
        <v>1.2750000000000001E-3</v>
      </c>
      <c r="N519" s="249">
        <v>518</v>
      </c>
    </row>
    <row r="520" spans="1:14" x14ac:dyDescent="0.25">
      <c r="A520" s="252" t="s">
        <v>204</v>
      </c>
      <c r="B520" s="252" t="s">
        <v>2019</v>
      </c>
      <c r="C520" s="253">
        <v>0</v>
      </c>
      <c r="D520" s="252">
        <v>39792</v>
      </c>
      <c r="E520" s="252" t="s">
        <v>1764</v>
      </c>
      <c r="F520" s="254" t="s">
        <v>1631</v>
      </c>
      <c r="G520" s="252" t="s">
        <v>2255</v>
      </c>
      <c r="H520" s="252" t="s">
        <v>2256</v>
      </c>
      <c r="I520" s="252">
        <v>5</v>
      </c>
      <c r="J520" s="255">
        <v>1</v>
      </c>
      <c r="K520" s="255">
        <v>1</v>
      </c>
      <c r="L520" s="255"/>
      <c r="M520" s="256">
        <v>3.9599999999999998E-4</v>
      </c>
      <c r="N520" s="249">
        <v>519</v>
      </c>
    </row>
    <row r="521" spans="1:14" x14ac:dyDescent="0.25">
      <c r="A521" s="252" t="s">
        <v>204</v>
      </c>
      <c r="B521" s="252" t="s">
        <v>2019</v>
      </c>
      <c r="C521" s="253">
        <v>0</v>
      </c>
      <c r="D521" s="252">
        <v>39792</v>
      </c>
      <c r="E521" s="252" t="s">
        <v>1764</v>
      </c>
      <c r="F521" s="254" t="s">
        <v>1631</v>
      </c>
      <c r="G521" s="252" t="s">
        <v>2257</v>
      </c>
      <c r="H521" s="252" t="s">
        <v>2258</v>
      </c>
      <c r="I521" s="252">
        <v>5</v>
      </c>
      <c r="J521" s="255">
        <v>1</v>
      </c>
      <c r="K521" s="255">
        <v>1</v>
      </c>
      <c r="L521" s="255"/>
      <c r="M521" s="256">
        <v>1.8059999999999997E-3</v>
      </c>
      <c r="N521" s="249">
        <v>520</v>
      </c>
    </row>
    <row r="522" spans="1:14" x14ac:dyDescent="0.25">
      <c r="A522" s="252" t="s">
        <v>204</v>
      </c>
      <c r="B522" s="252" t="s">
        <v>2019</v>
      </c>
      <c r="C522" s="253">
        <v>0</v>
      </c>
      <c r="D522" s="252">
        <v>39792</v>
      </c>
      <c r="E522" s="252" t="s">
        <v>1764</v>
      </c>
      <c r="F522" s="254" t="s">
        <v>1631</v>
      </c>
      <c r="G522" s="252" t="s">
        <v>2259</v>
      </c>
      <c r="H522" s="252" t="s">
        <v>2260</v>
      </c>
      <c r="I522" s="252">
        <v>5</v>
      </c>
      <c r="J522" s="255">
        <v>1</v>
      </c>
      <c r="K522" s="255">
        <v>1</v>
      </c>
      <c r="L522" s="255"/>
      <c r="M522" s="256">
        <v>1.8059999999999997E-3</v>
      </c>
      <c r="N522" s="249">
        <v>521</v>
      </c>
    </row>
    <row r="523" spans="1:14" x14ac:dyDescent="0.25">
      <c r="A523" s="252" t="s">
        <v>204</v>
      </c>
      <c r="B523" s="252" t="s">
        <v>2019</v>
      </c>
      <c r="C523" s="253">
        <v>0</v>
      </c>
      <c r="D523" s="252">
        <v>39792</v>
      </c>
      <c r="E523" s="252" t="s">
        <v>1764</v>
      </c>
      <c r="F523" s="254" t="s">
        <v>1631</v>
      </c>
      <c r="G523" s="252" t="s">
        <v>2261</v>
      </c>
      <c r="H523" s="252" t="s">
        <v>2262</v>
      </c>
      <c r="I523" s="252">
        <v>5</v>
      </c>
      <c r="J523" s="255">
        <v>1</v>
      </c>
      <c r="K523" s="255">
        <v>1</v>
      </c>
      <c r="L523" s="255"/>
      <c r="M523" s="256">
        <v>1.9799999999999999E-4</v>
      </c>
      <c r="N523" s="249">
        <v>522</v>
      </c>
    </row>
    <row r="524" spans="1:14" x14ac:dyDescent="0.25">
      <c r="A524" s="252" t="s">
        <v>204</v>
      </c>
      <c r="B524" s="252" t="s">
        <v>2019</v>
      </c>
      <c r="C524" s="253">
        <v>0</v>
      </c>
      <c r="D524" s="252">
        <v>39792</v>
      </c>
      <c r="E524" s="252" t="s">
        <v>1764</v>
      </c>
      <c r="F524" s="254" t="s">
        <v>1631</v>
      </c>
      <c r="G524" s="252" t="s">
        <v>2263</v>
      </c>
      <c r="H524" s="252" t="s">
        <v>2264</v>
      </c>
      <c r="I524" s="252">
        <v>5</v>
      </c>
      <c r="J524" s="255">
        <v>1</v>
      </c>
      <c r="K524" s="255">
        <v>1</v>
      </c>
      <c r="L524" s="255"/>
      <c r="M524" s="256">
        <v>1.9799999999999999E-4</v>
      </c>
      <c r="N524" s="249">
        <v>523</v>
      </c>
    </row>
    <row r="525" spans="1:14" x14ac:dyDescent="0.25">
      <c r="A525" s="252" t="s">
        <v>204</v>
      </c>
      <c r="B525" s="252" t="s">
        <v>2019</v>
      </c>
      <c r="C525" s="253">
        <v>0</v>
      </c>
      <c r="D525" s="252">
        <v>39792</v>
      </c>
      <c r="E525" s="252" t="s">
        <v>1764</v>
      </c>
      <c r="F525" s="254" t="s">
        <v>1631</v>
      </c>
      <c r="G525" s="252" t="s">
        <v>2265</v>
      </c>
      <c r="H525" s="252" t="s">
        <v>2266</v>
      </c>
      <c r="I525" s="252">
        <v>5</v>
      </c>
      <c r="J525" s="255">
        <v>1</v>
      </c>
      <c r="K525" s="255">
        <v>1</v>
      </c>
      <c r="L525" s="255"/>
      <c r="M525" s="256">
        <v>1.944E-3</v>
      </c>
      <c r="N525" s="249">
        <v>524</v>
      </c>
    </row>
    <row r="526" spans="1:14" x14ac:dyDescent="0.25">
      <c r="A526" s="252" t="s">
        <v>204</v>
      </c>
      <c r="B526" s="252" t="s">
        <v>2019</v>
      </c>
      <c r="C526" s="253">
        <v>0</v>
      </c>
      <c r="D526" s="252">
        <v>39792</v>
      </c>
      <c r="E526" s="252" t="s">
        <v>1764</v>
      </c>
      <c r="F526" s="254" t="s">
        <v>1631</v>
      </c>
      <c r="G526" s="252" t="s">
        <v>2267</v>
      </c>
      <c r="H526" s="252" t="s">
        <v>2268</v>
      </c>
      <c r="I526" s="252">
        <v>5</v>
      </c>
      <c r="J526" s="255">
        <v>1</v>
      </c>
      <c r="K526" s="255">
        <v>1</v>
      </c>
      <c r="L526" s="255"/>
      <c r="M526" s="256">
        <v>1.023E-3</v>
      </c>
      <c r="N526" s="249">
        <v>525</v>
      </c>
    </row>
    <row r="527" spans="1:14" x14ac:dyDescent="0.25">
      <c r="A527" s="252" t="s">
        <v>204</v>
      </c>
      <c r="B527" s="252" t="s">
        <v>2019</v>
      </c>
      <c r="C527" s="253">
        <v>0</v>
      </c>
      <c r="D527" s="252">
        <v>39792</v>
      </c>
      <c r="E527" s="252" t="s">
        <v>1764</v>
      </c>
      <c r="F527" s="254" t="s">
        <v>1631</v>
      </c>
      <c r="G527" s="252" t="s">
        <v>2269</v>
      </c>
      <c r="H527" s="252" t="s">
        <v>2270</v>
      </c>
      <c r="I527" s="252">
        <v>5</v>
      </c>
      <c r="J527" s="255">
        <v>1</v>
      </c>
      <c r="K527" s="255">
        <v>1</v>
      </c>
      <c r="L527" s="255"/>
      <c r="M527" s="256">
        <v>1.8059999999999997E-3</v>
      </c>
      <c r="N527" s="249">
        <v>526</v>
      </c>
    </row>
    <row r="528" spans="1:14" x14ac:dyDescent="0.25">
      <c r="A528" s="252" t="s">
        <v>204</v>
      </c>
      <c r="B528" s="252" t="s">
        <v>2019</v>
      </c>
      <c r="C528" s="253">
        <v>0</v>
      </c>
      <c r="D528" s="252">
        <v>39792</v>
      </c>
      <c r="E528" s="252" t="s">
        <v>1764</v>
      </c>
      <c r="F528" s="254" t="s">
        <v>1631</v>
      </c>
      <c r="G528" s="252" t="s">
        <v>2271</v>
      </c>
      <c r="H528" s="252" t="s">
        <v>2272</v>
      </c>
      <c r="I528" s="252">
        <v>5</v>
      </c>
      <c r="J528" s="255">
        <v>1</v>
      </c>
      <c r="K528" s="255">
        <v>1</v>
      </c>
      <c r="L528" s="255"/>
      <c r="M528" s="256">
        <v>1.8059999999999997E-3</v>
      </c>
      <c r="N528" s="249">
        <v>527</v>
      </c>
    </row>
    <row r="529" spans="1:14" x14ac:dyDescent="0.25">
      <c r="A529" s="252" t="s">
        <v>204</v>
      </c>
      <c r="B529" s="252" t="s">
        <v>2019</v>
      </c>
      <c r="C529" s="253">
        <v>0</v>
      </c>
      <c r="D529" s="252">
        <v>39792</v>
      </c>
      <c r="E529" s="252" t="s">
        <v>1764</v>
      </c>
      <c r="F529" s="254" t="s">
        <v>1631</v>
      </c>
      <c r="G529" s="252" t="s">
        <v>2273</v>
      </c>
      <c r="H529" s="252" t="s">
        <v>2274</v>
      </c>
      <c r="I529" s="252">
        <v>5</v>
      </c>
      <c r="J529" s="255">
        <v>1</v>
      </c>
      <c r="K529" s="255">
        <v>1</v>
      </c>
      <c r="L529" s="255"/>
      <c r="M529" s="256">
        <v>5.7599999999999991E-4</v>
      </c>
      <c r="N529" s="249">
        <v>528</v>
      </c>
    </row>
    <row r="530" spans="1:14" x14ac:dyDescent="0.25">
      <c r="A530" s="252" t="s">
        <v>204</v>
      </c>
      <c r="B530" s="252" t="s">
        <v>2019</v>
      </c>
      <c r="C530" s="253">
        <v>0</v>
      </c>
      <c r="D530" s="252">
        <v>39792</v>
      </c>
      <c r="E530" s="252" t="s">
        <v>1764</v>
      </c>
      <c r="F530" s="254" t="s">
        <v>1631</v>
      </c>
      <c r="G530" s="252" t="s">
        <v>2275</v>
      </c>
      <c r="H530" s="252" t="s">
        <v>2276</v>
      </c>
      <c r="I530" s="252">
        <v>5</v>
      </c>
      <c r="J530" s="255">
        <v>1</v>
      </c>
      <c r="K530" s="255">
        <v>1</v>
      </c>
      <c r="L530" s="255"/>
      <c r="M530" s="256">
        <v>5.7599999999999991E-4</v>
      </c>
      <c r="N530" s="249">
        <v>529</v>
      </c>
    </row>
    <row r="531" spans="1:14" x14ac:dyDescent="0.25">
      <c r="A531" s="252" t="s">
        <v>204</v>
      </c>
      <c r="B531" s="252" t="s">
        <v>2019</v>
      </c>
      <c r="C531" s="253">
        <v>0</v>
      </c>
      <c r="D531" s="252">
        <v>39792</v>
      </c>
      <c r="E531" s="252" t="s">
        <v>1764</v>
      </c>
      <c r="F531" s="254" t="s">
        <v>1631</v>
      </c>
      <c r="G531" s="252" t="s">
        <v>2277</v>
      </c>
      <c r="H531" s="252" t="s">
        <v>2278</v>
      </c>
      <c r="I531" s="252">
        <v>5</v>
      </c>
      <c r="J531" s="255">
        <v>1</v>
      </c>
      <c r="K531" s="255">
        <v>1</v>
      </c>
      <c r="L531" s="255"/>
      <c r="M531" s="256">
        <v>3.1380000000000002E-3</v>
      </c>
      <c r="N531" s="249">
        <v>530</v>
      </c>
    </row>
    <row r="532" spans="1:14" x14ac:dyDescent="0.25">
      <c r="A532" s="252" t="s">
        <v>204</v>
      </c>
      <c r="B532" s="252" t="s">
        <v>2019</v>
      </c>
      <c r="C532" s="253">
        <v>0</v>
      </c>
      <c r="D532" s="252">
        <v>39792</v>
      </c>
      <c r="E532" s="252" t="s">
        <v>1764</v>
      </c>
      <c r="F532" s="254" t="s">
        <v>1631</v>
      </c>
      <c r="G532" s="252" t="s">
        <v>2281</v>
      </c>
      <c r="H532" s="252" t="s">
        <v>2282</v>
      </c>
      <c r="I532" s="252">
        <v>5</v>
      </c>
      <c r="J532" s="255">
        <v>1</v>
      </c>
      <c r="K532" s="255">
        <v>1</v>
      </c>
      <c r="L532" s="255"/>
      <c r="M532" s="256">
        <v>1.7759999999999998E-3</v>
      </c>
      <c r="N532" s="249">
        <v>531</v>
      </c>
    </row>
    <row r="533" spans="1:14" x14ac:dyDescent="0.25">
      <c r="A533" s="252" t="s">
        <v>204</v>
      </c>
      <c r="B533" s="252" t="s">
        <v>2019</v>
      </c>
      <c r="C533" s="253">
        <v>0</v>
      </c>
      <c r="D533" s="252">
        <v>39792</v>
      </c>
      <c r="E533" s="252" t="s">
        <v>1764</v>
      </c>
      <c r="F533" s="254" t="s">
        <v>1631</v>
      </c>
      <c r="G533" s="252" t="s">
        <v>2283</v>
      </c>
      <c r="H533" s="252" t="s">
        <v>2284</v>
      </c>
      <c r="I533" s="252">
        <v>5</v>
      </c>
      <c r="J533" s="255">
        <v>1</v>
      </c>
      <c r="K533" s="255">
        <v>1</v>
      </c>
      <c r="L533" s="255"/>
      <c r="M533" s="256">
        <v>1.7759999999999998E-3</v>
      </c>
      <c r="N533" s="249">
        <v>532</v>
      </c>
    </row>
    <row r="534" spans="1:14" x14ac:dyDescent="0.25">
      <c r="A534" s="252" t="s">
        <v>204</v>
      </c>
      <c r="B534" s="252" t="s">
        <v>2019</v>
      </c>
      <c r="C534" s="253">
        <v>0</v>
      </c>
      <c r="D534" s="252">
        <v>39792</v>
      </c>
      <c r="E534" s="252" t="s">
        <v>1764</v>
      </c>
      <c r="F534" s="254" t="s">
        <v>1631</v>
      </c>
      <c r="G534" s="252" t="s">
        <v>2285</v>
      </c>
      <c r="H534" s="252" t="s">
        <v>2286</v>
      </c>
      <c r="I534" s="252">
        <v>5</v>
      </c>
      <c r="J534" s="255">
        <v>1</v>
      </c>
      <c r="K534" s="255">
        <v>1</v>
      </c>
      <c r="L534" s="255"/>
      <c r="M534" s="256">
        <v>7.3799999999999994E-4</v>
      </c>
      <c r="N534" s="249">
        <v>533</v>
      </c>
    </row>
    <row r="535" spans="1:14" x14ac:dyDescent="0.25">
      <c r="A535" s="252" t="s">
        <v>204</v>
      </c>
      <c r="B535" s="252" t="s">
        <v>2019</v>
      </c>
      <c r="C535" s="253">
        <v>0</v>
      </c>
      <c r="D535" s="252">
        <v>39792</v>
      </c>
      <c r="E535" s="252" t="s">
        <v>1764</v>
      </c>
      <c r="F535" s="254" t="s">
        <v>1631</v>
      </c>
      <c r="G535" s="252" t="s">
        <v>2287</v>
      </c>
      <c r="H535" s="252" t="s">
        <v>2288</v>
      </c>
      <c r="I535" s="252">
        <v>5</v>
      </c>
      <c r="J535" s="255">
        <v>1</v>
      </c>
      <c r="K535" s="255">
        <v>1</v>
      </c>
      <c r="L535" s="255"/>
      <c r="M535" s="256">
        <v>7.3799999999999994E-4</v>
      </c>
      <c r="N535" s="249">
        <v>534</v>
      </c>
    </row>
    <row r="536" spans="1:14" x14ac:dyDescent="0.25">
      <c r="A536" s="252" t="s">
        <v>204</v>
      </c>
      <c r="B536" s="252" t="s">
        <v>2019</v>
      </c>
      <c r="C536" s="253">
        <v>0</v>
      </c>
      <c r="D536" s="252">
        <v>39792</v>
      </c>
      <c r="E536" s="252" t="s">
        <v>1764</v>
      </c>
      <c r="F536" s="254" t="s">
        <v>1631</v>
      </c>
      <c r="G536" s="252" t="s">
        <v>2289</v>
      </c>
      <c r="H536" s="252" t="s">
        <v>2290</v>
      </c>
      <c r="I536" s="252">
        <v>5</v>
      </c>
      <c r="J536" s="255">
        <v>1</v>
      </c>
      <c r="K536" s="255">
        <v>1</v>
      </c>
      <c r="L536" s="255"/>
      <c r="M536" s="256">
        <v>8.4510000000000002E-3</v>
      </c>
      <c r="N536" s="249">
        <v>535</v>
      </c>
    </row>
    <row r="537" spans="1:14" x14ac:dyDescent="0.25">
      <c r="A537" s="252" t="s">
        <v>204</v>
      </c>
      <c r="B537" s="252" t="s">
        <v>2019</v>
      </c>
      <c r="C537" s="253">
        <v>0</v>
      </c>
      <c r="D537" s="252">
        <v>39792</v>
      </c>
      <c r="E537" s="252" t="s">
        <v>1764</v>
      </c>
      <c r="F537" s="254" t="s">
        <v>1631</v>
      </c>
      <c r="G537" s="252" t="s">
        <v>2291</v>
      </c>
      <c r="H537" s="252" t="s">
        <v>2292</v>
      </c>
      <c r="I537" s="252">
        <v>5</v>
      </c>
      <c r="J537" s="255">
        <v>1</v>
      </c>
      <c r="K537" s="255">
        <v>1</v>
      </c>
      <c r="L537" s="255"/>
      <c r="M537" s="256">
        <v>1.2149999999999999E-3</v>
      </c>
      <c r="N537" s="249">
        <v>536</v>
      </c>
    </row>
    <row r="538" spans="1:14" x14ac:dyDescent="0.25">
      <c r="A538" s="252" t="s">
        <v>204</v>
      </c>
      <c r="B538" s="252" t="s">
        <v>2019</v>
      </c>
      <c r="C538" s="253">
        <v>0</v>
      </c>
      <c r="D538" s="252">
        <v>39792</v>
      </c>
      <c r="E538" s="252" t="s">
        <v>1764</v>
      </c>
      <c r="F538" s="254" t="s">
        <v>1631</v>
      </c>
      <c r="G538" s="252" t="s">
        <v>2293</v>
      </c>
      <c r="H538" s="252" t="s">
        <v>2294</v>
      </c>
      <c r="I538" s="252">
        <v>5</v>
      </c>
      <c r="J538" s="255">
        <v>1</v>
      </c>
      <c r="K538" s="255">
        <v>1</v>
      </c>
      <c r="L538" s="255"/>
      <c r="M538" s="256">
        <v>4.4999999999999999E-4</v>
      </c>
      <c r="N538" s="249">
        <v>537</v>
      </c>
    </row>
    <row r="539" spans="1:14" x14ac:dyDescent="0.25">
      <c r="A539" s="252" t="s">
        <v>204</v>
      </c>
      <c r="B539" s="252" t="s">
        <v>2019</v>
      </c>
      <c r="C539" s="253">
        <v>0</v>
      </c>
      <c r="D539" s="252">
        <v>39792</v>
      </c>
      <c r="E539" s="252" t="s">
        <v>1764</v>
      </c>
      <c r="F539" s="254" t="s">
        <v>1631</v>
      </c>
      <c r="G539" s="252" t="s">
        <v>2295</v>
      </c>
      <c r="H539" s="252" t="s">
        <v>2296</v>
      </c>
      <c r="I539" s="252">
        <v>5</v>
      </c>
      <c r="J539" s="255">
        <v>1</v>
      </c>
      <c r="K539" s="255">
        <v>1</v>
      </c>
      <c r="L539" s="255"/>
      <c r="M539" s="256">
        <v>2.4899999999999998E-4</v>
      </c>
      <c r="N539" s="249">
        <v>538</v>
      </c>
    </row>
    <row r="540" spans="1:14" x14ac:dyDescent="0.25">
      <c r="A540" s="252" t="s">
        <v>204</v>
      </c>
      <c r="B540" s="252" t="s">
        <v>2019</v>
      </c>
      <c r="C540" s="253">
        <v>0</v>
      </c>
      <c r="D540" s="252">
        <v>39792</v>
      </c>
      <c r="E540" s="252" t="s">
        <v>1764</v>
      </c>
      <c r="F540" s="254" t="s">
        <v>1631</v>
      </c>
      <c r="G540" s="252" t="s">
        <v>2297</v>
      </c>
      <c r="H540" s="252" t="s">
        <v>2298</v>
      </c>
      <c r="I540" s="252">
        <v>5</v>
      </c>
      <c r="J540" s="255">
        <v>1</v>
      </c>
      <c r="K540" s="255">
        <v>1</v>
      </c>
      <c r="L540" s="255"/>
      <c r="M540" s="256">
        <v>2.4899999999999998E-4</v>
      </c>
      <c r="N540" s="249">
        <v>539</v>
      </c>
    </row>
    <row r="541" spans="1:14" x14ac:dyDescent="0.25">
      <c r="A541" s="252" t="s">
        <v>204</v>
      </c>
      <c r="B541" s="252" t="s">
        <v>2019</v>
      </c>
      <c r="C541" s="253">
        <v>0</v>
      </c>
      <c r="D541" s="252">
        <v>39792</v>
      </c>
      <c r="E541" s="252" t="s">
        <v>1764</v>
      </c>
      <c r="F541" s="254" t="s">
        <v>1631</v>
      </c>
      <c r="G541" s="252" t="s">
        <v>2299</v>
      </c>
      <c r="H541" s="252" t="s">
        <v>2300</v>
      </c>
      <c r="I541" s="252">
        <v>5</v>
      </c>
      <c r="J541" s="255">
        <v>1</v>
      </c>
      <c r="K541" s="255">
        <v>1</v>
      </c>
      <c r="L541" s="255"/>
      <c r="M541" s="256">
        <v>1.7759999999999998E-3</v>
      </c>
      <c r="N541" s="249">
        <v>540</v>
      </c>
    </row>
    <row r="542" spans="1:14" x14ac:dyDescent="0.25">
      <c r="A542" s="252" t="s">
        <v>204</v>
      </c>
      <c r="B542" s="252" t="s">
        <v>2019</v>
      </c>
      <c r="C542" s="253">
        <v>0</v>
      </c>
      <c r="D542" s="252">
        <v>39792</v>
      </c>
      <c r="E542" s="252" t="s">
        <v>1764</v>
      </c>
      <c r="F542" s="254" t="s">
        <v>1631</v>
      </c>
      <c r="G542" s="252" t="s">
        <v>2301</v>
      </c>
      <c r="H542" s="252" t="s">
        <v>2302</v>
      </c>
      <c r="I542" s="252">
        <v>5</v>
      </c>
      <c r="J542" s="255">
        <v>1</v>
      </c>
      <c r="K542" s="255">
        <v>1</v>
      </c>
      <c r="L542" s="255"/>
      <c r="M542" s="256">
        <v>4.986E-3</v>
      </c>
      <c r="N542" s="249">
        <v>541</v>
      </c>
    </row>
    <row r="543" spans="1:14" x14ac:dyDescent="0.25">
      <c r="A543" s="252" t="s">
        <v>204</v>
      </c>
      <c r="B543" s="252" t="s">
        <v>2019</v>
      </c>
      <c r="C543" s="253">
        <v>0</v>
      </c>
      <c r="D543" s="252">
        <v>39792</v>
      </c>
      <c r="E543" s="252" t="s">
        <v>1764</v>
      </c>
      <c r="F543" s="254" t="s">
        <v>1631</v>
      </c>
      <c r="G543" s="252" t="s">
        <v>2303</v>
      </c>
      <c r="H543" s="252" t="s">
        <v>2304</v>
      </c>
      <c r="I543" s="252">
        <v>5</v>
      </c>
      <c r="J543" s="255">
        <v>1</v>
      </c>
      <c r="K543" s="255">
        <v>1</v>
      </c>
      <c r="L543" s="255"/>
      <c r="M543" s="256">
        <v>7.3799999999999994E-4</v>
      </c>
      <c r="N543" s="249">
        <v>542</v>
      </c>
    </row>
    <row r="544" spans="1:14" x14ac:dyDescent="0.25">
      <c r="A544" s="252" t="s">
        <v>204</v>
      </c>
      <c r="B544" s="252" t="s">
        <v>2019</v>
      </c>
      <c r="C544" s="253">
        <v>0</v>
      </c>
      <c r="D544" s="252">
        <v>39792</v>
      </c>
      <c r="E544" s="252" t="s">
        <v>1764</v>
      </c>
      <c r="F544" s="254" t="s">
        <v>1631</v>
      </c>
      <c r="G544" s="252" t="s">
        <v>2305</v>
      </c>
      <c r="H544" s="252" t="s">
        <v>2306</v>
      </c>
      <c r="I544" s="252">
        <v>5</v>
      </c>
      <c r="J544" s="255">
        <v>1</v>
      </c>
      <c r="K544" s="255">
        <v>1</v>
      </c>
      <c r="L544" s="255"/>
      <c r="M544" s="256">
        <v>7.3799999999999994E-4</v>
      </c>
      <c r="N544" s="249">
        <v>543</v>
      </c>
    </row>
    <row r="545" spans="1:14" x14ac:dyDescent="0.25">
      <c r="A545" s="252" t="s">
        <v>204</v>
      </c>
      <c r="B545" s="252" t="s">
        <v>2019</v>
      </c>
      <c r="C545" s="253">
        <v>0</v>
      </c>
      <c r="D545" s="252">
        <v>39792</v>
      </c>
      <c r="E545" s="252" t="s">
        <v>1764</v>
      </c>
      <c r="F545" s="254" t="s">
        <v>1631</v>
      </c>
      <c r="G545" s="252" t="s">
        <v>2307</v>
      </c>
      <c r="H545" s="252" t="s">
        <v>2308</v>
      </c>
      <c r="I545" s="252">
        <v>5</v>
      </c>
      <c r="J545" s="255">
        <v>1</v>
      </c>
      <c r="K545" s="255">
        <v>1</v>
      </c>
      <c r="L545" s="255"/>
      <c r="M545" s="256">
        <v>1.7759999999999998E-3</v>
      </c>
      <c r="N545" s="249">
        <v>544</v>
      </c>
    </row>
    <row r="546" spans="1:14" x14ac:dyDescent="0.25">
      <c r="A546" s="252" t="s">
        <v>204</v>
      </c>
      <c r="B546" s="252" t="s">
        <v>2019</v>
      </c>
      <c r="C546" s="253">
        <v>0</v>
      </c>
      <c r="D546" s="252">
        <v>39792</v>
      </c>
      <c r="E546" s="252" t="s">
        <v>1764</v>
      </c>
      <c r="F546" s="254" t="s">
        <v>1631</v>
      </c>
      <c r="G546" s="252" t="s">
        <v>2309</v>
      </c>
      <c r="H546" s="252" t="s">
        <v>2310</v>
      </c>
      <c r="I546" s="252">
        <v>5</v>
      </c>
      <c r="J546" s="255">
        <v>1</v>
      </c>
      <c r="K546" s="255">
        <v>1</v>
      </c>
      <c r="L546" s="255"/>
      <c r="M546" s="256">
        <v>1.8059999999999997E-3</v>
      </c>
      <c r="N546" s="249">
        <v>545</v>
      </c>
    </row>
    <row r="547" spans="1:14" x14ac:dyDescent="0.25">
      <c r="A547" s="252" t="s">
        <v>204</v>
      </c>
      <c r="B547" s="252" t="s">
        <v>2019</v>
      </c>
      <c r="C547" s="253">
        <v>0</v>
      </c>
      <c r="D547" s="252">
        <v>39792</v>
      </c>
      <c r="E547" s="252" t="s">
        <v>1764</v>
      </c>
      <c r="F547" s="254" t="s">
        <v>1631</v>
      </c>
      <c r="G547" s="252" t="s">
        <v>2311</v>
      </c>
      <c r="H547" s="252" t="s">
        <v>2312</v>
      </c>
      <c r="I547" s="252">
        <v>5</v>
      </c>
      <c r="J547" s="255">
        <v>1</v>
      </c>
      <c r="K547" s="255">
        <v>1</v>
      </c>
      <c r="L547" s="255"/>
      <c r="M547" s="256">
        <v>2.4899999999999998E-4</v>
      </c>
      <c r="N547" s="249">
        <v>546</v>
      </c>
    </row>
    <row r="548" spans="1:14" x14ac:dyDescent="0.25">
      <c r="A548" s="252" t="s">
        <v>204</v>
      </c>
      <c r="B548" s="252" t="s">
        <v>2019</v>
      </c>
      <c r="C548" s="253">
        <v>0</v>
      </c>
      <c r="D548" s="252">
        <v>39792</v>
      </c>
      <c r="E548" s="252" t="s">
        <v>1764</v>
      </c>
      <c r="F548" s="254" t="s">
        <v>1631</v>
      </c>
      <c r="G548" s="252" t="s">
        <v>2313</v>
      </c>
      <c r="H548" s="252" t="s">
        <v>2314</v>
      </c>
      <c r="I548" s="252">
        <v>5</v>
      </c>
      <c r="J548" s="255">
        <v>1</v>
      </c>
      <c r="K548" s="255">
        <v>1</v>
      </c>
      <c r="L548" s="255"/>
      <c r="M548" s="256">
        <v>4.86E-4</v>
      </c>
      <c r="N548" s="249">
        <v>547</v>
      </c>
    </row>
    <row r="549" spans="1:14" x14ac:dyDescent="0.25">
      <c r="A549" s="252" t="s">
        <v>204</v>
      </c>
      <c r="B549" s="252" t="s">
        <v>2019</v>
      </c>
      <c r="C549" s="253">
        <v>0</v>
      </c>
      <c r="D549" s="252">
        <v>39792</v>
      </c>
      <c r="E549" s="252" t="s">
        <v>1764</v>
      </c>
      <c r="F549" s="254" t="s">
        <v>1631</v>
      </c>
      <c r="G549" s="252" t="s">
        <v>2315</v>
      </c>
      <c r="H549" s="252" t="s">
        <v>2316</v>
      </c>
      <c r="I549" s="252">
        <v>5</v>
      </c>
      <c r="J549" s="255">
        <v>1</v>
      </c>
      <c r="K549" s="255">
        <v>1</v>
      </c>
      <c r="L549" s="255"/>
      <c r="M549" s="256">
        <v>3.4199999999999999E-3</v>
      </c>
      <c r="N549" s="249">
        <v>548</v>
      </c>
    </row>
    <row r="550" spans="1:14" x14ac:dyDescent="0.25">
      <c r="A550" s="252" t="s">
        <v>204</v>
      </c>
      <c r="B550" s="252" t="s">
        <v>2019</v>
      </c>
      <c r="C550" s="253">
        <v>0</v>
      </c>
      <c r="D550" s="252">
        <v>39792</v>
      </c>
      <c r="E550" s="252" t="s">
        <v>1764</v>
      </c>
      <c r="F550" s="254" t="s">
        <v>1631</v>
      </c>
      <c r="G550" s="252" t="s">
        <v>2317</v>
      </c>
      <c r="H550" s="252" t="s">
        <v>2318</v>
      </c>
      <c r="I550" s="252">
        <v>5</v>
      </c>
      <c r="J550" s="255">
        <v>1</v>
      </c>
      <c r="K550" s="255">
        <v>1</v>
      </c>
      <c r="L550" s="255"/>
      <c r="M550" s="256">
        <v>2.8049999999999998E-3</v>
      </c>
      <c r="N550" s="249">
        <v>549</v>
      </c>
    </row>
    <row r="551" spans="1:14" x14ac:dyDescent="0.25">
      <c r="A551" s="252" t="s">
        <v>204</v>
      </c>
      <c r="B551" s="252" t="s">
        <v>2019</v>
      </c>
      <c r="C551" s="253">
        <v>0</v>
      </c>
      <c r="D551" s="252">
        <v>39792</v>
      </c>
      <c r="E551" s="252" t="s">
        <v>1764</v>
      </c>
      <c r="F551" s="254" t="s">
        <v>1631</v>
      </c>
      <c r="G551" s="252" t="s">
        <v>2319</v>
      </c>
      <c r="H551" s="252" t="s">
        <v>2320</v>
      </c>
      <c r="I551" s="252">
        <v>5</v>
      </c>
      <c r="J551" s="255">
        <v>1</v>
      </c>
      <c r="K551" s="255">
        <v>1</v>
      </c>
      <c r="L551" s="255"/>
      <c r="M551" s="256">
        <v>4.86E-4</v>
      </c>
      <c r="N551" s="249">
        <v>550</v>
      </c>
    </row>
    <row r="552" spans="1:14" x14ac:dyDescent="0.25">
      <c r="A552" s="252" t="s">
        <v>204</v>
      </c>
      <c r="B552" s="252" t="s">
        <v>2019</v>
      </c>
      <c r="C552" s="253">
        <v>0</v>
      </c>
      <c r="D552" s="252">
        <v>39792</v>
      </c>
      <c r="E552" s="252" t="s">
        <v>1764</v>
      </c>
      <c r="F552" s="254" t="s">
        <v>2326</v>
      </c>
      <c r="G552" s="252" t="s">
        <v>2364</v>
      </c>
      <c r="H552" s="252" t="s">
        <v>2365</v>
      </c>
      <c r="I552" s="252">
        <v>5</v>
      </c>
      <c r="J552" s="255">
        <v>1</v>
      </c>
      <c r="K552" s="255">
        <v>1</v>
      </c>
      <c r="L552" s="255"/>
      <c r="M552" s="256">
        <v>2.0039999999999997E-3</v>
      </c>
      <c r="N552" s="249">
        <v>551</v>
      </c>
    </row>
    <row r="553" spans="1:14" x14ac:dyDescent="0.25">
      <c r="A553" s="252" t="s">
        <v>204</v>
      </c>
      <c r="B553" s="252" t="s">
        <v>2019</v>
      </c>
      <c r="C553" s="253">
        <v>0</v>
      </c>
      <c r="D553" s="252">
        <v>39792</v>
      </c>
      <c r="E553" s="252" t="s">
        <v>1764</v>
      </c>
      <c r="F553" s="254" t="s">
        <v>2326</v>
      </c>
      <c r="G553" s="252" t="s">
        <v>2366</v>
      </c>
      <c r="H553" s="252" t="s">
        <v>2367</v>
      </c>
      <c r="I553" s="252">
        <v>5</v>
      </c>
      <c r="J553" s="255">
        <v>1</v>
      </c>
      <c r="K553" s="255">
        <v>1</v>
      </c>
      <c r="L553" s="255"/>
      <c r="M553" s="256">
        <v>1.8059999999999997E-3</v>
      </c>
      <c r="N553" s="249">
        <v>552</v>
      </c>
    </row>
    <row r="554" spans="1:14" x14ac:dyDescent="0.25">
      <c r="A554" s="252" t="s">
        <v>204</v>
      </c>
      <c r="B554" s="252" t="s">
        <v>2019</v>
      </c>
      <c r="C554" s="253">
        <v>0</v>
      </c>
      <c r="D554" s="252">
        <v>39792</v>
      </c>
      <c r="E554" s="252" t="s">
        <v>1764</v>
      </c>
      <c r="F554" s="254" t="s">
        <v>2326</v>
      </c>
      <c r="G554" s="252" t="s">
        <v>2368</v>
      </c>
      <c r="H554" s="252" t="s">
        <v>2369</v>
      </c>
      <c r="I554" s="252">
        <v>5</v>
      </c>
      <c r="J554" s="255">
        <v>1</v>
      </c>
      <c r="K554" s="255">
        <v>1</v>
      </c>
      <c r="L554" s="255"/>
      <c r="M554" s="256">
        <v>1.8059999999999997E-3</v>
      </c>
      <c r="N554" s="249">
        <v>553</v>
      </c>
    </row>
    <row r="555" spans="1:14" x14ac:dyDescent="0.25">
      <c r="A555" s="252" t="s">
        <v>204</v>
      </c>
      <c r="B555" s="252" t="s">
        <v>2019</v>
      </c>
      <c r="C555" s="253">
        <v>0</v>
      </c>
      <c r="D555" s="252">
        <v>39792</v>
      </c>
      <c r="E555" s="252" t="s">
        <v>1764</v>
      </c>
      <c r="F555" s="254" t="s">
        <v>2326</v>
      </c>
      <c r="G555" s="252" t="s">
        <v>2370</v>
      </c>
      <c r="H555" s="252" t="s">
        <v>2371</v>
      </c>
      <c r="I555" s="252">
        <v>5</v>
      </c>
      <c r="J555" s="255">
        <v>1</v>
      </c>
      <c r="K555" s="255">
        <v>1</v>
      </c>
      <c r="L555" s="255"/>
      <c r="M555" s="256">
        <v>1.173E-3</v>
      </c>
      <c r="N555" s="249">
        <v>554</v>
      </c>
    </row>
    <row r="556" spans="1:14" x14ac:dyDescent="0.25">
      <c r="A556" s="252" t="s">
        <v>204</v>
      </c>
      <c r="B556" s="252" t="s">
        <v>2019</v>
      </c>
      <c r="C556" s="253">
        <v>0</v>
      </c>
      <c r="D556" s="252">
        <v>39792</v>
      </c>
      <c r="E556" s="252" t="s">
        <v>1764</v>
      </c>
      <c r="F556" s="254" t="s">
        <v>2326</v>
      </c>
      <c r="G556" s="252" t="s">
        <v>2372</v>
      </c>
      <c r="H556" s="252" t="s">
        <v>2373</v>
      </c>
      <c r="I556" s="252">
        <v>5</v>
      </c>
      <c r="J556" s="255">
        <v>1</v>
      </c>
      <c r="K556" s="255">
        <v>1</v>
      </c>
      <c r="L556" s="255"/>
      <c r="M556" s="256">
        <v>1.173E-3</v>
      </c>
      <c r="N556" s="249">
        <v>555</v>
      </c>
    </row>
    <row r="557" spans="1:14" x14ac:dyDescent="0.25">
      <c r="A557" s="252" t="s">
        <v>204</v>
      </c>
      <c r="B557" s="252" t="s">
        <v>2019</v>
      </c>
      <c r="C557" s="253">
        <v>0</v>
      </c>
      <c r="D557" s="252">
        <v>39792</v>
      </c>
      <c r="E557" s="252" t="s">
        <v>1764</v>
      </c>
      <c r="F557" s="254" t="s">
        <v>2326</v>
      </c>
      <c r="G557" s="252" t="s">
        <v>2374</v>
      </c>
      <c r="H557" s="252" t="s">
        <v>2375</v>
      </c>
      <c r="I557" s="252">
        <v>5</v>
      </c>
      <c r="J557" s="255">
        <v>1</v>
      </c>
      <c r="K557" s="255">
        <v>1</v>
      </c>
      <c r="L557" s="255"/>
      <c r="M557" s="256">
        <v>5.1570000000000001E-3</v>
      </c>
      <c r="N557" s="249">
        <v>556</v>
      </c>
    </row>
    <row r="558" spans="1:14" x14ac:dyDescent="0.25">
      <c r="A558" s="252" t="s">
        <v>204</v>
      </c>
      <c r="B558" s="252" t="s">
        <v>2019</v>
      </c>
      <c r="C558" s="253">
        <v>0</v>
      </c>
      <c r="D558" s="252">
        <v>39792</v>
      </c>
      <c r="E558" s="252" t="s">
        <v>1764</v>
      </c>
      <c r="F558" s="254" t="s">
        <v>2326</v>
      </c>
      <c r="G558" s="252" t="s">
        <v>2376</v>
      </c>
      <c r="H558" s="252" t="s">
        <v>2377</v>
      </c>
      <c r="I558" s="252">
        <v>5</v>
      </c>
      <c r="J558" s="255">
        <v>1</v>
      </c>
      <c r="K558" s="255">
        <v>1</v>
      </c>
      <c r="L558" s="255"/>
      <c r="M558" s="256">
        <v>1.284E-3</v>
      </c>
      <c r="N558" s="249">
        <v>557</v>
      </c>
    </row>
    <row r="559" spans="1:14" x14ac:dyDescent="0.25">
      <c r="A559" s="252" t="s">
        <v>204</v>
      </c>
      <c r="B559" s="252" t="s">
        <v>2019</v>
      </c>
      <c r="C559" s="253">
        <v>0</v>
      </c>
      <c r="D559" s="252">
        <v>39792</v>
      </c>
      <c r="E559" s="252" t="s">
        <v>1764</v>
      </c>
      <c r="F559" s="254" t="s">
        <v>2326</v>
      </c>
      <c r="G559" s="252" t="s">
        <v>2378</v>
      </c>
      <c r="H559" s="252" t="s">
        <v>2379</v>
      </c>
      <c r="I559" s="252">
        <v>5</v>
      </c>
      <c r="J559" s="255">
        <v>1</v>
      </c>
      <c r="K559" s="255">
        <v>1</v>
      </c>
      <c r="L559" s="255"/>
      <c r="M559" s="256">
        <v>1.8059999999999997E-3</v>
      </c>
      <c r="N559" s="249">
        <v>558</v>
      </c>
    </row>
    <row r="560" spans="1:14" x14ac:dyDescent="0.25">
      <c r="A560" s="252" t="s">
        <v>204</v>
      </c>
      <c r="B560" s="252" t="s">
        <v>2019</v>
      </c>
      <c r="C560" s="253">
        <v>0</v>
      </c>
      <c r="D560" s="252">
        <v>39792</v>
      </c>
      <c r="E560" s="252" t="s">
        <v>1764</v>
      </c>
      <c r="F560" s="254" t="s">
        <v>2326</v>
      </c>
      <c r="G560" s="252" t="s">
        <v>2380</v>
      </c>
      <c r="H560" s="252" t="s">
        <v>2381</v>
      </c>
      <c r="I560" s="252">
        <v>5</v>
      </c>
      <c r="J560" s="255">
        <v>1</v>
      </c>
      <c r="K560" s="255">
        <v>1</v>
      </c>
      <c r="L560" s="255"/>
      <c r="M560" s="256">
        <v>1.8059999999999997E-3</v>
      </c>
      <c r="N560" s="249">
        <v>559</v>
      </c>
    </row>
    <row r="561" spans="1:14" x14ac:dyDescent="0.25">
      <c r="A561" s="252" t="s">
        <v>204</v>
      </c>
      <c r="B561" s="252" t="s">
        <v>2019</v>
      </c>
      <c r="C561" s="253">
        <v>0</v>
      </c>
      <c r="D561" s="252">
        <v>39792</v>
      </c>
      <c r="E561" s="252" t="s">
        <v>1764</v>
      </c>
      <c r="F561" s="254" t="s">
        <v>2326</v>
      </c>
      <c r="G561" s="252" t="s">
        <v>2382</v>
      </c>
      <c r="H561" s="252" t="s">
        <v>2383</v>
      </c>
      <c r="I561" s="252">
        <v>5</v>
      </c>
      <c r="J561" s="255">
        <v>1</v>
      </c>
      <c r="K561" s="255">
        <v>1</v>
      </c>
      <c r="L561" s="255"/>
      <c r="M561" s="256">
        <v>7.3500000000000008E-4</v>
      </c>
      <c r="N561" s="249">
        <v>560</v>
      </c>
    </row>
    <row r="562" spans="1:14" x14ac:dyDescent="0.25">
      <c r="A562" s="252" t="s">
        <v>204</v>
      </c>
      <c r="B562" s="252" t="s">
        <v>2019</v>
      </c>
      <c r="C562" s="253">
        <v>0</v>
      </c>
      <c r="D562" s="252">
        <v>39792</v>
      </c>
      <c r="E562" s="252" t="s">
        <v>1764</v>
      </c>
      <c r="F562" s="254" t="s">
        <v>2326</v>
      </c>
      <c r="G562" s="252" t="s">
        <v>2384</v>
      </c>
      <c r="H562" s="252" t="s">
        <v>2385</v>
      </c>
      <c r="I562" s="252">
        <v>5</v>
      </c>
      <c r="J562" s="255">
        <v>1</v>
      </c>
      <c r="K562" s="255">
        <v>1</v>
      </c>
      <c r="L562" s="255"/>
      <c r="M562" s="256">
        <v>7.3500000000000008E-4</v>
      </c>
      <c r="N562" s="249">
        <v>561</v>
      </c>
    </row>
    <row r="563" spans="1:14" x14ac:dyDescent="0.25">
      <c r="A563" s="252" t="s">
        <v>204</v>
      </c>
      <c r="B563" s="252" t="s">
        <v>2019</v>
      </c>
      <c r="C563" s="253">
        <v>0</v>
      </c>
      <c r="D563" s="252">
        <v>39792</v>
      </c>
      <c r="E563" s="252" t="s">
        <v>1764</v>
      </c>
      <c r="F563" s="254" t="s">
        <v>2326</v>
      </c>
      <c r="G563" s="252" t="s">
        <v>2386</v>
      </c>
      <c r="H563" s="252" t="s">
        <v>2387</v>
      </c>
      <c r="I563" s="252">
        <v>5</v>
      </c>
      <c r="J563" s="255">
        <v>1</v>
      </c>
      <c r="K563" s="255">
        <v>1</v>
      </c>
      <c r="L563" s="255"/>
      <c r="M563" s="256">
        <v>3.7349999999999996E-3</v>
      </c>
      <c r="N563" s="249">
        <v>562</v>
      </c>
    </row>
    <row r="564" spans="1:14" x14ac:dyDescent="0.25">
      <c r="A564" s="252" t="s">
        <v>204</v>
      </c>
      <c r="B564" s="252" t="s">
        <v>2019</v>
      </c>
      <c r="C564" s="253">
        <v>0</v>
      </c>
      <c r="D564" s="252">
        <v>39792</v>
      </c>
      <c r="E564" s="252" t="s">
        <v>1764</v>
      </c>
      <c r="F564" s="254" t="s">
        <v>2326</v>
      </c>
      <c r="G564" s="252" t="s">
        <v>2388</v>
      </c>
      <c r="H564" s="252" t="s">
        <v>2389</v>
      </c>
      <c r="I564" s="252">
        <v>5</v>
      </c>
      <c r="J564" s="255">
        <v>1</v>
      </c>
      <c r="K564" s="255">
        <v>1</v>
      </c>
      <c r="L564" s="255"/>
      <c r="M564" s="256">
        <v>2.43E-4</v>
      </c>
      <c r="N564" s="249">
        <v>563</v>
      </c>
    </row>
    <row r="565" spans="1:14" x14ac:dyDescent="0.25">
      <c r="A565" s="252" t="s">
        <v>204</v>
      </c>
      <c r="B565" s="252" t="s">
        <v>2019</v>
      </c>
      <c r="C565" s="253">
        <v>0</v>
      </c>
      <c r="D565" s="252">
        <v>39792</v>
      </c>
      <c r="E565" s="252" t="s">
        <v>1764</v>
      </c>
      <c r="F565" s="254" t="s">
        <v>2326</v>
      </c>
      <c r="G565" s="252" t="s">
        <v>2390</v>
      </c>
      <c r="H565" s="252" t="s">
        <v>2391</v>
      </c>
      <c r="I565" s="252">
        <v>5</v>
      </c>
      <c r="J565" s="255">
        <v>1</v>
      </c>
      <c r="K565" s="255">
        <v>1</v>
      </c>
      <c r="L565" s="255"/>
      <c r="M565" s="256">
        <v>1.8059999999999997E-3</v>
      </c>
      <c r="N565" s="249">
        <v>564</v>
      </c>
    </row>
    <row r="566" spans="1:14" x14ac:dyDescent="0.25">
      <c r="A566" s="252" t="s">
        <v>204</v>
      </c>
      <c r="B566" s="252" t="s">
        <v>2019</v>
      </c>
      <c r="C566" s="253">
        <v>0</v>
      </c>
      <c r="D566" s="252">
        <v>39792</v>
      </c>
      <c r="E566" s="252" t="s">
        <v>1764</v>
      </c>
      <c r="F566" s="254" t="s">
        <v>2326</v>
      </c>
      <c r="G566" s="252" t="s">
        <v>2392</v>
      </c>
      <c r="H566" s="252" t="s">
        <v>2393</v>
      </c>
      <c r="I566" s="252">
        <v>5</v>
      </c>
      <c r="J566" s="255">
        <v>1</v>
      </c>
      <c r="K566" s="255">
        <v>1</v>
      </c>
      <c r="L566" s="255"/>
      <c r="M566" s="256">
        <v>1.0499999999999999E-4</v>
      </c>
      <c r="N566" s="249">
        <v>565</v>
      </c>
    </row>
    <row r="567" spans="1:14" x14ac:dyDescent="0.25">
      <c r="A567" s="252" t="s">
        <v>204</v>
      </c>
      <c r="B567" s="252" t="s">
        <v>2019</v>
      </c>
      <c r="C567" s="253">
        <v>0</v>
      </c>
      <c r="D567" s="252">
        <v>39792</v>
      </c>
      <c r="E567" s="252" t="s">
        <v>1764</v>
      </c>
      <c r="F567" s="254" t="s">
        <v>2326</v>
      </c>
      <c r="G567" s="252" t="s">
        <v>2394</v>
      </c>
      <c r="H567" s="252" t="s">
        <v>2395</v>
      </c>
      <c r="I567" s="252">
        <v>5</v>
      </c>
      <c r="J567" s="255">
        <v>1</v>
      </c>
      <c r="K567" s="255">
        <v>1</v>
      </c>
      <c r="L567" s="255"/>
      <c r="M567" s="256">
        <v>1.0499999999999999E-4</v>
      </c>
      <c r="N567" s="249">
        <v>566</v>
      </c>
    </row>
    <row r="568" spans="1:14" x14ac:dyDescent="0.25">
      <c r="A568" s="252" t="s">
        <v>204</v>
      </c>
      <c r="B568" s="252" t="s">
        <v>2019</v>
      </c>
      <c r="C568" s="253">
        <v>0</v>
      </c>
      <c r="D568" s="252">
        <v>39792</v>
      </c>
      <c r="E568" s="252" t="s">
        <v>1764</v>
      </c>
      <c r="F568" s="254" t="s">
        <v>2326</v>
      </c>
      <c r="G568" s="252" t="s">
        <v>2396</v>
      </c>
      <c r="H568" s="252" t="s">
        <v>2397</v>
      </c>
      <c r="I568" s="252">
        <v>5</v>
      </c>
      <c r="J568" s="255">
        <v>1</v>
      </c>
      <c r="K568" s="255">
        <v>1</v>
      </c>
      <c r="L568" s="255"/>
      <c r="M568" s="256">
        <v>9.5100000000000002E-4</v>
      </c>
      <c r="N568" s="249">
        <v>567</v>
      </c>
    </row>
    <row r="569" spans="1:14" x14ac:dyDescent="0.25">
      <c r="A569" s="252" t="s">
        <v>204</v>
      </c>
      <c r="B569" s="252" t="s">
        <v>2019</v>
      </c>
      <c r="C569" s="253">
        <v>0</v>
      </c>
      <c r="D569" s="252">
        <v>39792</v>
      </c>
      <c r="E569" s="252" t="s">
        <v>1764</v>
      </c>
      <c r="F569" s="254" t="s">
        <v>2326</v>
      </c>
      <c r="G569" s="252" t="s">
        <v>2398</v>
      </c>
      <c r="H569" s="252" t="s">
        <v>2399</v>
      </c>
      <c r="I569" s="252">
        <v>5</v>
      </c>
      <c r="J569" s="255">
        <v>1</v>
      </c>
      <c r="K569" s="255">
        <v>1</v>
      </c>
      <c r="L569" s="255"/>
      <c r="M569" s="256">
        <v>1.8059999999999997E-3</v>
      </c>
      <c r="N569" s="249">
        <v>568</v>
      </c>
    </row>
    <row r="570" spans="1:14" x14ac:dyDescent="0.25">
      <c r="A570" s="252" t="s">
        <v>204</v>
      </c>
      <c r="B570" s="252" t="s">
        <v>2019</v>
      </c>
      <c r="C570" s="253">
        <v>0</v>
      </c>
      <c r="D570" s="252">
        <v>39792</v>
      </c>
      <c r="E570" s="252" t="s">
        <v>1764</v>
      </c>
      <c r="F570" s="254" t="s">
        <v>1726</v>
      </c>
      <c r="G570" s="252" t="s">
        <v>2469</v>
      </c>
      <c r="H570" s="252" t="s">
        <v>2470</v>
      </c>
      <c r="I570" s="252">
        <v>5</v>
      </c>
      <c r="J570" s="255">
        <v>1</v>
      </c>
      <c r="K570" s="255">
        <v>1</v>
      </c>
      <c r="L570" s="255"/>
      <c r="M570" s="256">
        <v>4.6200000000000001E-4</v>
      </c>
      <c r="N570" s="249">
        <v>569</v>
      </c>
    </row>
    <row r="571" spans="1:14" x14ac:dyDescent="0.25">
      <c r="A571" s="252" t="s">
        <v>204</v>
      </c>
      <c r="B571" s="252" t="s">
        <v>2019</v>
      </c>
      <c r="C571" s="253">
        <v>0</v>
      </c>
      <c r="D571" s="252">
        <v>39792</v>
      </c>
      <c r="E571" s="252" t="s">
        <v>1764</v>
      </c>
      <c r="F571" s="254" t="s">
        <v>1726</v>
      </c>
      <c r="G571" s="252" t="s">
        <v>2471</v>
      </c>
      <c r="H571" s="252" t="s">
        <v>2472</v>
      </c>
      <c r="I571" s="252">
        <v>5</v>
      </c>
      <c r="J571" s="255">
        <v>1</v>
      </c>
      <c r="K571" s="255">
        <v>1</v>
      </c>
      <c r="L571" s="255"/>
      <c r="M571" s="256">
        <v>1.8059999999999997E-3</v>
      </c>
      <c r="N571" s="249">
        <v>570</v>
      </c>
    </row>
    <row r="572" spans="1:14" x14ac:dyDescent="0.25">
      <c r="A572" s="252" t="s">
        <v>204</v>
      </c>
      <c r="B572" s="252" t="s">
        <v>2019</v>
      </c>
      <c r="C572" s="253">
        <v>0</v>
      </c>
      <c r="D572" s="252">
        <v>39792</v>
      </c>
      <c r="E572" s="252" t="s">
        <v>1764</v>
      </c>
      <c r="F572" s="254" t="s">
        <v>1726</v>
      </c>
      <c r="G572" s="252" t="s">
        <v>2473</v>
      </c>
      <c r="H572" s="252" t="s">
        <v>2474</v>
      </c>
      <c r="I572" s="252">
        <v>5</v>
      </c>
      <c r="J572" s="255">
        <v>1</v>
      </c>
      <c r="K572" s="255">
        <v>1</v>
      </c>
      <c r="L572" s="255"/>
      <c r="M572" s="256">
        <v>1.8059999999999997E-3</v>
      </c>
      <c r="N572" s="249">
        <v>571</v>
      </c>
    </row>
    <row r="573" spans="1:14" x14ac:dyDescent="0.25">
      <c r="A573" s="252" t="s">
        <v>204</v>
      </c>
      <c r="B573" s="252" t="s">
        <v>2019</v>
      </c>
      <c r="C573" s="253">
        <v>0</v>
      </c>
      <c r="D573" s="252">
        <v>39792</v>
      </c>
      <c r="E573" s="252" t="s">
        <v>1764</v>
      </c>
      <c r="F573" s="254" t="s">
        <v>1726</v>
      </c>
      <c r="G573" s="252" t="s">
        <v>2475</v>
      </c>
      <c r="H573" s="252" t="s">
        <v>2476</v>
      </c>
      <c r="I573" s="252">
        <v>5</v>
      </c>
      <c r="J573" s="255">
        <v>1</v>
      </c>
      <c r="K573" s="255">
        <v>1</v>
      </c>
      <c r="L573" s="255"/>
      <c r="M573" s="256">
        <v>2.3699999999999999E-4</v>
      </c>
      <c r="N573" s="249">
        <v>572</v>
      </c>
    </row>
    <row r="574" spans="1:14" x14ac:dyDescent="0.25">
      <c r="A574" s="252" t="s">
        <v>204</v>
      </c>
      <c r="B574" s="252" t="s">
        <v>2019</v>
      </c>
      <c r="C574" s="253">
        <v>0</v>
      </c>
      <c r="D574" s="252">
        <v>39792</v>
      </c>
      <c r="E574" s="252" t="s">
        <v>1764</v>
      </c>
      <c r="F574" s="254" t="s">
        <v>1726</v>
      </c>
      <c r="G574" s="252" t="s">
        <v>2477</v>
      </c>
      <c r="H574" s="252" t="s">
        <v>2478</v>
      </c>
      <c r="I574" s="252">
        <v>5</v>
      </c>
      <c r="J574" s="255">
        <v>1</v>
      </c>
      <c r="K574" s="255">
        <v>1</v>
      </c>
      <c r="L574" s="255"/>
      <c r="M574" s="256">
        <v>2.3699999999999999E-4</v>
      </c>
      <c r="N574" s="249">
        <v>573</v>
      </c>
    </row>
    <row r="575" spans="1:14" x14ac:dyDescent="0.25">
      <c r="A575" s="252" t="s">
        <v>204</v>
      </c>
      <c r="B575" s="252" t="s">
        <v>2019</v>
      </c>
      <c r="C575" s="253">
        <v>0</v>
      </c>
      <c r="D575" s="252">
        <v>39792</v>
      </c>
      <c r="E575" s="252" t="s">
        <v>1764</v>
      </c>
      <c r="F575" s="254" t="s">
        <v>1726</v>
      </c>
      <c r="G575" s="252" t="s">
        <v>2479</v>
      </c>
      <c r="H575" s="252" t="s">
        <v>2480</v>
      </c>
      <c r="I575" s="252">
        <v>5</v>
      </c>
      <c r="J575" s="255">
        <v>1</v>
      </c>
      <c r="K575" s="255">
        <v>1</v>
      </c>
      <c r="L575" s="255"/>
      <c r="M575" s="256">
        <v>1.5E-3</v>
      </c>
      <c r="N575" s="249">
        <v>574</v>
      </c>
    </row>
    <row r="576" spans="1:14" x14ac:dyDescent="0.25">
      <c r="A576" s="252" t="s">
        <v>204</v>
      </c>
      <c r="B576" s="252" t="s">
        <v>2019</v>
      </c>
      <c r="C576" s="253">
        <v>0</v>
      </c>
      <c r="D576" s="252">
        <v>39792</v>
      </c>
      <c r="E576" s="252" t="s">
        <v>1764</v>
      </c>
      <c r="F576" s="254" t="s">
        <v>1726</v>
      </c>
      <c r="G576" s="252" t="s">
        <v>2481</v>
      </c>
      <c r="H576" s="252" t="s">
        <v>2482</v>
      </c>
      <c r="I576" s="252">
        <v>5</v>
      </c>
      <c r="J576" s="255">
        <v>1</v>
      </c>
      <c r="K576" s="255">
        <v>1</v>
      </c>
      <c r="L576" s="255"/>
      <c r="M576" s="256">
        <v>2.9460000000000003E-3</v>
      </c>
      <c r="N576" s="249">
        <v>575</v>
      </c>
    </row>
    <row r="577" spans="1:14" x14ac:dyDescent="0.25">
      <c r="A577" s="252" t="s">
        <v>204</v>
      </c>
      <c r="B577" s="252" t="s">
        <v>2019</v>
      </c>
      <c r="C577" s="253">
        <v>0</v>
      </c>
      <c r="D577" s="252">
        <v>39792</v>
      </c>
      <c r="E577" s="252" t="s">
        <v>1764</v>
      </c>
      <c r="F577" s="254" t="s">
        <v>1726</v>
      </c>
      <c r="G577" s="252" t="s">
        <v>2484</v>
      </c>
      <c r="H577" s="252" t="s">
        <v>2485</v>
      </c>
      <c r="I577" s="252">
        <v>5</v>
      </c>
      <c r="J577" s="255">
        <v>1</v>
      </c>
      <c r="K577" s="255">
        <v>1</v>
      </c>
      <c r="L577" s="255"/>
      <c r="M577" s="256">
        <v>1.7759999999999998E-3</v>
      </c>
      <c r="N577" s="249">
        <v>576</v>
      </c>
    </row>
    <row r="578" spans="1:14" x14ac:dyDescent="0.25">
      <c r="A578" s="252" t="s">
        <v>204</v>
      </c>
      <c r="B578" s="252" t="s">
        <v>2019</v>
      </c>
      <c r="C578" s="253">
        <v>0</v>
      </c>
      <c r="D578" s="252">
        <v>39792</v>
      </c>
      <c r="E578" s="252" t="s">
        <v>1764</v>
      </c>
      <c r="F578" s="254" t="s">
        <v>1726</v>
      </c>
      <c r="G578" s="252" t="s">
        <v>2486</v>
      </c>
      <c r="H578" s="252" t="s">
        <v>2487</v>
      </c>
      <c r="I578" s="252">
        <v>5</v>
      </c>
      <c r="J578" s="255">
        <v>1</v>
      </c>
      <c r="K578" s="255">
        <v>1</v>
      </c>
      <c r="L578" s="255"/>
      <c r="M578" s="256">
        <v>1.7759999999999998E-3</v>
      </c>
      <c r="N578" s="249">
        <v>577</v>
      </c>
    </row>
    <row r="579" spans="1:14" x14ac:dyDescent="0.25">
      <c r="A579" s="252" t="s">
        <v>204</v>
      </c>
      <c r="B579" s="252" t="s">
        <v>2019</v>
      </c>
      <c r="C579" s="253">
        <v>0</v>
      </c>
      <c r="D579" s="252">
        <v>39792</v>
      </c>
      <c r="E579" s="252" t="s">
        <v>1764</v>
      </c>
      <c r="F579" s="254" t="s">
        <v>1726</v>
      </c>
      <c r="G579" s="252" t="s">
        <v>2488</v>
      </c>
      <c r="H579" s="252" t="s">
        <v>2489</v>
      </c>
      <c r="I579" s="252">
        <v>5</v>
      </c>
      <c r="J579" s="255">
        <v>1</v>
      </c>
      <c r="K579" s="255">
        <v>1</v>
      </c>
      <c r="L579" s="255"/>
      <c r="M579" s="256">
        <v>1.1609999999999999E-3</v>
      </c>
      <c r="N579" s="249">
        <v>578</v>
      </c>
    </row>
    <row r="580" spans="1:14" x14ac:dyDescent="0.25">
      <c r="A580" s="252" t="s">
        <v>204</v>
      </c>
      <c r="B580" s="252" t="s">
        <v>2019</v>
      </c>
      <c r="C580" s="253">
        <v>0</v>
      </c>
      <c r="D580" s="252">
        <v>39792</v>
      </c>
      <c r="E580" s="252" t="s">
        <v>1764</v>
      </c>
      <c r="F580" s="254" t="s">
        <v>1726</v>
      </c>
      <c r="G580" s="252" t="s">
        <v>2490</v>
      </c>
      <c r="H580" s="252" t="s">
        <v>2491</v>
      </c>
      <c r="I580" s="252">
        <v>5</v>
      </c>
      <c r="J580" s="255">
        <v>1</v>
      </c>
      <c r="K580" s="255">
        <v>1</v>
      </c>
      <c r="L580" s="255"/>
      <c r="M580" s="256">
        <v>1.1609999999999999E-3</v>
      </c>
      <c r="N580" s="249">
        <v>579</v>
      </c>
    </row>
    <row r="581" spans="1:14" x14ac:dyDescent="0.25">
      <c r="A581" s="252" t="s">
        <v>204</v>
      </c>
      <c r="B581" s="252" t="s">
        <v>2019</v>
      </c>
      <c r="C581" s="253">
        <v>0</v>
      </c>
      <c r="D581" s="252">
        <v>39792</v>
      </c>
      <c r="E581" s="252" t="s">
        <v>1764</v>
      </c>
      <c r="F581" s="254" t="s">
        <v>1726</v>
      </c>
      <c r="G581" s="252" t="s">
        <v>2492</v>
      </c>
      <c r="H581" s="252" t="s">
        <v>2493</v>
      </c>
      <c r="I581" s="252">
        <v>5</v>
      </c>
      <c r="J581" s="255">
        <v>1</v>
      </c>
      <c r="K581" s="255">
        <v>1</v>
      </c>
      <c r="L581" s="255"/>
      <c r="M581" s="256">
        <v>7.2839999999999997E-3</v>
      </c>
      <c r="N581" s="249">
        <v>580</v>
      </c>
    </row>
    <row r="582" spans="1:14" x14ac:dyDescent="0.25">
      <c r="A582" s="252" t="s">
        <v>204</v>
      </c>
      <c r="B582" s="252" t="s">
        <v>2019</v>
      </c>
      <c r="C582" s="253">
        <v>0</v>
      </c>
      <c r="D582" s="252">
        <v>39792</v>
      </c>
      <c r="E582" s="252" t="s">
        <v>1764</v>
      </c>
      <c r="F582" s="254" t="s">
        <v>1726</v>
      </c>
      <c r="G582" s="252" t="s">
        <v>2494</v>
      </c>
      <c r="H582" s="252" t="s">
        <v>2495</v>
      </c>
      <c r="I582" s="252">
        <v>5</v>
      </c>
      <c r="J582" s="255">
        <v>1</v>
      </c>
      <c r="K582" s="255">
        <v>1</v>
      </c>
      <c r="L582" s="255"/>
      <c r="M582" s="256">
        <v>1.2149999999999999E-3</v>
      </c>
      <c r="N582" s="249">
        <v>581</v>
      </c>
    </row>
    <row r="583" spans="1:14" x14ac:dyDescent="0.25">
      <c r="A583" s="252" t="s">
        <v>204</v>
      </c>
      <c r="B583" s="252" t="s">
        <v>2019</v>
      </c>
      <c r="C583" s="253">
        <v>0</v>
      </c>
      <c r="D583" s="252">
        <v>39792</v>
      </c>
      <c r="E583" s="252" t="s">
        <v>1764</v>
      </c>
      <c r="F583" s="254" t="s">
        <v>1726</v>
      </c>
      <c r="G583" s="252" t="s">
        <v>2496</v>
      </c>
      <c r="H583" s="252" t="s">
        <v>2497</v>
      </c>
      <c r="I583" s="252">
        <v>5</v>
      </c>
      <c r="J583" s="255">
        <v>1</v>
      </c>
      <c r="K583" s="255">
        <v>1</v>
      </c>
      <c r="L583" s="255"/>
      <c r="M583" s="256">
        <v>4.4999999999999999E-4</v>
      </c>
      <c r="N583" s="249">
        <v>582</v>
      </c>
    </row>
    <row r="584" spans="1:14" x14ac:dyDescent="0.25">
      <c r="A584" s="252" t="s">
        <v>204</v>
      </c>
      <c r="B584" s="252" t="s">
        <v>2019</v>
      </c>
      <c r="C584" s="253">
        <v>0</v>
      </c>
      <c r="D584" s="252">
        <v>39792</v>
      </c>
      <c r="E584" s="252" t="s">
        <v>1764</v>
      </c>
      <c r="F584" s="254" t="s">
        <v>1726</v>
      </c>
      <c r="G584" s="252" t="s">
        <v>2498</v>
      </c>
      <c r="H584" s="252" t="s">
        <v>2499</v>
      </c>
      <c r="I584" s="252">
        <v>5</v>
      </c>
      <c r="J584" s="255">
        <v>1</v>
      </c>
      <c r="K584" s="255">
        <v>1</v>
      </c>
      <c r="L584" s="255"/>
      <c r="M584" s="256">
        <v>1.2149999999999999E-3</v>
      </c>
      <c r="N584" s="249">
        <v>583</v>
      </c>
    </row>
    <row r="585" spans="1:14" x14ac:dyDescent="0.25">
      <c r="A585" s="252" t="s">
        <v>204</v>
      </c>
      <c r="B585" s="252" t="s">
        <v>2019</v>
      </c>
      <c r="C585" s="253">
        <v>0</v>
      </c>
      <c r="D585" s="252">
        <v>39792</v>
      </c>
      <c r="E585" s="252" t="s">
        <v>1764</v>
      </c>
      <c r="F585" s="254" t="s">
        <v>1726</v>
      </c>
      <c r="G585" s="252" t="s">
        <v>2500</v>
      </c>
      <c r="H585" s="252" t="s">
        <v>2501</v>
      </c>
      <c r="I585" s="252">
        <v>5</v>
      </c>
      <c r="J585" s="255">
        <v>1</v>
      </c>
      <c r="K585" s="255">
        <v>1</v>
      </c>
      <c r="L585" s="255"/>
      <c r="M585" s="256">
        <v>4.4999999999999999E-4</v>
      </c>
      <c r="N585" s="249">
        <v>584</v>
      </c>
    </row>
    <row r="586" spans="1:14" x14ac:dyDescent="0.25">
      <c r="A586" s="252" t="s">
        <v>204</v>
      </c>
      <c r="B586" s="252" t="s">
        <v>2019</v>
      </c>
      <c r="C586" s="253">
        <v>0</v>
      </c>
      <c r="D586" s="252">
        <v>39792</v>
      </c>
      <c r="E586" s="252" t="s">
        <v>1764</v>
      </c>
      <c r="F586" s="254" t="s">
        <v>1726</v>
      </c>
      <c r="G586" s="252" t="s">
        <v>2502</v>
      </c>
      <c r="H586" s="252" t="s">
        <v>2503</v>
      </c>
      <c r="I586" s="252">
        <v>5</v>
      </c>
      <c r="J586" s="255">
        <v>1</v>
      </c>
      <c r="K586" s="255">
        <v>1</v>
      </c>
      <c r="L586" s="255"/>
      <c r="M586" s="256">
        <v>2.4899999999999998E-4</v>
      </c>
      <c r="N586" s="249">
        <v>585</v>
      </c>
    </row>
    <row r="587" spans="1:14" x14ac:dyDescent="0.25">
      <c r="A587" s="252" t="s">
        <v>204</v>
      </c>
      <c r="B587" s="252" t="s">
        <v>2019</v>
      </c>
      <c r="C587" s="253">
        <v>0</v>
      </c>
      <c r="D587" s="252">
        <v>39792</v>
      </c>
      <c r="E587" s="252" t="s">
        <v>1764</v>
      </c>
      <c r="F587" s="254" t="s">
        <v>1726</v>
      </c>
      <c r="G587" s="252" t="s">
        <v>2504</v>
      </c>
      <c r="H587" s="252" t="s">
        <v>2505</v>
      </c>
      <c r="I587" s="252">
        <v>5</v>
      </c>
      <c r="J587" s="255">
        <v>1</v>
      </c>
      <c r="K587" s="255">
        <v>1</v>
      </c>
      <c r="L587" s="255"/>
      <c r="M587" s="256">
        <v>2.4899999999999998E-4</v>
      </c>
      <c r="N587" s="249">
        <v>586</v>
      </c>
    </row>
    <row r="588" spans="1:14" x14ac:dyDescent="0.25">
      <c r="A588" s="252" t="s">
        <v>204</v>
      </c>
      <c r="B588" s="252" t="s">
        <v>2019</v>
      </c>
      <c r="C588" s="253">
        <v>0</v>
      </c>
      <c r="D588" s="252">
        <v>39792</v>
      </c>
      <c r="E588" s="252" t="s">
        <v>1764</v>
      </c>
      <c r="F588" s="254" t="s">
        <v>1726</v>
      </c>
      <c r="G588" s="252" t="s">
        <v>2506</v>
      </c>
      <c r="H588" s="252" t="s">
        <v>2507</v>
      </c>
      <c r="I588" s="252">
        <v>5</v>
      </c>
      <c r="J588" s="255">
        <v>1</v>
      </c>
      <c r="K588" s="255">
        <v>1</v>
      </c>
      <c r="L588" s="255"/>
      <c r="M588" s="256">
        <v>9.9299999999999996E-4</v>
      </c>
      <c r="N588" s="249">
        <v>587</v>
      </c>
    </row>
    <row r="589" spans="1:14" x14ac:dyDescent="0.25">
      <c r="A589" s="252" t="s">
        <v>204</v>
      </c>
      <c r="B589" s="252" t="s">
        <v>2019</v>
      </c>
      <c r="C589" s="253">
        <v>0</v>
      </c>
      <c r="D589" s="252">
        <v>39792</v>
      </c>
      <c r="E589" s="252" t="s">
        <v>1764</v>
      </c>
      <c r="F589" s="254" t="s">
        <v>1726</v>
      </c>
      <c r="G589" s="252" t="s">
        <v>2508</v>
      </c>
      <c r="H589" s="252" t="s">
        <v>2509</v>
      </c>
      <c r="I589" s="252">
        <v>5</v>
      </c>
      <c r="J589" s="255">
        <v>1</v>
      </c>
      <c r="K589" s="255">
        <v>1</v>
      </c>
      <c r="L589" s="255"/>
      <c r="M589" s="256">
        <v>1.8059999999999997E-3</v>
      </c>
      <c r="N589" s="249">
        <v>588</v>
      </c>
    </row>
    <row r="590" spans="1:14" x14ac:dyDescent="0.25">
      <c r="A590" s="252" t="s">
        <v>204</v>
      </c>
      <c r="B590" s="252" t="s">
        <v>2019</v>
      </c>
      <c r="C590" s="253">
        <v>0</v>
      </c>
      <c r="D590" s="252">
        <v>39792</v>
      </c>
      <c r="E590" s="252" t="s">
        <v>1764</v>
      </c>
      <c r="F590" s="254" t="s">
        <v>1726</v>
      </c>
      <c r="G590" s="252" t="s">
        <v>2510</v>
      </c>
      <c r="H590" s="252" t="s">
        <v>2511</v>
      </c>
      <c r="I590" s="252">
        <v>5</v>
      </c>
      <c r="J590" s="255">
        <v>1</v>
      </c>
      <c r="K590" s="255">
        <v>1</v>
      </c>
      <c r="L590" s="255"/>
      <c r="M590" s="256">
        <v>1.8059999999999997E-3</v>
      </c>
      <c r="N590" s="249">
        <v>589</v>
      </c>
    </row>
    <row r="591" spans="1:14" x14ac:dyDescent="0.25">
      <c r="A591" s="252" t="s">
        <v>204</v>
      </c>
      <c r="B591" s="252" t="s">
        <v>2019</v>
      </c>
      <c r="C591" s="253">
        <v>0</v>
      </c>
      <c r="D591" s="252">
        <v>39792</v>
      </c>
      <c r="E591" s="252" t="s">
        <v>1764</v>
      </c>
      <c r="F591" s="254" t="s">
        <v>1726</v>
      </c>
      <c r="G591" s="252" t="s">
        <v>2512</v>
      </c>
      <c r="H591" s="252" t="s">
        <v>2513</v>
      </c>
      <c r="I591" s="252">
        <v>5</v>
      </c>
      <c r="J591" s="255">
        <v>1</v>
      </c>
      <c r="K591" s="255">
        <v>1</v>
      </c>
      <c r="L591" s="255"/>
      <c r="M591" s="256">
        <v>5.6099999999999998E-4</v>
      </c>
      <c r="N591" s="249">
        <v>590</v>
      </c>
    </row>
    <row r="592" spans="1:14" x14ac:dyDescent="0.25">
      <c r="A592" s="252" t="s">
        <v>204</v>
      </c>
      <c r="B592" s="252" t="s">
        <v>2019</v>
      </c>
      <c r="C592" s="253">
        <v>0</v>
      </c>
      <c r="D592" s="252">
        <v>39792</v>
      </c>
      <c r="E592" s="252" t="s">
        <v>1764</v>
      </c>
      <c r="F592" s="254" t="s">
        <v>1726</v>
      </c>
      <c r="G592" s="252" t="s">
        <v>2514</v>
      </c>
      <c r="H592" s="252" t="s">
        <v>2515</v>
      </c>
      <c r="I592" s="252">
        <v>5</v>
      </c>
      <c r="J592" s="255">
        <v>1</v>
      </c>
      <c r="K592" s="255">
        <v>1</v>
      </c>
      <c r="L592" s="255"/>
      <c r="M592" s="256">
        <v>5.6099999999999998E-4</v>
      </c>
      <c r="N592" s="249">
        <v>591</v>
      </c>
    </row>
    <row r="593" spans="1:14" x14ac:dyDescent="0.25">
      <c r="A593" s="252" t="s">
        <v>204</v>
      </c>
      <c r="B593" s="252" t="s">
        <v>2019</v>
      </c>
      <c r="C593" s="253">
        <v>0</v>
      </c>
      <c r="D593" s="252">
        <v>39792</v>
      </c>
      <c r="E593" s="252" t="s">
        <v>1764</v>
      </c>
      <c r="F593" s="254" t="s">
        <v>1726</v>
      </c>
      <c r="G593" s="252" t="s">
        <v>2516</v>
      </c>
      <c r="H593" s="252" t="s">
        <v>2517</v>
      </c>
      <c r="I593" s="252">
        <v>5</v>
      </c>
      <c r="J593" s="255">
        <v>1</v>
      </c>
      <c r="K593" s="255">
        <v>1</v>
      </c>
      <c r="L593" s="255"/>
      <c r="M593" s="256">
        <v>2.9759999999999999E-3</v>
      </c>
      <c r="N593" s="249">
        <v>592</v>
      </c>
    </row>
    <row r="594" spans="1:14" x14ac:dyDescent="0.25">
      <c r="A594" s="252" t="s">
        <v>204</v>
      </c>
      <c r="B594" s="252" t="s">
        <v>2019</v>
      </c>
      <c r="C594" s="253">
        <v>0</v>
      </c>
      <c r="D594" s="252">
        <v>39792</v>
      </c>
      <c r="E594" s="252" t="s">
        <v>1764</v>
      </c>
      <c r="F594" s="254" t="s">
        <v>1726</v>
      </c>
      <c r="G594" s="252" t="s">
        <v>2518</v>
      </c>
      <c r="H594" s="252" t="s">
        <v>2519</v>
      </c>
      <c r="I594" s="252">
        <v>5</v>
      </c>
      <c r="J594" s="255">
        <v>1</v>
      </c>
      <c r="K594" s="255">
        <v>1</v>
      </c>
      <c r="L594" s="255"/>
      <c r="M594" s="256">
        <v>2.6700000000000001E-3</v>
      </c>
      <c r="N594" s="249">
        <v>593</v>
      </c>
    </row>
    <row r="595" spans="1:14" x14ac:dyDescent="0.25">
      <c r="A595" s="252" t="s">
        <v>204</v>
      </c>
      <c r="B595" s="252" t="s">
        <v>2019</v>
      </c>
      <c r="C595" s="253">
        <v>0</v>
      </c>
      <c r="D595" s="252">
        <v>39792</v>
      </c>
      <c r="E595" s="252" t="s">
        <v>1764</v>
      </c>
      <c r="F595" s="254" t="s">
        <v>1726</v>
      </c>
      <c r="G595" s="252" t="s">
        <v>2521</v>
      </c>
      <c r="H595" s="252" t="s">
        <v>2522</v>
      </c>
      <c r="I595" s="252">
        <v>5</v>
      </c>
      <c r="J595" s="255">
        <v>1</v>
      </c>
      <c r="K595" s="255">
        <v>1</v>
      </c>
      <c r="L595" s="255"/>
      <c r="M595" s="256">
        <v>1.7759999999999998E-3</v>
      </c>
      <c r="N595" s="249">
        <v>594</v>
      </c>
    </row>
    <row r="596" spans="1:14" x14ac:dyDescent="0.25">
      <c r="A596" s="252" t="s">
        <v>204</v>
      </c>
      <c r="B596" s="252" t="s">
        <v>2019</v>
      </c>
      <c r="C596" s="253">
        <v>0</v>
      </c>
      <c r="D596" s="252">
        <v>39792</v>
      </c>
      <c r="E596" s="252" t="s">
        <v>1764</v>
      </c>
      <c r="F596" s="254" t="s">
        <v>1726</v>
      </c>
      <c r="G596" s="252" t="s">
        <v>2523</v>
      </c>
      <c r="H596" s="252" t="s">
        <v>2524</v>
      </c>
      <c r="I596" s="252">
        <v>5</v>
      </c>
      <c r="J596" s="255">
        <v>1</v>
      </c>
      <c r="K596" s="255">
        <v>1</v>
      </c>
      <c r="L596" s="255"/>
      <c r="M596" s="256">
        <v>1.7759999999999998E-3</v>
      </c>
      <c r="N596" s="249">
        <v>595</v>
      </c>
    </row>
    <row r="597" spans="1:14" x14ac:dyDescent="0.25">
      <c r="A597" s="252" t="s">
        <v>204</v>
      </c>
      <c r="B597" s="252" t="s">
        <v>2019</v>
      </c>
      <c r="C597" s="253">
        <v>0</v>
      </c>
      <c r="D597" s="252">
        <v>39792</v>
      </c>
      <c r="E597" s="252" t="s">
        <v>1764</v>
      </c>
      <c r="F597" s="254" t="s">
        <v>1726</v>
      </c>
      <c r="G597" s="252" t="s">
        <v>2525</v>
      </c>
      <c r="H597" s="252" t="s">
        <v>2526</v>
      </c>
      <c r="I597" s="252">
        <v>5</v>
      </c>
      <c r="J597" s="255">
        <v>1</v>
      </c>
      <c r="K597" s="255">
        <v>1</v>
      </c>
      <c r="L597" s="255"/>
      <c r="M597" s="256">
        <v>9.9599999999999992E-4</v>
      </c>
      <c r="N597" s="249">
        <v>596</v>
      </c>
    </row>
    <row r="598" spans="1:14" x14ac:dyDescent="0.25">
      <c r="A598" s="252" t="s">
        <v>204</v>
      </c>
      <c r="B598" s="252" t="s">
        <v>2019</v>
      </c>
      <c r="C598" s="253">
        <v>0</v>
      </c>
      <c r="D598" s="252">
        <v>39792</v>
      </c>
      <c r="E598" s="252" t="s">
        <v>1764</v>
      </c>
      <c r="F598" s="254" t="s">
        <v>1726</v>
      </c>
      <c r="G598" s="252" t="s">
        <v>2527</v>
      </c>
      <c r="H598" s="252" t="s">
        <v>2528</v>
      </c>
      <c r="I598" s="252">
        <v>5</v>
      </c>
      <c r="J598" s="255">
        <v>1</v>
      </c>
      <c r="K598" s="255">
        <v>1</v>
      </c>
      <c r="L598" s="255"/>
      <c r="M598" s="256">
        <v>9.9599999999999992E-4</v>
      </c>
      <c r="N598" s="249">
        <v>597</v>
      </c>
    </row>
    <row r="599" spans="1:14" x14ac:dyDescent="0.25">
      <c r="A599" s="252" t="s">
        <v>204</v>
      </c>
      <c r="B599" s="252" t="s">
        <v>2019</v>
      </c>
      <c r="C599" s="253">
        <v>0</v>
      </c>
      <c r="D599" s="252">
        <v>39792</v>
      </c>
      <c r="E599" s="252" t="s">
        <v>1764</v>
      </c>
      <c r="F599" s="254" t="s">
        <v>1726</v>
      </c>
      <c r="G599" s="252" t="s">
        <v>2529</v>
      </c>
      <c r="H599" s="252" t="s">
        <v>2530</v>
      </c>
      <c r="I599" s="252">
        <v>5</v>
      </c>
      <c r="J599" s="255">
        <v>1</v>
      </c>
      <c r="K599" s="255">
        <v>1</v>
      </c>
      <c r="L599" s="255"/>
      <c r="M599" s="256">
        <v>7.1699999999999993E-3</v>
      </c>
      <c r="N599" s="249">
        <v>598</v>
      </c>
    </row>
    <row r="600" spans="1:14" x14ac:dyDescent="0.25">
      <c r="A600" s="252" t="s">
        <v>204</v>
      </c>
      <c r="B600" s="252" t="s">
        <v>2019</v>
      </c>
      <c r="C600" s="253">
        <v>0</v>
      </c>
      <c r="D600" s="252">
        <v>39792</v>
      </c>
      <c r="E600" s="252" t="s">
        <v>1764</v>
      </c>
      <c r="F600" s="254" t="s">
        <v>1726</v>
      </c>
      <c r="G600" s="252" t="s">
        <v>2531</v>
      </c>
      <c r="H600" s="252" t="s">
        <v>2532</v>
      </c>
      <c r="I600" s="252">
        <v>5</v>
      </c>
      <c r="J600" s="255">
        <v>1</v>
      </c>
      <c r="K600" s="255">
        <v>1</v>
      </c>
      <c r="L600" s="255"/>
      <c r="M600" s="256">
        <v>1.2149999999999999E-3</v>
      </c>
      <c r="N600" s="249">
        <v>599</v>
      </c>
    </row>
    <row r="601" spans="1:14" x14ac:dyDescent="0.25">
      <c r="A601" s="252" t="s">
        <v>204</v>
      </c>
      <c r="B601" s="252" t="s">
        <v>2019</v>
      </c>
      <c r="C601" s="253">
        <v>0</v>
      </c>
      <c r="D601" s="252">
        <v>39792</v>
      </c>
      <c r="E601" s="252" t="s">
        <v>1764</v>
      </c>
      <c r="F601" s="254" t="s">
        <v>1726</v>
      </c>
      <c r="G601" s="252" t="s">
        <v>2533</v>
      </c>
      <c r="H601" s="252" t="s">
        <v>2534</v>
      </c>
      <c r="I601" s="252">
        <v>5</v>
      </c>
      <c r="J601" s="255">
        <v>1</v>
      </c>
      <c r="K601" s="255">
        <v>1</v>
      </c>
      <c r="L601" s="255"/>
      <c r="M601" s="256">
        <v>4.4999999999999999E-4</v>
      </c>
      <c r="N601" s="249">
        <v>600</v>
      </c>
    </row>
    <row r="602" spans="1:14" x14ac:dyDescent="0.25">
      <c r="A602" s="252" t="s">
        <v>204</v>
      </c>
      <c r="B602" s="252" t="s">
        <v>2019</v>
      </c>
      <c r="C602" s="253">
        <v>0</v>
      </c>
      <c r="D602" s="252">
        <v>39792</v>
      </c>
      <c r="E602" s="252" t="s">
        <v>1764</v>
      </c>
      <c r="F602" s="254" t="s">
        <v>1726</v>
      </c>
      <c r="G602" s="252" t="s">
        <v>2535</v>
      </c>
      <c r="H602" s="252" t="s">
        <v>2536</v>
      </c>
      <c r="I602" s="252">
        <v>5</v>
      </c>
      <c r="J602" s="255">
        <v>1</v>
      </c>
      <c r="K602" s="255">
        <v>1</v>
      </c>
      <c r="L602" s="255"/>
      <c r="M602" s="256">
        <v>1.2149999999999999E-3</v>
      </c>
      <c r="N602" s="249">
        <v>601</v>
      </c>
    </row>
    <row r="603" spans="1:14" x14ac:dyDescent="0.25">
      <c r="A603" s="252" t="s">
        <v>204</v>
      </c>
      <c r="B603" s="252" t="s">
        <v>2019</v>
      </c>
      <c r="C603" s="253">
        <v>0</v>
      </c>
      <c r="D603" s="252">
        <v>39792</v>
      </c>
      <c r="E603" s="252" t="s">
        <v>1764</v>
      </c>
      <c r="F603" s="254" t="s">
        <v>1726</v>
      </c>
      <c r="G603" s="252" t="s">
        <v>2537</v>
      </c>
      <c r="H603" s="252" t="s">
        <v>2538</v>
      </c>
      <c r="I603" s="252">
        <v>5</v>
      </c>
      <c r="J603" s="255">
        <v>1</v>
      </c>
      <c r="K603" s="255">
        <v>1</v>
      </c>
      <c r="L603" s="255"/>
      <c r="M603" s="256">
        <v>4.4999999999999999E-4</v>
      </c>
      <c r="N603" s="249">
        <v>602</v>
      </c>
    </row>
    <row r="604" spans="1:14" x14ac:dyDescent="0.25">
      <c r="A604" s="252" t="s">
        <v>204</v>
      </c>
      <c r="B604" s="252" t="s">
        <v>2019</v>
      </c>
      <c r="C604" s="253">
        <v>0</v>
      </c>
      <c r="D604" s="252">
        <v>39792</v>
      </c>
      <c r="E604" s="252" t="s">
        <v>1764</v>
      </c>
      <c r="F604" s="254" t="s">
        <v>1726</v>
      </c>
      <c r="G604" s="252" t="s">
        <v>2539</v>
      </c>
      <c r="H604" s="252" t="s">
        <v>2540</v>
      </c>
      <c r="I604" s="252">
        <v>5</v>
      </c>
      <c r="J604" s="255">
        <v>1</v>
      </c>
      <c r="K604" s="255">
        <v>1</v>
      </c>
      <c r="L604" s="255"/>
      <c r="M604" s="256">
        <v>2.4899999999999998E-4</v>
      </c>
      <c r="N604" s="249">
        <v>603</v>
      </c>
    </row>
    <row r="605" spans="1:14" x14ac:dyDescent="0.25">
      <c r="A605" s="252" t="s">
        <v>204</v>
      </c>
      <c r="B605" s="252" t="s">
        <v>2019</v>
      </c>
      <c r="C605" s="253">
        <v>0</v>
      </c>
      <c r="D605" s="252">
        <v>39792</v>
      </c>
      <c r="E605" s="252" t="s">
        <v>1764</v>
      </c>
      <c r="F605" s="254" t="s">
        <v>1726</v>
      </c>
      <c r="G605" s="252" t="s">
        <v>2541</v>
      </c>
      <c r="H605" s="252" t="s">
        <v>2542</v>
      </c>
      <c r="I605" s="252">
        <v>5</v>
      </c>
      <c r="J605" s="255">
        <v>1</v>
      </c>
      <c r="K605" s="255">
        <v>1</v>
      </c>
      <c r="L605" s="255"/>
      <c r="M605" s="256">
        <v>2.4899999999999998E-4</v>
      </c>
      <c r="N605" s="249">
        <v>604</v>
      </c>
    </row>
    <row r="606" spans="1:14" x14ac:dyDescent="0.25">
      <c r="A606" s="252" t="s">
        <v>204</v>
      </c>
      <c r="B606" s="252" t="s">
        <v>2019</v>
      </c>
      <c r="C606" s="253">
        <v>0</v>
      </c>
      <c r="D606" s="252">
        <v>39792</v>
      </c>
      <c r="E606" s="252" t="s">
        <v>1764</v>
      </c>
      <c r="F606" s="254" t="s">
        <v>1726</v>
      </c>
      <c r="G606" s="252" t="s">
        <v>2543</v>
      </c>
      <c r="H606" s="252" t="s">
        <v>2544</v>
      </c>
      <c r="I606" s="252">
        <v>5</v>
      </c>
      <c r="J606" s="255">
        <v>1</v>
      </c>
      <c r="K606" s="255">
        <v>1</v>
      </c>
      <c r="L606" s="255"/>
      <c r="M606" s="256">
        <v>3.5999999999999997E-4</v>
      </c>
      <c r="N606" s="249">
        <v>605</v>
      </c>
    </row>
    <row r="607" spans="1:14" x14ac:dyDescent="0.25">
      <c r="A607" s="252" t="s">
        <v>204</v>
      </c>
      <c r="B607" s="252" t="s">
        <v>2019</v>
      </c>
      <c r="C607" s="253">
        <v>0</v>
      </c>
      <c r="D607" s="252">
        <v>39792</v>
      </c>
      <c r="E607" s="252" t="s">
        <v>1764</v>
      </c>
      <c r="F607" s="254" t="s">
        <v>1726</v>
      </c>
      <c r="G607" s="252" t="s">
        <v>2545</v>
      </c>
      <c r="H607" s="252" t="s">
        <v>2546</v>
      </c>
      <c r="I607" s="252">
        <v>5</v>
      </c>
      <c r="J607" s="255">
        <v>1</v>
      </c>
      <c r="K607" s="255">
        <v>1</v>
      </c>
      <c r="L607" s="255"/>
      <c r="M607" s="256">
        <v>1.8059999999999997E-3</v>
      </c>
      <c r="N607" s="249">
        <v>606</v>
      </c>
    </row>
    <row r="608" spans="1:14" x14ac:dyDescent="0.25">
      <c r="A608" s="252" t="s">
        <v>204</v>
      </c>
      <c r="B608" s="252" t="s">
        <v>2019</v>
      </c>
      <c r="C608" s="253">
        <v>0</v>
      </c>
      <c r="D608" s="252">
        <v>39792</v>
      </c>
      <c r="E608" s="252" t="s">
        <v>1764</v>
      </c>
      <c r="F608" s="254" t="s">
        <v>1726</v>
      </c>
      <c r="G608" s="252" t="s">
        <v>2547</v>
      </c>
      <c r="H608" s="252" t="s">
        <v>2548</v>
      </c>
      <c r="I608" s="252">
        <v>5</v>
      </c>
      <c r="J608" s="255">
        <v>1</v>
      </c>
      <c r="K608" s="255">
        <v>1</v>
      </c>
      <c r="L608" s="255"/>
      <c r="M608" s="256">
        <v>1.9799999999999999E-4</v>
      </c>
      <c r="N608" s="249">
        <v>607</v>
      </c>
    </row>
    <row r="609" spans="1:14" x14ac:dyDescent="0.25">
      <c r="A609" s="252" t="s">
        <v>204</v>
      </c>
      <c r="B609" s="252" t="s">
        <v>2019</v>
      </c>
      <c r="C609" s="253">
        <v>0</v>
      </c>
      <c r="D609" s="252">
        <v>39792</v>
      </c>
      <c r="E609" s="252" t="s">
        <v>1764</v>
      </c>
      <c r="F609" s="254" t="s">
        <v>1726</v>
      </c>
      <c r="G609" s="252" t="s">
        <v>2549</v>
      </c>
      <c r="H609" s="252" t="s">
        <v>2550</v>
      </c>
      <c r="I609" s="252">
        <v>5</v>
      </c>
      <c r="J609" s="255">
        <v>1</v>
      </c>
      <c r="K609" s="255">
        <v>1</v>
      </c>
      <c r="L609" s="255"/>
      <c r="M609" s="256">
        <v>1.9799999999999999E-4</v>
      </c>
      <c r="N609" s="249">
        <v>608</v>
      </c>
    </row>
    <row r="610" spans="1:14" x14ac:dyDescent="0.25">
      <c r="A610" s="252" t="s">
        <v>204</v>
      </c>
      <c r="B610" s="252" t="s">
        <v>2019</v>
      </c>
      <c r="C610" s="253">
        <v>0</v>
      </c>
      <c r="D610" s="252">
        <v>39792</v>
      </c>
      <c r="E610" s="252" t="s">
        <v>1764</v>
      </c>
      <c r="F610" s="254" t="s">
        <v>1726</v>
      </c>
      <c r="G610" s="252" t="s">
        <v>2551</v>
      </c>
      <c r="H610" s="252" t="s">
        <v>2552</v>
      </c>
      <c r="I610" s="252">
        <v>5</v>
      </c>
      <c r="J610" s="255">
        <v>1</v>
      </c>
      <c r="K610" s="255">
        <v>1</v>
      </c>
      <c r="L610" s="255"/>
      <c r="M610" s="256">
        <v>9.6000000000000002E-4</v>
      </c>
      <c r="N610" s="249">
        <v>609</v>
      </c>
    </row>
    <row r="611" spans="1:14" x14ac:dyDescent="0.25">
      <c r="A611" s="252" t="s">
        <v>204</v>
      </c>
      <c r="B611" s="252" t="s">
        <v>2019</v>
      </c>
      <c r="C611" s="253">
        <v>0</v>
      </c>
      <c r="D611" s="252">
        <v>39792</v>
      </c>
      <c r="E611" s="252" t="s">
        <v>1764</v>
      </c>
      <c r="F611" s="254" t="s">
        <v>1713</v>
      </c>
      <c r="G611" s="252" t="s">
        <v>2589</v>
      </c>
      <c r="H611" s="252" t="s">
        <v>2590</v>
      </c>
      <c r="I611" s="252">
        <v>5</v>
      </c>
      <c r="J611" s="255">
        <v>1</v>
      </c>
      <c r="K611" s="255">
        <v>1</v>
      </c>
      <c r="L611" s="255"/>
      <c r="M611" s="256">
        <v>1.044E-3</v>
      </c>
      <c r="N611" s="249">
        <v>610</v>
      </c>
    </row>
    <row r="612" spans="1:14" x14ac:dyDescent="0.25">
      <c r="A612" s="252" t="s">
        <v>204</v>
      </c>
      <c r="B612" s="252" t="s">
        <v>2019</v>
      </c>
      <c r="C612" s="253">
        <v>0</v>
      </c>
      <c r="D612" s="252">
        <v>39792</v>
      </c>
      <c r="E612" s="252" t="s">
        <v>1764</v>
      </c>
      <c r="F612" s="254" t="s">
        <v>1713</v>
      </c>
      <c r="G612" s="252" t="s">
        <v>2592</v>
      </c>
      <c r="H612" s="252" t="s">
        <v>2593</v>
      </c>
      <c r="I612" s="252">
        <v>5</v>
      </c>
      <c r="J612" s="255">
        <v>1</v>
      </c>
      <c r="K612" s="255">
        <v>1</v>
      </c>
      <c r="L612" s="255"/>
      <c r="M612" s="256">
        <v>1.8059999999999997E-3</v>
      </c>
      <c r="N612" s="249">
        <v>611</v>
      </c>
    </row>
    <row r="613" spans="1:14" x14ac:dyDescent="0.25">
      <c r="A613" s="252" t="s">
        <v>204</v>
      </c>
      <c r="B613" s="252" t="s">
        <v>2019</v>
      </c>
      <c r="C613" s="253">
        <v>0</v>
      </c>
      <c r="D613" s="252">
        <v>39792</v>
      </c>
      <c r="E613" s="252" t="s">
        <v>1764</v>
      </c>
      <c r="F613" s="254" t="s">
        <v>1713</v>
      </c>
      <c r="G613" s="252" t="s">
        <v>2594</v>
      </c>
      <c r="H613" s="252" t="s">
        <v>2595</v>
      </c>
      <c r="I613" s="252">
        <v>5</v>
      </c>
      <c r="J613" s="255">
        <v>1</v>
      </c>
      <c r="K613" s="255">
        <v>1</v>
      </c>
      <c r="L613" s="255"/>
      <c r="M613" s="256">
        <v>1.4939999999999999E-3</v>
      </c>
      <c r="N613" s="249">
        <v>612</v>
      </c>
    </row>
    <row r="614" spans="1:14" x14ac:dyDescent="0.25">
      <c r="A614" s="252" t="s">
        <v>204</v>
      </c>
      <c r="B614" s="252" t="s">
        <v>2019</v>
      </c>
      <c r="C614" s="253">
        <v>0</v>
      </c>
      <c r="D614" s="252">
        <v>39792</v>
      </c>
      <c r="E614" s="252" t="s">
        <v>1764</v>
      </c>
      <c r="F614" s="254" t="s">
        <v>1713</v>
      </c>
      <c r="G614" s="252" t="s">
        <v>2596</v>
      </c>
      <c r="H614" s="252" t="s">
        <v>2597</v>
      </c>
      <c r="I614" s="252">
        <v>5</v>
      </c>
      <c r="J614" s="255">
        <v>1</v>
      </c>
      <c r="K614" s="255">
        <v>1</v>
      </c>
      <c r="L614" s="255"/>
      <c r="M614" s="256">
        <v>8.7900000000000001E-4</v>
      </c>
      <c r="N614" s="249">
        <v>613</v>
      </c>
    </row>
    <row r="615" spans="1:14" x14ac:dyDescent="0.25">
      <c r="A615" s="252" t="s">
        <v>204</v>
      </c>
      <c r="B615" s="252" t="s">
        <v>2019</v>
      </c>
      <c r="C615" s="253">
        <v>0</v>
      </c>
      <c r="D615" s="252">
        <v>39792</v>
      </c>
      <c r="E615" s="252" t="s">
        <v>1764</v>
      </c>
      <c r="F615" s="254" t="s">
        <v>1713</v>
      </c>
      <c r="G615" s="252" t="s">
        <v>2598</v>
      </c>
      <c r="H615" s="252" t="s">
        <v>2599</v>
      </c>
      <c r="I615" s="252">
        <v>5</v>
      </c>
      <c r="J615" s="255">
        <v>1</v>
      </c>
      <c r="K615" s="255">
        <v>1</v>
      </c>
      <c r="L615" s="255"/>
      <c r="M615" s="256">
        <v>3.8159999999999999E-3</v>
      </c>
      <c r="N615" s="249">
        <v>614</v>
      </c>
    </row>
    <row r="616" spans="1:14" x14ac:dyDescent="0.25">
      <c r="A616" s="252" t="s">
        <v>204</v>
      </c>
      <c r="B616" s="252" t="s">
        <v>2019</v>
      </c>
      <c r="C616" s="253">
        <v>0</v>
      </c>
      <c r="D616" s="252">
        <v>39792</v>
      </c>
      <c r="E616" s="252" t="s">
        <v>1764</v>
      </c>
      <c r="F616" s="254" t="s">
        <v>1713</v>
      </c>
      <c r="G616" s="252" t="s">
        <v>2600</v>
      </c>
      <c r="H616" s="252" t="s">
        <v>2601</v>
      </c>
      <c r="I616" s="252">
        <v>5</v>
      </c>
      <c r="J616" s="255">
        <v>1</v>
      </c>
      <c r="K616" s="255">
        <v>1</v>
      </c>
      <c r="L616" s="255"/>
      <c r="M616" s="256">
        <v>5.7899999999999998E-4</v>
      </c>
      <c r="N616" s="249">
        <v>615</v>
      </c>
    </row>
    <row r="617" spans="1:14" x14ac:dyDescent="0.25">
      <c r="A617" s="252" t="s">
        <v>204</v>
      </c>
      <c r="B617" s="252" t="s">
        <v>2019</v>
      </c>
      <c r="C617" s="253">
        <v>0</v>
      </c>
      <c r="D617" s="252">
        <v>39792</v>
      </c>
      <c r="E617" s="252" t="s">
        <v>1764</v>
      </c>
      <c r="F617" s="254" t="s">
        <v>1713</v>
      </c>
      <c r="G617" s="252" t="s">
        <v>2602</v>
      </c>
      <c r="H617" s="252" t="s">
        <v>2603</v>
      </c>
      <c r="I617" s="252">
        <v>5</v>
      </c>
      <c r="J617" s="255">
        <v>1</v>
      </c>
      <c r="K617" s="255">
        <v>1</v>
      </c>
      <c r="L617" s="255"/>
      <c r="M617" s="256">
        <v>1.1999999999999999E-3</v>
      </c>
      <c r="N617" s="249">
        <v>616</v>
      </c>
    </row>
    <row r="618" spans="1:14" x14ac:dyDescent="0.25">
      <c r="A618" s="252" t="s">
        <v>204</v>
      </c>
      <c r="B618" s="252" t="s">
        <v>2019</v>
      </c>
      <c r="C618" s="253">
        <v>0</v>
      </c>
      <c r="D618" s="252">
        <v>39792</v>
      </c>
      <c r="E618" s="252" t="s">
        <v>1764</v>
      </c>
      <c r="F618" s="254" t="s">
        <v>1713</v>
      </c>
      <c r="G618" s="252" t="s">
        <v>2604</v>
      </c>
      <c r="H618" s="252" t="s">
        <v>2605</v>
      </c>
      <c r="I618" s="252">
        <v>5</v>
      </c>
      <c r="J618" s="255">
        <v>1</v>
      </c>
      <c r="K618" s="255">
        <v>1</v>
      </c>
      <c r="L618" s="255"/>
      <c r="M618" s="256">
        <v>5.6399999999999994E-4</v>
      </c>
      <c r="N618" s="249">
        <v>617</v>
      </c>
    </row>
    <row r="619" spans="1:14" x14ac:dyDescent="0.25">
      <c r="A619" s="252" t="s">
        <v>204</v>
      </c>
      <c r="B619" s="252" t="s">
        <v>2019</v>
      </c>
      <c r="C619" s="253">
        <v>0</v>
      </c>
      <c r="D619" s="252">
        <v>39792</v>
      </c>
      <c r="E619" s="252" t="s">
        <v>1764</v>
      </c>
      <c r="F619" s="254" t="s">
        <v>1713</v>
      </c>
      <c r="G619" s="252" t="s">
        <v>2606</v>
      </c>
      <c r="H619" s="252" t="s">
        <v>2607</v>
      </c>
      <c r="I619" s="252">
        <v>5</v>
      </c>
      <c r="J619" s="255">
        <v>1</v>
      </c>
      <c r="K619" s="255">
        <v>1</v>
      </c>
      <c r="L619" s="255"/>
      <c r="M619" s="256">
        <v>1.122E-3</v>
      </c>
      <c r="N619" s="249">
        <v>618</v>
      </c>
    </row>
    <row r="620" spans="1:14" x14ac:dyDescent="0.25">
      <c r="A620" s="252" t="s">
        <v>204</v>
      </c>
      <c r="B620" s="252" t="s">
        <v>2019</v>
      </c>
      <c r="C620" s="253">
        <v>0</v>
      </c>
      <c r="D620" s="252">
        <v>39792</v>
      </c>
      <c r="E620" s="252" t="s">
        <v>1764</v>
      </c>
      <c r="F620" s="254" t="s">
        <v>1713</v>
      </c>
      <c r="G620" s="252" t="s">
        <v>2608</v>
      </c>
      <c r="H620" s="252" t="s">
        <v>2609</v>
      </c>
      <c r="I620" s="252">
        <v>5</v>
      </c>
      <c r="J620" s="255">
        <v>1</v>
      </c>
      <c r="K620" s="255">
        <v>1</v>
      </c>
      <c r="L620" s="255"/>
      <c r="M620" s="256">
        <v>1.8059999999999997E-3</v>
      </c>
      <c r="N620" s="249">
        <v>619</v>
      </c>
    </row>
    <row r="621" spans="1:14" x14ac:dyDescent="0.25">
      <c r="A621" s="252" t="s">
        <v>204</v>
      </c>
      <c r="B621" s="252" t="s">
        <v>2019</v>
      </c>
      <c r="C621" s="253">
        <v>0</v>
      </c>
      <c r="D621" s="252">
        <v>39792</v>
      </c>
      <c r="E621" s="252" t="s">
        <v>1764</v>
      </c>
      <c r="F621" s="254" t="s">
        <v>1713</v>
      </c>
      <c r="G621" s="252" t="s">
        <v>2611</v>
      </c>
      <c r="H621" s="252" t="s">
        <v>2612</v>
      </c>
      <c r="I621" s="252">
        <v>5</v>
      </c>
      <c r="J621" s="255">
        <v>1</v>
      </c>
      <c r="K621" s="255">
        <v>1</v>
      </c>
      <c r="L621" s="255"/>
      <c r="M621" s="256">
        <v>1.8059999999999997E-3</v>
      </c>
      <c r="N621" s="249">
        <v>620</v>
      </c>
    </row>
    <row r="622" spans="1:14" x14ac:dyDescent="0.25">
      <c r="A622" s="252" t="s">
        <v>204</v>
      </c>
      <c r="B622" s="252" t="s">
        <v>2019</v>
      </c>
      <c r="C622" s="253">
        <v>0</v>
      </c>
      <c r="D622" s="252">
        <v>39792</v>
      </c>
      <c r="E622" s="252" t="s">
        <v>1764</v>
      </c>
      <c r="F622" s="254" t="s">
        <v>1713</v>
      </c>
      <c r="G622" s="252" t="s">
        <v>2613</v>
      </c>
      <c r="H622" s="252" t="s">
        <v>2614</v>
      </c>
      <c r="I622" s="252">
        <v>5</v>
      </c>
      <c r="J622" s="255">
        <v>1</v>
      </c>
      <c r="K622" s="255">
        <v>1</v>
      </c>
      <c r="L622" s="255"/>
      <c r="M622" s="256">
        <v>6.3599999999999996E-4</v>
      </c>
      <c r="N622" s="249">
        <v>621</v>
      </c>
    </row>
    <row r="623" spans="1:14" x14ac:dyDescent="0.25">
      <c r="A623" s="252" t="s">
        <v>204</v>
      </c>
      <c r="B623" s="252" t="s">
        <v>2019</v>
      </c>
      <c r="C623" s="253">
        <v>0</v>
      </c>
      <c r="D623" s="252">
        <v>39792</v>
      </c>
      <c r="E623" s="252" t="s">
        <v>1764</v>
      </c>
      <c r="F623" s="254" t="s">
        <v>1713</v>
      </c>
      <c r="G623" s="252" t="s">
        <v>2615</v>
      </c>
      <c r="H623" s="252" t="s">
        <v>2616</v>
      </c>
      <c r="I623" s="252">
        <v>5</v>
      </c>
      <c r="J623" s="255">
        <v>1</v>
      </c>
      <c r="K623" s="255">
        <v>1</v>
      </c>
      <c r="L623" s="255"/>
      <c r="M623" s="256">
        <v>6.3599999999999996E-4</v>
      </c>
      <c r="N623" s="249">
        <v>622</v>
      </c>
    </row>
    <row r="624" spans="1:14" x14ac:dyDescent="0.25">
      <c r="A624" s="252" t="s">
        <v>204</v>
      </c>
      <c r="B624" s="252" t="s">
        <v>2019</v>
      </c>
      <c r="C624" s="253">
        <v>0</v>
      </c>
      <c r="D624" s="252">
        <v>39792</v>
      </c>
      <c r="E624" s="252" t="s">
        <v>1764</v>
      </c>
      <c r="F624" s="254" t="s">
        <v>1713</v>
      </c>
      <c r="G624" s="252" t="s">
        <v>2617</v>
      </c>
      <c r="H624" s="252" t="s">
        <v>2618</v>
      </c>
      <c r="I624" s="252">
        <v>5</v>
      </c>
      <c r="J624" s="255">
        <v>1</v>
      </c>
      <c r="K624" s="255">
        <v>1</v>
      </c>
      <c r="L624" s="255"/>
      <c r="M624" s="256">
        <v>3.081E-3</v>
      </c>
      <c r="N624" s="249">
        <v>623</v>
      </c>
    </row>
    <row r="625" spans="1:14" x14ac:dyDescent="0.25">
      <c r="A625" s="252" t="s">
        <v>204</v>
      </c>
      <c r="B625" s="252" t="s">
        <v>2019</v>
      </c>
      <c r="C625" s="253">
        <v>0</v>
      </c>
      <c r="D625" s="252">
        <v>39792</v>
      </c>
      <c r="E625" s="252" t="s">
        <v>1764</v>
      </c>
      <c r="F625" s="254" t="s">
        <v>2619</v>
      </c>
      <c r="G625" s="252" t="s">
        <v>2625</v>
      </c>
      <c r="H625" s="252" t="s">
        <v>2626</v>
      </c>
      <c r="I625" s="252">
        <v>5</v>
      </c>
      <c r="J625" s="255">
        <v>1</v>
      </c>
      <c r="K625" s="255">
        <v>1</v>
      </c>
      <c r="L625" s="255"/>
      <c r="M625" s="256">
        <v>1.7759999999999998E-3</v>
      </c>
      <c r="N625" s="249">
        <v>624</v>
      </c>
    </row>
    <row r="626" spans="1:14" x14ac:dyDescent="0.25">
      <c r="A626" s="252" t="s">
        <v>204</v>
      </c>
      <c r="B626" s="252" t="s">
        <v>2019</v>
      </c>
      <c r="C626" s="253">
        <v>0</v>
      </c>
      <c r="D626" s="252">
        <v>39792</v>
      </c>
      <c r="E626" s="252" t="s">
        <v>1764</v>
      </c>
      <c r="F626" s="254" t="s">
        <v>2619</v>
      </c>
      <c r="G626" s="252" t="s">
        <v>2628</v>
      </c>
      <c r="H626" s="252" t="s">
        <v>2629</v>
      </c>
      <c r="I626" s="252">
        <v>5</v>
      </c>
      <c r="J626" s="255">
        <v>1</v>
      </c>
      <c r="K626" s="255">
        <v>1</v>
      </c>
      <c r="L626" s="255"/>
      <c r="M626" s="256">
        <v>1.7759999999999998E-3</v>
      </c>
      <c r="N626" s="249">
        <v>625</v>
      </c>
    </row>
    <row r="627" spans="1:14" x14ac:dyDescent="0.25">
      <c r="A627" s="252" t="s">
        <v>204</v>
      </c>
      <c r="B627" s="252" t="s">
        <v>2019</v>
      </c>
      <c r="C627" s="253">
        <v>0</v>
      </c>
      <c r="D627" s="252">
        <v>39792</v>
      </c>
      <c r="E627" s="252" t="s">
        <v>1764</v>
      </c>
      <c r="F627" s="254" t="s">
        <v>2619</v>
      </c>
      <c r="G627" s="252" t="s">
        <v>2630</v>
      </c>
      <c r="H627" s="252" t="s">
        <v>2631</v>
      </c>
      <c r="I627" s="252">
        <v>5</v>
      </c>
      <c r="J627" s="255">
        <v>1</v>
      </c>
      <c r="K627" s="255">
        <v>1</v>
      </c>
      <c r="L627" s="255"/>
      <c r="M627" s="256">
        <v>1.0499999999999999E-3</v>
      </c>
      <c r="N627" s="249">
        <v>626</v>
      </c>
    </row>
    <row r="628" spans="1:14" x14ac:dyDescent="0.25">
      <c r="A628" s="252" t="s">
        <v>204</v>
      </c>
      <c r="B628" s="252" t="s">
        <v>2019</v>
      </c>
      <c r="C628" s="253">
        <v>0</v>
      </c>
      <c r="D628" s="252">
        <v>39792</v>
      </c>
      <c r="E628" s="252" t="s">
        <v>1764</v>
      </c>
      <c r="F628" s="254" t="s">
        <v>2619</v>
      </c>
      <c r="G628" s="252" t="s">
        <v>2632</v>
      </c>
      <c r="H628" s="252" t="s">
        <v>2633</v>
      </c>
      <c r="I628" s="252">
        <v>5</v>
      </c>
      <c r="J628" s="255">
        <v>1</v>
      </c>
      <c r="K628" s="255">
        <v>1</v>
      </c>
      <c r="L628" s="255"/>
      <c r="M628" s="256">
        <v>1.0499999999999999E-3</v>
      </c>
      <c r="N628" s="249">
        <v>627</v>
      </c>
    </row>
    <row r="629" spans="1:14" x14ac:dyDescent="0.25">
      <c r="A629" s="252" t="s">
        <v>204</v>
      </c>
      <c r="B629" s="252" t="s">
        <v>2019</v>
      </c>
      <c r="C629" s="253">
        <v>0</v>
      </c>
      <c r="D629" s="252">
        <v>39792</v>
      </c>
      <c r="E629" s="252" t="s">
        <v>1764</v>
      </c>
      <c r="F629" s="254" t="s">
        <v>2619</v>
      </c>
      <c r="G629" s="252" t="s">
        <v>2634</v>
      </c>
      <c r="H629" s="252" t="s">
        <v>2635</v>
      </c>
      <c r="I629" s="252">
        <v>5</v>
      </c>
      <c r="J629" s="255">
        <v>1</v>
      </c>
      <c r="K629" s="255">
        <v>1</v>
      </c>
      <c r="L629" s="255"/>
      <c r="M629" s="256">
        <v>1.2149999999999999E-3</v>
      </c>
      <c r="N629" s="249">
        <v>628</v>
      </c>
    </row>
    <row r="630" spans="1:14" x14ac:dyDescent="0.25">
      <c r="A630" s="252" t="s">
        <v>204</v>
      </c>
      <c r="B630" s="252" t="s">
        <v>2019</v>
      </c>
      <c r="C630" s="253">
        <v>0</v>
      </c>
      <c r="D630" s="252">
        <v>39792</v>
      </c>
      <c r="E630" s="252" t="s">
        <v>1764</v>
      </c>
      <c r="F630" s="254" t="s">
        <v>2619</v>
      </c>
      <c r="G630" s="252" t="s">
        <v>2636</v>
      </c>
      <c r="H630" s="252" t="s">
        <v>2637</v>
      </c>
      <c r="I630" s="252">
        <v>5</v>
      </c>
      <c r="J630" s="255">
        <v>1</v>
      </c>
      <c r="K630" s="255">
        <v>1</v>
      </c>
      <c r="L630" s="255"/>
      <c r="M630" s="256">
        <v>4.4999999999999999E-4</v>
      </c>
      <c r="N630" s="249">
        <v>629</v>
      </c>
    </row>
    <row r="631" spans="1:14" x14ac:dyDescent="0.25">
      <c r="A631" s="252" t="s">
        <v>204</v>
      </c>
      <c r="B631" s="252" t="s">
        <v>2019</v>
      </c>
      <c r="C631" s="253">
        <v>0</v>
      </c>
      <c r="D631" s="252">
        <v>39792</v>
      </c>
      <c r="E631" s="252" t="s">
        <v>1764</v>
      </c>
      <c r="F631" s="254" t="s">
        <v>2619</v>
      </c>
      <c r="G631" s="252" t="s">
        <v>2638</v>
      </c>
      <c r="H631" s="252" t="s">
        <v>2639</v>
      </c>
      <c r="I631" s="252">
        <v>5</v>
      </c>
      <c r="J631" s="255">
        <v>1</v>
      </c>
      <c r="K631" s="255">
        <v>1</v>
      </c>
      <c r="L631" s="255"/>
      <c r="M631" s="256">
        <v>2.4899999999999998E-4</v>
      </c>
      <c r="N631" s="249">
        <v>630</v>
      </c>
    </row>
    <row r="632" spans="1:14" x14ac:dyDescent="0.25">
      <c r="A632" s="252" t="s">
        <v>204</v>
      </c>
      <c r="B632" s="252" t="s">
        <v>2019</v>
      </c>
      <c r="C632" s="253">
        <v>0</v>
      </c>
      <c r="D632" s="252">
        <v>39792</v>
      </c>
      <c r="E632" s="252" t="s">
        <v>1764</v>
      </c>
      <c r="F632" s="254" t="s">
        <v>2619</v>
      </c>
      <c r="G632" s="252" t="s">
        <v>2640</v>
      </c>
      <c r="H632" s="252" t="s">
        <v>2641</v>
      </c>
      <c r="I632" s="252">
        <v>5</v>
      </c>
      <c r="J632" s="255">
        <v>1</v>
      </c>
      <c r="K632" s="255">
        <v>1</v>
      </c>
      <c r="L632" s="255"/>
      <c r="M632" s="256">
        <v>1.0499999999999999E-3</v>
      </c>
      <c r="N632" s="249">
        <v>631</v>
      </c>
    </row>
    <row r="633" spans="1:14" x14ac:dyDescent="0.25">
      <c r="A633" s="252" t="s">
        <v>204</v>
      </c>
      <c r="B633" s="252" t="s">
        <v>2019</v>
      </c>
      <c r="C633" s="253">
        <v>0</v>
      </c>
      <c r="D633" s="252">
        <v>39792</v>
      </c>
      <c r="E633" s="252" t="s">
        <v>1764</v>
      </c>
      <c r="F633" s="254" t="s">
        <v>2619</v>
      </c>
      <c r="G633" s="252" t="s">
        <v>2642</v>
      </c>
      <c r="H633" s="252" t="s">
        <v>2643</v>
      </c>
      <c r="I633" s="252">
        <v>5</v>
      </c>
      <c r="J633" s="255">
        <v>1</v>
      </c>
      <c r="K633" s="255">
        <v>1</v>
      </c>
      <c r="L633" s="255"/>
      <c r="M633" s="256">
        <v>1.1372999999999999E-2</v>
      </c>
      <c r="N633" s="249">
        <v>632</v>
      </c>
    </row>
    <row r="634" spans="1:14" x14ac:dyDescent="0.25">
      <c r="A634" s="252" t="s">
        <v>204</v>
      </c>
      <c r="B634" s="252" t="s">
        <v>2019</v>
      </c>
      <c r="C634" s="253">
        <v>0</v>
      </c>
      <c r="D634" s="252">
        <v>39792</v>
      </c>
      <c r="E634" s="252" t="s">
        <v>1764</v>
      </c>
      <c r="F634" s="254" t="s">
        <v>2619</v>
      </c>
      <c r="G634" s="252" t="s">
        <v>2644</v>
      </c>
      <c r="H634" s="252" t="s">
        <v>2645</v>
      </c>
      <c r="I634" s="252">
        <v>5</v>
      </c>
      <c r="J634" s="255">
        <v>1</v>
      </c>
      <c r="K634" s="255">
        <v>1</v>
      </c>
      <c r="L634" s="255"/>
      <c r="M634" s="256">
        <v>2.4899999999999998E-4</v>
      </c>
      <c r="N634" s="249">
        <v>633</v>
      </c>
    </row>
    <row r="635" spans="1:14" x14ac:dyDescent="0.25">
      <c r="A635" s="252" t="s">
        <v>204</v>
      </c>
      <c r="B635" s="252" t="s">
        <v>2019</v>
      </c>
      <c r="C635" s="253">
        <v>0</v>
      </c>
      <c r="D635" s="252">
        <v>39792</v>
      </c>
      <c r="E635" s="252" t="s">
        <v>1764</v>
      </c>
      <c r="F635" s="254" t="s">
        <v>2619</v>
      </c>
      <c r="G635" s="252" t="s">
        <v>2646</v>
      </c>
      <c r="H635" s="252" t="s">
        <v>2647</v>
      </c>
      <c r="I635" s="252">
        <v>5</v>
      </c>
      <c r="J635" s="255">
        <v>1</v>
      </c>
      <c r="K635" s="255">
        <v>1</v>
      </c>
      <c r="L635" s="255"/>
      <c r="M635" s="256">
        <v>6.0150000000000004E-3</v>
      </c>
      <c r="N635" s="249">
        <v>634</v>
      </c>
    </row>
    <row r="636" spans="1:14" x14ac:dyDescent="0.25">
      <c r="A636" s="252" t="s">
        <v>204</v>
      </c>
      <c r="B636" s="252" t="s">
        <v>2019</v>
      </c>
      <c r="C636" s="253">
        <v>0</v>
      </c>
      <c r="D636" s="252">
        <v>39792</v>
      </c>
      <c r="E636" s="252" t="s">
        <v>1764</v>
      </c>
      <c r="F636" s="254" t="s">
        <v>2619</v>
      </c>
      <c r="G636" s="252" t="s">
        <v>2648</v>
      </c>
      <c r="H636" s="252" t="s">
        <v>2649</v>
      </c>
      <c r="I636" s="252">
        <v>5</v>
      </c>
      <c r="J636" s="255">
        <v>1</v>
      </c>
      <c r="K636" s="255">
        <v>1</v>
      </c>
      <c r="L636" s="255"/>
      <c r="M636" s="256">
        <v>1.134E-3</v>
      </c>
      <c r="N636" s="249">
        <v>635</v>
      </c>
    </row>
    <row r="637" spans="1:14" x14ac:dyDescent="0.25">
      <c r="A637" s="252" t="s">
        <v>204</v>
      </c>
      <c r="B637" s="252" t="s">
        <v>2019</v>
      </c>
      <c r="C637" s="253">
        <v>0</v>
      </c>
      <c r="D637" s="252">
        <v>39792</v>
      </c>
      <c r="E637" s="252" t="s">
        <v>1764</v>
      </c>
      <c r="F637" s="254" t="s">
        <v>2619</v>
      </c>
      <c r="G637" s="252" t="s">
        <v>2650</v>
      </c>
      <c r="H637" s="252" t="s">
        <v>2651</v>
      </c>
      <c r="I637" s="252">
        <v>5</v>
      </c>
      <c r="J637" s="255">
        <v>1</v>
      </c>
      <c r="K637" s="255">
        <v>1</v>
      </c>
      <c r="L637" s="255"/>
      <c r="M637" s="256">
        <v>1.8059999999999997E-3</v>
      </c>
      <c r="N637" s="249">
        <v>636</v>
      </c>
    </row>
    <row r="638" spans="1:14" x14ac:dyDescent="0.25">
      <c r="A638" s="252" t="s">
        <v>204</v>
      </c>
      <c r="B638" s="252" t="s">
        <v>2019</v>
      </c>
      <c r="C638" s="253">
        <v>0</v>
      </c>
      <c r="D638" s="252">
        <v>39792</v>
      </c>
      <c r="E638" s="252" t="s">
        <v>1764</v>
      </c>
      <c r="F638" s="254" t="s">
        <v>2619</v>
      </c>
      <c r="G638" s="252" t="s">
        <v>2652</v>
      </c>
      <c r="H638" s="252" t="s">
        <v>2653</v>
      </c>
      <c r="I638" s="252">
        <v>5</v>
      </c>
      <c r="J638" s="255">
        <v>1</v>
      </c>
      <c r="K638" s="255">
        <v>1</v>
      </c>
      <c r="L638" s="255"/>
      <c r="M638" s="256">
        <v>6.4499999999999996E-4</v>
      </c>
      <c r="N638" s="249">
        <v>637</v>
      </c>
    </row>
    <row r="639" spans="1:14" x14ac:dyDescent="0.25">
      <c r="A639" s="252" t="s">
        <v>204</v>
      </c>
      <c r="B639" s="252" t="s">
        <v>2019</v>
      </c>
      <c r="C639" s="253">
        <v>0</v>
      </c>
      <c r="D639" s="252">
        <v>39792</v>
      </c>
      <c r="E639" s="252" t="s">
        <v>1764</v>
      </c>
      <c r="F639" s="254" t="s">
        <v>2619</v>
      </c>
      <c r="G639" s="252" t="s">
        <v>2654</v>
      </c>
      <c r="H639" s="252" t="s">
        <v>2655</v>
      </c>
      <c r="I639" s="252">
        <v>5</v>
      </c>
      <c r="J639" s="255">
        <v>1</v>
      </c>
      <c r="K639" s="255">
        <v>1</v>
      </c>
      <c r="L639" s="255"/>
      <c r="M639" s="256">
        <v>2.9190000000000002E-3</v>
      </c>
      <c r="N639" s="249">
        <v>638</v>
      </c>
    </row>
    <row r="640" spans="1:14" x14ac:dyDescent="0.25">
      <c r="A640" s="252" t="s">
        <v>204</v>
      </c>
      <c r="B640" s="252" t="s">
        <v>2019</v>
      </c>
      <c r="C640" s="253">
        <v>0</v>
      </c>
      <c r="D640" s="252">
        <v>39792</v>
      </c>
      <c r="E640" s="252" t="s">
        <v>1764</v>
      </c>
      <c r="F640" s="254" t="s">
        <v>2656</v>
      </c>
      <c r="G640" s="252" t="s">
        <v>2662</v>
      </c>
      <c r="H640" s="252" t="s">
        <v>2663</v>
      </c>
      <c r="I640" s="252">
        <v>5</v>
      </c>
      <c r="J640" s="255">
        <v>1</v>
      </c>
      <c r="K640" s="255">
        <v>1</v>
      </c>
      <c r="L640" s="255"/>
      <c r="M640" s="256">
        <v>1.7759999999999998E-3</v>
      </c>
      <c r="N640" s="249">
        <v>639</v>
      </c>
    </row>
    <row r="641" spans="1:14" x14ac:dyDescent="0.25">
      <c r="A641" s="252" t="s">
        <v>204</v>
      </c>
      <c r="B641" s="252" t="s">
        <v>2019</v>
      </c>
      <c r="C641" s="253">
        <v>0</v>
      </c>
      <c r="D641" s="252">
        <v>39792</v>
      </c>
      <c r="E641" s="252" t="s">
        <v>1764</v>
      </c>
      <c r="F641" s="254" t="s">
        <v>2656</v>
      </c>
      <c r="G641" s="252" t="s">
        <v>2665</v>
      </c>
      <c r="H641" s="252" t="s">
        <v>2666</v>
      </c>
      <c r="I641" s="252">
        <v>5</v>
      </c>
      <c r="J641" s="255">
        <v>1</v>
      </c>
      <c r="K641" s="255">
        <v>1</v>
      </c>
      <c r="L641" s="255"/>
      <c r="M641" s="256">
        <v>1.7759999999999998E-3</v>
      </c>
      <c r="N641" s="249">
        <v>640</v>
      </c>
    </row>
    <row r="642" spans="1:14" x14ac:dyDescent="0.25">
      <c r="A642" s="252" t="s">
        <v>204</v>
      </c>
      <c r="B642" s="252" t="s">
        <v>2019</v>
      </c>
      <c r="C642" s="253">
        <v>0</v>
      </c>
      <c r="D642" s="252">
        <v>39792</v>
      </c>
      <c r="E642" s="252" t="s">
        <v>1764</v>
      </c>
      <c r="F642" s="254" t="s">
        <v>2656</v>
      </c>
      <c r="G642" s="252" t="s">
        <v>2668</v>
      </c>
      <c r="H642" s="252" t="s">
        <v>2669</v>
      </c>
      <c r="I642" s="252">
        <v>5</v>
      </c>
      <c r="J642" s="255">
        <v>1</v>
      </c>
      <c r="K642" s="255">
        <v>1</v>
      </c>
      <c r="L642" s="255"/>
      <c r="M642" s="256">
        <v>1.7759999999999998E-3</v>
      </c>
      <c r="N642" s="249">
        <v>641</v>
      </c>
    </row>
    <row r="643" spans="1:14" x14ac:dyDescent="0.25">
      <c r="A643" s="252" t="s">
        <v>204</v>
      </c>
      <c r="B643" s="252" t="s">
        <v>2019</v>
      </c>
      <c r="C643" s="253">
        <v>0</v>
      </c>
      <c r="D643" s="252">
        <v>39792</v>
      </c>
      <c r="E643" s="252" t="s">
        <v>1764</v>
      </c>
      <c r="F643" s="254" t="s">
        <v>2656</v>
      </c>
      <c r="G643" s="252" t="s">
        <v>2670</v>
      </c>
      <c r="H643" s="252" t="s">
        <v>2671</v>
      </c>
      <c r="I643" s="252">
        <v>5</v>
      </c>
      <c r="J643" s="255">
        <v>1</v>
      </c>
      <c r="K643" s="255">
        <v>1</v>
      </c>
      <c r="L643" s="255"/>
      <c r="M643" s="256">
        <v>9.8099999999999988E-4</v>
      </c>
      <c r="N643" s="249">
        <v>642</v>
      </c>
    </row>
    <row r="644" spans="1:14" x14ac:dyDescent="0.25">
      <c r="A644" s="252" t="s">
        <v>204</v>
      </c>
      <c r="B644" s="252" t="s">
        <v>2019</v>
      </c>
      <c r="C644" s="253">
        <v>0</v>
      </c>
      <c r="D644" s="252">
        <v>39792</v>
      </c>
      <c r="E644" s="252" t="s">
        <v>1764</v>
      </c>
      <c r="F644" s="254" t="s">
        <v>2656</v>
      </c>
      <c r="G644" s="252" t="s">
        <v>2672</v>
      </c>
      <c r="H644" s="252" t="s">
        <v>2673</v>
      </c>
      <c r="I644" s="252">
        <v>5</v>
      </c>
      <c r="J644" s="255">
        <v>1</v>
      </c>
      <c r="K644" s="255">
        <v>1</v>
      </c>
      <c r="L644" s="255"/>
      <c r="M644" s="256">
        <v>9.8099999999999988E-4</v>
      </c>
      <c r="N644" s="249">
        <v>643</v>
      </c>
    </row>
    <row r="645" spans="1:14" x14ac:dyDescent="0.25">
      <c r="A645" s="252" t="s">
        <v>204</v>
      </c>
      <c r="B645" s="252" t="s">
        <v>2019</v>
      </c>
      <c r="C645" s="253">
        <v>0</v>
      </c>
      <c r="D645" s="252">
        <v>39792</v>
      </c>
      <c r="E645" s="252" t="s">
        <v>1764</v>
      </c>
      <c r="F645" s="254" t="s">
        <v>2656</v>
      </c>
      <c r="G645" s="252" t="s">
        <v>2674</v>
      </c>
      <c r="H645" s="252" t="s">
        <v>2675</v>
      </c>
      <c r="I645" s="252">
        <v>5</v>
      </c>
      <c r="J645" s="255">
        <v>1</v>
      </c>
      <c r="K645" s="255">
        <v>1</v>
      </c>
      <c r="L645" s="255"/>
      <c r="M645" s="256">
        <v>1.2149999999999999E-3</v>
      </c>
      <c r="N645" s="249">
        <v>644</v>
      </c>
    </row>
    <row r="646" spans="1:14" x14ac:dyDescent="0.25">
      <c r="A646" s="252" t="s">
        <v>204</v>
      </c>
      <c r="B646" s="252" t="s">
        <v>2019</v>
      </c>
      <c r="C646" s="253">
        <v>0</v>
      </c>
      <c r="D646" s="252">
        <v>39792</v>
      </c>
      <c r="E646" s="252" t="s">
        <v>1764</v>
      </c>
      <c r="F646" s="254" t="s">
        <v>2656</v>
      </c>
      <c r="G646" s="252" t="s">
        <v>2676</v>
      </c>
      <c r="H646" s="252" t="s">
        <v>2677</v>
      </c>
      <c r="I646" s="252">
        <v>5</v>
      </c>
      <c r="J646" s="255">
        <v>1</v>
      </c>
      <c r="K646" s="255">
        <v>1</v>
      </c>
      <c r="L646" s="255"/>
      <c r="M646" s="256">
        <v>4.4999999999999999E-4</v>
      </c>
      <c r="N646" s="249">
        <v>645</v>
      </c>
    </row>
    <row r="647" spans="1:14" x14ac:dyDescent="0.25">
      <c r="A647" s="252" t="s">
        <v>204</v>
      </c>
      <c r="B647" s="252" t="s">
        <v>2019</v>
      </c>
      <c r="C647" s="253">
        <v>0</v>
      </c>
      <c r="D647" s="252">
        <v>39792</v>
      </c>
      <c r="E647" s="252" t="s">
        <v>1764</v>
      </c>
      <c r="F647" s="254" t="s">
        <v>2656</v>
      </c>
      <c r="G647" s="252" t="s">
        <v>2678</v>
      </c>
      <c r="H647" s="252" t="s">
        <v>2679</v>
      </c>
      <c r="I647" s="252">
        <v>5</v>
      </c>
      <c r="J647" s="255">
        <v>1</v>
      </c>
      <c r="K647" s="255">
        <v>1</v>
      </c>
      <c r="L647" s="255"/>
      <c r="M647" s="256">
        <v>2.4899999999999998E-4</v>
      </c>
      <c r="N647" s="249">
        <v>646</v>
      </c>
    </row>
    <row r="648" spans="1:14" x14ac:dyDescent="0.25">
      <c r="A648" s="252" t="s">
        <v>204</v>
      </c>
      <c r="B648" s="252" t="s">
        <v>2019</v>
      </c>
      <c r="C648" s="253">
        <v>0</v>
      </c>
      <c r="D648" s="252">
        <v>39792</v>
      </c>
      <c r="E648" s="252" t="s">
        <v>1764</v>
      </c>
      <c r="F648" s="254" t="s">
        <v>2656</v>
      </c>
      <c r="G648" s="252" t="s">
        <v>2680</v>
      </c>
      <c r="H648" s="252" t="s">
        <v>2681</v>
      </c>
      <c r="I648" s="252">
        <v>5</v>
      </c>
      <c r="J648" s="255">
        <v>1</v>
      </c>
      <c r="K648" s="255">
        <v>1</v>
      </c>
      <c r="L648" s="255"/>
      <c r="M648" s="256">
        <v>9.8099999999999988E-4</v>
      </c>
      <c r="N648" s="249">
        <v>647</v>
      </c>
    </row>
    <row r="649" spans="1:14" x14ac:dyDescent="0.25">
      <c r="A649" s="252" t="s">
        <v>204</v>
      </c>
      <c r="B649" s="252" t="s">
        <v>2019</v>
      </c>
      <c r="C649" s="253">
        <v>0</v>
      </c>
      <c r="D649" s="252">
        <v>39792</v>
      </c>
      <c r="E649" s="252" t="s">
        <v>1764</v>
      </c>
      <c r="F649" s="254" t="s">
        <v>2656</v>
      </c>
      <c r="G649" s="252" t="s">
        <v>2682</v>
      </c>
      <c r="H649" s="252" t="s">
        <v>2683</v>
      </c>
      <c r="I649" s="252">
        <v>5</v>
      </c>
      <c r="J649" s="255">
        <v>1</v>
      </c>
      <c r="K649" s="255">
        <v>1</v>
      </c>
      <c r="L649" s="255"/>
      <c r="M649" s="256">
        <v>9.8099999999999988E-4</v>
      </c>
      <c r="N649" s="249">
        <v>648</v>
      </c>
    </row>
    <row r="650" spans="1:14" x14ac:dyDescent="0.25">
      <c r="A650" s="252" t="s">
        <v>204</v>
      </c>
      <c r="B650" s="252" t="s">
        <v>2019</v>
      </c>
      <c r="C650" s="253">
        <v>0</v>
      </c>
      <c r="D650" s="252">
        <v>39792</v>
      </c>
      <c r="E650" s="252" t="s">
        <v>1764</v>
      </c>
      <c r="F650" s="254" t="s">
        <v>2656</v>
      </c>
      <c r="G650" s="252" t="s">
        <v>2684</v>
      </c>
      <c r="H650" s="252" t="s">
        <v>2685</v>
      </c>
      <c r="I650" s="252">
        <v>5</v>
      </c>
      <c r="J650" s="255">
        <v>1</v>
      </c>
      <c r="K650" s="255">
        <v>1</v>
      </c>
      <c r="L650" s="255"/>
      <c r="M650" s="256">
        <v>1.1069999999999998E-2</v>
      </c>
      <c r="N650" s="249">
        <v>649</v>
      </c>
    </row>
    <row r="651" spans="1:14" x14ac:dyDescent="0.25">
      <c r="A651" s="252" t="s">
        <v>204</v>
      </c>
      <c r="B651" s="252" t="s">
        <v>2019</v>
      </c>
      <c r="C651" s="253">
        <v>0</v>
      </c>
      <c r="D651" s="252">
        <v>39792</v>
      </c>
      <c r="E651" s="252" t="s">
        <v>1764</v>
      </c>
      <c r="F651" s="254" t="s">
        <v>2656</v>
      </c>
      <c r="G651" s="252" t="s">
        <v>2686</v>
      </c>
      <c r="H651" s="252" t="s">
        <v>2687</v>
      </c>
      <c r="I651" s="252">
        <v>5</v>
      </c>
      <c r="J651" s="255">
        <v>1</v>
      </c>
      <c r="K651" s="255">
        <v>1</v>
      </c>
      <c r="L651" s="255"/>
      <c r="M651" s="256">
        <v>2.4899999999999998E-4</v>
      </c>
      <c r="N651" s="249">
        <v>650</v>
      </c>
    </row>
    <row r="652" spans="1:14" x14ac:dyDescent="0.25">
      <c r="A652" s="252" t="s">
        <v>204</v>
      </c>
      <c r="B652" s="252" t="s">
        <v>2019</v>
      </c>
      <c r="C652" s="253">
        <v>0</v>
      </c>
      <c r="D652" s="252">
        <v>39792</v>
      </c>
      <c r="E652" s="252" t="s">
        <v>1764</v>
      </c>
      <c r="F652" s="254" t="s">
        <v>2656</v>
      </c>
      <c r="G652" s="252" t="s">
        <v>2688</v>
      </c>
      <c r="H652" s="252" t="s">
        <v>2689</v>
      </c>
      <c r="I652" s="252">
        <v>5</v>
      </c>
      <c r="J652" s="255">
        <v>1</v>
      </c>
      <c r="K652" s="255">
        <v>1</v>
      </c>
      <c r="L652" s="255"/>
      <c r="M652" s="256">
        <v>5.79E-3</v>
      </c>
      <c r="N652" s="249">
        <v>651</v>
      </c>
    </row>
    <row r="653" spans="1:14" x14ac:dyDescent="0.25">
      <c r="A653" s="252" t="s">
        <v>204</v>
      </c>
      <c r="B653" s="252" t="s">
        <v>2019</v>
      </c>
      <c r="C653" s="253">
        <v>0</v>
      </c>
      <c r="D653" s="252">
        <v>39792</v>
      </c>
      <c r="E653" s="252" t="s">
        <v>1764</v>
      </c>
      <c r="F653" s="254" t="s">
        <v>2656</v>
      </c>
      <c r="G653" s="252" t="s">
        <v>2690</v>
      </c>
      <c r="H653" s="252" t="s">
        <v>2691</v>
      </c>
      <c r="I653" s="252">
        <v>5</v>
      </c>
      <c r="J653" s="255">
        <v>1</v>
      </c>
      <c r="K653" s="255">
        <v>1</v>
      </c>
      <c r="L653" s="255"/>
      <c r="M653" s="256">
        <v>6.240000000000001E-4</v>
      </c>
      <c r="N653" s="249">
        <v>652</v>
      </c>
    </row>
    <row r="654" spans="1:14" x14ac:dyDescent="0.25">
      <c r="A654" s="252" t="s">
        <v>204</v>
      </c>
      <c r="B654" s="252" t="s">
        <v>2019</v>
      </c>
      <c r="C654" s="253">
        <v>0</v>
      </c>
      <c r="D654" s="252">
        <v>39792</v>
      </c>
      <c r="E654" s="252" t="s">
        <v>1764</v>
      </c>
      <c r="F654" s="254" t="s">
        <v>2656</v>
      </c>
      <c r="G654" s="252" t="s">
        <v>2695</v>
      </c>
      <c r="H654" s="252" t="s">
        <v>2696</v>
      </c>
      <c r="I654" s="252">
        <v>5</v>
      </c>
      <c r="J654" s="255">
        <v>1</v>
      </c>
      <c r="K654" s="255">
        <v>1</v>
      </c>
      <c r="L654" s="255"/>
      <c r="M654" s="256">
        <v>1.8059999999999997E-3</v>
      </c>
      <c r="N654" s="249">
        <v>653</v>
      </c>
    </row>
    <row r="655" spans="1:14" x14ac:dyDescent="0.25">
      <c r="A655" s="252" t="s">
        <v>204</v>
      </c>
      <c r="B655" s="252" t="s">
        <v>2019</v>
      </c>
      <c r="C655" s="253">
        <v>0</v>
      </c>
      <c r="D655" s="252">
        <v>39792</v>
      </c>
      <c r="E655" s="252" t="s">
        <v>1764</v>
      </c>
      <c r="F655" s="254" t="s">
        <v>2656</v>
      </c>
      <c r="G655" s="252" t="s">
        <v>2697</v>
      </c>
      <c r="H655" s="252" t="s">
        <v>2698</v>
      </c>
      <c r="I655" s="252">
        <v>5</v>
      </c>
      <c r="J655" s="255">
        <v>1</v>
      </c>
      <c r="K655" s="255">
        <v>1</v>
      </c>
      <c r="L655" s="255"/>
      <c r="M655" s="256">
        <v>3.3600000000000004E-4</v>
      </c>
      <c r="N655" s="249">
        <v>654</v>
      </c>
    </row>
    <row r="656" spans="1:14" x14ac:dyDescent="0.25">
      <c r="A656" s="252" t="s">
        <v>204</v>
      </c>
      <c r="B656" s="252" t="s">
        <v>2019</v>
      </c>
      <c r="C656" s="253">
        <v>0</v>
      </c>
      <c r="D656" s="252">
        <v>39792</v>
      </c>
      <c r="E656" s="252" t="s">
        <v>1764</v>
      </c>
      <c r="F656" s="254" t="s">
        <v>2656</v>
      </c>
      <c r="G656" s="252" t="s">
        <v>2700</v>
      </c>
      <c r="H656" s="252" t="s">
        <v>2701</v>
      </c>
      <c r="I656" s="252">
        <v>5</v>
      </c>
      <c r="J656" s="255">
        <v>1</v>
      </c>
      <c r="K656" s="255">
        <v>1</v>
      </c>
      <c r="L656" s="255"/>
      <c r="M656" s="256">
        <v>1.7129999999999999E-3</v>
      </c>
      <c r="N656" s="249">
        <v>655</v>
      </c>
    </row>
    <row r="657" spans="1:14" x14ac:dyDescent="0.25">
      <c r="A657" s="252" t="s">
        <v>183</v>
      </c>
      <c r="B657" s="252" t="s">
        <v>3038</v>
      </c>
      <c r="C657" s="253">
        <v>0</v>
      </c>
      <c r="D657" s="252">
        <v>50592</v>
      </c>
      <c r="E657" s="252" t="s">
        <v>3039</v>
      </c>
      <c r="F657" s="254" t="s">
        <v>3040</v>
      </c>
      <c r="G657" s="252" t="s">
        <v>2021</v>
      </c>
      <c r="H657" s="252" t="s">
        <v>3041</v>
      </c>
      <c r="I657" s="252">
        <v>5</v>
      </c>
      <c r="J657" s="255">
        <v>1</v>
      </c>
      <c r="K657" s="255">
        <v>1</v>
      </c>
      <c r="L657" s="255"/>
      <c r="M657" s="256">
        <v>1.6200000000000001E-4</v>
      </c>
      <c r="N657" s="249">
        <v>656</v>
      </c>
    </row>
    <row r="658" spans="1:14" x14ac:dyDescent="0.25">
      <c r="A658" s="252" t="s">
        <v>183</v>
      </c>
      <c r="B658" s="252" t="s">
        <v>3038</v>
      </c>
      <c r="C658" s="253">
        <v>0</v>
      </c>
      <c r="D658" s="252">
        <v>50592</v>
      </c>
      <c r="E658" s="252" t="s">
        <v>3039</v>
      </c>
      <c r="F658" s="254" t="s">
        <v>3040</v>
      </c>
      <c r="G658" s="252" t="s">
        <v>2022</v>
      </c>
      <c r="H658" s="252" t="s">
        <v>3042</v>
      </c>
      <c r="I658" s="252">
        <v>5</v>
      </c>
      <c r="J658" s="255">
        <v>1</v>
      </c>
      <c r="K658" s="255">
        <v>1</v>
      </c>
      <c r="L658" s="255"/>
      <c r="M658" s="256">
        <v>1.6200000000000001E-4</v>
      </c>
      <c r="N658" s="249">
        <v>657</v>
      </c>
    </row>
    <row r="659" spans="1:14" x14ac:dyDescent="0.25">
      <c r="A659" s="252" t="s">
        <v>183</v>
      </c>
      <c r="B659" s="252" t="s">
        <v>3038</v>
      </c>
      <c r="C659" s="253">
        <v>0</v>
      </c>
      <c r="D659" s="252">
        <v>50592</v>
      </c>
      <c r="E659" s="252" t="s">
        <v>3039</v>
      </c>
      <c r="F659" s="254" t="s">
        <v>3040</v>
      </c>
      <c r="G659" s="252" t="s">
        <v>2026</v>
      </c>
      <c r="H659" s="252" t="s">
        <v>3043</v>
      </c>
      <c r="I659" s="252">
        <v>5</v>
      </c>
      <c r="J659" s="255">
        <v>1</v>
      </c>
      <c r="K659" s="255">
        <v>1</v>
      </c>
      <c r="L659" s="255"/>
      <c r="M659" s="256">
        <v>1.6200000000000001E-4</v>
      </c>
      <c r="N659" s="249">
        <v>658</v>
      </c>
    </row>
    <row r="660" spans="1:14" x14ac:dyDescent="0.25">
      <c r="A660" s="252" t="s">
        <v>183</v>
      </c>
      <c r="B660" s="252" t="s">
        <v>3038</v>
      </c>
      <c r="C660" s="253">
        <v>0</v>
      </c>
      <c r="D660" s="252">
        <v>50592</v>
      </c>
      <c r="E660" s="252" t="s">
        <v>3039</v>
      </c>
      <c r="F660" s="254" t="s">
        <v>3040</v>
      </c>
      <c r="G660" s="252" t="s">
        <v>2027</v>
      </c>
      <c r="H660" s="252" t="s">
        <v>3044</v>
      </c>
      <c r="I660" s="252">
        <v>5</v>
      </c>
      <c r="J660" s="255">
        <v>1</v>
      </c>
      <c r="K660" s="255">
        <v>1</v>
      </c>
      <c r="L660" s="255"/>
      <c r="M660" s="256">
        <v>1.6200000000000001E-4</v>
      </c>
      <c r="N660" s="249">
        <v>659</v>
      </c>
    </row>
    <row r="661" spans="1:14" x14ac:dyDescent="0.25">
      <c r="A661" s="252" t="s">
        <v>183</v>
      </c>
      <c r="B661" s="252" t="s">
        <v>3038</v>
      </c>
      <c r="C661" s="253">
        <v>0</v>
      </c>
      <c r="D661" s="252">
        <v>50592</v>
      </c>
      <c r="E661" s="252" t="s">
        <v>3039</v>
      </c>
      <c r="F661" s="254" t="s">
        <v>3040</v>
      </c>
      <c r="G661" s="252" t="s">
        <v>2031</v>
      </c>
      <c r="H661" s="252" t="s">
        <v>3045</v>
      </c>
      <c r="I661" s="252">
        <v>5</v>
      </c>
      <c r="J661" s="255">
        <v>1</v>
      </c>
      <c r="K661" s="255">
        <v>1</v>
      </c>
      <c r="L661" s="255"/>
      <c r="M661" s="256">
        <v>1.08E-3</v>
      </c>
      <c r="N661" s="249">
        <v>660</v>
      </c>
    </row>
    <row r="662" spans="1:14" x14ac:dyDescent="0.25">
      <c r="A662" s="252" t="s">
        <v>183</v>
      </c>
      <c r="B662" s="252" t="s">
        <v>3038</v>
      </c>
      <c r="C662" s="253">
        <v>0</v>
      </c>
      <c r="D662" s="252">
        <v>50592</v>
      </c>
      <c r="E662" s="252" t="s">
        <v>3039</v>
      </c>
      <c r="F662" s="254" t="s">
        <v>3040</v>
      </c>
      <c r="G662" s="252" t="s">
        <v>2032</v>
      </c>
      <c r="H662" s="252" t="s">
        <v>3046</v>
      </c>
      <c r="I662" s="252">
        <v>5</v>
      </c>
      <c r="J662" s="255">
        <v>1</v>
      </c>
      <c r="K662" s="255">
        <v>1</v>
      </c>
      <c r="L662" s="255"/>
      <c r="M662" s="256">
        <v>1.08E-3</v>
      </c>
      <c r="N662" s="249">
        <v>661</v>
      </c>
    </row>
    <row r="663" spans="1:14" x14ac:dyDescent="0.25">
      <c r="A663" s="252" t="s">
        <v>183</v>
      </c>
      <c r="B663" s="252" t="s">
        <v>3038</v>
      </c>
      <c r="C663" s="253">
        <v>0</v>
      </c>
      <c r="D663" s="252">
        <v>50592</v>
      </c>
      <c r="E663" s="252" t="s">
        <v>3039</v>
      </c>
      <c r="F663" s="254" t="s">
        <v>3040</v>
      </c>
      <c r="G663" s="252" t="s">
        <v>2033</v>
      </c>
      <c r="H663" s="252" t="s">
        <v>3047</v>
      </c>
      <c r="I663" s="252">
        <v>5</v>
      </c>
      <c r="J663" s="255">
        <v>1</v>
      </c>
      <c r="K663" s="255">
        <v>1</v>
      </c>
      <c r="L663" s="255"/>
      <c r="M663" s="256">
        <v>2.0100000000000001E-4</v>
      </c>
      <c r="N663" s="249">
        <v>662</v>
      </c>
    </row>
    <row r="664" spans="1:14" x14ac:dyDescent="0.25">
      <c r="A664" s="252" t="s">
        <v>183</v>
      </c>
      <c r="B664" s="252" t="s">
        <v>3038</v>
      </c>
      <c r="C664" s="253">
        <v>0</v>
      </c>
      <c r="D664" s="252">
        <v>50592</v>
      </c>
      <c r="E664" s="252" t="s">
        <v>3039</v>
      </c>
      <c r="F664" s="254" t="s">
        <v>3040</v>
      </c>
      <c r="G664" s="252" t="s">
        <v>2034</v>
      </c>
      <c r="H664" s="252" t="s">
        <v>3048</v>
      </c>
      <c r="I664" s="252">
        <v>5</v>
      </c>
      <c r="J664" s="255">
        <v>1</v>
      </c>
      <c r="K664" s="255">
        <v>1</v>
      </c>
      <c r="L664" s="255"/>
      <c r="M664" s="256">
        <v>2.0100000000000001E-4</v>
      </c>
      <c r="N664" s="249">
        <v>663</v>
      </c>
    </row>
    <row r="665" spans="1:14" x14ac:dyDescent="0.25">
      <c r="A665" s="252" t="s">
        <v>183</v>
      </c>
      <c r="B665" s="252" t="s">
        <v>3038</v>
      </c>
      <c r="C665" s="253">
        <v>0</v>
      </c>
      <c r="D665" s="252">
        <v>50592</v>
      </c>
      <c r="E665" s="252" t="s">
        <v>3039</v>
      </c>
      <c r="F665" s="254" t="s">
        <v>3040</v>
      </c>
      <c r="G665" s="252" t="s">
        <v>2036</v>
      </c>
      <c r="H665" s="252" t="s">
        <v>3049</v>
      </c>
      <c r="I665" s="252">
        <v>5</v>
      </c>
      <c r="J665" s="255">
        <v>1</v>
      </c>
      <c r="K665" s="255">
        <v>1</v>
      </c>
      <c r="L665" s="255"/>
      <c r="M665" s="256">
        <v>1.6200000000000001E-4</v>
      </c>
      <c r="N665" s="249">
        <v>664</v>
      </c>
    </row>
    <row r="666" spans="1:14" x14ac:dyDescent="0.25">
      <c r="A666" s="252" t="s">
        <v>183</v>
      </c>
      <c r="B666" s="252" t="s">
        <v>3038</v>
      </c>
      <c r="C666" s="253">
        <v>0</v>
      </c>
      <c r="D666" s="252">
        <v>50592</v>
      </c>
      <c r="E666" s="252" t="s">
        <v>3039</v>
      </c>
      <c r="F666" s="254" t="s">
        <v>3040</v>
      </c>
      <c r="G666" s="252" t="s">
        <v>2037</v>
      </c>
      <c r="H666" s="252" t="s">
        <v>3050</v>
      </c>
      <c r="I666" s="252">
        <v>5</v>
      </c>
      <c r="J666" s="255">
        <v>1</v>
      </c>
      <c r="K666" s="255">
        <v>1</v>
      </c>
      <c r="L666" s="255"/>
      <c r="M666" s="256">
        <v>1.6200000000000001E-4</v>
      </c>
      <c r="N666" s="249">
        <v>665</v>
      </c>
    </row>
    <row r="667" spans="1:14" x14ac:dyDescent="0.25">
      <c r="A667" s="252" t="s">
        <v>183</v>
      </c>
      <c r="B667" s="252" t="s">
        <v>3038</v>
      </c>
      <c r="C667" s="253">
        <v>0</v>
      </c>
      <c r="D667" s="252">
        <v>50592</v>
      </c>
      <c r="E667" s="252" t="s">
        <v>190</v>
      </c>
      <c r="F667" s="254" t="s">
        <v>3040</v>
      </c>
      <c r="G667" s="252" t="s">
        <v>2041</v>
      </c>
      <c r="H667" s="252" t="s">
        <v>3051</v>
      </c>
      <c r="I667" s="252">
        <v>5</v>
      </c>
      <c r="J667" s="255">
        <v>1</v>
      </c>
      <c r="K667" s="255">
        <v>1</v>
      </c>
      <c r="L667" s="255"/>
      <c r="M667" s="256">
        <v>3.7800000000000003E-4</v>
      </c>
      <c r="N667" s="249">
        <v>666</v>
      </c>
    </row>
    <row r="668" spans="1:14" x14ac:dyDescent="0.25">
      <c r="A668" s="252" t="s">
        <v>183</v>
      </c>
      <c r="B668" s="252" t="s">
        <v>3038</v>
      </c>
      <c r="C668" s="253">
        <v>0</v>
      </c>
      <c r="D668" s="252">
        <v>50592</v>
      </c>
      <c r="E668" s="252" t="s">
        <v>190</v>
      </c>
      <c r="F668" s="254" t="s">
        <v>3040</v>
      </c>
      <c r="G668" s="252" t="s">
        <v>2042</v>
      </c>
      <c r="H668" s="252" t="s">
        <v>3052</v>
      </c>
      <c r="I668" s="252">
        <v>5</v>
      </c>
      <c r="J668" s="255">
        <v>1</v>
      </c>
      <c r="K668" s="255">
        <v>1</v>
      </c>
      <c r="L668" s="255"/>
      <c r="M668" s="256">
        <v>3.7800000000000003E-4</v>
      </c>
      <c r="N668" s="249">
        <v>667</v>
      </c>
    </row>
    <row r="669" spans="1:14" x14ac:dyDescent="0.25">
      <c r="A669" s="252" t="s">
        <v>183</v>
      </c>
      <c r="B669" s="252" t="s">
        <v>3038</v>
      </c>
      <c r="C669" s="253">
        <v>0</v>
      </c>
      <c r="D669" s="252">
        <v>50592</v>
      </c>
      <c r="E669" s="252" t="s">
        <v>190</v>
      </c>
      <c r="F669" s="254" t="s">
        <v>3040</v>
      </c>
      <c r="G669" s="252" t="s">
        <v>2044</v>
      </c>
      <c r="H669" s="252" t="s">
        <v>3053</v>
      </c>
      <c r="I669" s="252">
        <v>5</v>
      </c>
      <c r="J669" s="255">
        <v>1</v>
      </c>
      <c r="K669" s="255">
        <v>1</v>
      </c>
      <c r="L669" s="255"/>
      <c r="M669" s="256">
        <v>3.7800000000000003E-4</v>
      </c>
      <c r="N669" s="249">
        <v>668</v>
      </c>
    </row>
    <row r="670" spans="1:14" x14ac:dyDescent="0.25">
      <c r="A670" s="252" t="s">
        <v>183</v>
      </c>
      <c r="B670" s="252" t="s">
        <v>3038</v>
      </c>
      <c r="C670" s="253">
        <v>0</v>
      </c>
      <c r="D670" s="252">
        <v>50592</v>
      </c>
      <c r="E670" s="252" t="s">
        <v>190</v>
      </c>
      <c r="F670" s="254" t="s">
        <v>3040</v>
      </c>
      <c r="G670" s="252" t="s">
        <v>2045</v>
      </c>
      <c r="H670" s="252" t="s">
        <v>3054</v>
      </c>
      <c r="I670" s="252">
        <v>5</v>
      </c>
      <c r="J670" s="255">
        <v>1</v>
      </c>
      <c r="K670" s="255">
        <v>1</v>
      </c>
      <c r="L670" s="255"/>
      <c r="M670" s="256">
        <v>3.7800000000000003E-4</v>
      </c>
      <c r="N670" s="249">
        <v>669</v>
      </c>
    </row>
    <row r="671" spans="1:14" x14ac:dyDescent="0.25">
      <c r="A671" s="252" t="s">
        <v>183</v>
      </c>
      <c r="B671" s="252" t="s">
        <v>3038</v>
      </c>
      <c r="C671" s="253">
        <v>0</v>
      </c>
      <c r="D671" s="252">
        <v>50592</v>
      </c>
      <c r="E671" s="252" t="s">
        <v>190</v>
      </c>
      <c r="F671" s="254" t="s">
        <v>3040</v>
      </c>
      <c r="G671" s="252" t="s">
        <v>2048</v>
      </c>
      <c r="H671" s="252" t="s">
        <v>3055</v>
      </c>
      <c r="I671" s="252">
        <v>5</v>
      </c>
      <c r="J671" s="255">
        <v>1</v>
      </c>
      <c r="K671" s="255">
        <v>1</v>
      </c>
      <c r="L671" s="255"/>
      <c r="M671" s="256">
        <v>4.6799999999999999E-4</v>
      </c>
      <c r="N671" s="249">
        <v>670</v>
      </c>
    </row>
    <row r="672" spans="1:14" x14ac:dyDescent="0.25">
      <c r="A672" s="252" t="s">
        <v>183</v>
      </c>
      <c r="B672" s="252" t="s">
        <v>3038</v>
      </c>
      <c r="C672" s="253">
        <v>0</v>
      </c>
      <c r="D672" s="252">
        <v>50592</v>
      </c>
      <c r="E672" s="252" t="s">
        <v>190</v>
      </c>
      <c r="F672" s="254" t="s">
        <v>3040</v>
      </c>
      <c r="G672" s="252" t="s">
        <v>2049</v>
      </c>
      <c r="H672" s="252" t="s">
        <v>3056</v>
      </c>
      <c r="I672" s="252">
        <v>5</v>
      </c>
      <c r="J672" s="255">
        <v>1</v>
      </c>
      <c r="K672" s="255">
        <v>1</v>
      </c>
      <c r="L672" s="255"/>
      <c r="M672" s="256">
        <v>4.7099999999999996E-4</v>
      </c>
      <c r="N672" s="249">
        <v>671</v>
      </c>
    </row>
    <row r="673" spans="1:14" x14ac:dyDescent="0.25">
      <c r="A673" s="252" t="s">
        <v>183</v>
      </c>
      <c r="B673" s="252" t="s">
        <v>3038</v>
      </c>
      <c r="C673" s="253">
        <v>0</v>
      </c>
      <c r="D673" s="252">
        <v>50592</v>
      </c>
      <c r="E673" s="252" t="s">
        <v>190</v>
      </c>
      <c r="F673" s="254" t="s">
        <v>3040</v>
      </c>
      <c r="G673" s="252" t="s">
        <v>2051</v>
      </c>
      <c r="H673" s="252" t="s">
        <v>3057</v>
      </c>
      <c r="I673" s="252">
        <v>5</v>
      </c>
      <c r="J673" s="255">
        <v>1</v>
      </c>
      <c r="K673" s="255">
        <v>1</v>
      </c>
      <c r="L673" s="255"/>
      <c r="M673" s="256">
        <v>4.6799999999999999E-4</v>
      </c>
      <c r="N673" s="249">
        <v>672</v>
      </c>
    </row>
    <row r="674" spans="1:14" x14ac:dyDescent="0.25">
      <c r="A674" s="252" t="s">
        <v>183</v>
      </c>
      <c r="B674" s="252" t="s">
        <v>3038</v>
      </c>
      <c r="C674" s="253">
        <v>0</v>
      </c>
      <c r="D674" s="252">
        <v>50592</v>
      </c>
      <c r="E674" s="252" t="s">
        <v>190</v>
      </c>
      <c r="F674" s="254" t="s">
        <v>3040</v>
      </c>
      <c r="G674" s="252" t="s">
        <v>2052</v>
      </c>
      <c r="H674" s="252" t="s">
        <v>3058</v>
      </c>
      <c r="I674" s="252">
        <v>5</v>
      </c>
      <c r="J674" s="255">
        <v>1</v>
      </c>
      <c r="K674" s="255">
        <v>1</v>
      </c>
      <c r="L674" s="255"/>
      <c r="M674" s="256">
        <v>4.7099999999999996E-4</v>
      </c>
      <c r="N674" s="249">
        <v>673</v>
      </c>
    </row>
    <row r="675" spans="1:14" x14ac:dyDescent="0.25">
      <c r="A675" s="252" t="s">
        <v>183</v>
      </c>
      <c r="B675" s="252" t="s">
        <v>3038</v>
      </c>
      <c r="C675" s="253">
        <v>0</v>
      </c>
      <c r="D675" s="252">
        <v>50592</v>
      </c>
      <c r="E675" s="252" t="s">
        <v>3059</v>
      </c>
      <c r="F675" s="254" t="s">
        <v>3040</v>
      </c>
      <c r="G675" s="252" t="s">
        <v>1540</v>
      </c>
      <c r="H675" s="252" t="s">
        <v>3060</v>
      </c>
      <c r="I675" s="252">
        <v>5</v>
      </c>
      <c r="J675" s="255">
        <v>1</v>
      </c>
      <c r="K675" s="255">
        <v>1</v>
      </c>
      <c r="L675" s="255"/>
      <c r="M675" s="256">
        <v>3.6899999999999997E-4</v>
      </c>
      <c r="N675" s="249">
        <v>674</v>
      </c>
    </row>
    <row r="676" spans="1:14" x14ac:dyDescent="0.25">
      <c r="A676" s="252" t="s">
        <v>183</v>
      </c>
      <c r="B676" s="252" t="s">
        <v>3038</v>
      </c>
      <c r="C676" s="253">
        <v>0</v>
      </c>
      <c r="D676" s="252">
        <v>50592</v>
      </c>
      <c r="E676" s="252" t="s">
        <v>3059</v>
      </c>
      <c r="F676" s="254" t="s">
        <v>3040</v>
      </c>
      <c r="G676" s="252" t="s">
        <v>2053</v>
      </c>
      <c r="H676" s="252" t="s">
        <v>3061</v>
      </c>
      <c r="I676" s="252">
        <v>5</v>
      </c>
      <c r="J676" s="255">
        <v>1</v>
      </c>
      <c r="K676" s="255">
        <v>1</v>
      </c>
      <c r="L676" s="255"/>
      <c r="M676" s="256">
        <v>8.7000000000000001E-5</v>
      </c>
      <c r="N676" s="249">
        <v>675</v>
      </c>
    </row>
    <row r="677" spans="1:14" x14ac:dyDescent="0.25">
      <c r="A677" s="252" t="s">
        <v>183</v>
      </c>
      <c r="B677" s="252" t="s">
        <v>3038</v>
      </c>
      <c r="C677" s="253">
        <v>0</v>
      </c>
      <c r="D677" s="252">
        <v>50592</v>
      </c>
      <c r="E677" s="252" t="s">
        <v>3059</v>
      </c>
      <c r="F677" s="254" t="s">
        <v>3040</v>
      </c>
      <c r="G677" s="252" t="s">
        <v>2054</v>
      </c>
      <c r="H677" s="252" t="s">
        <v>3062</v>
      </c>
      <c r="I677" s="252">
        <v>5</v>
      </c>
      <c r="J677" s="255">
        <v>1</v>
      </c>
      <c r="K677" s="255">
        <v>1</v>
      </c>
      <c r="L677" s="255"/>
      <c r="M677" s="256">
        <v>1.8059999999999997E-3</v>
      </c>
      <c r="N677" s="249">
        <v>676</v>
      </c>
    </row>
    <row r="678" spans="1:14" x14ac:dyDescent="0.25">
      <c r="A678" s="252" t="s">
        <v>183</v>
      </c>
      <c r="B678" s="252" t="s">
        <v>3038</v>
      </c>
      <c r="C678" s="253">
        <v>0</v>
      </c>
      <c r="D678" s="252">
        <v>50592</v>
      </c>
      <c r="E678" s="252" t="s">
        <v>3059</v>
      </c>
      <c r="F678" s="254" t="s">
        <v>3040</v>
      </c>
      <c r="G678" s="252" t="s">
        <v>2055</v>
      </c>
      <c r="H678" s="252" t="s">
        <v>3063</v>
      </c>
      <c r="I678" s="252">
        <v>5</v>
      </c>
      <c r="J678" s="255">
        <v>1</v>
      </c>
      <c r="K678" s="255">
        <v>1</v>
      </c>
      <c r="L678" s="255"/>
      <c r="M678" s="256">
        <v>8.7000000000000001E-5</v>
      </c>
      <c r="N678" s="249">
        <v>677</v>
      </c>
    </row>
    <row r="679" spans="1:14" x14ac:dyDescent="0.25">
      <c r="A679" s="252" t="s">
        <v>183</v>
      </c>
      <c r="B679" s="252" t="s">
        <v>3038</v>
      </c>
      <c r="C679" s="253">
        <v>0</v>
      </c>
      <c r="D679" s="252">
        <v>50592</v>
      </c>
      <c r="E679" s="252" t="s">
        <v>3059</v>
      </c>
      <c r="F679" s="254" t="s">
        <v>3040</v>
      </c>
      <c r="G679" s="252" t="s">
        <v>3064</v>
      </c>
      <c r="H679" s="252" t="s">
        <v>3065</v>
      </c>
      <c r="I679" s="252">
        <v>5</v>
      </c>
      <c r="J679" s="255">
        <v>1</v>
      </c>
      <c r="K679" s="255">
        <v>1</v>
      </c>
      <c r="L679" s="255"/>
      <c r="M679" s="256">
        <v>1.8059999999999997E-3</v>
      </c>
      <c r="N679" s="249">
        <v>678</v>
      </c>
    </row>
    <row r="680" spans="1:14" x14ac:dyDescent="0.25">
      <c r="A680" s="252" t="s">
        <v>183</v>
      </c>
      <c r="B680" s="252" t="s">
        <v>3038</v>
      </c>
      <c r="C680" s="253">
        <v>0</v>
      </c>
      <c r="D680" s="252">
        <v>50592</v>
      </c>
      <c r="E680" s="252" t="s">
        <v>3059</v>
      </c>
      <c r="F680" s="254" t="s">
        <v>3040</v>
      </c>
      <c r="G680" s="252" t="s">
        <v>3066</v>
      </c>
      <c r="H680" s="252" t="s">
        <v>3067</v>
      </c>
      <c r="I680" s="252">
        <v>5</v>
      </c>
      <c r="J680" s="255">
        <v>1</v>
      </c>
      <c r="K680" s="255">
        <v>1</v>
      </c>
      <c r="L680" s="255"/>
      <c r="M680" s="256">
        <v>1.8299999999999998E-4</v>
      </c>
      <c r="N680" s="249">
        <v>679</v>
      </c>
    </row>
    <row r="681" spans="1:14" x14ac:dyDescent="0.25">
      <c r="A681" s="252" t="s">
        <v>183</v>
      </c>
      <c r="B681" s="252" t="s">
        <v>3038</v>
      </c>
      <c r="C681" s="253">
        <v>0</v>
      </c>
      <c r="D681" s="252">
        <v>50592</v>
      </c>
      <c r="E681" s="252" t="s">
        <v>3059</v>
      </c>
      <c r="F681" s="254" t="s">
        <v>3040</v>
      </c>
      <c r="G681" s="252" t="s">
        <v>3068</v>
      </c>
      <c r="H681" s="252" t="s">
        <v>3069</v>
      </c>
      <c r="I681" s="252">
        <v>5</v>
      </c>
      <c r="J681" s="255">
        <v>1</v>
      </c>
      <c r="K681" s="255">
        <v>1</v>
      </c>
      <c r="L681" s="255"/>
      <c r="M681" s="256">
        <v>1.8299999999999998E-4</v>
      </c>
      <c r="N681" s="249">
        <v>680</v>
      </c>
    </row>
    <row r="682" spans="1:14" x14ac:dyDescent="0.25">
      <c r="A682" s="252" t="s">
        <v>183</v>
      </c>
      <c r="B682" s="252" t="s">
        <v>3038</v>
      </c>
      <c r="C682" s="253">
        <v>0</v>
      </c>
      <c r="D682" s="252">
        <v>50592</v>
      </c>
      <c r="E682" s="252" t="s">
        <v>3059</v>
      </c>
      <c r="F682" s="254" t="s">
        <v>3040</v>
      </c>
      <c r="G682" s="252" t="s">
        <v>3070</v>
      </c>
      <c r="H682" s="252" t="s">
        <v>3071</v>
      </c>
      <c r="I682" s="252">
        <v>5</v>
      </c>
      <c r="J682" s="255">
        <v>1</v>
      </c>
      <c r="K682" s="255">
        <v>1</v>
      </c>
      <c r="L682" s="255"/>
      <c r="M682" s="256">
        <v>1.0950000000000001E-3</v>
      </c>
      <c r="N682" s="249">
        <v>681</v>
      </c>
    </row>
    <row r="683" spans="1:14" x14ac:dyDescent="0.25">
      <c r="A683" s="252" t="s">
        <v>183</v>
      </c>
      <c r="B683" s="252" t="s">
        <v>3038</v>
      </c>
      <c r="C683" s="253">
        <v>0</v>
      </c>
      <c r="D683" s="252">
        <v>50592</v>
      </c>
      <c r="E683" s="252" t="s">
        <v>3059</v>
      </c>
      <c r="F683" s="254" t="s">
        <v>3040</v>
      </c>
      <c r="G683" s="252" t="s">
        <v>2057</v>
      </c>
      <c r="H683" s="252" t="s">
        <v>3072</v>
      </c>
      <c r="I683" s="252">
        <v>5</v>
      </c>
      <c r="J683" s="255">
        <v>1</v>
      </c>
      <c r="K683" s="255">
        <v>1</v>
      </c>
      <c r="L683" s="255"/>
      <c r="M683" s="256">
        <v>8.7000000000000001E-5</v>
      </c>
      <c r="N683" s="249">
        <v>682</v>
      </c>
    </row>
    <row r="684" spans="1:14" x14ac:dyDescent="0.25">
      <c r="A684" s="252" t="s">
        <v>183</v>
      </c>
      <c r="B684" s="252" t="s">
        <v>3038</v>
      </c>
      <c r="C684" s="253">
        <v>0</v>
      </c>
      <c r="D684" s="252">
        <v>50592</v>
      </c>
      <c r="E684" s="252" t="s">
        <v>3059</v>
      </c>
      <c r="F684" s="254" t="s">
        <v>3040</v>
      </c>
      <c r="G684" s="252" t="s">
        <v>3073</v>
      </c>
      <c r="H684" s="252" t="s">
        <v>3074</v>
      </c>
      <c r="I684" s="252">
        <v>5</v>
      </c>
      <c r="J684" s="255">
        <v>1</v>
      </c>
      <c r="K684" s="255">
        <v>1</v>
      </c>
      <c r="L684" s="255"/>
      <c r="M684" s="256">
        <v>1.8059999999999997E-3</v>
      </c>
      <c r="N684" s="249">
        <v>683</v>
      </c>
    </row>
    <row r="685" spans="1:14" x14ac:dyDescent="0.25">
      <c r="A685" s="252" t="s">
        <v>183</v>
      </c>
      <c r="B685" s="252" t="s">
        <v>3038</v>
      </c>
      <c r="C685" s="253">
        <v>0</v>
      </c>
      <c r="D685" s="252">
        <v>50592</v>
      </c>
      <c r="E685" s="252" t="s">
        <v>3059</v>
      </c>
      <c r="F685" s="254" t="s">
        <v>3040</v>
      </c>
      <c r="G685" s="252" t="s">
        <v>3075</v>
      </c>
      <c r="H685" s="252" t="s">
        <v>3076</v>
      </c>
      <c r="I685" s="252">
        <v>5</v>
      </c>
      <c r="J685" s="255">
        <v>1</v>
      </c>
      <c r="K685" s="255">
        <v>1</v>
      </c>
      <c r="L685" s="255"/>
      <c r="M685" s="256">
        <v>1.2539999999999999E-3</v>
      </c>
      <c r="N685" s="249">
        <v>684</v>
      </c>
    </row>
    <row r="686" spans="1:14" x14ac:dyDescent="0.25">
      <c r="A686" s="252" t="s">
        <v>183</v>
      </c>
      <c r="B686" s="252" t="s">
        <v>3038</v>
      </c>
      <c r="C686" s="253">
        <v>0</v>
      </c>
      <c r="D686" s="252">
        <v>50592</v>
      </c>
      <c r="E686" s="252" t="s">
        <v>3059</v>
      </c>
      <c r="F686" s="254" t="s">
        <v>3040</v>
      </c>
      <c r="G686" s="252" t="s">
        <v>3077</v>
      </c>
      <c r="H686" s="252" t="s">
        <v>3078</v>
      </c>
      <c r="I686" s="252">
        <v>5</v>
      </c>
      <c r="J686" s="255">
        <v>1</v>
      </c>
      <c r="K686" s="255">
        <v>1</v>
      </c>
      <c r="L686" s="255"/>
      <c r="M686" s="256">
        <v>1.2539999999999999E-3</v>
      </c>
      <c r="N686" s="249">
        <v>685</v>
      </c>
    </row>
    <row r="687" spans="1:14" x14ac:dyDescent="0.25">
      <c r="A687" s="252" t="s">
        <v>183</v>
      </c>
      <c r="B687" s="252" t="s">
        <v>3038</v>
      </c>
      <c r="C687" s="253">
        <v>0</v>
      </c>
      <c r="D687" s="252">
        <v>50592</v>
      </c>
      <c r="E687" s="252" t="s">
        <v>3059</v>
      </c>
      <c r="F687" s="254" t="s">
        <v>3040</v>
      </c>
      <c r="G687" s="252" t="s">
        <v>3079</v>
      </c>
      <c r="H687" s="252" t="s">
        <v>3080</v>
      </c>
      <c r="I687" s="252">
        <v>5</v>
      </c>
      <c r="J687" s="255">
        <v>1</v>
      </c>
      <c r="K687" s="255">
        <v>1</v>
      </c>
      <c r="L687" s="255"/>
      <c r="M687" s="256">
        <v>8.7000000000000001E-5</v>
      </c>
      <c r="N687" s="249">
        <v>686</v>
      </c>
    </row>
    <row r="688" spans="1:14" x14ac:dyDescent="0.25">
      <c r="A688" s="252" t="s">
        <v>183</v>
      </c>
      <c r="B688" s="252" t="s">
        <v>3038</v>
      </c>
      <c r="C688" s="253">
        <v>0</v>
      </c>
      <c r="D688" s="252">
        <v>50592</v>
      </c>
      <c r="E688" s="252" t="s">
        <v>3059</v>
      </c>
      <c r="F688" s="254" t="s">
        <v>3040</v>
      </c>
      <c r="G688" s="252" t="s">
        <v>2059</v>
      </c>
      <c r="H688" s="252" t="s">
        <v>3081</v>
      </c>
      <c r="I688" s="252">
        <v>5</v>
      </c>
      <c r="J688" s="255">
        <v>1</v>
      </c>
      <c r="K688" s="255">
        <v>1</v>
      </c>
      <c r="L688" s="255"/>
      <c r="M688" s="256">
        <v>8.7000000000000001E-5</v>
      </c>
      <c r="N688" s="249">
        <v>687</v>
      </c>
    </row>
    <row r="689" spans="1:14" x14ac:dyDescent="0.25">
      <c r="A689" s="252" t="s">
        <v>183</v>
      </c>
      <c r="B689" s="252" t="s">
        <v>3038</v>
      </c>
      <c r="C689" s="253">
        <v>0</v>
      </c>
      <c r="D689" s="252">
        <v>50592</v>
      </c>
      <c r="E689" s="252" t="s">
        <v>3059</v>
      </c>
      <c r="F689" s="254" t="s">
        <v>3040</v>
      </c>
      <c r="G689" s="252" t="s">
        <v>3082</v>
      </c>
      <c r="H689" s="252" t="s">
        <v>3083</v>
      </c>
      <c r="I689" s="252">
        <v>5</v>
      </c>
      <c r="J689" s="255">
        <v>1</v>
      </c>
      <c r="K689" s="255">
        <v>1</v>
      </c>
      <c r="L689" s="255"/>
      <c r="M689" s="256">
        <v>1.8059999999999997E-3</v>
      </c>
      <c r="N689" s="249">
        <v>688</v>
      </c>
    </row>
    <row r="690" spans="1:14" x14ac:dyDescent="0.25">
      <c r="A690" s="252" t="s">
        <v>183</v>
      </c>
      <c r="B690" s="252" t="s">
        <v>3038</v>
      </c>
      <c r="C690" s="253">
        <v>0</v>
      </c>
      <c r="D690" s="252">
        <v>50592</v>
      </c>
      <c r="E690" s="252" t="s">
        <v>3059</v>
      </c>
      <c r="F690" s="254" t="s">
        <v>3040</v>
      </c>
      <c r="G690" s="252" t="s">
        <v>3084</v>
      </c>
      <c r="H690" s="252" t="s">
        <v>3085</v>
      </c>
      <c r="I690" s="252">
        <v>5</v>
      </c>
      <c r="J690" s="255">
        <v>1</v>
      </c>
      <c r="K690" s="255">
        <v>1</v>
      </c>
      <c r="L690" s="255"/>
      <c r="M690" s="256">
        <v>8.7000000000000001E-5</v>
      </c>
      <c r="N690" s="249">
        <v>689</v>
      </c>
    </row>
    <row r="691" spans="1:14" x14ac:dyDescent="0.25">
      <c r="A691" s="252" t="s">
        <v>183</v>
      </c>
      <c r="B691" s="252" t="s">
        <v>3038</v>
      </c>
      <c r="C691" s="253">
        <v>0</v>
      </c>
      <c r="D691" s="252">
        <v>50592</v>
      </c>
      <c r="E691" s="252" t="s">
        <v>3059</v>
      </c>
      <c r="F691" s="254" t="s">
        <v>3040</v>
      </c>
      <c r="G691" s="252" t="s">
        <v>3086</v>
      </c>
      <c r="H691" s="252" t="s">
        <v>3087</v>
      </c>
      <c r="I691" s="252">
        <v>5</v>
      </c>
      <c r="J691" s="255">
        <v>1</v>
      </c>
      <c r="K691" s="255">
        <v>1</v>
      </c>
      <c r="L691" s="255"/>
      <c r="M691" s="256">
        <v>1.8299999999999998E-4</v>
      </c>
      <c r="N691" s="249">
        <v>690</v>
      </c>
    </row>
    <row r="692" spans="1:14" x14ac:dyDescent="0.25">
      <c r="A692" s="252" t="s">
        <v>183</v>
      </c>
      <c r="B692" s="252" t="s">
        <v>3038</v>
      </c>
      <c r="C692" s="253">
        <v>0</v>
      </c>
      <c r="D692" s="252">
        <v>50592</v>
      </c>
      <c r="E692" s="252" t="s">
        <v>3059</v>
      </c>
      <c r="F692" s="254" t="s">
        <v>3040</v>
      </c>
      <c r="G692" s="252" t="s">
        <v>3088</v>
      </c>
      <c r="H692" s="252" t="s">
        <v>3089</v>
      </c>
      <c r="I692" s="252">
        <v>5</v>
      </c>
      <c r="J692" s="255">
        <v>1</v>
      </c>
      <c r="K692" s="255">
        <v>1</v>
      </c>
      <c r="L692" s="255"/>
      <c r="M692" s="256">
        <v>1.8299999999999998E-4</v>
      </c>
      <c r="N692" s="249">
        <v>691</v>
      </c>
    </row>
    <row r="693" spans="1:14" x14ac:dyDescent="0.25">
      <c r="A693" s="252" t="s">
        <v>183</v>
      </c>
      <c r="B693" s="252" t="s">
        <v>3038</v>
      </c>
      <c r="C693" s="253">
        <v>0</v>
      </c>
      <c r="D693" s="252">
        <v>50592</v>
      </c>
      <c r="E693" s="252" t="s">
        <v>3059</v>
      </c>
      <c r="F693" s="254" t="s">
        <v>3040</v>
      </c>
      <c r="G693" s="252" t="s">
        <v>3090</v>
      </c>
      <c r="H693" s="252" t="s">
        <v>3091</v>
      </c>
      <c r="I693" s="252">
        <v>5</v>
      </c>
      <c r="J693" s="255">
        <v>1</v>
      </c>
      <c r="K693" s="255">
        <v>1</v>
      </c>
      <c r="L693" s="255"/>
      <c r="M693" s="256">
        <v>1.0950000000000001E-3</v>
      </c>
      <c r="N693" s="249">
        <v>692</v>
      </c>
    </row>
    <row r="694" spans="1:14" x14ac:dyDescent="0.25">
      <c r="A694" s="252" t="s">
        <v>183</v>
      </c>
      <c r="B694" s="252" t="s">
        <v>3038</v>
      </c>
      <c r="C694" s="253">
        <v>0</v>
      </c>
      <c r="D694" s="252">
        <v>50592</v>
      </c>
      <c r="E694" s="252" t="s">
        <v>3059</v>
      </c>
      <c r="F694" s="254" t="s">
        <v>3040</v>
      </c>
      <c r="G694" s="252" t="s">
        <v>3092</v>
      </c>
      <c r="H694" s="252" t="s">
        <v>3093</v>
      </c>
      <c r="I694" s="252">
        <v>5</v>
      </c>
      <c r="J694" s="255">
        <v>1</v>
      </c>
      <c r="K694" s="255">
        <v>1</v>
      </c>
      <c r="L694" s="255"/>
      <c r="M694" s="256">
        <v>8.7000000000000001E-5</v>
      </c>
      <c r="N694" s="249">
        <v>693</v>
      </c>
    </row>
    <row r="695" spans="1:14" x14ac:dyDescent="0.25">
      <c r="A695" s="252" t="s">
        <v>183</v>
      </c>
      <c r="B695" s="252" t="s">
        <v>3038</v>
      </c>
      <c r="C695" s="253">
        <v>0</v>
      </c>
      <c r="D695" s="252">
        <v>50592</v>
      </c>
      <c r="E695" s="252" t="s">
        <v>3059</v>
      </c>
      <c r="F695" s="254" t="s">
        <v>3040</v>
      </c>
      <c r="G695" s="252" t="s">
        <v>3094</v>
      </c>
      <c r="H695" s="252" t="s">
        <v>3095</v>
      </c>
      <c r="I695" s="252">
        <v>5</v>
      </c>
      <c r="J695" s="255">
        <v>1</v>
      </c>
      <c r="K695" s="255">
        <v>1</v>
      </c>
      <c r="L695" s="255"/>
      <c r="M695" s="256">
        <v>1.8059999999999997E-3</v>
      </c>
      <c r="N695" s="249">
        <v>694</v>
      </c>
    </row>
    <row r="696" spans="1:14" x14ac:dyDescent="0.25">
      <c r="A696" s="252" t="s">
        <v>183</v>
      </c>
      <c r="B696" s="252" t="s">
        <v>3038</v>
      </c>
      <c r="C696" s="253">
        <v>0</v>
      </c>
      <c r="D696" s="252">
        <v>50592</v>
      </c>
      <c r="E696" s="252" t="s">
        <v>3059</v>
      </c>
      <c r="F696" s="254" t="s">
        <v>3040</v>
      </c>
      <c r="G696" s="252" t="s">
        <v>3096</v>
      </c>
      <c r="H696" s="252" t="s">
        <v>3097</v>
      </c>
      <c r="I696" s="252">
        <v>5</v>
      </c>
      <c r="J696" s="255">
        <v>1</v>
      </c>
      <c r="K696" s="255">
        <v>1</v>
      </c>
      <c r="L696" s="255"/>
      <c r="M696" s="256">
        <v>1.3979999999999999E-3</v>
      </c>
      <c r="N696" s="249">
        <v>695</v>
      </c>
    </row>
    <row r="697" spans="1:14" x14ac:dyDescent="0.25">
      <c r="A697" s="252" t="s">
        <v>183</v>
      </c>
      <c r="B697" s="252" t="s">
        <v>3038</v>
      </c>
      <c r="C697" s="253">
        <v>0</v>
      </c>
      <c r="D697" s="252">
        <v>50592</v>
      </c>
      <c r="E697" s="252" t="s">
        <v>3059</v>
      </c>
      <c r="F697" s="254" t="s">
        <v>3040</v>
      </c>
      <c r="G697" s="252" t="s">
        <v>3098</v>
      </c>
      <c r="H697" s="252" t="s">
        <v>3099</v>
      </c>
      <c r="I697" s="252">
        <v>5</v>
      </c>
      <c r="J697" s="255">
        <v>1</v>
      </c>
      <c r="K697" s="255">
        <v>1</v>
      </c>
      <c r="L697" s="255"/>
      <c r="M697" s="256">
        <v>8.7000000000000001E-5</v>
      </c>
      <c r="N697" s="249">
        <v>696</v>
      </c>
    </row>
    <row r="698" spans="1:14" x14ac:dyDescent="0.25">
      <c r="A698" s="252" t="s">
        <v>183</v>
      </c>
      <c r="B698" s="252" t="s">
        <v>3038</v>
      </c>
      <c r="C698" s="253">
        <v>0</v>
      </c>
      <c r="D698" s="252">
        <v>50592</v>
      </c>
      <c r="E698" s="252" t="s">
        <v>3059</v>
      </c>
      <c r="F698" s="254" t="s">
        <v>3040</v>
      </c>
      <c r="G698" s="252" t="s">
        <v>3100</v>
      </c>
      <c r="H698" s="252" t="s">
        <v>3101</v>
      </c>
      <c r="I698" s="252">
        <v>5</v>
      </c>
      <c r="J698" s="255">
        <v>1</v>
      </c>
      <c r="K698" s="255">
        <v>1</v>
      </c>
      <c r="L698" s="255"/>
      <c r="M698" s="256">
        <v>8.7000000000000001E-5</v>
      </c>
      <c r="N698" s="249">
        <v>697</v>
      </c>
    </row>
    <row r="699" spans="1:14" x14ac:dyDescent="0.25">
      <c r="A699" s="252" t="s">
        <v>183</v>
      </c>
      <c r="B699" s="252" t="s">
        <v>3038</v>
      </c>
      <c r="C699" s="253">
        <v>0</v>
      </c>
      <c r="D699" s="252">
        <v>50592</v>
      </c>
      <c r="E699" s="252" t="s">
        <v>3059</v>
      </c>
      <c r="F699" s="254" t="s">
        <v>3040</v>
      </c>
      <c r="G699" s="252" t="s">
        <v>3102</v>
      </c>
      <c r="H699" s="252" t="s">
        <v>3103</v>
      </c>
      <c r="I699" s="252">
        <v>5</v>
      </c>
      <c r="J699" s="255">
        <v>1</v>
      </c>
      <c r="K699" s="255">
        <v>1</v>
      </c>
      <c r="L699" s="255"/>
      <c r="M699" s="256">
        <v>1.7759999999999998E-3</v>
      </c>
      <c r="N699" s="249">
        <v>698</v>
      </c>
    </row>
    <row r="700" spans="1:14" x14ac:dyDescent="0.25">
      <c r="A700" s="252" t="s">
        <v>183</v>
      </c>
      <c r="B700" s="252" t="s">
        <v>3038</v>
      </c>
      <c r="C700" s="253">
        <v>0</v>
      </c>
      <c r="D700" s="252">
        <v>50592</v>
      </c>
      <c r="E700" s="252" t="s">
        <v>3059</v>
      </c>
      <c r="F700" s="254" t="s">
        <v>3040</v>
      </c>
      <c r="G700" s="252" t="s">
        <v>3104</v>
      </c>
      <c r="H700" s="252" t="s">
        <v>3105</v>
      </c>
      <c r="I700" s="252">
        <v>5</v>
      </c>
      <c r="J700" s="255">
        <v>1</v>
      </c>
      <c r="K700" s="255">
        <v>1</v>
      </c>
      <c r="L700" s="255"/>
      <c r="M700" s="256">
        <v>8.7000000000000001E-5</v>
      </c>
      <c r="N700" s="249">
        <v>699</v>
      </c>
    </row>
    <row r="701" spans="1:14" x14ac:dyDescent="0.25">
      <c r="A701" s="252" t="s">
        <v>183</v>
      </c>
      <c r="B701" s="252" t="s">
        <v>3038</v>
      </c>
      <c r="C701" s="253">
        <v>0</v>
      </c>
      <c r="D701" s="252">
        <v>50592</v>
      </c>
      <c r="E701" s="252" t="s">
        <v>3059</v>
      </c>
      <c r="F701" s="254" t="s">
        <v>3040</v>
      </c>
      <c r="G701" s="252" t="s">
        <v>3106</v>
      </c>
      <c r="H701" s="252" t="s">
        <v>3107</v>
      </c>
      <c r="I701" s="252">
        <v>5</v>
      </c>
      <c r="J701" s="255">
        <v>1</v>
      </c>
      <c r="K701" s="255">
        <v>1</v>
      </c>
      <c r="L701" s="255"/>
      <c r="M701" s="256">
        <v>1.7759999999999998E-3</v>
      </c>
      <c r="N701" s="249">
        <v>700</v>
      </c>
    </row>
    <row r="702" spans="1:14" x14ac:dyDescent="0.25">
      <c r="A702" s="252" t="s">
        <v>183</v>
      </c>
      <c r="B702" s="252" t="s">
        <v>3038</v>
      </c>
      <c r="C702" s="253">
        <v>0</v>
      </c>
      <c r="D702" s="252">
        <v>50592</v>
      </c>
      <c r="E702" s="252" t="s">
        <v>3059</v>
      </c>
      <c r="F702" s="254" t="s">
        <v>3040</v>
      </c>
      <c r="G702" s="252" t="s">
        <v>3108</v>
      </c>
      <c r="H702" s="252" t="s">
        <v>3109</v>
      </c>
      <c r="I702" s="252">
        <v>5</v>
      </c>
      <c r="J702" s="255">
        <v>1</v>
      </c>
      <c r="K702" s="255">
        <v>1</v>
      </c>
      <c r="L702" s="255"/>
      <c r="M702" s="256">
        <v>2.34E-4</v>
      </c>
      <c r="N702" s="249">
        <v>701</v>
      </c>
    </row>
    <row r="703" spans="1:14" x14ac:dyDescent="0.25">
      <c r="A703" s="252" t="s">
        <v>183</v>
      </c>
      <c r="B703" s="252" t="s">
        <v>3038</v>
      </c>
      <c r="C703" s="253">
        <v>0</v>
      </c>
      <c r="D703" s="252">
        <v>50592</v>
      </c>
      <c r="E703" s="252" t="s">
        <v>3059</v>
      </c>
      <c r="F703" s="254" t="s">
        <v>3040</v>
      </c>
      <c r="G703" s="252" t="s">
        <v>3110</v>
      </c>
      <c r="H703" s="252" t="s">
        <v>3111</v>
      </c>
      <c r="I703" s="252">
        <v>5</v>
      </c>
      <c r="J703" s="255">
        <v>1</v>
      </c>
      <c r="K703" s="255">
        <v>1</v>
      </c>
      <c r="L703" s="255"/>
      <c r="M703" s="256">
        <v>2.34E-4</v>
      </c>
      <c r="N703" s="249">
        <v>702</v>
      </c>
    </row>
    <row r="704" spans="1:14" x14ac:dyDescent="0.25">
      <c r="A704" s="252" t="s">
        <v>183</v>
      </c>
      <c r="B704" s="252" t="s">
        <v>3038</v>
      </c>
      <c r="C704" s="253">
        <v>0</v>
      </c>
      <c r="D704" s="252">
        <v>50592</v>
      </c>
      <c r="E704" s="252" t="s">
        <v>3059</v>
      </c>
      <c r="F704" s="254" t="s">
        <v>3040</v>
      </c>
      <c r="G704" s="252" t="s">
        <v>3112</v>
      </c>
      <c r="H704" s="252" t="s">
        <v>3113</v>
      </c>
      <c r="I704" s="252">
        <v>5</v>
      </c>
      <c r="J704" s="255">
        <v>1</v>
      </c>
      <c r="K704" s="255">
        <v>1</v>
      </c>
      <c r="L704" s="255"/>
      <c r="M704" s="256">
        <v>1.5899999999999999E-4</v>
      </c>
      <c r="N704" s="249">
        <v>703</v>
      </c>
    </row>
    <row r="705" spans="1:14" x14ac:dyDescent="0.25">
      <c r="A705" s="252" t="s">
        <v>183</v>
      </c>
      <c r="B705" s="252" t="s">
        <v>3038</v>
      </c>
      <c r="C705" s="253">
        <v>0</v>
      </c>
      <c r="D705" s="252">
        <v>50592</v>
      </c>
      <c r="E705" s="252" t="s">
        <v>3059</v>
      </c>
      <c r="F705" s="254" t="s">
        <v>3040</v>
      </c>
      <c r="G705" s="252" t="s">
        <v>3114</v>
      </c>
      <c r="H705" s="252" t="s">
        <v>3115</v>
      </c>
      <c r="I705" s="252">
        <v>5</v>
      </c>
      <c r="J705" s="255">
        <v>1</v>
      </c>
      <c r="K705" s="255">
        <v>1</v>
      </c>
      <c r="L705" s="255"/>
      <c r="M705" s="256">
        <v>1.5899999999999999E-4</v>
      </c>
      <c r="N705" s="249">
        <v>704</v>
      </c>
    </row>
    <row r="706" spans="1:14" x14ac:dyDescent="0.25">
      <c r="A706" s="252" t="s">
        <v>183</v>
      </c>
      <c r="B706" s="252" t="s">
        <v>3038</v>
      </c>
      <c r="C706" s="253">
        <v>0</v>
      </c>
      <c r="D706" s="252">
        <v>50592</v>
      </c>
      <c r="E706" s="252" t="s">
        <v>3059</v>
      </c>
      <c r="F706" s="254" t="s">
        <v>3040</v>
      </c>
      <c r="G706" s="252" t="s">
        <v>3116</v>
      </c>
      <c r="H706" s="252" t="s">
        <v>3117</v>
      </c>
      <c r="I706" s="252">
        <v>5</v>
      </c>
      <c r="J706" s="255">
        <v>1</v>
      </c>
      <c r="K706" s="255">
        <v>1</v>
      </c>
      <c r="L706" s="255"/>
      <c r="M706" s="256">
        <v>1.4249999999999998E-3</v>
      </c>
      <c r="N706" s="249">
        <v>705</v>
      </c>
    </row>
    <row r="707" spans="1:14" x14ac:dyDescent="0.25">
      <c r="A707" s="252" t="s">
        <v>183</v>
      </c>
      <c r="B707" s="252" t="s">
        <v>3038</v>
      </c>
      <c r="C707" s="253">
        <v>0</v>
      </c>
      <c r="D707" s="252">
        <v>50592</v>
      </c>
      <c r="E707" s="252" t="s">
        <v>3059</v>
      </c>
      <c r="F707" s="254" t="s">
        <v>3040</v>
      </c>
      <c r="G707" s="252" t="s">
        <v>2061</v>
      </c>
      <c r="H707" s="252" t="s">
        <v>3118</v>
      </c>
      <c r="I707" s="252">
        <v>5</v>
      </c>
      <c r="J707" s="255">
        <v>1</v>
      </c>
      <c r="K707" s="255">
        <v>1</v>
      </c>
      <c r="L707" s="255"/>
      <c r="M707" s="256">
        <v>8.7000000000000001E-5</v>
      </c>
      <c r="N707" s="249">
        <v>706</v>
      </c>
    </row>
    <row r="708" spans="1:14" x14ac:dyDescent="0.25">
      <c r="A708" s="252" t="s">
        <v>183</v>
      </c>
      <c r="B708" s="252" t="s">
        <v>3038</v>
      </c>
      <c r="C708" s="253">
        <v>0</v>
      </c>
      <c r="D708" s="252">
        <v>50592</v>
      </c>
      <c r="E708" s="252" t="s">
        <v>3059</v>
      </c>
      <c r="F708" s="254" t="s">
        <v>3040</v>
      </c>
      <c r="G708" s="252" t="s">
        <v>3119</v>
      </c>
      <c r="H708" s="252" t="s">
        <v>3120</v>
      </c>
      <c r="I708" s="252">
        <v>5</v>
      </c>
      <c r="J708" s="255">
        <v>1</v>
      </c>
      <c r="K708" s="255">
        <v>1</v>
      </c>
      <c r="L708" s="255"/>
      <c r="M708" s="256">
        <v>1.8059999999999997E-3</v>
      </c>
      <c r="N708" s="249">
        <v>707</v>
      </c>
    </row>
    <row r="709" spans="1:14" x14ac:dyDescent="0.25">
      <c r="A709" s="252" t="s">
        <v>183</v>
      </c>
      <c r="B709" s="252" t="s">
        <v>3038</v>
      </c>
      <c r="C709" s="253">
        <v>0</v>
      </c>
      <c r="D709" s="252">
        <v>50592</v>
      </c>
      <c r="E709" s="252" t="s">
        <v>3059</v>
      </c>
      <c r="F709" s="254" t="s">
        <v>3040</v>
      </c>
      <c r="G709" s="252" t="s">
        <v>3121</v>
      </c>
      <c r="H709" s="252" t="s">
        <v>3122</v>
      </c>
      <c r="I709" s="252">
        <v>5</v>
      </c>
      <c r="J709" s="255">
        <v>1</v>
      </c>
      <c r="K709" s="255">
        <v>1</v>
      </c>
      <c r="L709" s="255"/>
      <c r="M709" s="256">
        <v>1.2779999999999998E-3</v>
      </c>
      <c r="N709" s="249">
        <v>708</v>
      </c>
    </row>
    <row r="710" spans="1:14" x14ac:dyDescent="0.25">
      <c r="A710" s="252" t="s">
        <v>183</v>
      </c>
      <c r="B710" s="252" t="s">
        <v>3038</v>
      </c>
      <c r="C710" s="253">
        <v>0</v>
      </c>
      <c r="D710" s="252">
        <v>50592</v>
      </c>
      <c r="E710" s="252" t="s">
        <v>3059</v>
      </c>
      <c r="F710" s="254" t="s">
        <v>3040</v>
      </c>
      <c r="G710" s="252" t="s">
        <v>3123</v>
      </c>
      <c r="H710" s="252" t="s">
        <v>3124</v>
      </c>
      <c r="I710" s="252">
        <v>5</v>
      </c>
      <c r="J710" s="255">
        <v>1</v>
      </c>
      <c r="K710" s="255">
        <v>1</v>
      </c>
      <c r="L710" s="255"/>
      <c r="M710" s="256">
        <v>1.2779999999999998E-3</v>
      </c>
      <c r="N710" s="249">
        <v>709</v>
      </c>
    </row>
    <row r="711" spans="1:14" x14ac:dyDescent="0.25">
      <c r="A711" s="252" t="s">
        <v>183</v>
      </c>
      <c r="B711" s="252" t="s">
        <v>3038</v>
      </c>
      <c r="C711" s="253">
        <v>0</v>
      </c>
      <c r="D711" s="252">
        <v>50592</v>
      </c>
      <c r="E711" s="252" t="s">
        <v>3059</v>
      </c>
      <c r="F711" s="254" t="s">
        <v>3040</v>
      </c>
      <c r="G711" s="252" t="s">
        <v>3125</v>
      </c>
      <c r="H711" s="252" t="s">
        <v>3126</v>
      </c>
      <c r="I711" s="252">
        <v>5</v>
      </c>
      <c r="J711" s="255">
        <v>1</v>
      </c>
      <c r="K711" s="255">
        <v>1</v>
      </c>
      <c r="L711" s="255"/>
      <c r="M711" s="256">
        <v>8.7000000000000001E-5</v>
      </c>
      <c r="N711" s="249">
        <v>710</v>
      </c>
    </row>
    <row r="712" spans="1:14" x14ac:dyDescent="0.25">
      <c r="A712" s="252" t="s">
        <v>183</v>
      </c>
      <c r="B712" s="252" t="s">
        <v>3038</v>
      </c>
      <c r="C712" s="253">
        <v>0</v>
      </c>
      <c r="D712" s="252">
        <v>50592</v>
      </c>
      <c r="E712" s="252" t="s">
        <v>99</v>
      </c>
      <c r="F712" s="254" t="s">
        <v>3127</v>
      </c>
      <c r="G712" s="252" t="s">
        <v>1546</v>
      </c>
      <c r="H712" s="252" t="s">
        <v>3128</v>
      </c>
      <c r="I712" s="252">
        <v>5</v>
      </c>
      <c r="J712" s="255">
        <v>1</v>
      </c>
      <c r="K712" s="255">
        <v>1</v>
      </c>
      <c r="L712" s="255"/>
      <c r="M712" s="256">
        <v>1.3200000000000001E-4</v>
      </c>
      <c r="N712" s="249">
        <v>711</v>
      </c>
    </row>
    <row r="713" spans="1:14" x14ac:dyDescent="0.25">
      <c r="A713" s="252" t="s">
        <v>183</v>
      </c>
      <c r="B713" s="252" t="s">
        <v>3038</v>
      </c>
      <c r="C713" s="253">
        <v>0</v>
      </c>
      <c r="D713" s="252">
        <v>50592</v>
      </c>
      <c r="E713" s="252" t="s">
        <v>99</v>
      </c>
      <c r="F713" s="254" t="s">
        <v>3127</v>
      </c>
      <c r="G713" s="252" t="s">
        <v>1547</v>
      </c>
      <c r="H713" s="252" t="s">
        <v>3129</v>
      </c>
      <c r="I713" s="252">
        <v>5</v>
      </c>
      <c r="J713" s="255">
        <v>1</v>
      </c>
      <c r="K713" s="255">
        <v>1</v>
      </c>
      <c r="L713" s="255"/>
      <c r="M713" s="256">
        <v>1.3200000000000001E-4</v>
      </c>
      <c r="N713" s="249">
        <v>712</v>
      </c>
    </row>
    <row r="714" spans="1:14" x14ac:dyDescent="0.25">
      <c r="A714" s="252" t="s">
        <v>183</v>
      </c>
      <c r="B714" s="252" t="s">
        <v>3038</v>
      </c>
      <c r="C714" s="253">
        <v>0</v>
      </c>
      <c r="D714" s="252">
        <v>50592</v>
      </c>
      <c r="E714" s="252" t="s">
        <v>3130</v>
      </c>
      <c r="F714" s="254" t="s">
        <v>3127</v>
      </c>
      <c r="G714" s="252" t="s">
        <v>1552</v>
      </c>
      <c r="H714" s="252" t="s">
        <v>3131</v>
      </c>
      <c r="I714" s="252">
        <v>5</v>
      </c>
      <c r="J714" s="255">
        <v>1</v>
      </c>
      <c r="K714" s="255">
        <v>1</v>
      </c>
      <c r="L714" s="255"/>
      <c r="M714" s="256">
        <v>1.2E-4</v>
      </c>
      <c r="N714" s="249">
        <v>713</v>
      </c>
    </row>
    <row r="715" spans="1:14" x14ac:dyDescent="0.25">
      <c r="A715" s="252" t="s">
        <v>183</v>
      </c>
      <c r="B715" s="252" t="s">
        <v>3038</v>
      </c>
      <c r="C715" s="253">
        <v>0</v>
      </c>
      <c r="D715" s="252">
        <v>50592</v>
      </c>
      <c r="E715" s="252" t="s">
        <v>3130</v>
      </c>
      <c r="F715" s="254" t="s">
        <v>3127</v>
      </c>
      <c r="G715" s="252" t="s">
        <v>1553</v>
      </c>
      <c r="H715" s="252" t="s">
        <v>3132</v>
      </c>
      <c r="I715" s="252">
        <v>5</v>
      </c>
      <c r="J715" s="255">
        <v>1</v>
      </c>
      <c r="K715" s="255">
        <v>1</v>
      </c>
      <c r="L715" s="255"/>
      <c r="M715" s="256">
        <v>1.2E-4</v>
      </c>
      <c r="N715" s="249">
        <v>714</v>
      </c>
    </row>
    <row r="716" spans="1:14" x14ac:dyDescent="0.25">
      <c r="A716" s="252" t="s">
        <v>183</v>
      </c>
      <c r="B716" s="252" t="s">
        <v>3038</v>
      </c>
      <c r="C716" s="253">
        <v>0</v>
      </c>
      <c r="D716" s="252">
        <v>50592</v>
      </c>
      <c r="E716" s="252" t="s">
        <v>190</v>
      </c>
      <c r="F716" s="254" t="s">
        <v>3127</v>
      </c>
      <c r="G716" s="252" t="s">
        <v>3133</v>
      </c>
      <c r="H716" s="252" t="s">
        <v>3134</v>
      </c>
      <c r="I716" s="252">
        <v>5</v>
      </c>
      <c r="J716" s="255">
        <v>1</v>
      </c>
      <c r="K716" s="255">
        <v>1</v>
      </c>
      <c r="L716" s="255"/>
      <c r="M716" s="256">
        <v>2.31E-4</v>
      </c>
      <c r="N716" s="249">
        <v>715</v>
      </c>
    </row>
    <row r="717" spans="1:14" x14ac:dyDescent="0.25">
      <c r="A717" s="252" t="s">
        <v>183</v>
      </c>
      <c r="B717" s="252" t="s">
        <v>3038</v>
      </c>
      <c r="C717" s="253">
        <v>0</v>
      </c>
      <c r="D717" s="252">
        <v>50592</v>
      </c>
      <c r="E717" s="252" t="s">
        <v>190</v>
      </c>
      <c r="F717" s="254" t="s">
        <v>3127</v>
      </c>
      <c r="G717" s="252" t="s">
        <v>3135</v>
      </c>
      <c r="H717" s="252" t="s">
        <v>3136</v>
      </c>
      <c r="I717" s="252">
        <v>5</v>
      </c>
      <c r="J717" s="255">
        <v>1</v>
      </c>
      <c r="K717" s="255">
        <v>1</v>
      </c>
      <c r="L717" s="255"/>
      <c r="M717" s="256">
        <v>2.2800000000000001E-4</v>
      </c>
      <c r="N717" s="249">
        <v>716</v>
      </c>
    </row>
    <row r="718" spans="1:14" x14ac:dyDescent="0.25">
      <c r="A718" s="252" t="s">
        <v>183</v>
      </c>
      <c r="B718" s="252" t="s">
        <v>3038</v>
      </c>
      <c r="C718" s="253">
        <v>0</v>
      </c>
      <c r="D718" s="252">
        <v>50592</v>
      </c>
      <c r="E718" s="252" t="s">
        <v>3130</v>
      </c>
      <c r="F718" s="254" t="s">
        <v>3127</v>
      </c>
      <c r="G718" s="252" t="s">
        <v>2149</v>
      </c>
      <c r="H718" s="252" t="s">
        <v>3137</v>
      </c>
      <c r="I718" s="252">
        <v>5</v>
      </c>
      <c r="J718" s="255">
        <v>1</v>
      </c>
      <c r="K718" s="255">
        <v>1</v>
      </c>
      <c r="L718" s="255"/>
      <c r="M718" s="256">
        <v>1.2E-4</v>
      </c>
      <c r="N718" s="249">
        <v>717</v>
      </c>
    </row>
    <row r="719" spans="1:14" x14ac:dyDescent="0.25">
      <c r="A719" s="252" t="s">
        <v>183</v>
      </c>
      <c r="B719" s="252" t="s">
        <v>3038</v>
      </c>
      <c r="C719" s="253">
        <v>0</v>
      </c>
      <c r="D719" s="252">
        <v>50592</v>
      </c>
      <c r="E719" s="252" t="s">
        <v>3130</v>
      </c>
      <c r="F719" s="254" t="s">
        <v>3127</v>
      </c>
      <c r="G719" s="252" t="s">
        <v>2150</v>
      </c>
      <c r="H719" s="252" t="s">
        <v>3138</v>
      </c>
      <c r="I719" s="252">
        <v>5</v>
      </c>
      <c r="J719" s="255">
        <v>1</v>
      </c>
      <c r="K719" s="255">
        <v>1</v>
      </c>
      <c r="L719" s="255"/>
      <c r="M719" s="256">
        <v>1.2E-4</v>
      </c>
      <c r="N719" s="249">
        <v>718</v>
      </c>
    </row>
    <row r="720" spans="1:14" x14ac:dyDescent="0.25">
      <c r="A720" s="252" t="s">
        <v>183</v>
      </c>
      <c r="B720" s="252" t="s">
        <v>3038</v>
      </c>
      <c r="C720" s="253">
        <v>0</v>
      </c>
      <c r="D720" s="252">
        <v>50592</v>
      </c>
      <c r="E720" s="252" t="s">
        <v>190</v>
      </c>
      <c r="F720" s="254" t="s">
        <v>3127</v>
      </c>
      <c r="G720" s="252" t="s">
        <v>3139</v>
      </c>
      <c r="H720" s="252" t="s">
        <v>3140</v>
      </c>
      <c r="I720" s="252">
        <v>5</v>
      </c>
      <c r="J720" s="255">
        <v>1</v>
      </c>
      <c r="K720" s="255">
        <v>1</v>
      </c>
      <c r="L720" s="255"/>
      <c r="M720" s="256">
        <v>2.31E-4</v>
      </c>
      <c r="N720" s="249">
        <v>719</v>
      </c>
    </row>
    <row r="721" spans="1:14" x14ac:dyDescent="0.25">
      <c r="A721" s="252" t="s">
        <v>183</v>
      </c>
      <c r="B721" s="252" t="s">
        <v>3038</v>
      </c>
      <c r="C721" s="253">
        <v>0</v>
      </c>
      <c r="D721" s="252">
        <v>50592</v>
      </c>
      <c r="E721" s="252" t="s">
        <v>190</v>
      </c>
      <c r="F721" s="254" t="s">
        <v>3127</v>
      </c>
      <c r="G721" s="252" t="s">
        <v>3141</v>
      </c>
      <c r="H721" s="252" t="s">
        <v>3142</v>
      </c>
      <c r="I721" s="252">
        <v>5</v>
      </c>
      <c r="J721" s="255">
        <v>1</v>
      </c>
      <c r="K721" s="255">
        <v>1</v>
      </c>
      <c r="L721" s="255"/>
      <c r="M721" s="256">
        <v>2.31E-4</v>
      </c>
      <c r="N721" s="249">
        <v>720</v>
      </c>
    </row>
    <row r="722" spans="1:14" x14ac:dyDescent="0.25">
      <c r="A722" s="252" t="s">
        <v>183</v>
      </c>
      <c r="B722" s="252" t="s">
        <v>3038</v>
      </c>
      <c r="C722" s="253">
        <v>0</v>
      </c>
      <c r="D722" s="252">
        <v>50592</v>
      </c>
      <c r="E722" s="252" t="s">
        <v>190</v>
      </c>
      <c r="F722" s="254" t="s">
        <v>3127</v>
      </c>
      <c r="G722" s="252" t="s">
        <v>1556</v>
      </c>
      <c r="H722" s="252" t="s">
        <v>3143</v>
      </c>
      <c r="I722" s="252">
        <v>5</v>
      </c>
      <c r="J722" s="255">
        <v>1</v>
      </c>
      <c r="K722" s="255">
        <v>1</v>
      </c>
      <c r="L722" s="255"/>
      <c r="M722" s="256">
        <v>4.6200000000000001E-4</v>
      </c>
      <c r="N722" s="249">
        <v>721</v>
      </c>
    </row>
    <row r="723" spans="1:14" x14ac:dyDescent="0.25">
      <c r="A723" s="252" t="s">
        <v>183</v>
      </c>
      <c r="B723" s="252" t="s">
        <v>3038</v>
      </c>
      <c r="C723" s="253">
        <v>0</v>
      </c>
      <c r="D723" s="252">
        <v>50592</v>
      </c>
      <c r="E723" s="252" t="s">
        <v>190</v>
      </c>
      <c r="F723" s="254" t="s">
        <v>3127</v>
      </c>
      <c r="G723" s="252" t="s">
        <v>1557</v>
      </c>
      <c r="H723" s="252" t="s">
        <v>3144</v>
      </c>
      <c r="I723" s="252">
        <v>5</v>
      </c>
      <c r="J723" s="255">
        <v>1</v>
      </c>
      <c r="K723" s="255">
        <v>1</v>
      </c>
      <c r="L723" s="255"/>
      <c r="M723" s="256">
        <v>4.6200000000000001E-4</v>
      </c>
      <c r="N723" s="249">
        <v>722</v>
      </c>
    </row>
    <row r="724" spans="1:14" x14ac:dyDescent="0.25">
      <c r="A724" s="252" t="s">
        <v>183</v>
      </c>
      <c r="B724" s="252" t="s">
        <v>3038</v>
      </c>
      <c r="C724" s="253">
        <v>0</v>
      </c>
      <c r="D724" s="252">
        <v>50592</v>
      </c>
      <c r="E724" s="252" t="s">
        <v>190</v>
      </c>
      <c r="F724" s="254" t="s">
        <v>3127</v>
      </c>
      <c r="G724" s="252" t="s">
        <v>1559</v>
      </c>
      <c r="H724" s="252" t="s">
        <v>3145</v>
      </c>
      <c r="I724" s="252">
        <v>5</v>
      </c>
      <c r="J724" s="255">
        <v>1</v>
      </c>
      <c r="K724" s="255">
        <v>1</v>
      </c>
      <c r="L724" s="255"/>
      <c r="M724" s="256">
        <v>2.9700000000000001E-4</v>
      </c>
      <c r="N724" s="249">
        <v>723</v>
      </c>
    </row>
    <row r="725" spans="1:14" x14ac:dyDescent="0.25">
      <c r="A725" s="252" t="s">
        <v>183</v>
      </c>
      <c r="B725" s="252" t="s">
        <v>3038</v>
      </c>
      <c r="C725" s="253">
        <v>0</v>
      </c>
      <c r="D725" s="252">
        <v>50592</v>
      </c>
      <c r="E725" s="252" t="s">
        <v>190</v>
      </c>
      <c r="F725" s="254" t="s">
        <v>3127</v>
      </c>
      <c r="G725" s="252" t="s">
        <v>2151</v>
      </c>
      <c r="H725" s="252" t="s">
        <v>3146</v>
      </c>
      <c r="I725" s="252">
        <v>5</v>
      </c>
      <c r="J725" s="255">
        <v>1</v>
      </c>
      <c r="K725" s="255">
        <v>1</v>
      </c>
      <c r="L725" s="255"/>
      <c r="M725" s="256">
        <v>2.9700000000000001E-4</v>
      </c>
      <c r="N725" s="249">
        <v>724</v>
      </c>
    </row>
    <row r="726" spans="1:14" x14ac:dyDescent="0.25">
      <c r="A726" s="252" t="s">
        <v>183</v>
      </c>
      <c r="B726" s="252" t="s">
        <v>3038</v>
      </c>
      <c r="C726" s="253">
        <v>0</v>
      </c>
      <c r="D726" s="252">
        <v>50592</v>
      </c>
      <c r="E726" s="252" t="s">
        <v>3039</v>
      </c>
      <c r="F726" s="254" t="s">
        <v>3127</v>
      </c>
      <c r="G726" s="252" t="s">
        <v>1561</v>
      </c>
      <c r="H726" s="252" t="s">
        <v>3147</v>
      </c>
      <c r="I726" s="252">
        <v>5</v>
      </c>
      <c r="J726" s="255">
        <v>1</v>
      </c>
      <c r="K726" s="255">
        <v>1</v>
      </c>
      <c r="L726" s="255"/>
      <c r="M726" s="256">
        <v>2.9700000000000001E-4</v>
      </c>
      <c r="N726" s="249">
        <v>725</v>
      </c>
    </row>
    <row r="727" spans="1:14" x14ac:dyDescent="0.25">
      <c r="A727" s="252" t="s">
        <v>183</v>
      </c>
      <c r="B727" s="252" t="s">
        <v>3038</v>
      </c>
      <c r="C727" s="253">
        <v>0</v>
      </c>
      <c r="D727" s="252">
        <v>50592</v>
      </c>
      <c r="E727" s="252" t="s">
        <v>3039</v>
      </c>
      <c r="F727" s="254" t="s">
        <v>3127</v>
      </c>
      <c r="G727" s="252" t="s">
        <v>1562</v>
      </c>
      <c r="H727" s="252" t="s">
        <v>3148</v>
      </c>
      <c r="I727" s="252">
        <v>5</v>
      </c>
      <c r="J727" s="255">
        <v>1</v>
      </c>
      <c r="K727" s="255">
        <v>1</v>
      </c>
      <c r="L727" s="255"/>
      <c r="M727" s="256">
        <v>1.2570000000000001E-3</v>
      </c>
      <c r="N727" s="249">
        <v>726</v>
      </c>
    </row>
    <row r="728" spans="1:14" x14ac:dyDescent="0.25">
      <c r="A728" s="252" t="s">
        <v>183</v>
      </c>
      <c r="B728" s="252" t="s">
        <v>3038</v>
      </c>
      <c r="C728" s="253">
        <v>0</v>
      </c>
      <c r="D728" s="252">
        <v>50592</v>
      </c>
      <c r="E728" s="252" t="s">
        <v>3039</v>
      </c>
      <c r="F728" s="254" t="s">
        <v>3127</v>
      </c>
      <c r="G728" s="252" t="s">
        <v>1563</v>
      </c>
      <c r="H728" s="252" t="s">
        <v>3149</v>
      </c>
      <c r="I728" s="252">
        <v>5</v>
      </c>
      <c r="J728" s="255">
        <v>1</v>
      </c>
      <c r="K728" s="255">
        <v>1</v>
      </c>
      <c r="L728" s="255"/>
      <c r="M728" s="256">
        <v>3.6899999999999997E-4</v>
      </c>
      <c r="N728" s="249">
        <v>727</v>
      </c>
    </row>
    <row r="729" spans="1:14" x14ac:dyDescent="0.25">
      <c r="A729" s="252" t="s">
        <v>183</v>
      </c>
      <c r="B729" s="252" t="s">
        <v>3038</v>
      </c>
      <c r="C729" s="253">
        <v>0</v>
      </c>
      <c r="D729" s="252">
        <v>50592</v>
      </c>
      <c r="E729" s="252" t="s">
        <v>3039</v>
      </c>
      <c r="F729" s="254" t="s">
        <v>3127</v>
      </c>
      <c r="G729" s="252" t="s">
        <v>1564</v>
      </c>
      <c r="H729" s="252" t="s">
        <v>3150</v>
      </c>
      <c r="I729" s="252">
        <v>5</v>
      </c>
      <c r="J729" s="255">
        <v>1</v>
      </c>
      <c r="K729" s="255">
        <v>1</v>
      </c>
      <c r="L729" s="255"/>
      <c r="M729" s="256">
        <v>1.2570000000000001E-3</v>
      </c>
      <c r="N729" s="249">
        <v>728</v>
      </c>
    </row>
    <row r="730" spans="1:14" x14ac:dyDescent="0.25">
      <c r="A730" s="252" t="s">
        <v>183</v>
      </c>
      <c r="B730" s="252" t="s">
        <v>3038</v>
      </c>
      <c r="C730" s="253">
        <v>0</v>
      </c>
      <c r="D730" s="252">
        <v>50592</v>
      </c>
      <c r="E730" s="252" t="s">
        <v>3039</v>
      </c>
      <c r="F730" s="254" t="s">
        <v>3127</v>
      </c>
      <c r="G730" s="252" t="s">
        <v>1565</v>
      </c>
      <c r="H730" s="252" t="s">
        <v>3151</v>
      </c>
      <c r="I730" s="252">
        <v>5</v>
      </c>
      <c r="J730" s="255">
        <v>1</v>
      </c>
      <c r="K730" s="255">
        <v>1</v>
      </c>
      <c r="L730" s="255"/>
      <c r="M730" s="256">
        <v>3.6899999999999997E-4</v>
      </c>
      <c r="N730" s="249">
        <v>729</v>
      </c>
    </row>
    <row r="731" spans="1:14" x14ac:dyDescent="0.25">
      <c r="A731" s="252" t="s">
        <v>183</v>
      </c>
      <c r="B731" s="252" t="s">
        <v>3038</v>
      </c>
      <c r="C731" s="253">
        <v>0</v>
      </c>
      <c r="D731" s="252">
        <v>50592</v>
      </c>
      <c r="E731" s="252" t="s">
        <v>3039</v>
      </c>
      <c r="F731" s="254" t="s">
        <v>3127</v>
      </c>
      <c r="G731" s="252" t="s">
        <v>1567</v>
      </c>
      <c r="H731" s="252" t="s">
        <v>3152</v>
      </c>
      <c r="I731" s="252">
        <v>5</v>
      </c>
      <c r="J731" s="255">
        <v>1</v>
      </c>
      <c r="K731" s="255">
        <v>1</v>
      </c>
      <c r="L731" s="255"/>
      <c r="M731" s="256">
        <v>2.9399999999999999E-4</v>
      </c>
      <c r="N731" s="249">
        <v>730</v>
      </c>
    </row>
    <row r="732" spans="1:14" x14ac:dyDescent="0.25">
      <c r="A732" s="252" t="s">
        <v>183</v>
      </c>
      <c r="B732" s="252" t="s">
        <v>3038</v>
      </c>
      <c r="C732" s="253">
        <v>0</v>
      </c>
      <c r="D732" s="252">
        <v>50592</v>
      </c>
      <c r="E732" s="252" t="s">
        <v>3039</v>
      </c>
      <c r="F732" s="254" t="s">
        <v>3127</v>
      </c>
      <c r="G732" s="252" t="s">
        <v>1568</v>
      </c>
      <c r="H732" s="252" t="s">
        <v>3153</v>
      </c>
      <c r="I732" s="252">
        <v>5</v>
      </c>
      <c r="J732" s="255">
        <v>1</v>
      </c>
      <c r="K732" s="255">
        <v>1</v>
      </c>
      <c r="L732" s="255"/>
      <c r="M732" s="256">
        <v>2.9399999999999999E-4</v>
      </c>
      <c r="N732" s="249">
        <v>731</v>
      </c>
    </row>
    <row r="733" spans="1:14" x14ac:dyDescent="0.25">
      <c r="A733" s="252" t="s">
        <v>183</v>
      </c>
      <c r="B733" s="252" t="s">
        <v>3038</v>
      </c>
      <c r="C733" s="253">
        <v>0</v>
      </c>
      <c r="D733" s="252">
        <v>50592</v>
      </c>
      <c r="E733" s="252" t="s">
        <v>3039</v>
      </c>
      <c r="F733" s="254" t="s">
        <v>3127</v>
      </c>
      <c r="G733" s="252" t="s">
        <v>2153</v>
      </c>
      <c r="H733" s="252" t="s">
        <v>3154</v>
      </c>
      <c r="I733" s="252">
        <v>5</v>
      </c>
      <c r="J733" s="255">
        <v>1</v>
      </c>
      <c r="K733" s="255">
        <v>1</v>
      </c>
      <c r="L733" s="255"/>
      <c r="M733" s="256">
        <v>1.2570000000000001E-3</v>
      </c>
      <c r="N733" s="249">
        <v>732</v>
      </c>
    </row>
    <row r="734" spans="1:14" x14ac:dyDescent="0.25">
      <c r="A734" s="252" t="s">
        <v>183</v>
      </c>
      <c r="B734" s="252" t="s">
        <v>3038</v>
      </c>
      <c r="C734" s="253">
        <v>0</v>
      </c>
      <c r="D734" s="252">
        <v>50592</v>
      </c>
      <c r="E734" s="252" t="s">
        <v>3039</v>
      </c>
      <c r="F734" s="254" t="s">
        <v>3127</v>
      </c>
      <c r="G734" s="252" t="s">
        <v>2154</v>
      </c>
      <c r="H734" s="252" t="s">
        <v>3155</v>
      </c>
      <c r="I734" s="252">
        <v>5</v>
      </c>
      <c r="J734" s="255">
        <v>1</v>
      </c>
      <c r="K734" s="255">
        <v>1</v>
      </c>
      <c r="L734" s="255"/>
      <c r="M734" s="256">
        <v>3.6899999999999997E-4</v>
      </c>
      <c r="N734" s="249">
        <v>733</v>
      </c>
    </row>
    <row r="735" spans="1:14" x14ac:dyDescent="0.25">
      <c r="A735" s="252" t="s">
        <v>183</v>
      </c>
      <c r="B735" s="252" t="s">
        <v>3038</v>
      </c>
      <c r="C735" s="253">
        <v>0</v>
      </c>
      <c r="D735" s="252">
        <v>50592</v>
      </c>
      <c r="E735" s="252" t="s">
        <v>3039</v>
      </c>
      <c r="F735" s="254" t="s">
        <v>3127</v>
      </c>
      <c r="G735" s="252" t="s">
        <v>2155</v>
      </c>
      <c r="H735" s="252" t="s">
        <v>3156</v>
      </c>
      <c r="I735" s="252">
        <v>5</v>
      </c>
      <c r="J735" s="255">
        <v>1</v>
      </c>
      <c r="K735" s="255">
        <v>1</v>
      </c>
      <c r="L735" s="255"/>
      <c r="M735" s="256">
        <v>1.2570000000000001E-3</v>
      </c>
      <c r="N735" s="249">
        <v>734</v>
      </c>
    </row>
    <row r="736" spans="1:14" x14ac:dyDescent="0.25">
      <c r="A736" s="252" t="s">
        <v>183</v>
      </c>
      <c r="B736" s="252" t="s">
        <v>3038</v>
      </c>
      <c r="C736" s="253">
        <v>0</v>
      </c>
      <c r="D736" s="252">
        <v>50592</v>
      </c>
      <c r="E736" s="252" t="s">
        <v>3039</v>
      </c>
      <c r="F736" s="254" t="s">
        <v>3127</v>
      </c>
      <c r="G736" s="252" t="s">
        <v>2156</v>
      </c>
      <c r="H736" s="252" t="s">
        <v>3157</v>
      </c>
      <c r="I736" s="252">
        <v>5</v>
      </c>
      <c r="J736" s="255">
        <v>1</v>
      </c>
      <c r="K736" s="255">
        <v>1</v>
      </c>
      <c r="L736" s="255"/>
      <c r="M736" s="256">
        <v>3.6899999999999997E-4</v>
      </c>
      <c r="N736" s="249">
        <v>735</v>
      </c>
    </row>
    <row r="737" spans="1:14" x14ac:dyDescent="0.25">
      <c r="A737" s="252" t="s">
        <v>183</v>
      </c>
      <c r="B737" s="252" t="s">
        <v>3038</v>
      </c>
      <c r="C737" s="253">
        <v>0</v>
      </c>
      <c r="D737" s="252">
        <v>50592</v>
      </c>
      <c r="E737" s="252" t="s">
        <v>3039</v>
      </c>
      <c r="F737" s="254" t="s">
        <v>3127</v>
      </c>
      <c r="G737" s="252" t="s">
        <v>1571</v>
      </c>
      <c r="H737" s="252" t="s">
        <v>3158</v>
      </c>
      <c r="I737" s="252">
        <v>5</v>
      </c>
      <c r="J737" s="255">
        <v>1</v>
      </c>
      <c r="K737" s="255">
        <v>1</v>
      </c>
      <c r="L737" s="255"/>
      <c r="M737" s="256">
        <v>2.9399999999999999E-4</v>
      </c>
      <c r="N737" s="249">
        <v>736</v>
      </c>
    </row>
    <row r="738" spans="1:14" x14ac:dyDescent="0.25">
      <c r="A738" s="252" t="s">
        <v>183</v>
      </c>
      <c r="B738" s="252" t="s">
        <v>3038</v>
      </c>
      <c r="C738" s="253">
        <v>0</v>
      </c>
      <c r="D738" s="252">
        <v>50592</v>
      </c>
      <c r="E738" s="252" t="s">
        <v>3039</v>
      </c>
      <c r="F738" s="254" t="s">
        <v>3127</v>
      </c>
      <c r="G738" s="252" t="s">
        <v>3159</v>
      </c>
      <c r="H738" s="252" t="s">
        <v>3160</v>
      </c>
      <c r="I738" s="252">
        <v>5</v>
      </c>
      <c r="J738" s="255">
        <v>1</v>
      </c>
      <c r="K738" s="255">
        <v>1</v>
      </c>
      <c r="L738" s="255"/>
      <c r="M738" s="256">
        <v>2.9399999999999999E-4</v>
      </c>
      <c r="N738" s="249">
        <v>737</v>
      </c>
    </row>
    <row r="739" spans="1:14" x14ac:dyDescent="0.25">
      <c r="A739" s="252" t="s">
        <v>183</v>
      </c>
      <c r="B739" s="252" t="s">
        <v>3038</v>
      </c>
      <c r="C739" s="253">
        <v>0</v>
      </c>
      <c r="D739" s="252">
        <v>50592</v>
      </c>
      <c r="E739" s="252" t="s">
        <v>3039</v>
      </c>
      <c r="F739" s="254" t="s">
        <v>3127</v>
      </c>
      <c r="G739" s="252" t="s">
        <v>1572</v>
      </c>
      <c r="H739" s="252" t="s">
        <v>3161</v>
      </c>
      <c r="I739" s="252">
        <v>5</v>
      </c>
      <c r="J739" s="255">
        <v>1</v>
      </c>
      <c r="K739" s="255">
        <v>1</v>
      </c>
      <c r="L739" s="255"/>
      <c r="M739" s="256">
        <v>2.9399999999999999E-4</v>
      </c>
      <c r="N739" s="249">
        <v>738</v>
      </c>
    </row>
    <row r="740" spans="1:14" x14ac:dyDescent="0.25">
      <c r="A740" s="252" t="s">
        <v>183</v>
      </c>
      <c r="B740" s="252" t="s">
        <v>3038</v>
      </c>
      <c r="C740" s="253">
        <v>0</v>
      </c>
      <c r="D740" s="252">
        <v>50592</v>
      </c>
      <c r="E740" s="252" t="s">
        <v>3039</v>
      </c>
      <c r="F740" s="254" t="s">
        <v>3127</v>
      </c>
      <c r="G740" s="252" t="s">
        <v>3162</v>
      </c>
      <c r="H740" s="252" t="s">
        <v>3163</v>
      </c>
      <c r="I740" s="252">
        <v>5</v>
      </c>
      <c r="J740" s="255">
        <v>1</v>
      </c>
      <c r="K740" s="255">
        <v>1</v>
      </c>
      <c r="L740" s="255"/>
      <c r="M740" s="256">
        <v>2.9399999999999999E-4</v>
      </c>
      <c r="N740" s="249">
        <v>739</v>
      </c>
    </row>
    <row r="741" spans="1:14" x14ac:dyDescent="0.25">
      <c r="A741" s="252" t="s">
        <v>183</v>
      </c>
      <c r="B741" s="252" t="s">
        <v>3038</v>
      </c>
      <c r="C741" s="253">
        <v>0</v>
      </c>
      <c r="D741" s="252">
        <v>50592</v>
      </c>
      <c r="E741" s="252" t="s">
        <v>3039</v>
      </c>
      <c r="F741" s="254" t="s">
        <v>3127</v>
      </c>
      <c r="G741" s="252" t="s">
        <v>2158</v>
      </c>
      <c r="H741" s="252" t="s">
        <v>3164</v>
      </c>
      <c r="I741" s="252">
        <v>5</v>
      </c>
      <c r="J741" s="255">
        <v>1</v>
      </c>
      <c r="K741" s="255">
        <v>1</v>
      </c>
      <c r="L741" s="255"/>
      <c r="M741" s="256">
        <v>2.9399999999999999E-4</v>
      </c>
      <c r="N741" s="249">
        <v>740</v>
      </c>
    </row>
    <row r="742" spans="1:14" x14ac:dyDescent="0.25">
      <c r="A742" s="252" t="s">
        <v>183</v>
      </c>
      <c r="B742" s="252" t="s">
        <v>3038</v>
      </c>
      <c r="C742" s="253">
        <v>0</v>
      </c>
      <c r="D742" s="252">
        <v>50592</v>
      </c>
      <c r="E742" s="252" t="s">
        <v>3039</v>
      </c>
      <c r="F742" s="254" t="s">
        <v>3127</v>
      </c>
      <c r="G742" s="252" t="s">
        <v>3165</v>
      </c>
      <c r="H742" s="252" t="s">
        <v>3166</v>
      </c>
      <c r="I742" s="252">
        <v>5</v>
      </c>
      <c r="J742" s="255">
        <v>1</v>
      </c>
      <c r="K742" s="255">
        <v>1</v>
      </c>
      <c r="L742" s="255"/>
      <c r="M742" s="256">
        <v>2.9399999999999999E-4</v>
      </c>
      <c r="N742" s="249">
        <v>741</v>
      </c>
    </row>
    <row r="743" spans="1:14" x14ac:dyDescent="0.25">
      <c r="A743" s="252" t="s">
        <v>183</v>
      </c>
      <c r="B743" s="252" t="s">
        <v>3038</v>
      </c>
      <c r="C743" s="253">
        <v>0</v>
      </c>
      <c r="D743" s="252">
        <v>50592</v>
      </c>
      <c r="E743" s="252" t="s">
        <v>3039</v>
      </c>
      <c r="F743" s="254" t="s">
        <v>3127</v>
      </c>
      <c r="G743" s="252" t="s">
        <v>1574</v>
      </c>
      <c r="H743" s="252" t="s">
        <v>3167</v>
      </c>
      <c r="I743" s="252">
        <v>5</v>
      </c>
      <c r="J743" s="255">
        <v>1</v>
      </c>
      <c r="K743" s="255">
        <v>1</v>
      </c>
      <c r="L743" s="255"/>
      <c r="M743" s="256">
        <v>2.9399999999999999E-4</v>
      </c>
      <c r="N743" s="249">
        <v>742</v>
      </c>
    </row>
    <row r="744" spans="1:14" x14ac:dyDescent="0.25">
      <c r="A744" s="252" t="s">
        <v>183</v>
      </c>
      <c r="B744" s="252" t="s">
        <v>3038</v>
      </c>
      <c r="C744" s="253">
        <v>0</v>
      </c>
      <c r="D744" s="252">
        <v>50592</v>
      </c>
      <c r="E744" s="252" t="s">
        <v>3039</v>
      </c>
      <c r="F744" s="254" t="s">
        <v>3127</v>
      </c>
      <c r="G744" s="252" t="s">
        <v>2159</v>
      </c>
      <c r="H744" s="252" t="s">
        <v>3168</v>
      </c>
      <c r="I744" s="252">
        <v>5</v>
      </c>
      <c r="J744" s="255">
        <v>1</v>
      </c>
      <c r="K744" s="255">
        <v>1</v>
      </c>
      <c r="L744" s="255"/>
      <c r="M744" s="256">
        <v>2.9399999999999999E-4</v>
      </c>
      <c r="N744" s="249">
        <v>743</v>
      </c>
    </row>
    <row r="745" spans="1:14" x14ac:dyDescent="0.25">
      <c r="A745" s="252" t="s">
        <v>183</v>
      </c>
      <c r="B745" s="252" t="s">
        <v>3038</v>
      </c>
      <c r="C745" s="253">
        <v>0</v>
      </c>
      <c r="D745" s="252">
        <v>50592</v>
      </c>
      <c r="E745" s="252" t="s">
        <v>3039</v>
      </c>
      <c r="F745" s="254" t="s">
        <v>3127</v>
      </c>
      <c r="G745" s="252" t="s">
        <v>2160</v>
      </c>
      <c r="H745" s="252" t="s">
        <v>3169</v>
      </c>
      <c r="I745" s="252">
        <v>5</v>
      </c>
      <c r="J745" s="255">
        <v>1</v>
      </c>
      <c r="K745" s="255">
        <v>1</v>
      </c>
      <c r="L745" s="255"/>
      <c r="M745" s="256">
        <v>2.9399999999999999E-4</v>
      </c>
      <c r="N745" s="249">
        <v>744</v>
      </c>
    </row>
    <row r="746" spans="1:14" x14ac:dyDescent="0.25">
      <c r="A746" s="252" t="s">
        <v>183</v>
      </c>
      <c r="B746" s="252" t="s">
        <v>3038</v>
      </c>
      <c r="C746" s="253">
        <v>0</v>
      </c>
      <c r="D746" s="252">
        <v>50592</v>
      </c>
      <c r="E746" s="252" t="s">
        <v>3039</v>
      </c>
      <c r="F746" s="254" t="s">
        <v>3127</v>
      </c>
      <c r="G746" s="252" t="s">
        <v>2161</v>
      </c>
      <c r="H746" s="252" t="s">
        <v>3170</v>
      </c>
      <c r="I746" s="252">
        <v>5</v>
      </c>
      <c r="J746" s="255">
        <v>1</v>
      </c>
      <c r="K746" s="255">
        <v>1</v>
      </c>
      <c r="L746" s="255"/>
      <c r="M746" s="256">
        <v>1.2570000000000001E-3</v>
      </c>
      <c r="N746" s="249">
        <v>745</v>
      </c>
    </row>
    <row r="747" spans="1:14" x14ac:dyDescent="0.25">
      <c r="A747" s="252" t="s">
        <v>183</v>
      </c>
      <c r="B747" s="252" t="s">
        <v>3038</v>
      </c>
      <c r="C747" s="253">
        <v>0</v>
      </c>
      <c r="D747" s="252">
        <v>50592</v>
      </c>
      <c r="E747" s="252" t="s">
        <v>3039</v>
      </c>
      <c r="F747" s="254" t="s">
        <v>3127</v>
      </c>
      <c r="G747" s="252" t="s">
        <v>3171</v>
      </c>
      <c r="H747" s="252" t="s">
        <v>3172</v>
      </c>
      <c r="I747" s="252">
        <v>5</v>
      </c>
      <c r="J747" s="255">
        <v>1</v>
      </c>
      <c r="K747" s="255">
        <v>1</v>
      </c>
      <c r="L747" s="255"/>
      <c r="M747" s="256">
        <v>3.6899999999999997E-4</v>
      </c>
      <c r="N747" s="249">
        <v>746</v>
      </c>
    </row>
    <row r="748" spans="1:14" x14ac:dyDescent="0.25">
      <c r="A748" s="252" t="s">
        <v>183</v>
      </c>
      <c r="B748" s="252" t="s">
        <v>3038</v>
      </c>
      <c r="C748" s="253">
        <v>0</v>
      </c>
      <c r="D748" s="252">
        <v>50592</v>
      </c>
      <c r="E748" s="252" t="s">
        <v>3039</v>
      </c>
      <c r="F748" s="254" t="s">
        <v>3127</v>
      </c>
      <c r="G748" s="252" t="s">
        <v>3173</v>
      </c>
      <c r="H748" s="252" t="s">
        <v>3174</v>
      </c>
      <c r="I748" s="252">
        <v>5</v>
      </c>
      <c r="J748" s="255">
        <v>1</v>
      </c>
      <c r="K748" s="255">
        <v>1</v>
      </c>
      <c r="L748" s="255"/>
      <c r="M748" s="256">
        <v>1.2570000000000001E-3</v>
      </c>
      <c r="N748" s="249">
        <v>747</v>
      </c>
    </row>
    <row r="749" spans="1:14" x14ac:dyDescent="0.25">
      <c r="A749" s="252" t="s">
        <v>183</v>
      </c>
      <c r="B749" s="252" t="s">
        <v>3038</v>
      </c>
      <c r="C749" s="253">
        <v>0</v>
      </c>
      <c r="D749" s="252">
        <v>50592</v>
      </c>
      <c r="E749" s="252" t="s">
        <v>3039</v>
      </c>
      <c r="F749" s="254" t="s">
        <v>3127</v>
      </c>
      <c r="G749" s="252" t="s">
        <v>3175</v>
      </c>
      <c r="H749" s="252" t="s">
        <v>3176</v>
      </c>
      <c r="I749" s="252">
        <v>5</v>
      </c>
      <c r="J749" s="255">
        <v>1</v>
      </c>
      <c r="K749" s="255">
        <v>1</v>
      </c>
      <c r="L749" s="255"/>
      <c r="M749" s="256">
        <v>3.6899999999999997E-4</v>
      </c>
      <c r="N749" s="249">
        <v>748</v>
      </c>
    </row>
    <row r="750" spans="1:14" x14ac:dyDescent="0.25">
      <c r="A750" s="252" t="s">
        <v>183</v>
      </c>
      <c r="B750" s="252" t="s">
        <v>3038</v>
      </c>
      <c r="C750" s="253">
        <v>0</v>
      </c>
      <c r="D750" s="252">
        <v>50592</v>
      </c>
      <c r="E750" s="252" t="s">
        <v>3059</v>
      </c>
      <c r="F750" s="254" t="s">
        <v>3127</v>
      </c>
      <c r="G750" s="252" t="s">
        <v>1576</v>
      </c>
      <c r="H750" s="252" t="s">
        <v>3177</v>
      </c>
      <c r="I750" s="252">
        <v>5</v>
      </c>
      <c r="J750" s="255">
        <v>1</v>
      </c>
      <c r="K750" s="255">
        <v>1</v>
      </c>
      <c r="L750" s="255"/>
      <c r="M750" s="256">
        <v>8.7000000000000001E-5</v>
      </c>
      <c r="N750" s="249">
        <v>749</v>
      </c>
    </row>
    <row r="751" spans="1:14" x14ac:dyDescent="0.25">
      <c r="A751" s="252" t="s">
        <v>183</v>
      </c>
      <c r="B751" s="252" t="s">
        <v>3038</v>
      </c>
      <c r="C751" s="253">
        <v>0</v>
      </c>
      <c r="D751" s="252">
        <v>50592</v>
      </c>
      <c r="E751" s="252" t="s">
        <v>3059</v>
      </c>
      <c r="F751" s="254" t="s">
        <v>3127</v>
      </c>
      <c r="G751" s="252" t="s">
        <v>1577</v>
      </c>
      <c r="H751" s="252" t="s">
        <v>3178</v>
      </c>
      <c r="I751" s="252">
        <v>5</v>
      </c>
      <c r="J751" s="255">
        <v>1</v>
      </c>
      <c r="K751" s="255">
        <v>1</v>
      </c>
      <c r="L751" s="255"/>
      <c r="M751" s="256">
        <v>8.7000000000000001E-5</v>
      </c>
      <c r="N751" s="249">
        <v>750</v>
      </c>
    </row>
    <row r="752" spans="1:14" x14ac:dyDescent="0.25">
      <c r="A752" s="252" t="s">
        <v>183</v>
      </c>
      <c r="B752" s="252" t="s">
        <v>3038</v>
      </c>
      <c r="C752" s="253">
        <v>0</v>
      </c>
      <c r="D752" s="252">
        <v>50592</v>
      </c>
      <c r="E752" s="252" t="s">
        <v>3059</v>
      </c>
      <c r="F752" s="254" t="s">
        <v>3127</v>
      </c>
      <c r="G752" s="252" t="s">
        <v>1578</v>
      </c>
      <c r="H752" s="252" t="s">
        <v>3179</v>
      </c>
      <c r="I752" s="252">
        <v>5</v>
      </c>
      <c r="J752" s="255">
        <v>1</v>
      </c>
      <c r="K752" s="255">
        <v>1</v>
      </c>
      <c r="L752" s="255"/>
      <c r="M752" s="256">
        <v>1.8059999999999997E-3</v>
      </c>
      <c r="N752" s="249">
        <v>751</v>
      </c>
    </row>
    <row r="753" spans="1:14" x14ac:dyDescent="0.25">
      <c r="A753" s="252" t="s">
        <v>183</v>
      </c>
      <c r="B753" s="252" t="s">
        <v>3038</v>
      </c>
      <c r="C753" s="253">
        <v>0</v>
      </c>
      <c r="D753" s="252">
        <v>50592</v>
      </c>
      <c r="E753" s="252" t="s">
        <v>3059</v>
      </c>
      <c r="F753" s="254" t="s">
        <v>3127</v>
      </c>
      <c r="G753" s="252" t="s">
        <v>3180</v>
      </c>
      <c r="H753" s="252" t="s">
        <v>3181</v>
      </c>
      <c r="I753" s="252">
        <v>5</v>
      </c>
      <c r="J753" s="255">
        <v>1</v>
      </c>
      <c r="K753" s="255">
        <v>1</v>
      </c>
      <c r="L753" s="255"/>
      <c r="M753" s="256">
        <v>1.8299999999999998E-4</v>
      </c>
      <c r="N753" s="249">
        <v>752</v>
      </c>
    </row>
    <row r="754" spans="1:14" x14ac:dyDescent="0.25">
      <c r="A754" s="252" t="s">
        <v>183</v>
      </c>
      <c r="B754" s="252" t="s">
        <v>3038</v>
      </c>
      <c r="C754" s="253">
        <v>0</v>
      </c>
      <c r="D754" s="252">
        <v>50592</v>
      </c>
      <c r="E754" s="252" t="s">
        <v>3059</v>
      </c>
      <c r="F754" s="254" t="s">
        <v>3127</v>
      </c>
      <c r="G754" s="252" t="s">
        <v>3182</v>
      </c>
      <c r="H754" s="252" t="s">
        <v>3183</v>
      </c>
      <c r="I754" s="252">
        <v>5</v>
      </c>
      <c r="J754" s="255">
        <v>1</v>
      </c>
      <c r="K754" s="255">
        <v>1</v>
      </c>
      <c r="L754" s="255"/>
      <c r="M754" s="256">
        <v>1.8299999999999998E-4</v>
      </c>
      <c r="N754" s="249">
        <v>753</v>
      </c>
    </row>
    <row r="755" spans="1:14" x14ac:dyDescent="0.25">
      <c r="A755" s="252" t="s">
        <v>183</v>
      </c>
      <c r="B755" s="252" t="s">
        <v>3038</v>
      </c>
      <c r="C755" s="253">
        <v>0</v>
      </c>
      <c r="D755" s="252">
        <v>50592</v>
      </c>
      <c r="E755" s="252" t="s">
        <v>3059</v>
      </c>
      <c r="F755" s="254" t="s">
        <v>3127</v>
      </c>
      <c r="G755" s="252" t="s">
        <v>3184</v>
      </c>
      <c r="H755" s="252" t="s">
        <v>3185</v>
      </c>
      <c r="I755" s="252">
        <v>5</v>
      </c>
      <c r="J755" s="255">
        <v>1</v>
      </c>
      <c r="K755" s="255">
        <v>1</v>
      </c>
      <c r="L755" s="255"/>
      <c r="M755" s="256">
        <v>8.7000000000000001E-5</v>
      </c>
      <c r="N755" s="249">
        <v>754</v>
      </c>
    </row>
    <row r="756" spans="1:14" x14ac:dyDescent="0.25">
      <c r="A756" s="252" t="s">
        <v>183</v>
      </c>
      <c r="B756" s="252" t="s">
        <v>3038</v>
      </c>
      <c r="C756" s="253">
        <v>0</v>
      </c>
      <c r="D756" s="252">
        <v>50592</v>
      </c>
      <c r="E756" s="252" t="s">
        <v>3059</v>
      </c>
      <c r="F756" s="254" t="s">
        <v>3127</v>
      </c>
      <c r="G756" s="252" t="s">
        <v>3186</v>
      </c>
      <c r="H756" s="252" t="s">
        <v>3187</v>
      </c>
      <c r="I756" s="252">
        <v>5</v>
      </c>
      <c r="J756" s="255">
        <v>1</v>
      </c>
      <c r="K756" s="255">
        <v>1</v>
      </c>
      <c r="L756" s="255"/>
      <c r="M756" s="256">
        <v>1.7759999999999998E-3</v>
      </c>
      <c r="N756" s="249">
        <v>755</v>
      </c>
    </row>
    <row r="757" spans="1:14" x14ac:dyDescent="0.25">
      <c r="A757" s="252" t="s">
        <v>183</v>
      </c>
      <c r="B757" s="252" t="s">
        <v>3038</v>
      </c>
      <c r="C757" s="253">
        <v>0</v>
      </c>
      <c r="D757" s="252">
        <v>50592</v>
      </c>
      <c r="E757" s="252" t="s">
        <v>3059</v>
      </c>
      <c r="F757" s="254" t="s">
        <v>3127</v>
      </c>
      <c r="G757" s="252" t="s">
        <v>3188</v>
      </c>
      <c r="H757" s="252" t="s">
        <v>3189</v>
      </c>
      <c r="I757" s="252">
        <v>5</v>
      </c>
      <c r="J757" s="255">
        <v>1</v>
      </c>
      <c r="K757" s="255">
        <v>1</v>
      </c>
      <c r="L757" s="255"/>
      <c r="M757" s="256">
        <v>8.7000000000000001E-5</v>
      </c>
      <c r="N757" s="249">
        <v>756</v>
      </c>
    </row>
    <row r="758" spans="1:14" x14ac:dyDescent="0.25">
      <c r="A758" s="252" t="s">
        <v>183</v>
      </c>
      <c r="B758" s="252" t="s">
        <v>3038</v>
      </c>
      <c r="C758" s="253">
        <v>0</v>
      </c>
      <c r="D758" s="252">
        <v>50592</v>
      </c>
      <c r="E758" s="252" t="s">
        <v>3059</v>
      </c>
      <c r="F758" s="254" t="s">
        <v>3127</v>
      </c>
      <c r="G758" s="252" t="s">
        <v>3190</v>
      </c>
      <c r="H758" s="252" t="s">
        <v>3191</v>
      </c>
      <c r="I758" s="252">
        <v>5</v>
      </c>
      <c r="J758" s="255">
        <v>1</v>
      </c>
      <c r="K758" s="255">
        <v>1</v>
      </c>
      <c r="L758" s="255"/>
      <c r="M758" s="256">
        <v>1.7759999999999998E-3</v>
      </c>
      <c r="N758" s="249">
        <v>757</v>
      </c>
    </row>
    <row r="759" spans="1:14" x14ac:dyDescent="0.25">
      <c r="A759" s="252" t="s">
        <v>183</v>
      </c>
      <c r="B759" s="252" t="s">
        <v>3038</v>
      </c>
      <c r="C759" s="253">
        <v>0</v>
      </c>
      <c r="D759" s="252">
        <v>50592</v>
      </c>
      <c r="E759" s="252" t="s">
        <v>3059</v>
      </c>
      <c r="F759" s="254" t="s">
        <v>3127</v>
      </c>
      <c r="G759" s="252" t="s">
        <v>3192</v>
      </c>
      <c r="H759" s="252" t="s">
        <v>3193</v>
      </c>
      <c r="I759" s="252">
        <v>5</v>
      </c>
      <c r="J759" s="255">
        <v>1</v>
      </c>
      <c r="K759" s="255">
        <v>1</v>
      </c>
      <c r="L759" s="255"/>
      <c r="M759" s="256">
        <v>1.2149999999999999E-3</v>
      </c>
      <c r="N759" s="249">
        <v>758</v>
      </c>
    </row>
    <row r="760" spans="1:14" x14ac:dyDescent="0.25">
      <c r="A760" s="252" t="s">
        <v>183</v>
      </c>
      <c r="B760" s="252" t="s">
        <v>3038</v>
      </c>
      <c r="C760" s="253">
        <v>0</v>
      </c>
      <c r="D760" s="252">
        <v>50592</v>
      </c>
      <c r="E760" s="252" t="s">
        <v>3059</v>
      </c>
      <c r="F760" s="254" t="s">
        <v>3127</v>
      </c>
      <c r="G760" s="252" t="s">
        <v>3194</v>
      </c>
      <c r="H760" s="252" t="s">
        <v>3195</v>
      </c>
      <c r="I760" s="252">
        <v>5</v>
      </c>
      <c r="J760" s="255">
        <v>1</v>
      </c>
      <c r="K760" s="255">
        <v>1</v>
      </c>
      <c r="L760" s="255"/>
      <c r="M760" s="256">
        <v>1.2149999999999999E-3</v>
      </c>
      <c r="N760" s="249">
        <v>759</v>
      </c>
    </row>
    <row r="761" spans="1:14" x14ac:dyDescent="0.25">
      <c r="A761" s="252" t="s">
        <v>183</v>
      </c>
      <c r="B761" s="252" t="s">
        <v>3038</v>
      </c>
      <c r="C761" s="253">
        <v>0</v>
      </c>
      <c r="D761" s="252">
        <v>50592</v>
      </c>
      <c r="E761" s="252" t="s">
        <v>3059</v>
      </c>
      <c r="F761" s="254" t="s">
        <v>3127</v>
      </c>
      <c r="G761" s="252" t="s">
        <v>3196</v>
      </c>
      <c r="H761" s="252" t="s">
        <v>3197</v>
      </c>
      <c r="I761" s="252">
        <v>5</v>
      </c>
      <c r="J761" s="255">
        <v>1</v>
      </c>
      <c r="K761" s="255">
        <v>1</v>
      </c>
      <c r="L761" s="255"/>
      <c r="M761" s="256">
        <v>4.4999999999999999E-4</v>
      </c>
      <c r="N761" s="249">
        <v>760</v>
      </c>
    </row>
    <row r="762" spans="1:14" x14ac:dyDescent="0.25">
      <c r="A762" s="252" t="s">
        <v>183</v>
      </c>
      <c r="B762" s="252" t="s">
        <v>3038</v>
      </c>
      <c r="C762" s="253">
        <v>0</v>
      </c>
      <c r="D762" s="252">
        <v>50592</v>
      </c>
      <c r="E762" s="252" t="s">
        <v>3059</v>
      </c>
      <c r="F762" s="254" t="s">
        <v>3127</v>
      </c>
      <c r="G762" s="252" t="s">
        <v>3198</v>
      </c>
      <c r="H762" s="252" t="s">
        <v>3199</v>
      </c>
      <c r="I762" s="252">
        <v>5</v>
      </c>
      <c r="J762" s="255">
        <v>1</v>
      </c>
      <c r="K762" s="255">
        <v>1</v>
      </c>
      <c r="L762" s="255"/>
      <c r="M762" s="256">
        <v>4.4999999999999999E-4</v>
      </c>
      <c r="N762" s="249">
        <v>761</v>
      </c>
    </row>
    <row r="763" spans="1:14" x14ac:dyDescent="0.25">
      <c r="A763" s="252" t="s">
        <v>183</v>
      </c>
      <c r="B763" s="252" t="s">
        <v>3038</v>
      </c>
      <c r="C763" s="253">
        <v>0</v>
      </c>
      <c r="D763" s="252">
        <v>50592</v>
      </c>
      <c r="E763" s="252" t="s">
        <v>3059</v>
      </c>
      <c r="F763" s="254" t="s">
        <v>3127</v>
      </c>
      <c r="G763" s="252" t="s">
        <v>3200</v>
      </c>
      <c r="H763" s="252" t="s">
        <v>3201</v>
      </c>
      <c r="I763" s="252">
        <v>5</v>
      </c>
      <c r="J763" s="255">
        <v>1</v>
      </c>
      <c r="K763" s="255">
        <v>1</v>
      </c>
      <c r="L763" s="255"/>
      <c r="M763" s="256">
        <v>3.3180000000000002E-3</v>
      </c>
      <c r="N763" s="249">
        <v>762</v>
      </c>
    </row>
    <row r="764" spans="1:14" x14ac:dyDescent="0.25">
      <c r="A764" s="252" t="s">
        <v>183</v>
      </c>
      <c r="B764" s="252" t="s">
        <v>3038</v>
      </c>
      <c r="C764" s="253">
        <v>0</v>
      </c>
      <c r="D764" s="252">
        <v>50592</v>
      </c>
      <c r="E764" s="252" t="s">
        <v>3059</v>
      </c>
      <c r="F764" s="254" t="s">
        <v>3127</v>
      </c>
      <c r="G764" s="252" t="s">
        <v>3202</v>
      </c>
      <c r="H764" s="252" t="s">
        <v>3203</v>
      </c>
      <c r="I764" s="252">
        <v>5</v>
      </c>
      <c r="J764" s="255">
        <v>1</v>
      </c>
      <c r="K764" s="255">
        <v>1</v>
      </c>
      <c r="L764" s="255"/>
      <c r="M764" s="256">
        <v>2.4899999999999998E-4</v>
      </c>
      <c r="N764" s="249">
        <v>763</v>
      </c>
    </row>
    <row r="765" spans="1:14" x14ac:dyDescent="0.25">
      <c r="A765" s="252" t="s">
        <v>183</v>
      </c>
      <c r="B765" s="252" t="s">
        <v>3038</v>
      </c>
      <c r="C765" s="253">
        <v>0</v>
      </c>
      <c r="D765" s="252">
        <v>50592</v>
      </c>
      <c r="E765" s="252" t="s">
        <v>3059</v>
      </c>
      <c r="F765" s="254" t="s">
        <v>3127</v>
      </c>
      <c r="G765" s="252" t="s">
        <v>3204</v>
      </c>
      <c r="H765" s="252" t="s">
        <v>3205</v>
      </c>
      <c r="I765" s="252">
        <v>5</v>
      </c>
      <c r="J765" s="255">
        <v>1</v>
      </c>
      <c r="K765" s="255">
        <v>1</v>
      </c>
      <c r="L765" s="255"/>
      <c r="M765" s="256">
        <v>1.3889999999999998E-3</v>
      </c>
      <c r="N765" s="249">
        <v>764</v>
      </c>
    </row>
    <row r="766" spans="1:14" x14ac:dyDescent="0.25">
      <c r="A766" s="252" t="s">
        <v>183</v>
      </c>
      <c r="B766" s="252" t="s">
        <v>3038</v>
      </c>
      <c r="C766" s="253">
        <v>0</v>
      </c>
      <c r="D766" s="252">
        <v>50592</v>
      </c>
      <c r="E766" s="252" t="s">
        <v>3059</v>
      </c>
      <c r="F766" s="254" t="s">
        <v>3127</v>
      </c>
      <c r="G766" s="252" t="s">
        <v>3206</v>
      </c>
      <c r="H766" s="252" t="s">
        <v>3207</v>
      </c>
      <c r="I766" s="252">
        <v>5</v>
      </c>
      <c r="J766" s="255">
        <v>1</v>
      </c>
      <c r="K766" s="255">
        <v>1</v>
      </c>
      <c r="L766" s="255"/>
      <c r="M766" s="256">
        <v>2.4899999999999998E-4</v>
      </c>
      <c r="N766" s="249">
        <v>765</v>
      </c>
    </row>
    <row r="767" spans="1:14" x14ac:dyDescent="0.25">
      <c r="A767" s="252" t="s">
        <v>183</v>
      </c>
      <c r="B767" s="252" t="s">
        <v>3038</v>
      </c>
      <c r="C767" s="253">
        <v>0</v>
      </c>
      <c r="D767" s="252">
        <v>50592</v>
      </c>
      <c r="E767" s="252" t="s">
        <v>3059</v>
      </c>
      <c r="F767" s="254" t="s">
        <v>3127</v>
      </c>
      <c r="G767" s="252" t="s">
        <v>3208</v>
      </c>
      <c r="H767" s="252" t="s">
        <v>3209</v>
      </c>
      <c r="I767" s="252">
        <v>5</v>
      </c>
      <c r="J767" s="255">
        <v>1</v>
      </c>
      <c r="K767" s="255">
        <v>1</v>
      </c>
      <c r="L767" s="255"/>
      <c r="M767" s="256">
        <v>1.3889999999999998E-3</v>
      </c>
      <c r="N767" s="249">
        <v>766</v>
      </c>
    </row>
    <row r="768" spans="1:14" x14ac:dyDescent="0.25">
      <c r="A768" s="252" t="s">
        <v>183</v>
      </c>
      <c r="B768" s="252" t="s">
        <v>3038</v>
      </c>
      <c r="C768" s="253">
        <v>0</v>
      </c>
      <c r="D768" s="252">
        <v>50592</v>
      </c>
      <c r="E768" s="252" t="s">
        <v>3059</v>
      </c>
      <c r="F768" s="254" t="s">
        <v>3127</v>
      </c>
      <c r="G768" s="252" t="s">
        <v>1579</v>
      </c>
      <c r="H768" s="252" t="s">
        <v>3210</v>
      </c>
      <c r="I768" s="252">
        <v>5</v>
      </c>
      <c r="J768" s="255">
        <v>1</v>
      </c>
      <c r="K768" s="255">
        <v>1</v>
      </c>
      <c r="L768" s="255"/>
      <c r="M768" s="256">
        <v>8.7000000000000001E-5</v>
      </c>
      <c r="N768" s="249">
        <v>767</v>
      </c>
    </row>
    <row r="769" spans="1:14" x14ac:dyDescent="0.25">
      <c r="A769" s="252" t="s">
        <v>183</v>
      </c>
      <c r="B769" s="252" t="s">
        <v>3038</v>
      </c>
      <c r="C769" s="253">
        <v>0</v>
      </c>
      <c r="D769" s="252">
        <v>50592</v>
      </c>
      <c r="E769" s="252" t="s">
        <v>3059</v>
      </c>
      <c r="F769" s="254" t="s">
        <v>3127</v>
      </c>
      <c r="G769" s="252" t="s">
        <v>1580</v>
      </c>
      <c r="H769" s="252" t="s">
        <v>3211</v>
      </c>
      <c r="I769" s="252">
        <v>5</v>
      </c>
      <c r="J769" s="255">
        <v>1</v>
      </c>
      <c r="K769" s="255">
        <v>1</v>
      </c>
      <c r="L769" s="255"/>
      <c r="M769" s="256">
        <v>8.7000000000000001E-5</v>
      </c>
      <c r="N769" s="249">
        <v>768</v>
      </c>
    </row>
    <row r="770" spans="1:14" x14ac:dyDescent="0.25">
      <c r="A770" s="252" t="s">
        <v>183</v>
      </c>
      <c r="B770" s="252" t="s">
        <v>3038</v>
      </c>
      <c r="C770" s="253">
        <v>0</v>
      </c>
      <c r="D770" s="252">
        <v>50592</v>
      </c>
      <c r="E770" s="252" t="s">
        <v>3059</v>
      </c>
      <c r="F770" s="254" t="s">
        <v>3127</v>
      </c>
      <c r="G770" s="252" t="s">
        <v>2163</v>
      </c>
      <c r="H770" s="252" t="s">
        <v>3212</v>
      </c>
      <c r="I770" s="252">
        <v>5</v>
      </c>
      <c r="J770" s="255">
        <v>1</v>
      </c>
      <c r="K770" s="255">
        <v>1</v>
      </c>
      <c r="L770" s="255"/>
      <c r="M770" s="256">
        <v>8.7000000000000001E-5</v>
      </c>
      <c r="N770" s="249">
        <v>769</v>
      </c>
    </row>
    <row r="771" spans="1:14" x14ac:dyDescent="0.25">
      <c r="A771" s="252" t="s">
        <v>183</v>
      </c>
      <c r="B771" s="252" t="s">
        <v>3038</v>
      </c>
      <c r="C771" s="253">
        <v>0</v>
      </c>
      <c r="D771" s="252">
        <v>50592</v>
      </c>
      <c r="E771" s="252" t="s">
        <v>3059</v>
      </c>
      <c r="F771" s="254" t="s">
        <v>3127</v>
      </c>
      <c r="G771" s="252" t="s">
        <v>2165</v>
      </c>
      <c r="H771" s="252" t="s">
        <v>3213</v>
      </c>
      <c r="I771" s="252">
        <v>5</v>
      </c>
      <c r="J771" s="255">
        <v>1</v>
      </c>
      <c r="K771" s="255">
        <v>1</v>
      </c>
      <c r="L771" s="255"/>
      <c r="M771" s="256">
        <v>6.5519999999999997E-3</v>
      </c>
      <c r="N771" s="249">
        <v>770</v>
      </c>
    </row>
    <row r="772" spans="1:14" x14ac:dyDescent="0.25">
      <c r="A772" s="252" t="s">
        <v>183</v>
      </c>
      <c r="B772" s="252" t="s">
        <v>3038</v>
      </c>
      <c r="C772" s="253">
        <v>0</v>
      </c>
      <c r="D772" s="252">
        <v>50592</v>
      </c>
      <c r="E772" s="252" t="s">
        <v>3059</v>
      </c>
      <c r="F772" s="254" t="s">
        <v>3127</v>
      </c>
      <c r="G772" s="252" t="s">
        <v>2167</v>
      </c>
      <c r="H772" s="252" t="s">
        <v>3214</v>
      </c>
      <c r="I772" s="252">
        <v>5</v>
      </c>
      <c r="J772" s="255">
        <v>1</v>
      </c>
      <c r="K772" s="255">
        <v>1</v>
      </c>
      <c r="L772" s="255"/>
      <c r="M772" s="256">
        <v>1.7759999999999998E-3</v>
      </c>
      <c r="N772" s="249">
        <v>771</v>
      </c>
    </row>
    <row r="773" spans="1:14" x14ac:dyDescent="0.25">
      <c r="A773" s="252" t="s">
        <v>183</v>
      </c>
      <c r="B773" s="252" t="s">
        <v>3038</v>
      </c>
      <c r="C773" s="253">
        <v>0</v>
      </c>
      <c r="D773" s="252">
        <v>50592</v>
      </c>
      <c r="E773" s="252" t="s">
        <v>3059</v>
      </c>
      <c r="F773" s="254" t="s">
        <v>3127</v>
      </c>
      <c r="G773" s="252" t="s">
        <v>2169</v>
      </c>
      <c r="H773" s="252" t="s">
        <v>3215</v>
      </c>
      <c r="I773" s="252">
        <v>5</v>
      </c>
      <c r="J773" s="255">
        <v>1</v>
      </c>
      <c r="K773" s="255">
        <v>1</v>
      </c>
      <c r="L773" s="255"/>
      <c r="M773" s="256">
        <v>1.2149999999999999E-3</v>
      </c>
      <c r="N773" s="249">
        <v>772</v>
      </c>
    </row>
    <row r="774" spans="1:14" x14ac:dyDescent="0.25">
      <c r="A774" s="252" t="s">
        <v>183</v>
      </c>
      <c r="B774" s="252" t="s">
        <v>3038</v>
      </c>
      <c r="C774" s="253">
        <v>0</v>
      </c>
      <c r="D774" s="252">
        <v>50592</v>
      </c>
      <c r="E774" s="252" t="s">
        <v>3059</v>
      </c>
      <c r="F774" s="254" t="s">
        <v>3127</v>
      </c>
      <c r="G774" s="252" t="s">
        <v>2171</v>
      </c>
      <c r="H774" s="252" t="s">
        <v>3216</v>
      </c>
      <c r="I774" s="252">
        <v>5</v>
      </c>
      <c r="J774" s="255">
        <v>1</v>
      </c>
      <c r="K774" s="255">
        <v>1</v>
      </c>
      <c r="L774" s="255"/>
      <c r="M774" s="256">
        <v>4.4999999999999999E-4</v>
      </c>
      <c r="N774" s="249">
        <v>773</v>
      </c>
    </row>
    <row r="775" spans="1:14" x14ac:dyDescent="0.25">
      <c r="A775" s="252" t="s">
        <v>183</v>
      </c>
      <c r="B775" s="252" t="s">
        <v>3038</v>
      </c>
      <c r="C775" s="253">
        <v>0</v>
      </c>
      <c r="D775" s="252">
        <v>50592</v>
      </c>
      <c r="E775" s="252" t="s">
        <v>3059</v>
      </c>
      <c r="F775" s="254" t="s">
        <v>3127</v>
      </c>
      <c r="G775" s="252" t="s">
        <v>2172</v>
      </c>
      <c r="H775" s="252" t="s">
        <v>3217</v>
      </c>
      <c r="I775" s="252">
        <v>5</v>
      </c>
      <c r="J775" s="255">
        <v>1</v>
      </c>
      <c r="K775" s="255">
        <v>1</v>
      </c>
      <c r="L775" s="255"/>
      <c r="M775" s="256">
        <v>2.4899999999999998E-4</v>
      </c>
      <c r="N775" s="249">
        <v>774</v>
      </c>
    </row>
    <row r="776" spans="1:14" x14ac:dyDescent="0.25">
      <c r="A776" s="252" t="s">
        <v>183</v>
      </c>
      <c r="B776" s="252" t="s">
        <v>3038</v>
      </c>
      <c r="C776" s="253">
        <v>0</v>
      </c>
      <c r="D776" s="252">
        <v>50592</v>
      </c>
      <c r="E776" s="252" t="s">
        <v>3059</v>
      </c>
      <c r="F776" s="254" t="s">
        <v>3127</v>
      </c>
      <c r="G776" s="252" t="s">
        <v>3218</v>
      </c>
      <c r="H776" s="252" t="s">
        <v>3219</v>
      </c>
      <c r="I776" s="252">
        <v>5</v>
      </c>
      <c r="J776" s="255">
        <v>1</v>
      </c>
      <c r="K776" s="255">
        <v>1</v>
      </c>
      <c r="L776" s="255"/>
      <c r="M776" s="256">
        <v>1.7759999999999998E-3</v>
      </c>
      <c r="N776" s="249">
        <v>775</v>
      </c>
    </row>
    <row r="777" spans="1:14" x14ac:dyDescent="0.25">
      <c r="A777" s="252" t="s">
        <v>183</v>
      </c>
      <c r="B777" s="252" t="s">
        <v>3038</v>
      </c>
      <c r="C777" s="253">
        <v>0</v>
      </c>
      <c r="D777" s="252">
        <v>50592</v>
      </c>
      <c r="E777" s="252" t="s">
        <v>3059</v>
      </c>
      <c r="F777" s="254" t="s">
        <v>3127</v>
      </c>
      <c r="G777" s="252" t="s">
        <v>3220</v>
      </c>
      <c r="H777" s="252" t="s">
        <v>3221</v>
      </c>
      <c r="I777" s="252">
        <v>5</v>
      </c>
      <c r="J777" s="255">
        <v>1</v>
      </c>
      <c r="K777" s="255">
        <v>1</v>
      </c>
      <c r="L777" s="255"/>
      <c r="M777" s="256">
        <v>1.7759999999999998E-3</v>
      </c>
      <c r="N777" s="249">
        <v>776</v>
      </c>
    </row>
    <row r="778" spans="1:14" x14ac:dyDescent="0.25">
      <c r="A778" s="252" t="s">
        <v>183</v>
      </c>
      <c r="B778" s="252" t="s">
        <v>3038</v>
      </c>
      <c r="C778" s="253">
        <v>0</v>
      </c>
      <c r="D778" s="252">
        <v>50592</v>
      </c>
      <c r="E778" s="252" t="s">
        <v>3059</v>
      </c>
      <c r="F778" s="254" t="s">
        <v>3127</v>
      </c>
      <c r="G778" s="252" t="s">
        <v>3222</v>
      </c>
      <c r="H778" s="252" t="s">
        <v>3223</v>
      </c>
      <c r="I778" s="252">
        <v>5</v>
      </c>
      <c r="J778" s="255">
        <v>1</v>
      </c>
      <c r="K778" s="255">
        <v>1</v>
      </c>
      <c r="L778" s="255"/>
      <c r="M778" s="256">
        <v>1.7759999999999998E-3</v>
      </c>
      <c r="N778" s="249">
        <v>777</v>
      </c>
    </row>
    <row r="779" spans="1:14" x14ac:dyDescent="0.25">
      <c r="A779" s="252" t="s">
        <v>183</v>
      </c>
      <c r="B779" s="252" t="s">
        <v>3038</v>
      </c>
      <c r="C779" s="253">
        <v>0</v>
      </c>
      <c r="D779" s="252">
        <v>50592</v>
      </c>
      <c r="E779" s="252" t="s">
        <v>3059</v>
      </c>
      <c r="F779" s="254" t="s">
        <v>3127</v>
      </c>
      <c r="G779" s="252" t="s">
        <v>3224</v>
      </c>
      <c r="H779" s="252" t="s">
        <v>3225</v>
      </c>
      <c r="I779" s="252">
        <v>5</v>
      </c>
      <c r="J779" s="255">
        <v>1</v>
      </c>
      <c r="K779" s="255">
        <v>1</v>
      </c>
      <c r="L779" s="255"/>
      <c r="M779" s="256">
        <v>1.2149999999999999E-3</v>
      </c>
      <c r="N779" s="249">
        <v>778</v>
      </c>
    </row>
    <row r="780" spans="1:14" x14ac:dyDescent="0.25">
      <c r="A780" s="252" t="s">
        <v>183</v>
      </c>
      <c r="B780" s="252" t="s">
        <v>3038</v>
      </c>
      <c r="C780" s="253">
        <v>0</v>
      </c>
      <c r="D780" s="252">
        <v>50592</v>
      </c>
      <c r="E780" s="252" t="s">
        <v>3059</v>
      </c>
      <c r="F780" s="254" t="s">
        <v>3127</v>
      </c>
      <c r="G780" s="252" t="s">
        <v>3226</v>
      </c>
      <c r="H780" s="252" t="s">
        <v>3227</v>
      </c>
      <c r="I780" s="252">
        <v>5</v>
      </c>
      <c r="J780" s="255">
        <v>1</v>
      </c>
      <c r="K780" s="255">
        <v>1</v>
      </c>
      <c r="L780" s="255"/>
      <c r="M780" s="256">
        <v>4.4999999999999999E-4</v>
      </c>
      <c r="N780" s="249">
        <v>779</v>
      </c>
    </row>
    <row r="781" spans="1:14" x14ac:dyDescent="0.25">
      <c r="A781" s="252" t="s">
        <v>183</v>
      </c>
      <c r="B781" s="252" t="s">
        <v>3038</v>
      </c>
      <c r="C781" s="253">
        <v>0</v>
      </c>
      <c r="D781" s="252">
        <v>50592</v>
      </c>
      <c r="E781" s="252" t="s">
        <v>3059</v>
      </c>
      <c r="F781" s="254" t="s">
        <v>3127</v>
      </c>
      <c r="G781" s="252" t="s">
        <v>3228</v>
      </c>
      <c r="H781" s="252" t="s">
        <v>3229</v>
      </c>
      <c r="I781" s="252">
        <v>5</v>
      </c>
      <c r="J781" s="255">
        <v>1</v>
      </c>
      <c r="K781" s="255">
        <v>1</v>
      </c>
      <c r="L781" s="255"/>
      <c r="M781" s="256">
        <v>2.4899999999999998E-4</v>
      </c>
      <c r="N781" s="249">
        <v>780</v>
      </c>
    </row>
    <row r="782" spans="1:14" x14ac:dyDescent="0.25">
      <c r="A782" s="252" t="s">
        <v>183</v>
      </c>
      <c r="B782" s="252" t="s">
        <v>3038</v>
      </c>
      <c r="C782" s="253">
        <v>0</v>
      </c>
      <c r="D782" s="252">
        <v>50592</v>
      </c>
      <c r="E782" s="252" t="s">
        <v>3059</v>
      </c>
      <c r="F782" s="254" t="s">
        <v>3127</v>
      </c>
      <c r="G782" s="252" t="s">
        <v>3230</v>
      </c>
      <c r="H782" s="252" t="s">
        <v>3231</v>
      </c>
      <c r="I782" s="252">
        <v>5</v>
      </c>
      <c r="J782" s="255">
        <v>1</v>
      </c>
      <c r="K782" s="255">
        <v>1</v>
      </c>
      <c r="L782" s="255"/>
      <c r="M782" s="256">
        <v>1.0859999999999999E-3</v>
      </c>
      <c r="N782" s="249">
        <v>781</v>
      </c>
    </row>
    <row r="783" spans="1:14" x14ac:dyDescent="0.25">
      <c r="A783" s="252" t="s">
        <v>183</v>
      </c>
      <c r="B783" s="252" t="s">
        <v>3038</v>
      </c>
      <c r="C783" s="253">
        <v>0</v>
      </c>
      <c r="D783" s="252">
        <v>50592</v>
      </c>
      <c r="E783" s="252" t="s">
        <v>3059</v>
      </c>
      <c r="F783" s="254" t="s">
        <v>3127</v>
      </c>
      <c r="G783" s="252" t="s">
        <v>3232</v>
      </c>
      <c r="H783" s="252" t="s">
        <v>3233</v>
      </c>
      <c r="I783" s="252">
        <v>5</v>
      </c>
      <c r="J783" s="255">
        <v>1</v>
      </c>
      <c r="K783" s="255">
        <v>1</v>
      </c>
      <c r="L783" s="255"/>
      <c r="M783" s="256">
        <v>1.0859999999999999E-3</v>
      </c>
      <c r="N783" s="249">
        <v>782</v>
      </c>
    </row>
    <row r="784" spans="1:14" x14ac:dyDescent="0.25">
      <c r="A784" s="252" t="s">
        <v>183</v>
      </c>
      <c r="B784" s="252" t="s">
        <v>3038</v>
      </c>
      <c r="C784" s="253">
        <v>0</v>
      </c>
      <c r="D784" s="252">
        <v>50592</v>
      </c>
      <c r="E784" s="252" t="s">
        <v>3059</v>
      </c>
      <c r="F784" s="254" t="s">
        <v>3127</v>
      </c>
      <c r="G784" s="252" t="s">
        <v>3234</v>
      </c>
      <c r="H784" s="252" t="s">
        <v>3235</v>
      </c>
      <c r="I784" s="252">
        <v>5</v>
      </c>
      <c r="J784" s="255">
        <v>1</v>
      </c>
      <c r="K784" s="255">
        <v>1</v>
      </c>
      <c r="L784" s="255"/>
      <c r="M784" s="256">
        <v>1.0859999999999999E-3</v>
      </c>
      <c r="N784" s="249">
        <v>783</v>
      </c>
    </row>
    <row r="785" spans="1:14" x14ac:dyDescent="0.25">
      <c r="A785" s="252" t="s">
        <v>183</v>
      </c>
      <c r="B785" s="252" t="s">
        <v>3038</v>
      </c>
      <c r="C785" s="253">
        <v>0</v>
      </c>
      <c r="D785" s="252">
        <v>50592</v>
      </c>
      <c r="E785" s="252" t="s">
        <v>3059</v>
      </c>
      <c r="F785" s="254" t="s">
        <v>3127</v>
      </c>
      <c r="G785" s="252" t="s">
        <v>3236</v>
      </c>
      <c r="H785" s="252" t="s">
        <v>3237</v>
      </c>
      <c r="I785" s="252">
        <v>5</v>
      </c>
      <c r="J785" s="255">
        <v>1</v>
      </c>
      <c r="K785" s="255">
        <v>1</v>
      </c>
      <c r="L785" s="255"/>
      <c r="M785" s="256">
        <v>1.0859999999999999E-3</v>
      </c>
      <c r="N785" s="249">
        <v>784</v>
      </c>
    </row>
    <row r="786" spans="1:14" x14ac:dyDescent="0.25">
      <c r="A786" s="252" t="s">
        <v>183</v>
      </c>
      <c r="B786" s="252" t="s">
        <v>3038</v>
      </c>
      <c r="C786" s="253">
        <v>0</v>
      </c>
      <c r="D786" s="252">
        <v>50592</v>
      </c>
      <c r="E786" s="252" t="s">
        <v>3059</v>
      </c>
      <c r="F786" s="254" t="s">
        <v>3127</v>
      </c>
      <c r="G786" s="252" t="s">
        <v>3238</v>
      </c>
      <c r="H786" s="252" t="s">
        <v>3239</v>
      </c>
      <c r="I786" s="252">
        <v>5</v>
      </c>
      <c r="J786" s="255">
        <v>1</v>
      </c>
      <c r="K786" s="255">
        <v>1</v>
      </c>
      <c r="L786" s="255"/>
      <c r="M786" s="256">
        <v>1.0859999999999999E-3</v>
      </c>
      <c r="N786" s="249">
        <v>785</v>
      </c>
    </row>
    <row r="787" spans="1:14" x14ac:dyDescent="0.25">
      <c r="A787" s="252" t="s">
        <v>183</v>
      </c>
      <c r="B787" s="252" t="s">
        <v>3038</v>
      </c>
      <c r="C787" s="253">
        <v>0</v>
      </c>
      <c r="D787" s="252">
        <v>50592</v>
      </c>
      <c r="E787" s="252" t="s">
        <v>3059</v>
      </c>
      <c r="F787" s="254" t="s">
        <v>3127</v>
      </c>
      <c r="G787" s="252" t="s">
        <v>3240</v>
      </c>
      <c r="H787" s="252" t="s">
        <v>3241</v>
      </c>
      <c r="I787" s="252">
        <v>5</v>
      </c>
      <c r="J787" s="255">
        <v>1</v>
      </c>
      <c r="K787" s="255">
        <v>1</v>
      </c>
      <c r="L787" s="255"/>
      <c r="M787" s="256">
        <v>1.0859999999999999E-3</v>
      </c>
      <c r="N787" s="249">
        <v>786</v>
      </c>
    </row>
    <row r="788" spans="1:14" x14ac:dyDescent="0.25">
      <c r="A788" s="252" t="s">
        <v>183</v>
      </c>
      <c r="B788" s="252" t="s">
        <v>3038</v>
      </c>
      <c r="C788" s="253">
        <v>0</v>
      </c>
      <c r="D788" s="252">
        <v>50592</v>
      </c>
      <c r="E788" s="252" t="s">
        <v>3059</v>
      </c>
      <c r="F788" s="254" t="s">
        <v>3127</v>
      </c>
      <c r="G788" s="252" t="s">
        <v>3242</v>
      </c>
      <c r="H788" s="252" t="s">
        <v>3243</v>
      </c>
      <c r="I788" s="252">
        <v>5</v>
      </c>
      <c r="J788" s="255">
        <v>1</v>
      </c>
      <c r="K788" s="255">
        <v>1</v>
      </c>
      <c r="L788" s="255"/>
      <c r="M788" s="256">
        <v>8.7000000000000001E-5</v>
      </c>
      <c r="N788" s="249">
        <v>787</v>
      </c>
    </row>
    <row r="789" spans="1:14" x14ac:dyDescent="0.25">
      <c r="A789" s="252" t="s">
        <v>183</v>
      </c>
      <c r="B789" s="252" t="s">
        <v>3038</v>
      </c>
      <c r="C789" s="253">
        <v>0</v>
      </c>
      <c r="D789" s="252">
        <v>50592</v>
      </c>
      <c r="E789" s="252" t="s">
        <v>3059</v>
      </c>
      <c r="F789" s="254" t="s">
        <v>3127</v>
      </c>
      <c r="G789" s="252" t="s">
        <v>1581</v>
      </c>
      <c r="H789" s="252" t="s">
        <v>3244</v>
      </c>
      <c r="I789" s="252">
        <v>5</v>
      </c>
      <c r="J789" s="255">
        <v>1</v>
      </c>
      <c r="K789" s="255">
        <v>1</v>
      </c>
      <c r="L789" s="255"/>
      <c r="M789" s="256">
        <v>8.7000000000000001E-5</v>
      </c>
      <c r="N789" s="249">
        <v>788</v>
      </c>
    </row>
    <row r="790" spans="1:14" x14ac:dyDescent="0.25">
      <c r="A790" s="252" t="s">
        <v>183</v>
      </c>
      <c r="B790" s="252" t="s">
        <v>3038</v>
      </c>
      <c r="C790" s="253">
        <v>0</v>
      </c>
      <c r="D790" s="252">
        <v>50592</v>
      </c>
      <c r="E790" s="252" t="s">
        <v>3059</v>
      </c>
      <c r="F790" s="254" t="s">
        <v>3127</v>
      </c>
      <c r="G790" s="252" t="s">
        <v>1582</v>
      </c>
      <c r="H790" s="252" t="s">
        <v>3245</v>
      </c>
      <c r="I790" s="252">
        <v>5</v>
      </c>
      <c r="J790" s="255">
        <v>1</v>
      </c>
      <c r="K790" s="255">
        <v>1</v>
      </c>
      <c r="L790" s="255"/>
      <c r="M790" s="256">
        <v>1.8059999999999997E-3</v>
      </c>
      <c r="N790" s="249">
        <v>789</v>
      </c>
    </row>
    <row r="791" spans="1:14" x14ac:dyDescent="0.25">
      <c r="A791" s="252" t="s">
        <v>183</v>
      </c>
      <c r="B791" s="252" t="s">
        <v>3038</v>
      </c>
      <c r="C791" s="253">
        <v>0</v>
      </c>
      <c r="D791" s="252">
        <v>50592</v>
      </c>
      <c r="E791" s="252" t="s">
        <v>3059</v>
      </c>
      <c r="F791" s="254" t="s">
        <v>3127</v>
      </c>
      <c r="G791" s="252" t="s">
        <v>1583</v>
      </c>
      <c r="H791" s="252" t="s">
        <v>3246</v>
      </c>
      <c r="I791" s="252">
        <v>5</v>
      </c>
      <c r="J791" s="255">
        <v>1</v>
      </c>
      <c r="K791" s="255">
        <v>1</v>
      </c>
      <c r="L791" s="255"/>
      <c r="M791" s="256">
        <v>8.7000000000000001E-5</v>
      </c>
      <c r="N791" s="249">
        <v>790</v>
      </c>
    </row>
    <row r="792" spans="1:14" x14ac:dyDescent="0.25">
      <c r="A792" s="252" t="s">
        <v>183</v>
      </c>
      <c r="B792" s="252" t="s">
        <v>3038</v>
      </c>
      <c r="C792" s="253">
        <v>0</v>
      </c>
      <c r="D792" s="252">
        <v>50592</v>
      </c>
      <c r="E792" s="252" t="s">
        <v>3059</v>
      </c>
      <c r="F792" s="254" t="s">
        <v>3127</v>
      </c>
      <c r="G792" s="252" t="s">
        <v>2175</v>
      </c>
      <c r="H792" s="252" t="s">
        <v>3247</v>
      </c>
      <c r="I792" s="252">
        <v>5</v>
      </c>
      <c r="J792" s="255">
        <v>1</v>
      </c>
      <c r="K792" s="255">
        <v>1</v>
      </c>
      <c r="L792" s="255"/>
      <c r="M792" s="256">
        <v>1.8059999999999997E-3</v>
      </c>
      <c r="N792" s="249">
        <v>791</v>
      </c>
    </row>
    <row r="793" spans="1:14" x14ac:dyDescent="0.25">
      <c r="A793" s="252" t="s">
        <v>183</v>
      </c>
      <c r="B793" s="252" t="s">
        <v>3038</v>
      </c>
      <c r="C793" s="253">
        <v>0</v>
      </c>
      <c r="D793" s="252">
        <v>50592</v>
      </c>
      <c r="E793" s="252" t="s">
        <v>3059</v>
      </c>
      <c r="F793" s="254" t="s">
        <v>3127</v>
      </c>
      <c r="G793" s="252" t="s">
        <v>2177</v>
      </c>
      <c r="H793" s="252" t="s">
        <v>3248</v>
      </c>
      <c r="I793" s="252">
        <v>5</v>
      </c>
      <c r="J793" s="255">
        <v>1</v>
      </c>
      <c r="K793" s="255">
        <v>1</v>
      </c>
      <c r="L793" s="255"/>
      <c r="M793" s="256">
        <v>1.632E-3</v>
      </c>
      <c r="N793" s="249">
        <v>792</v>
      </c>
    </row>
    <row r="794" spans="1:14" x14ac:dyDescent="0.25">
      <c r="A794" s="252" t="s">
        <v>183</v>
      </c>
      <c r="B794" s="252" t="s">
        <v>3038</v>
      </c>
      <c r="C794" s="253">
        <v>0</v>
      </c>
      <c r="D794" s="252">
        <v>50592</v>
      </c>
      <c r="E794" s="252" t="s">
        <v>3059</v>
      </c>
      <c r="F794" s="254" t="s">
        <v>3127</v>
      </c>
      <c r="G794" s="252" t="s">
        <v>2179</v>
      </c>
      <c r="H794" s="252" t="s">
        <v>3249</v>
      </c>
      <c r="I794" s="252">
        <v>5</v>
      </c>
      <c r="J794" s="255">
        <v>1</v>
      </c>
      <c r="K794" s="255">
        <v>1</v>
      </c>
      <c r="L794" s="255"/>
      <c r="M794" s="256">
        <v>9.4799999999999995E-4</v>
      </c>
      <c r="N794" s="249">
        <v>793</v>
      </c>
    </row>
    <row r="795" spans="1:14" x14ac:dyDescent="0.25">
      <c r="A795" s="252" t="s">
        <v>183</v>
      </c>
      <c r="B795" s="252" t="s">
        <v>3038</v>
      </c>
      <c r="C795" s="253">
        <v>0</v>
      </c>
      <c r="D795" s="252">
        <v>50592</v>
      </c>
      <c r="E795" s="252" t="s">
        <v>3059</v>
      </c>
      <c r="F795" s="254" t="s">
        <v>3127</v>
      </c>
      <c r="G795" s="252" t="s">
        <v>2181</v>
      </c>
      <c r="H795" s="252" t="s">
        <v>3250</v>
      </c>
      <c r="I795" s="252">
        <v>5</v>
      </c>
      <c r="J795" s="255">
        <v>1</v>
      </c>
      <c r="K795" s="255">
        <v>1</v>
      </c>
      <c r="L795" s="255"/>
      <c r="M795" s="256">
        <v>9.4799999999999995E-4</v>
      </c>
      <c r="N795" s="249">
        <v>794</v>
      </c>
    </row>
    <row r="796" spans="1:14" x14ac:dyDescent="0.25">
      <c r="A796" s="252" t="s">
        <v>183</v>
      </c>
      <c r="B796" s="252" t="s">
        <v>3038</v>
      </c>
      <c r="C796" s="253">
        <v>0</v>
      </c>
      <c r="D796" s="252">
        <v>50592</v>
      </c>
      <c r="E796" s="252" t="s">
        <v>3059</v>
      </c>
      <c r="F796" s="254" t="s">
        <v>3127</v>
      </c>
      <c r="G796" s="252" t="s">
        <v>1585</v>
      </c>
      <c r="H796" s="252" t="s">
        <v>3251</v>
      </c>
      <c r="I796" s="252">
        <v>5</v>
      </c>
      <c r="J796" s="255">
        <v>1</v>
      </c>
      <c r="K796" s="255">
        <v>1</v>
      </c>
      <c r="L796" s="255"/>
      <c r="M796" s="256">
        <v>8.7000000000000001E-5</v>
      </c>
      <c r="N796" s="249">
        <v>795</v>
      </c>
    </row>
    <row r="797" spans="1:14" x14ac:dyDescent="0.25">
      <c r="A797" s="252" t="s">
        <v>183</v>
      </c>
      <c r="B797" s="252" t="s">
        <v>3038</v>
      </c>
      <c r="C797" s="253">
        <v>0</v>
      </c>
      <c r="D797" s="252">
        <v>50592</v>
      </c>
      <c r="E797" s="252" t="s">
        <v>3059</v>
      </c>
      <c r="F797" s="254" t="s">
        <v>3127</v>
      </c>
      <c r="G797" s="252" t="s">
        <v>2198</v>
      </c>
      <c r="H797" s="252" t="s">
        <v>3252</v>
      </c>
      <c r="I797" s="252">
        <v>5</v>
      </c>
      <c r="J797" s="255">
        <v>1</v>
      </c>
      <c r="K797" s="255">
        <v>1</v>
      </c>
      <c r="L797" s="255"/>
      <c r="M797" s="256">
        <v>8.7000000000000001E-5</v>
      </c>
      <c r="N797" s="249">
        <v>796</v>
      </c>
    </row>
    <row r="798" spans="1:14" x14ac:dyDescent="0.25">
      <c r="A798" s="252" t="s">
        <v>183</v>
      </c>
      <c r="B798" s="252" t="s">
        <v>3038</v>
      </c>
      <c r="C798" s="253">
        <v>0</v>
      </c>
      <c r="D798" s="252">
        <v>50592</v>
      </c>
      <c r="E798" s="252" t="s">
        <v>3059</v>
      </c>
      <c r="F798" s="254" t="s">
        <v>3127</v>
      </c>
      <c r="G798" s="252" t="s">
        <v>2200</v>
      </c>
      <c r="H798" s="252" t="s">
        <v>3253</v>
      </c>
      <c r="I798" s="252">
        <v>5</v>
      </c>
      <c r="J798" s="255">
        <v>1</v>
      </c>
      <c r="K798" s="255">
        <v>1</v>
      </c>
      <c r="L798" s="255"/>
      <c r="M798" s="256">
        <v>1.8059999999999997E-3</v>
      </c>
      <c r="N798" s="249">
        <v>797</v>
      </c>
    </row>
    <row r="799" spans="1:14" x14ac:dyDescent="0.25">
      <c r="A799" s="252" t="s">
        <v>183</v>
      </c>
      <c r="B799" s="252" t="s">
        <v>3038</v>
      </c>
      <c r="C799" s="253">
        <v>0</v>
      </c>
      <c r="D799" s="252">
        <v>50592</v>
      </c>
      <c r="E799" s="252" t="s">
        <v>3059</v>
      </c>
      <c r="F799" s="254" t="s">
        <v>3127</v>
      </c>
      <c r="G799" s="252" t="s">
        <v>2204</v>
      </c>
      <c r="H799" s="252" t="s">
        <v>3254</v>
      </c>
      <c r="I799" s="252">
        <v>5</v>
      </c>
      <c r="J799" s="255">
        <v>1</v>
      </c>
      <c r="K799" s="255">
        <v>1</v>
      </c>
      <c r="L799" s="255"/>
      <c r="M799" s="256">
        <v>2.0699999999999999E-4</v>
      </c>
      <c r="N799" s="249">
        <v>798</v>
      </c>
    </row>
    <row r="800" spans="1:14" x14ac:dyDescent="0.25">
      <c r="A800" s="252" t="s">
        <v>183</v>
      </c>
      <c r="B800" s="252" t="s">
        <v>3038</v>
      </c>
      <c r="C800" s="253">
        <v>0</v>
      </c>
      <c r="D800" s="252">
        <v>50592</v>
      </c>
      <c r="E800" s="252" t="s">
        <v>3059</v>
      </c>
      <c r="F800" s="254" t="s">
        <v>3127</v>
      </c>
      <c r="G800" s="252" t="s">
        <v>2206</v>
      </c>
      <c r="H800" s="252" t="s">
        <v>3255</v>
      </c>
      <c r="I800" s="252">
        <v>5</v>
      </c>
      <c r="J800" s="255">
        <v>1</v>
      </c>
      <c r="K800" s="255">
        <v>1</v>
      </c>
      <c r="L800" s="255"/>
      <c r="M800" s="256">
        <v>2.0699999999999999E-4</v>
      </c>
      <c r="N800" s="249">
        <v>799</v>
      </c>
    </row>
    <row r="801" spans="1:14" x14ac:dyDescent="0.25">
      <c r="A801" s="252" t="s">
        <v>183</v>
      </c>
      <c r="B801" s="252" t="s">
        <v>3038</v>
      </c>
      <c r="C801" s="253">
        <v>0</v>
      </c>
      <c r="D801" s="252">
        <v>50592</v>
      </c>
      <c r="E801" s="252" t="s">
        <v>3059</v>
      </c>
      <c r="F801" s="254" t="s">
        <v>3127</v>
      </c>
      <c r="G801" s="252" t="s">
        <v>2207</v>
      </c>
      <c r="H801" s="252" t="s">
        <v>3256</v>
      </c>
      <c r="I801" s="252">
        <v>5</v>
      </c>
      <c r="J801" s="255">
        <v>1</v>
      </c>
      <c r="K801" s="255">
        <v>1</v>
      </c>
      <c r="L801" s="255"/>
      <c r="M801" s="256">
        <v>1.194E-3</v>
      </c>
      <c r="N801" s="249">
        <v>800</v>
      </c>
    </row>
    <row r="802" spans="1:14" x14ac:dyDescent="0.25">
      <c r="A802" s="252" t="s">
        <v>183</v>
      </c>
      <c r="B802" s="252" t="s">
        <v>3038</v>
      </c>
      <c r="C802" s="253">
        <v>0</v>
      </c>
      <c r="D802" s="252">
        <v>50592</v>
      </c>
      <c r="E802" s="252" t="s">
        <v>3059</v>
      </c>
      <c r="F802" s="254" t="s">
        <v>3127</v>
      </c>
      <c r="G802" s="252" t="s">
        <v>2212</v>
      </c>
      <c r="H802" s="252" t="s">
        <v>3257</v>
      </c>
      <c r="I802" s="252">
        <v>5</v>
      </c>
      <c r="J802" s="255">
        <v>1</v>
      </c>
      <c r="K802" s="255">
        <v>1</v>
      </c>
      <c r="L802" s="255"/>
      <c r="M802" s="256">
        <v>8.7000000000000001E-5</v>
      </c>
      <c r="N802" s="249">
        <v>801</v>
      </c>
    </row>
    <row r="803" spans="1:14" x14ac:dyDescent="0.25">
      <c r="A803" s="252" t="s">
        <v>183</v>
      </c>
      <c r="B803" s="252" t="s">
        <v>3038</v>
      </c>
      <c r="C803" s="253">
        <v>0</v>
      </c>
      <c r="D803" s="252">
        <v>50592</v>
      </c>
      <c r="E803" s="252" t="s">
        <v>3059</v>
      </c>
      <c r="F803" s="254" t="s">
        <v>3127</v>
      </c>
      <c r="G803" s="252" t="s">
        <v>2213</v>
      </c>
      <c r="H803" s="252" t="s">
        <v>3258</v>
      </c>
      <c r="I803" s="252">
        <v>5</v>
      </c>
      <c r="J803" s="255">
        <v>1</v>
      </c>
      <c r="K803" s="255">
        <v>1</v>
      </c>
      <c r="L803" s="255"/>
      <c r="M803" s="256">
        <v>8.7000000000000001E-5</v>
      </c>
      <c r="N803" s="249">
        <v>802</v>
      </c>
    </row>
    <row r="804" spans="1:14" x14ac:dyDescent="0.25">
      <c r="A804" s="252" t="s">
        <v>183</v>
      </c>
      <c r="B804" s="252" t="s">
        <v>3038</v>
      </c>
      <c r="C804" s="253">
        <v>0</v>
      </c>
      <c r="D804" s="252">
        <v>50592</v>
      </c>
      <c r="E804" s="252" t="s">
        <v>3059</v>
      </c>
      <c r="F804" s="254" t="s">
        <v>3127</v>
      </c>
      <c r="G804" s="252" t="s">
        <v>3259</v>
      </c>
      <c r="H804" s="252" t="s">
        <v>3260</v>
      </c>
      <c r="I804" s="252">
        <v>5</v>
      </c>
      <c r="J804" s="255">
        <v>1</v>
      </c>
      <c r="K804" s="255">
        <v>1</v>
      </c>
      <c r="L804" s="255"/>
      <c r="M804" s="256">
        <v>1.8059999999999997E-3</v>
      </c>
      <c r="N804" s="249">
        <v>803</v>
      </c>
    </row>
    <row r="805" spans="1:14" x14ac:dyDescent="0.25">
      <c r="A805" s="252" t="s">
        <v>183</v>
      </c>
      <c r="B805" s="252" t="s">
        <v>3038</v>
      </c>
      <c r="C805" s="253">
        <v>0</v>
      </c>
      <c r="D805" s="252">
        <v>50592</v>
      </c>
      <c r="E805" s="252" t="s">
        <v>3059</v>
      </c>
      <c r="F805" s="254" t="s">
        <v>3127</v>
      </c>
      <c r="G805" s="252" t="s">
        <v>3261</v>
      </c>
      <c r="H805" s="252" t="s">
        <v>3262</v>
      </c>
      <c r="I805" s="252">
        <v>5</v>
      </c>
      <c r="J805" s="255">
        <v>1</v>
      </c>
      <c r="K805" s="255">
        <v>1</v>
      </c>
      <c r="L805" s="255"/>
      <c r="M805" s="256">
        <v>2.0699999999999999E-4</v>
      </c>
      <c r="N805" s="249">
        <v>804</v>
      </c>
    </row>
    <row r="806" spans="1:14" x14ac:dyDescent="0.25">
      <c r="A806" s="252" t="s">
        <v>183</v>
      </c>
      <c r="B806" s="252" t="s">
        <v>3038</v>
      </c>
      <c r="C806" s="253">
        <v>0</v>
      </c>
      <c r="D806" s="252">
        <v>50592</v>
      </c>
      <c r="E806" s="252" t="s">
        <v>3059</v>
      </c>
      <c r="F806" s="254" t="s">
        <v>3127</v>
      </c>
      <c r="G806" s="252" t="s">
        <v>3263</v>
      </c>
      <c r="H806" s="252" t="s">
        <v>3264</v>
      </c>
      <c r="I806" s="252">
        <v>5</v>
      </c>
      <c r="J806" s="255">
        <v>1</v>
      </c>
      <c r="K806" s="255">
        <v>1</v>
      </c>
      <c r="L806" s="255"/>
      <c r="M806" s="256">
        <v>2.0699999999999999E-4</v>
      </c>
      <c r="N806" s="249">
        <v>805</v>
      </c>
    </row>
    <row r="807" spans="1:14" x14ac:dyDescent="0.25">
      <c r="A807" s="252" t="s">
        <v>183</v>
      </c>
      <c r="B807" s="252" t="s">
        <v>3038</v>
      </c>
      <c r="C807" s="253">
        <v>0</v>
      </c>
      <c r="D807" s="252">
        <v>50592</v>
      </c>
      <c r="E807" s="252" t="s">
        <v>3059</v>
      </c>
      <c r="F807" s="254" t="s">
        <v>3127</v>
      </c>
      <c r="G807" s="252" t="s">
        <v>3265</v>
      </c>
      <c r="H807" s="252" t="s">
        <v>3266</v>
      </c>
      <c r="I807" s="252">
        <v>5</v>
      </c>
      <c r="J807" s="255">
        <v>1</v>
      </c>
      <c r="K807" s="255">
        <v>1</v>
      </c>
      <c r="L807" s="255"/>
      <c r="M807" s="256">
        <v>1.194E-3</v>
      </c>
      <c r="N807" s="249">
        <v>806</v>
      </c>
    </row>
    <row r="808" spans="1:14" x14ac:dyDescent="0.25">
      <c r="A808" s="252" t="s">
        <v>183</v>
      </c>
      <c r="B808" s="252" t="s">
        <v>3038</v>
      </c>
      <c r="C808" s="253">
        <v>0</v>
      </c>
      <c r="D808" s="252">
        <v>50592</v>
      </c>
      <c r="E808" s="252" t="s">
        <v>3130</v>
      </c>
      <c r="F808" s="254" t="s">
        <v>3127</v>
      </c>
      <c r="G808" s="252" t="s">
        <v>2215</v>
      </c>
      <c r="H808" s="252" t="s">
        <v>3267</v>
      </c>
      <c r="I808" s="252">
        <v>5</v>
      </c>
      <c r="J808" s="255">
        <v>1</v>
      </c>
      <c r="K808" s="255">
        <v>1</v>
      </c>
      <c r="L808" s="255"/>
      <c r="M808" s="256">
        <v>1.2E-4</v>
      </c>
      <c r="N808" s="249">
        <v>807</v>
      </c>
    </row>
    <row r="809" spans="1:14" x14ac:dyDescent="0.25">
      <c r="A809" s="252" t="s">
        <v>183</v>
      </c>
      <c r="B809" s="252" t="s">
        <v>3038</v>
      </c>
      <c r="C809" s="253">
        <v>0</v>
      </c>
      <c r="D809" s="252">
        <v>50592</v>
      </c>
      <c r="E809" s="252" t="s">
        <v>3130</v>
      </c>
      <c r="F809" s="254" t="s">
        <v>3127</v>
      </c>
      <c r="G809" s="252" t="s">
        <v>1632</v>
      </c>
      <c r="H809" s="252" t="s">
        <v>3268</v>
      </c>
      <c r="I809" s="252">
        <v>5</v>
      </c>
      <c r="J809" s="255">
        <v>1</v>
      </c>
      <c r="K809" s="255">
        <v>1</v>
      </c>
      <c r="L809" s="255"/>
      <c r="M809" s="256">
        <v>1.2E-4</v>
      </c>
      <c r="N809" s="249">
        <v>808</v>
      </c>
    </row>
    <row r="810" spans="1:14" x14ac:dyDescent="0.25">
      <c r="A810" s="252" t="s">
        <v>183</v>
      </c>
      <c r="B810" s="252" t="s">
        <v>3038</v>
      </c>
      <c r="C810" s="253">
        <v>0</v>
      </c>
      <c r="D810" s="252">
        <v>50592</v>
      </c>
      <c r="E810" s="252" t="s">
        <v>190</v>
      </c>
      <c r="F810" s="254" t="s">
        <v>3127</v>
      </c>
      <c r="G810" s="252" t="s">
        <v>1633</v>
      </c>
      <c r="H810" s="252" t="s">
        <v>3269</v>
      </c>
      <c r="I810" s="252">
        <v>5</v>
      </c>
      <c r="J810" s="255">
        <v>1</v>
      </c>
      <c r="K810" s="255">
        <v>1</v>
      </c>
      <c r="L810" s="255"/>
      <c r="M810" s="256">
        <v>2.34E-4</v>
      </c>
      <c r="N810" s="249">
        <v>809</v>
      </c>
    </row>
    <row r="811" spans="1:14" x14ac:dyDescent="0.25">
      <c r="A811" s="252" t="s">
        <v>183</v>
      </c>
      <c r="B811" s="252" t="s">
        <v>3038</v>
      </c>
      <c r="C811" s="253">
        <v>0</v>
      </c>
      <c r="D811" s="252">
        <v>50592</v>
      </c>
      <c r="E811" s="252" t="s">
        <v>190</v>
      </c>
      <c r="F811" s="254" t="s">
        <v>3127</v>
      </c>
      <c r="G811" s="252" t="s">
        <v>1634</v>
      </c>
      <c r="H811" s="252" t="s">
        <v>3270</v>
      </c>
      <c r="I811" s="252">
        <v>5</v>
      </c>
      <c r="J811" s="255">
        <v>1</v>
      </c>
      <c r="K811" s="255">
        <v>1</v>
      </c>
      <c r="L811" s="255"/>
      <c r="M811" s="256">
        <v>2.34E-4</v>
      </c>
      <c r="N811" s="249">
        <v>810</v>
      </c>
    </row>
    <row r="812" spans="1:14" x14ac:dyDescent="0.25">
      <c r="A812" s="252" t="s">
        <v>183</v>
      </c>
      <c r="B812" s="252" t="s">
        <v>3038</v>
      </c>
      <c r="C812" s="253">
        <v>0</v>
      </c>
      <c r="D812" s="252">
        <v>50592</v>
      </c>
      <c r="E812" s="252" t="s">
        <v>3130</v>
      </c>
      <c r="F812" s="254" t="s">
        <v>3271</v>
      </c>
      <c r="G812" s="252" t="s">
        <v>1636</v>
      </c>
      <c r="H812" s="252" t="s">
        <v>3272</v>
      </c>
      <c r="I812" s="252">
        <v>5</v>
      </c>
      <c r="J812" s="255">
        <v>1</v>
      </c>
      <c r="K812" s="255">
        <v>1</v>
      </c>
      <c r="L812" s="255"/>
      <c r="M812" s="256">
        <v>1.2E-4</v>
      </c>
      <c r="N812" s="249">
        <v>811</v>
      </c>
    </row>
    <row r="813" spans="1:14" x14ac:dyDescent="0.25">
      <c r="A813" s="252" t="s">
        <v>183</v>
      </c>
      <c r="B813" s="252" t="s">
        <v>3038</v>
      </c>
      <c r="C813" s="253">
        <v>0</v>
      </c>
      <c r="D813" s="252">
        <v>50592</v>
      </c>
      <c r="E813" s="252" t="s">
        <v>3130</v>
      </c>
      <c r="F813" s="254" t="s">
        <v>3271</v>
      </c>
      <c r="G813" s="252" t="s">
        <v>1637</v>
      </c>
      <c r="H813" s="252" t="s">
        <v>3273</v>
      </c>
      <c r="I813" s="252">
        <v>5</v>
      </c>
      <c r="J813" s="255">
        <v>1</v>
      </c>
      <c r="K813" s="255">
        <v>1</v>
      </c>
      <c r="L813" s="255"/>
      <c r="M813" s="256">
        <v>1.2E-4</v>
      </c>
      <c r="N813" s="249">
        <v>812</v>
      </c>
    </row>
    <row r="814" spans="1:14" x14ac:dyDescent="0.25">
      <c r="A814" s="252" t="s">
        <v>183</v>
      </c>
      <c r="B814" s="252" t="s">
        <v>3038</v>
      </c>
      <c r="C814" s="253">
        <v>0</v>
      </c>
      <c r="D814" s="252">
        <v>50592</v>
      </c>
      <c r="E814" s="252" t="s">
        <v>190</v>
      </c>
      <c r="F814" s="254" t="s">
        <v>3271</v>
      </c>
      <c r="G814" s="252" t="s">
        <v>2217</v>
      </c>
      <c r="H814" s="252" t="s">
        <v>3274</v>
      </c>
      <c r="I814" s="252">
        <v>5</v>
      </c>
      <c r="J814" s="255">
        <v>1</v>
      </c>
      <c r="K814" s="255">
        <v>1</v>
      </c>
      <c r="L814" s="255"/>
      <c r="M814" s="256">
        <v>2.34E-4</v>
      </c>
      <c r="N814" s="249">
        <v>813</v>
      </c>
    </row>
    <row r="815" spans="1:14" x14ac:dyDescent="0.25">
      <c r="A815" s="252" t="s">
        <v>183</v>
      </c>
      <c r="B815" s="252" t="s">
        <v>3038</v>
      </c>
      <c r="C815" s="253">
        <v>0</v>
      </c>
      <c r="D815" s="252">
        <v>50592</v>
      </c>
      <c r="E815" s="252" t="s">
        <v>190</v>
      </c>
      <c r="F815" s="254" t="s">
        <v>3271</v>
      </c>
      <c r="G815" s="252" t="s">
        <v>2218</v>
      </c>
      <c r="H815" s="252" t="s">
        <v>3275</v>
      </c>
      <c r="I815" s="252">
        <v>5</v>
      </c>
      <c r="J815" s="255">
        <v>1</v>
      </c>
      <c r="K815" s="255">
        <v>1</v>
      </c>
      <c r="L815" s="255"/>
      <c r="M815" s="256">
        <v>2.34E-4</v>
      </c>
      <c r="N815" s="249">
        <v>814</v>
      </c>
    </row>
    <row r="816" spans="1:14" x14ac:dyDescent="0.25">
      <c r="A816" s="252" t="s">
        <v>183</v>
      </c>
      <c r="B816" s="252" t="s">
        <v>3038</v>
      </c>
      <c r="C816" s="253">
        <v>0</v>
      </c>
      <c r="D816" s="252">
        <v>50592</v>
      </c>
      <c r="E816" s="252" t="s">
        <v>3130</v>
      </c>
      <c r="F816" s="254" t="s">
        <v>3271</v>
      </c>
      <c r="G816" s="252" t="s">
        <v>1639</v>
      </c>
      <c r="H816" s="252" t="s">
        <v>3276</v>
      </c>
      <c r="I816" s="252">
        <v>5</v>
      </c>
      <c r="J816" s="255">
        <v>1</v>
      </c>
      <c r="K816" s="255">
        <v>1</v>
      </c>
      <c r="L816" s="255"/>
      <c r="M816" s="256">
        <v>1.2E-4</v>
      </c>
      <c r="N816" s="249">
        <v>815</v>
      </c>
    </row>
    <row r="817" spans="1:14" x14ac:dyDescent="0.25">
      <c r="A817" s="252" t="s">
        <v>183</v>
      </c>
      <c r="B817" s="252" t="s">
        <v>3038</v>
      </c>
      <c r="C817" s="253">
        <v>0</v>
      </c>
      <c r="D817" s="252">
        <v>50592</v>
      </c>
      <c r="E817" s="252" t="s">
        <v>3130</v>
      </c>
      <c r="F817" s="254" t="s">
        <v>3271</v>
      </c>
      <c r="G817" s="252" t="s">
        <v>2219</v>
      </c>
      <c r="H817" s="252" t="s">
        <v>3277</v>
      </c>
      <c r="I817" s="252">
        <v>5</v>
      </c>
      <c r="J817" s="255">
        <v>1</v>
      </c>
      <c r="K817" s="255">
        <v>1</v>
      </c>
      <c r="L817" s="255"/>
      <c r="M817" s="256">
        <v>1.2E-4</v>
      </c>
      <c r="N817" s="249">
        <v>816</v>
      </c>
    </row>
    <row r="818" spans="1:14" x14ac:dyDescent="0.25">
      <c r="A818" s="252" t="s">
        <v>183</v>
      </c>
      <c r="B818" s="252" t="s">
        <v>3038</v>
      </c>
      <c r="C818" s="253">
        <v>0</v>
      </c>
      <c r="D818" s="252">
        <v>50592</v>
      </c>
      <c r="E818" s="252" t="s">
        <v>190</v>
      </c>
      <c r="F818" s="254" t="s">
        <v>3271</v>
      </c>
      <c r="G818" s="252" t="s">
        <v>2220</v>
      </c>
      <c r="H818" s="252" t="s">
        <v>3278</v>
      </c>
      <c r="I818" s="252">
        <v>5</v>
      </c>
      <c r="J818" s="255">
        <v>1</v>
      </c>
      <c r="K818" s="255">
        <v>1</v>
      </c>
      <c r="L818" s="255"/>
      <c r="M818" s="256">
        <v>2.34E-4</v>
      </c>
      <c r="N818" s="249">
        <v>817</v>
      </c>
    </row>
    <row r="819" spans="1:14" x14ac:dyDescent="0.25">
      <c r="A819" s="252" t="s">
        <v>183</v>
      </c>
      <c r="B819" s="252" t="s">
        <v>3038</v>
      </c>
      <c r="C819" s="253">
        <v>0</v>
      </c>
      <c r="D819" s="252">
        <v>50592</v>
      </c>
      <c r="E819" s="252" t="s">
        <v>190</v>
      </c>
      <c r="F819" s="254" t="s">
        <v>3271</v>
      </c>
      <c r="G819" s="252" t="s">
        <v>2221</v>
      </c>
      <c r="H819" s="252" t="s">
        <v>3279</v>
      </c>
      <c r="I819" s="252">
        <v>5</v>
      </c>
      <c r="J819" s="255">
        <v>1</v>
      </c>
      <c r="K819" s="255">
        <v>1</v>
      </c>
      <c r="L819" s="255"/>
      <c r="M819" s="256">
        <v>2.34E-4</v>
      </c>
      <c r="N819" s="249">
        <v>818</v>
      </c>
    </row>
    <row r="820" spans="1:14" x14ac:dyDescent="0.25">
      <c r="A820" s="252" t="s">
        <v>183</v>
      </c>
      <c r="B820" s="252" t="s">
        <v>3038</v>
      </c>
      <c r="C820" s="253">
        <v>0</v>
      </c>
      <c r="D820" s="252">
        <v>50592</v>
      </c>
      <c r="E820" s="252" t="s">
        <v>3130</v>
      </c>
      <c r="F820" s="254" t="s">
        <v>3271</v>
      </c>
      <c r="G820" s="252" t="s">
        <v>1640</v>
      </c>
      <c r="H820" s="252" t="s">
        <v>3280</v>
      </c>
      <c r="I820" s="252">
        <v>5</v>
      </c>
      <c r="J820" s="255">
        <v>1</v>
      </c>
      <c r="K820" s="255">
        <v>1</v>
      </c>
      <c r="L820" s="255"/>
      <c r="M820" s="256">
        <v>1.2E-4</v>
      </c>
      <c r="N820" s="249">
        <v>819</v>
      </c>
    </row>
    <row r="821" spans="1:14" x14ac:dyDescent="0.25">
      <c r="A821" s="252" t="s">
        <v>183</v>
      </c>
      <c r="B821" s="252" t="s">
        <v>3038</v>
      </c>
      <c r="C821" s="253">
        <v>0</v>
      </c>
      <c r="D821" s="252">
        <v>50592</v>
      </c>
      <c r="E821" s="252" t="s">
        <v>3130</v>
      </c>
      <c r="F821" s="254" t="s">
        <v>3271</v>
      </c>
      <c r="G821" s="252" t="s">
        <v>2222</v>
      </c>
      <c r="H821" s="252" t="s">
        <v>3281</v>
      </c>
      <c r="I821" s="252">
        <v>5</v>
      </c>
      <c r="J821" s="255">
        <v>1</v>
      </c>
      <c r="K821" s="255">
        <v>1</v>
      </c>
      <c r="L821" s="255"/>
      <c r="M821" s="256">
        <v>1.2E-4</v>
      </c>
      <c r="N821" s="249">
        <v>820</v>
      </c>
    </row>
    <row r="822" spans="1:14" x14ac:dyDescent="0.25">
      <c r="A822" s="252" t="s">
        <v>183</v>
      </c>
      <c r="B822" s="252" t="s">
        <v>3038</v>
      </c>
      <c r="C822" s="253">
        <v>0</v>
      </c>
      <c r="D822" s="252">
        <v>50592</v>
      </c>
      <c r="E822" s="252" t="s">
        <v>190</v>
      </c>
      <c r="F822" s="254" t="s">
        <v>3271</v>
      </c>
      <c r="G822" s="252" t="s">
        <v>2223</v>
      </c>
      <c r="H822" s="252" t="s">
        <v>3282</v>
      </c>
      <c r="I822" s="252">
        <v>5</v>
      </c>
      <c r="J822" s="255">
        <v>1</v>
      </c>
      <c r="K822" s="255">
        <v>1</v>
      </c>
      <c r="L822" s="255"/>
      <c r="M822" s="256">
        <v>2.31E-4</v>
      </c>
      <c r="N822" s="249">
        <v>821</v>
      </c>
    </row>
    <row r="823" spans="1:14" x14ac:dyDescent="0.25">
      <c r="A823" s="252" t="s">
        <v>183</v>
      </c>
      <c r="B823" s="252" t="s">
        <v>3038</v>
      </c>
      <c r="C823" s="253">
        <v>0</v>
      </c>
      <c r="D823" s="252">
        <v>50592</v>
      </c>
      <c r="E823" s="252" t="s">
        <v>190</v>
      </c>
      <c r="F823" s="254" t="s">
        <v>3271</v>
      </c>
      <c r="G823" s="252" t="s">
        <v>2224</v>
      </c>
      <c r="H823" s="252" t="s">
        <v>3283</v>
      </c>
      <c r="I823" s="252">
        <v>5</v>
      </c>
      <c r="J823" s="255">
        <v>1</v>
      </c>
      <c r="K823" s="255">
        <v>1</v>
      </c>
      <c r="L823" s="255"/>
      <c r="M823" s="256">
        <v>2.2800000000000001E-4</v>
      </c>
      <c r="N823" s="249">
        <v>822</v>
      </c>
    </row>
    <row r="824" spans="1:14" x14ac:dyDescent="0.25">
      <c r="A824" s="252" t="s">
        <v>183</v>
      </c>
      <c r="B824" s="252" t="s">
        <v>3038</v>
      </c>
      <c r="C824" s="253">
        <v>0</v>
      </c>
      <c r="D824" s="252">
        <v>50592</v>
      </c>
      <c r="E824" s="252" t="s">
        <v>3130</v>
      </c>
      <c r="F824" s="254" t="s">
        <v>3271</v>
      </c>
      <c r="G824" s="252" t="s">
        <v>1642</v>
      </c>
      <c r="H824" s="252" t="s">
        <v>3284</v>
      </c>
      <c r="I824" s="252">
        <v>5</v>
      </c>
      <c r="J824" s="255">
        <v>1</v>
      </c>
      <c r="K824" s="255">
        <v>1</v>
      </c>
      <c r="L824" s="255"/>
      <c r="M824" s="256">
        <v>1.2E-4</v>
      </c>
      <c r="N824" s="249">
        <v>823</v>
      </c>
    </row>
    <row r="825" spans="1:14" x14ac:dyDescent="0.25">
      <c r="A825" s="252" t="s">
        <v>183</v>
      </c>
      <c r="B825" s="252" t="s">
        <v>3038</v>
      </c>
      <c r="C825" s="253">
        <v>0</v>
      </c>
      <c r="D825" s="252">
        <v>50592</v>
      </c>
      <c r="E825" s="252" t="s">
        <v>3130</v>
      </c>
      <c r="F825" s="254" t="s">
        <v>3271</v>
      </c>
      <c r="G825" s="252" t="s">
        <v>1643</v>
      </c>
      <c r="H825" s="252" t="s">
        <v>3285</v>
      </c>
      <c r="I825" s="252">
        <v>5</v>
      </c>
      <c r="J825" s="255">
        <v>1</v>
      </c>
      <c r="K825" s="255">
        <v>1</v>
      </c>
      <c r="L825" s="255"/>
      <c r="M825" s="256">
        <v>1.2E-4</v>
      </c>
      <c r="N825" s="249">
        <v>824</v>
      </c>
    </row>
    <row r="826" spans="1:14" x14ac:dyDescent="0.25">
      <c r="A826" s="252" t="s">
        <v>183</v>
      </c>
      <c r="B826" s="252" t="s">
        <v>3038</v>
      </c>
      <c r="C826" s="253">
        <v>0</v>
      </c>
      <c r="D826" s="252">
        <v>50592</v>
      </c>
      <c r="E826" s="252" t="s">
        <v>190</v>
      </c>
      <c r="F826" s="254" t="s">
        <v>3271</v>
      </c>
      <c r="G826" s="252" t="s">
        <v>2225</v>
      </c>
      <c r="H826" s="252" t="s">
        <v>3286</v>
      </c>
      <c r="I826" s="252">
        <v>5</v>
      </c>
      <c r="J826" s="255">
        <v>1</v>
      </c>
      <c r="K826" s="255">
        <v>1</v>
      </c>
      <c r="L826" s="255"/>
      <c r="M826" s="256">
        <v>2.34E-4</v>
      </c>
      <c r="N826" s="249">
        <v>825</v>
      </c>
    </row>
    <row r="827" spans="1:14" x14ac:dyDescent="0.25">
      <c r="A827" s="252" t="s">
        <v>183</v>
      </c>
      <c r="B827" s="252" t="s">
        <v>3038</v>
      </c>
      <c r="C827" s="253">
        <v>0</v>
      </c>
      <c r="D827" s="252">
        <v>50592</v>
      </c>
      <c r="E827" s="252" t="s">
        <v>190</v>
      </c>
      <c r="F827" s="254" t="s">
        <v>3271</v>
      </c>
      <c r="G827" s="252" t="s">
        <v>2226</v>
      </c>
      <c r="H827" s="252" t="s">
        <v>3287</v>
      </c>
      <c r="I827" s="252">
        <v>5</v>
      </c>
      <c r="J827" s="255">
        <v>1</v>
      </c>
      <c r="K827" s="255">
        <v>1</v>
      </c>
      <c r="L827" s="255"/>
      <c r="M827" s="256">
        <v>2.34E-4</v>
      </c>
      <c r="N827" s="249">
        <v>826</v>
      </c>
    </row>
    <row r="828" spans="1:14" x14ac:dyDescent="0.25">
      <c r="A828" s="252" t="s">
        <v>183</v>
      </c>
      <c r="B828" s="252" t="s">
        <v>3038</v>
      </c>
      <c r="C828" s="253">
        <v>0</v>
      </c>
      <c r="D828" s="252">
        <v>50592</v>
      </c>
      <c r="E828" s="252" t="s">
        <v>3130</v>
      </c>
      <c r="F828" s="254" t="s">
        <v>3271</v>
      </c>
      <c r="G828" s="252" t="s">
        <v>2227</v>
      </c>
      <c r="H828" s="252" t="s">
        <v>3288</v>
      </c>
      <c r="I828" s="252">
        <v>5</v>
      </c>
      <c r="J828" s="255">
        <v>1</v>
      </c>
      <c r="K828" s="255">
        <v>1</v>
      </c>
      <c r="L828" s="255"/>
      <c r="M828" s="256">
        <v>1.2899999999999999E-4</v>
      </c>
      <c r="N828" s="249">
        <v>827</v>
      </c>
    </row>
    <row r="829" spans="1:14" x14ac:dyDescent="0.25">
      <c r="A829" s="252" t="s">
        <v>183</v>
      </c>
      <c r="B829" s="252" t="s">
        <v>3038</v>
      </c>
      <c r="C829" s="253">
        <v>0</v>
      </c>
      <c r="D829" s="252">
        <v>50592</v>
      </c>
      <c r="E829" s="252" t="s">
        <v>3130</v>
      </c>
      <c r="F829" s="254" t="s">
        <v>3271</v>
      </c>
      <c r="G829" s="252" t="s">
        <v>2228</v>
      </c>
      <c r="H829" s="252" t="s">
        <v>3289</v>
      </c>
      <c r="I829" s="252">
        <v>5</v>
      </c>
      <c r="J829" s="255">
        <v>1</v>
      </c>
      <c r="K829" s="255">
        <v>1</v>
      </c>
      <c r="L829" s="255"/>
      <c r="M829" s="256">
        <v>5.7000000000000003E-5</v>
      </c>
      <c r="N829" s="249">
        <v>828</v>
      </c>
    </row>
    <row r="830" spans="1:14" x14ac:dyDescent="0.25">
      <c r="A830" s="252" t="s">
        <v>183</v>
      </c>
      <c r="B830" s="252" t="s">
        <v>3038</v>
      </c>
      <c r="C830" s="253">
        <v>0</v>
      </c>
      <c r="D830" s="252">
        <v>50592</v>
      </c>
      <c r="E830" s="252" t="s">
        <v>3130</v>
      </c>
      <c r="F830" s="254" t="s">
        <v>3271</v>
      </c>
      <c r="G830" s="252" t="s">
        <v>2229</v>
      </c>
      <c r="H830" s="252" t="s">
        <v>3290</v>
      </c>
      <c r="I830" s="252">
        <v>5</v>
      </c>
      <c r="J830" s="255">
        <v>1</v>
      </c>
      <c r="K830" s="255">
        <v>1</v>
      </c>
      <c r="L830" s="255"/>
      <c r="M830" s="256">
        <v>5.7000000000000003E-5</v>
      </c>
      <c r="N830" s="249">
        <v>829</v>
      </c>
    </row>
    <row r="831" spans="1:14" x14ac:dyDescent="0.25">
      <c r="A831" s="252" t="s">
        <v>183</v>
      </c>
      <c r="B831" s="252" t="s">
        <v>3038</v>
      </c>
      <c r="C831" s="253">
        <v>0</v>
      </c>
      <c r="D831" s="252">
        <v>50592</v>
      </c>
      <c r="E831" s="252" t="s">
        <v>99</v>
      </c>
      <c r="F831" s="254" t="s">
        <v>3271</v>
      </c>
      <c r="G831" s="252" t="s">
        <v>1644</v>
      </c>
      <c r="H831" s="252" t="s">
        <v>3291</v>
      </c>
      <c r="I831" s="252">
        <v>5</v>
      </c>
      <c r="J831" s="255">
        <v>1</v>
      </c>
      <c r="K831" s="255">
        <v>1</v>
      </c>
      <c r="L831" s="255"/>
      <c r="M831" s="256">
        <v>1.3200000000000001E-4</v>
      </c>
      <c r="N831" s="249">
        <v>830</v>
      </c>
    </row>
    <row r="832" spans="1:14" x14ac:dyDescent="0.25">
      <c r="A832" s="252" t="s">
        <v>183</v>
      </c>
      <c r="B832" s="252" t="s">
        <v>3038</v>
      </c>
      <c r="C832" s="253">
        <v>0</v>
      </c>
      <c r="D832" s="252">
        <v>50592</v>
      </c>
      <c r="E832" s="252" t="s">
        <v>99</v>
      </c>
      <c r="F832" s="254" t="s">
        <v>3271</v>
      </c>
      <c r="G832" s="252" t="s">
        <v>1645</v>
      </c>
      <c r="H832" s="252" t="s">
        <v>3292</v>
      </c>
      <c r="I832" s="252">
        <v>5</v>
      </c>
      <c r="J832" s="255">
        <v>1</v>
      </c>
      <c r="K832" s="255">
        <v>1</v>
      </c>
      <c r="L832" s="255"/>
      <c r="M832" s="256">
        <v>2.31E-4</v>
      </c>
      <c r="N832" s="249">
        <v>831</v>
      </c>
    </row>
    <row r="833" spans="1:14" x14ac:dyDescent="0.25">
      <c r="A833" s="252" t="s">
        <v>183</v>
      </c>
      <c r="B833" s="252" t="s">
        <v>3038</v>
      </c>
      <c r="C833" s="253">
        <v>0</v>
      </c>
      <c r="D833" s="252">
        <v>50592</v>
      </c>
      <c r="E833" s="252" t="s">
        <v>3039</v>
      </c>
      <c r="F833" s="254" t="s">
        <v>3271</v>
      </c>
      <c r="G833" s="252" t="s">
        <v>1647</v>
      </c>
      <c r="H833" s="252" t="s">
        <v>3293</v>
      </c>
      <c r="I833" s="252">
        <v>5</v>
      </c>
      <c r="J833" s="255">
        <v>1</v>
      </c>
      <c r="K833" s="255">
        <v>1</v>
      </c>
      <c r="L833" s="255"/>
      <c r="M833" s="256">
        <v>2.9700000000000001E-4</v>
      </c>
      <c r="N833" s="249">
        <v>832</v>
      </c>
    </row>
    <row r="834" spans="1:14" x14ac:dyDescent="0.25">
      <c r="A834" s="252" t="s">
        <v>183</v>
      </c>
      <c r="B834" s="252" t="s">
        <v>3038</v>
      </c>
      <c r="C834" s="253">
        <v>0</v>
      </c>
      <c r="D834" s="252">
        <v>50592</v>
      </c>
      <c r="E834" s="252" t="s">
        <v>3039</v>
      </c>
      <c r="F834" s="254" t="s">
        <v>3271</v>
      </c>
      <c r="G834" s="252" t="s">
        <v>1648</v>
      </c>
      <c r="H834" s="252" t="s">
        <v>3294</v>
      </c>
      <c r="I834" s="252">
        <v>5</v>
      </c>
      <c r="J834" s="255">
        <v>1</v>
      </c>
      <c r="K834" s="255">
        <v>1</v>
      </c>
      <c r="L834" s="255"/>
      <c r="M834" s="256">
        <v>2.9700000000000001E-4</v>
      </c>
      <c r="N834" s="249">
        <v>833</v>
      </c>
    </row>
    <row r="835" spans="1:14" x14ac:dyDescent="0.25">
      <c r="A835" s="252" t="s">
        <v>183</v>
      </c>
      <c r="B835" s="252" t="s">
        <v>3038</v>
      </c>
      <c r="C835" s="253">
        <v>0</v>
      </c>
      <c r="D835" s="252">
        <v>50592</v>
      </c>
      <c r="E835" s="252" t="s">
        <v>3039</v>
      </c>
      <c r="F835" s="254" t="s">
        <v>3271</v>
      </c>
      <c r="G835" s="252" t="s">
        <v>1650</v>
      </c>
      <c r="H835" s="252" t="s">
        <v>3295</v>
      </c>
      <c r="I835" s="252">
        <v>5</v>
      </c>
      <c r="J835" s="255">
        <v>1</v>
      </c>
      <c r="K835" s="255">
        <v>1</v>
      </c>
      <c r="L835" s="255"/>
      <c r="M835" s="256">
        <v>2.9700000000000001E-4</v>
      </c>
      <c r="N835" s="249">
        <v>834</v>
      </c>
    </row>
    <row r="836" spans="1:14" x14ac:dyDescent="0.25">
      <c r="A836" s="252" t="s">
        <v>183</v>
      </c>
      <c r="B836" s="252" t="s">
        <v>3038</v>
      </c>
      <c r="C836" s="253">
        <v>0</v>
      </c>
      <c r="D836" s="252">
        <v>50592</v>
      </c>
      <c r="E836" s="252" t="s">
        <v>3039</v>
      </c>
      <c r="F836" s="254" t="s">
        <v>3271</v>
      </c>
      <c r="G836" s="252" t="s">
        <v>1651</v>
      </c>
      <c r="H836" s="252" t="s">
        <v>3296</v>
      </c>
      <c r="I836" s="252">
        <v>5</v>
      </c>
      <c r="J836" s="255">
        <v>1</v>
      </c>
      <c r="K836" s="255">
        <v>1</v>
      </c>
      <c r="L836" s="255"/>
      <c r="M836" s="256">
        <v>2.9700000000000001E-4</v>
      </c>
      <c r="N836" s="249">
        <v>835</v>
      </c>
    </row>
    <row r="837" spans="1:14" x14ac:dyDescent="0.25">
      <c r="A837" s="252" t="s">
        <v>183</v>
      </c>
      <c r="B837" s="252" t="s">
        <v>3038</v>
      </c>
      <c r="C837" s="253">
        <v>0</v>
      </c>
      <c r="D837" s="252">
        <v>50592</v>
      </c>
      <c r="E837" s="252" t="s">
        <v>3039</v>
      </c>
      <c r="F837" s="254" t="s">
        <v>3271</v>
      </c>
      <c r="G837" s="252" t="s">
        <v>1652</v>
      </c>
      <c r="H837" s="252" t="s">
        <v>3297</v>
      </c>
      <c r="I837" s="252">
        <v>5</v>
      </c>
      <c r="J837" s="255">
        <v>1</v>
      </c>
      <c r="K837" s="255">
        <v>1</v>
      </c>
      <c r="L837" s="255"/>
      <c r="M837" s="256">
        <v>2.9700000000000001E-4</v>
      </c>
      <c r="N837" s="249">
        <v>836</v>
      </c>
    </row>
    <row r="838" spans="1:14" x14ac:dyDescent="0.25">
      <c r="A838" s="252" t="s">
        <v>183</v>
      </c>
      <c r="B838" s="252" t="s">
        <v>3038</v>
      </c>
      <c r="C838" s="253">
        <v>0</v>
      </c>
      <c r="D838" s="252">
        <v>50592</v>
      </c>
      <c r="E838" s="252" t="s">
        <v>3039</v>
      </c>
      <c r="F838" s="254" t="s">
        <v>3271</v>
      </c>
      <c r="G838" s="252" t="s">
        <v>2230</v>
      </c>
      <c r="H838" s="252" t="s">
        <v>3298</v>
      </c>
      <c r="I838" s="252">
        <v>5</v>
      </c>
      <c r="J838" s="255">
        <v>1</v>
      </c>
      <c r="K838" s="255">
        <v>1</v>
      </c>
      <c r="L838" s="255"/>
      <c r="M838" s="256">
        <v>2.9700000000000001E-4</v>
      </c>
      <c r="N838" s="249">
        <v>837</v>
      </c>
    </row>
    <row r="839" spans="1:14" x14ac:dyDescent="0.25">
      <c r="A839" s="252" t="s">
        <v>183</v>
      </c>
      <c r="B839" s="252" t="s">
        <v>3038</v>
      </c>
      <c r="C839" s="253">
        <v>0</v>
      </c>
      <c r="D839" s="252">
        <v>50592</v>
      </c>
      <c r="E839" s="252" t="s">
        <v>3039</v>
      </c>
      <c r="F839" s="254" t="s">
        <v>3271</v>
      </c>
      <c r="G839" s="252" t="s">
        <v>1653</v>
      </c>
      <c r="H839" s="252" t="s">
        <v>3299</v>
      </c>
      <c r="I839" s="252">
        <v>5</v>
      </c>
      <c r="J839" s="255">
        <v>1</v>
      </c>
      <c r="K839" s="255">
        <v>1</v>
      </c>
      <c r="L839" s="255"/>
      <c r="M839" s="256">
        <v>2.9700000000000001E-4</v>
      </c>
      <c r="N839" s="249">
        <v>838</v>
      </c>
    </row>
    <row r="840" spans="1:14" x14ac:dyDescent="0.25">
      <c r="A840" s="252" t="s">
        <v>183</v>
      </c>
      <c r="B840" s="252" t="s">
        <v>3038</v>
      </c>
      <c r="C840" s="253">
        <v>0</v>
      </c>
      <c r="D840" s="252">
        <v>50592</v>
      </c>
      <c r="E840" s="252" t="s">
        <v>3039</v>
      </c>
      <c r="F840" s="254" t="s">
        <v>3271</v>
      </c>
      <c r="G840" s="252" t="s">
        <v>1654</v>
      </c>
      <c r="H840" s="252" t="s">
        <v>3300</v>
      </c>
      <c r="I840" s="252">
        <v>5</v>
      </c>
      <c r="J840" s="255">
        <v>1</v>
      </c>
      <c r="K840" s="255">
        <v>1</v>
      </c>
      <c r="L840" s="255"/>
      <c r="M840" s="256">
        <v>2.9700000000000001E-4</v>
      </c>
      <c r="N840" s="249">
        <v>839</v>
      </c>
    </row>
    <row r="841" spans="1:14" x14ac:dyDescent="0.25">
      <c r="A841" s="252" t="s">
        <v>183</v>
      </c>
      <c r="B841" s="252" t="s">
        <v>3038</v>
      </c>
      <c r="C841" s="253">
        <v>0</v>
      </c>
      <c r="D841" s="252">
        <v>50592</v>
      </c>
      <c r="E841" s="252" t="s">
        <v>3039</v>
      </c>
      <c r="F841" s="254" t="s">
        <v>3271</v>
      </c>
      <c r="G841" s="252" t="s">
        <v>1655</v>
      </c>
      <c r="H841" s="252" t="s">
        <v>3301</v>
      </c>
      <c r="I841" s="252">
        <v>5</v>
      </c>
      <c r="J841" s="255">
        <v>1</v>
      </c>
      <c r="K841" s="255">
        <v>1</v>
      </c>
      <c r="L841" s="255"/>
      <c r="M841" s="256">
        <v>2.9700000000000001E-4</v>
      </c>
      <c r="N841" s="249">
        <v>840</v>
      </c>
    </row>
    <row r="842" spans="1:14" x14ac:dyDescent="0.25">
      <c r="A842" s="252" t="s">
        <v>183</v>
      </c>
      <c r="B842" s="252" t="s">
        <v>3038</v>
      </c>
      <c r="C842" s="253">
        <v>0</v>
      </c>
      <c r="D842" s="252">
        <v>50592</v>
      </c>
      <c r="E842" s="252" t="s">
        <v>3039</v>
      </c>
      <c r="F842" s="254" t="s">
        <v>3271</v>
      </c>
      <c r="G842" s="252" t="s">
        <v>1656</v>
      </c>
      <c r="H842" s="252" t="s">
        <v>3302</v>
      </c>
      <c r="I842" s="252">
        <v>5</v>
      </c>
      <c r="J842" s="255">
        <v>1</v>
      </c>
      <c r="K842" s="255">
        <v>1</v>
      </c>
      <c r="L842" s="255"/>
      <c r="M842" s="256">
        <v>2.9700000000000001E-4</v>
      </c>
      <c r="N842" s="249">
        <v>841</v>
      </c>
    </row>
    <row r="843" spans="1:14" x14ac:dyDescent="0.25">
      <c r="A843" s="252" t="s">
        <v>183</v>
      </c>
      <c r="B843" s="252" t="s">
        <v>3038</v>
      </c>
      <c r="C843" s="253">
        <v>0</v>
      </c>
      <c r="D843" s="252">
        <v>50592</v>
      </c>
      <c r="E843" s="252" t="s">
        <v>3039</v>
      </c>
      <c r="F843" s="254" t="s">
        <v>3271</v>
      </c>
      <c r="G843" s="252" t="s">
        <v>1657</v>
      </c>
      <c r="H843" s="252" t="s">
        <v>3303</v>
      </c>
      <c r="I843" s="252">
        <v>5</v>
      </c>
      <c r="J843" s="255">
        <v>1</v>
      </c>
      <c r="K843" s="255">
        <v>1</v>
      </c>
      <c r="L843" s="255"/>
      <c r="M843" s="256">
        <v>2.9700000000000001E-4</v>
      </c>
      <c r="N843" s="249">
        <v>842</v>
      </c>
    </row>
    <row r="844" spans="1:14" x14ac:dyDescent="0.25">
      <c r="A844" s="252" t="s">
        <v>183</v>
      </c>
      <c r="B844" s="252" t="s">
        <v>3038</v>
      </c>
      <c r="C844" s="253">
        <v>0</v>
      </c>
      <c r="D844" s="252">
        <v>50592</v>
      </c>
      <c r="E844" s="252" t="s">
        <v>3039</v>
      </c>
      <c r="F844" s="254" t="s">
        <v>3271</v>
      </c>
      <c r="G844" s="252" t="s">
        <v>2232</v>
      </c>
      <c r="H844" s="252" t="s">
        <v>3304</v>
      </c>
      <c r="I844" s="252">
        <v>5</v>
      </c>
      <c r="J844" s="255">
        <v>1</v>
      </c>
      <c r="K844" s="255">
        <v>1</v>
      </c>
      <c r="L844" s="255"/>
      <c r="M844" s="256">
        <v>2.9700000000000001E-4</v>
      </c>
      <c r="N844" s="249">
        <v>843</v>
      </c>
    </row>
    <row r="845" spans="1:14" x14ac:dyDescent="0.25">
      <c r="A845" s="252" t="s">
        <v>183</v>
      </c>
      <c r="B845" s="252" t="s">
        <v>3038</v>
      </c>
      <c r="C845" s="253">
        <v>0</v>
      </c>
      <c r="D845" s="252">
        <v>50592</v>
      </c>
      <c r="E845" s="252" t="s">
        <v>3039</v>
      </c>
      <c r="F845" s="254" t="s">
        <v>3271</v>
      </c>
      <c r="G845" s="252" t="s">
        <v>1658</v>
      </c>
      <c r="H845" s="252" t="s">
        <v>3305</v>
      </c>
      <c r="I845" s="252">
        <v>5</v>
      </c>
      <c r="J845" s="255">
        <v>1</v>
      </c>
      <c r="K845" s="255">
        <v>1</v>
      </c>
      <c r="L845" s="255"/>
      <c r="M845" s="256">
        <v>2.9700000000000001E-4</v>
      </c>
      <c r="N845" s="249">
        <v>844</v>
      </c>
    </row>
    <row r="846" spans="1:14" x14ac:dyDescent="0.25">
      <c r="A846" s="252" t="s">
        <v>183</v>
      </c>
      <c r="B846" s="252" t="s">
        <v>3038</v>
      </c>
      <c r="C846" s="253">
        <v>0</v>
      </c>
      <c r="D846" s="252">
        <v>50592</v>
      </c>
      <c r="E846" s="252" t="s">
        <v>3039</v>
      </c>
      <c r="F846" s="254" t="s">
        <v>3271</v>
      </c>
      <c r="G846" s="252" t="s">
        <v>3306</v>
      </c>
      <c r="H846" s="252" t="s">
        <v>3307</v>
      </c>
      <c r="I846" s="252">
        <v>5</v>
      </c>
      <c r="J846" s="255">
        <v>1</v>
      </c>
      <c r="K846" s="255">
        <v>1</v>
      </c>
      <c r="L846" s="255"/>
      <c r="M846" s="256">
        <v>2.9700000000000001E-4</v>
      </c>
      <c r="N846" s="249">
        <v>845</v>
      </c>
    </row>
    <row r="847" spans="1:14" x14ac:dyDescent="0.25">
      <c r="A847" s="252" t="s">
        <v>183</v>
      </c>
      <c r="B847" s="252" t="s">
        <v>3038</v>
      </c>
      <c r="C847" s="253">
        <v>0</v>
      </c>
      <c r="D847" s="252">
        <v>50592</v>
      </c>
      <c r="E847" s="252" t="s">
        <v>3039</v>
      </c>
      <c r="F847" s="254" t="s">
        <v>3271</v>
      </c>
      <c r="G847" s="252" t="s">
        <v>1660</v>
      </c>
      <c r="H847" s="252" t="s">
        <v>3308</v>
      </c>
      <c r="I847" s="252">
        <v>5</v>
      </c>
      <c r="J847" s="255">
        <v>1</v>
      </c>
      <c r="K847" s="255">
        <v>1</v>
      </c>
      <c r="L847" s="255"/>
      <c r="M847" s="256">
        <v>2.9700000000000001E-4</v>
      </c>
      <c r="N847" s="249">
        <v>846</v>
      </c>
    </row>
    <row r="848" spans="1:14" x14ac:dyDescent="0.25">
      <c r="A848" s="252" t="s">
        <v>183</v>
      </c>
      <c r="B848" s="252" t="s">
        <v>3038</v>
      </c>
      <c r="C848" s="253">
        <v>0</v>
      </c>
      <c r="D848" s="252">
        <v>50592</v>
      </c>
      <c r="E848" s="252" t="s">
        <v>3039</v>
      </c>
      <c r="F848" s="254" t="s">
        <v>3271</v>
      </c>
      <c r="G848" s="252" t="s">
        <v>1661</v>
      </c>
      <c r="H848" s="252" t="s">
        <v>3309</v>
      </c>
      <c r="I848" s="252">
        <v>5</v>
      </c>
      <c r="J848" s="255">
        <v>1</v>
      </c>
      <c r="K848" s="255">
        <v>1</v>
      </c>
      <c r="L848" s="255"/>
      <c r="M848" s="256">
        <v>2.9700000000000001E-4</v>
      </c>
      <c r="N848" s="249">
        <v>847</v>
      </c>
    </row>
    <row r="849" spans="1:14" x14ac:dyDescent="0.25">
      <c r="A849" s="252" t="s">
        <v>183</v>
      </c>
      <c r="B849" s="252" t="s">
        <v>3038</v>
      </c>
      <c r="C849" s="253">
        <v>0</v>
      </c>
      <c r="D849" s="252">
        <v>50592</v>
      </c>
      <c r="E849" s="252" t="s">
        <v>3059</v>
      </c>
      <c r="F849" s="254" t="s">
        <v>3271</v>
      </c>
      <c r="G849" s="252" t="s">
        <v>1663</v>
      </c>
      <c r="H849" s="252" t="s">
        <v>3310</v>
      </c>
      <c r="I849" s="252">
        <v>5</v>
      </c>
      <c r="J849" s="255">
        <v>1</v>
      </c>
      <c r="K849" s="255">
        <v>1</v>
      </c>
      <c r="L849" s="255"/>
      <c r="M849" s="256">
        <v>8.7000000000000001E-5</v>
      </c>
      <c r="N849" s="249">
        <v>848</v>
      </c>
    </row>
    <row r="850" spans="1:14" x14ac:dyDescent="0.25">
      <c r="A850" s="252" t="s">
        <v>183</v>
      </c>
      <c r="B850" s="252" t="s">
        <v>3038</v>
      </c>
      <c r="C850" s="253">
        <v>0</v>
      </c>
      <c r="D850" s="252">
        <v>50592</v>
      </c>
      <c r="E850" s="252" t="s">
        <v>3059</v>
      </c>
      <c r="F850" s="254" t="s">
        <v>3271</v>
      </c>
      <c r="G850" s="252" t="s">
        <v>3311</v>
      </c>
      <c r="H850" s="252" t="s">
        <v>3312</v>
      </c>
      <c r="I850" s="252">
        <v>5</v>
      </c>
      <c r="J850" s="255">
        <v>1</v>
      </c>
      <c r="K850" s="255">
        <v>1</v>
      </c>
      <c r="L850" s="255"/>
      <c r="M850" s="256">
        <v>1.371E-3</v>
      </c>
      <c r="N850" s="249">
        <v>849</v>
      </c>
    </row>
    <row r="851" spans="1:14" x14ac:dyDescent="0.25">
      <c r="A851" s="252" t="s">
        <v>183</v>
      </c>
      <c r="B851" s="252" t="s">
        <v>3038</v>
      </c>
      <c r="C851" s="253">
        <v>0</v>
      </c>
      <c r="D851" s="252">
        <v>50592</v>
      </c>
      <c r="E851" s="252" t="s">
        <v>3059</v>
      </c>
      <c r="F851" s="254" t="s">
        <v>3271</v>
      </c>
      <c r="G851" s="252" t="s">
        <v>3313</v>
      </c>
      <c r="H851" s="252" t="s">
        <v>3314</v>
      </c>
      <c r="I851" s="252">
        <v>5</v>
      </c>
      <c r="J851" s="255">
        <v>1</v>
      </c>
      <c r="K851" s="255">
        <v>1</v>
      </c>
      <c r="L851" s="255"/>
      <c r="M851" s="256">
        <v>1.371E-3</v>
      </c>
      <c r="N851" s="249">
        <v>850</v>
      </c>
    </row>
    <row r="852" spans="1:14" x14ac:dyDescent="0.25">
      <c r="A852" s="252" t="s">
        <v>183</v>
      </c>
      <c r="B852" s="252" t="s">
        <v>3038</v>
      </c>
      <c r="C852" s="253">
        <v>0</v>
      </c>
      <c r="D852" s="252">
        <v>50592</v>
      </c>
      <c r="E852" s="252" t="s">
        <v>3059</v>
      </c>
      <c r="F852" s="254" t="s">
        <v>3271</v>
      </c>
      <c r="G852" s="252" t="s">
        <v>3315</v>
      </c>
      <c r="H852" s="252" t="s">
        <v>3316</v>
      </c>
      <c r="I852" s="252">
        <v>5</v>
      </c>
      <c r="J852" s="255">
        <v>1</v>
      </c>
      <c r="K852" s="255">
        <v>1</v>
      </c>
      <c r="L852" s="255"/>
      <c r="M852" s="256">
        <v>8.7000000000000001E-5</v>
      </c>
      <c r="N852" s="249">
        <v>851</v>
      </c>
    </row>
    <row r="853" spans="1:14" x14ac:dyDescent="0.25">
      <c r="A853" s="252" t="s">
        <v>183</v>
      </c>
      <c r="B853" s="252" t="s">
        <v>3038</v>
      </c>
      <c r="C853" s="253">
        <v>0</v>
      </c>
      <c r="D853" s="252">
        <v>50592</v>
      </c>
      <c r="E853" s="252" t="s">
        <v>3059</v>
      </c>
      <c r="F853" s="254" t="s">
        <v>3271</v>
      </c>
      <c r="G853" s="252" t="s">
        <v>3317</v>
      </c>
      <c r="H853" s="252" t="s">
        <v>3318</v>
      </c>
      <c r="I853" s="252">
        <v>5</v>
      </c>
      <c r="J853" s="255">
        <v>1</v>
      </c>
      <c r="K853" s="255">
        <v>1</v>
      </c>
      <c r="L853" s="255"/>
      <c r="M853" s="256">
        <v>1.7309999999999999E-3</v>
      </c>
      <c r="N853" s="249">
        <v>852</v>
      </c>
    </row>
    <row r="854" spans="1:14" x14ac:dyDescent="0.25">
      <c r="A854" s="252" t="s">
        <v>183</v>
      </c>
      <c r="B854" s="252" t="s">
        <v>3038</v>
      </c>
      <c r="C854" s="253">
        <v>0</v>
      </c>
      <c r="D854" s="252">
        <v>50592</v>
      </c>
      <c r="E854" s="252" t="s">
        <v>3059</v>
      </c>
      <c r="F854" s="254" t="s">
        <v>3271</v>
      </c>
      <c r="G854" s="252" t="s">
        <v>1664</v>
      </c>
      <c r="H854" s="252" t="s">
        <v>3319</v>
      </c>
      <c r="I854" s="252">
        <v>5</v>
      </c>
      <c r="J854" s="255">
        <v>1</v>
      </c>
      <c r="K854" s="255">
        <v>1</v>
      </c>
      <c r="L854" s="255"/>
      <c r="M854" s="256">
        <v>1.9169999999999999E-3</v>
      </c>
      <c r="N854" s="249">
        <v>853</v>
      </c>
    </row>
    <row r="855" spans="1:14" x14ac:dyDescent="0.25">
      <c r="A855" s="252" t="s">
        <v>183</v>
      </c>
      <c r="B855" s="252" t="s">
        <v>3038</v>
      </c>
      <c r="C855" s="253">
        <v>0</v>
      </c>
      <c r="D855" s="252">
        <v>50592</v>
      </c>
      <c r="E855" s="252" t="s">
        <v>3059</v>
      </c>
      <c r="F855" s="254" t="s">
        <v>3271</v>
      </c>
      <c r="G855" s="252" t="s">
        <v>1665</v>
      </c>
      <c r="H855" s="252" t="s">
        <v>3320</v>
      </c>
      <c r="I855" s="252">
        <v>5</v>
      </c>
      <c r="J855" s="255">
        <v>1</v>
      </c>
      <c r="K855" s="255">
        <v>1</v>
      </c>
      <c r="L855" s="255"/>
      <c r="M855" s="256">
        <v>8.7000000000000001E-5</v>
      </c>
      <c r="N855" s="249">
        <v>854</v>
      </c>
    </row>
    <row r="856" spans="1:14" x14ac:dyDescent="0.25">
      <c r="A856" s="252" t="s">
        <v>183</v>
      </c>
      <c r="B856" s="252" t="s">
        <v>3038</v>
      </c>
      <c r="C856" s="253">
        <v>0</v>
      </c>
      <c r="D856" s="252">
        <v>50592</v>
      </c>
      <c r="E856" s="252" t="s">
        <v>3059</v>
      </c>
      <c r="F856" s="254" t="s">
        <v>3271</v>
      </c>
      <c r="G856" s="252" t="s">
        <v>2233</v>
      </c>
      <c r="H856" s="252" t="s">
        <v>3321</v>
      </c>
      <c r="I856" s="252">
        <v>5</v>
      </c>
      <c r="J856" s="255">
        <v>1</v>
      </c>
      <c r="K856" s="255">
        <v>1</v>
      </c>
      <c r="L856" s="255"/>
      <c r="M856" s="256">
        <v>1.8059999999999997E-3</v>
      </c>
      <c r="N856" s="249">
        <v>855</v>
      </c>
    </row>
    <row r="857" spans="1:14" x14ac:dyDescent="0.25">
      <c r="A857" s="252" t="s">
        <v>183</v>
      </c>
      <c r="B857" s="252" t="s">
        <v>3038</v>
      </c>
      <c r="C857" s="253">
        <v>0</v>
      </c>
      <c r="D857" s="252">
        <v>50592</v>
      </c>
      <c r="E857" s="252" t="s">
        <v>3059</v>
      </c>
      <c r="F857" s="254" t="s">
        <v>3271</v>
      </c>
      <c r="G857" s="252" t="s">
        <v>2234</v>
      </c>
      <c r="H857" s="252" t="s">
        <v>3322</v>
      </c>
      <c r="I857" s="252">
        <v>5</v>
      </c>
      <c r="J857" s="255">
        <v>1</v>
      </c>
      <c r="K857" s="255">
        <v>1</v>
      </c>
      <c r="L857" s="255"/>
      <c r="M857" s="256">
        <v>8.2799999999999996E-4</v>
      </c>
      <c r="N857" s="249">
        <v>856</v>
      </c>
    </row>
    <row r="858" spans="1:14" x14ac:dyDescent="0.25">
      <c r="A858" s="252" t="s">
        <v>183</v>
      </c>
      <c r="B858" s="252" t="s">
        <v>3038</v>
      </c>
      <c r="C858" s="253">
        <v>0</v>
      </c>
      <c r="D858" s="252">
        <v>50592</v>
      </c>
      <c r="E858" s="252" t="s">
        <v>3059</v>
      </c>
      <c r="F858" s="254" t="s">
        <v>3271</v>
      </c>
      <c r="G858" s="252" t="s">
        <v>2235</v>
      </c>
      <c r="H858" s="252" t="s">
        <v>3323</v>
      </c>
      <c r="I858" s="252">
        <v>5</v>
      </c>
      <c r="J858" s="255">
        <v>1</v>
      </c>
      <c r="K858" s="255">
        <v>1</v>
      </c>
      <c r="L858" s="255"/>
      <c r="M858" s="256">
        <v>8.2799999999999996E-4</v>
      </c>
      <c r="N858" s="249">
        <v>857</v>
      </c>
    </row>
    <row r="859" spans="1:14" x14ac:dyDescent="0.25">
      <c r="A859" s="252" t="s">
        <v>183</v>
      </c>
      <c r="B859" s="252" t="s">
        <v>3038</v>
      </c>
      <c r="C859" s="253">
        <v>0</v>
      </c>
      <c r="D859" s="252">
        <v>50592</v>
      </c>
      <c r="E859" s="252" t="s">
        <v>3059</v>
      </c>
      <c r="F859" s="254" t="s">
        <v>3271</v>
      </c>
      <c r="G859" s="252" t="s">
        <v>3324</v>
      </c>
      <c r="H859" s="252" t="s">
        <v>3325</v>
      </c>
      <c r="I859" s="252">
        <v>5</v>
      </c>
      <c r="J859" s="255">
        <v>1</v>
      </c>
      <c r="K859" s="255">
        <v>1</v>
      </c>
      <c r="L859" s="255"/>
      <c r="M859" s="256">
        <v>8.7000000000000001E-5</v>
      </c>
      <c r="N859" s="249">
        <v>858</v>
      </c>
    </row>
    <row r="860" spans="1:14" x14ac:dyDescent="0.25">
      <c r="A860" s="252" t="s">
        <v>183</v>
      </c>
      <c r="B860" s="252" t="s">
        <v>3038</v>
      </c>
      <c r="C860" s="253">
        <v>0</v>
      </c>
      <c r="D860" s="252">
        <v>50592</v>
      </c>
      <c r="E860" s="252" t="s">
        <v>3059</v>
      </c>
      <c r="F860" s="254" t="s">
        <v>3271</v>
      </c>
      <c r="G860" s="252" t="s">
        <v>3326</v>
      </c>
      <c r="H860" s="252" t="s">
        <v>3327</v>
      </c>
      <c r="I860" s="252">
        <v>5</v>
      </c>
      <c r="J860" s="255">
        <v>1</v>
      </c>
      <c r="K860" s="255">
        <v>1</v>
      </c>
      <c r="L860" s="255"/>
      <c r="M860" s="256">
        <v>1.7759999999999998E-3</v>
      </c>
      <c r="N860" s="249">
        <v>859</v>
      </c>
    </row>
    <row r="861" spans="1:14" x14ac:dyDescent="0.25">
      <c r="A861" s="252" t="s">
        <v>183</v>
      </c>
      <c r="B861" s="252" t="s">
        <v>3038</v>
      </c>
      <c r="C861" s="253">
        <v>0</v>
      </c>
      <c r="D861" s="252">
        <v>50592</v>
      </c>
      <c r="E861" s="252" t="s">
        <v>3059</v>
      </c>
      <c r="F861" s="254" t="s">
        <v>3271</v>
      </c>
      <c r="G861" s="252" t="s">
        <v>3328</v>
      </c>
      <c r="H861" s="252" t="s">
        <v>3329</v>
      </c>
      <c r="I861" s="252">
        <v>5</v>
      </c>
      <c r="J861" s="255">
        <v>1</v>
      </c>
      <c r="K861" s="255">
        <v>1</v>
      </c>
      <c r="L861" s="255"/>
      <c r="M861" s="256">
        <v>1.2149999999999999E-3</v>
      </c>
      <c r="N861" s="249">
        <v>860</v>
      </c>
    </row>
    <row r="862" spans="1:14" x14ac:dyDescent="0.25">
      <c r="A862" s="252" t="s">
        <v>183</v>
      </c>
      <c r="B862" s="252" t="s">
        <v>3038</v>
      </c>
      <c r="C862" s="253">
        <v>0</v>
      </c>
      <c r="D862" s="252">
        <v>50592</v>
      </c>
      <c r="E862" s="252" t="s">
        <v>3059</v>
      </c>
      <c r="F862" s="254" t="s">
        <v>3271</v>
      </c>
      <c r="G862" s="252" t="s">
        <v>3330</v>
      </c>
      <c r="H862" s="252" t="s">
        <v>3331</v>
      </c>
      <c r="I862" s="252">
        <v>5</v>
      </c>
      <c r="J862" s="255">
        <v>1</v>
      </c>
      <c r="K862" s="255">
        <v>1</v>
      </c>
      <c r="L862" s="255"/>
      <c r="M862" s="256">
        <v>4.4999999999999999E-4</v>
      </c>
      <c r="N862" s="249">
        <v>861</v>
      </c>
    </row>
    <row r="863" spans="1:14" x14ac:dyDescent="0.25">
      <c r="A863" s="252" t="s">
        <v>183</v>
      </c>
      <c r="B863" s="252" t="s">
        <v>3038</v>
      </c>
      <c r="C863" s="253">
        <v>0</v>
      </c>
      <c r="D863" s="252">
        <v>50592</v>
      </c>
      <c r="E863" s="252" t="s">
        <v>3059</v>
      </c>
      <c r="F863" s="254" t="s">
        <v>3271</v>
      </c>
      <c r="G863" s="252" t="s">
        <v>3332</v>
      </c>
      <c r="H863" s="252" t="s">
        <v>3333</v>
      </c>
      <c r="I863" s="252">
        <v>5</v>
      </c>
      <c r="J863" s="255">
        <v>1</v>
      </c>
      <c r="K863" s="255">
        <v>1</v>
      </c>
      <c r="L863" s="255"/>
      <c r="M863" s="256">
        <v>2.4899999999999998E-4</v>
      </c>
      <c r="N863" s="249">
        <v>862</v>
      </c>
    </row>
    <row r="864" spans="1:14" x14ac:dyDescent="0.25">
      <c r="A864" s="252" t="s">
        <v>183</v>
      </c>
      <c r="B864" s="252" t="s">
        <v>3038</v>
      </c>
      <c r="C864" s="253">
        <v>0</v>
      </c>
      <c r="D864" s="252">
        <v>50592</v>
      </c>
      <c r="E864" s="252" t="s">
        <v>3059</v>
      </c>
      <c r="F864" s="254" t="s">
        <v>3271</v>
      </c>
      <c r="G864" s="252" t="s">
        <v>3334</v>
      </c>
      <c r="H864" s="252" t="s">
        <v>3335</v>
      </c>
      <c r="I864" s="252">
        <v>5</v>
      </c>
      <c r="J864" s="255">
        <v>1</v>
      </c>
      <c r="K864" s="255">
        <v>1</v>
      </c>
      <c r="L864" s="255"/>
      <c r="M864" s="256">
        <v>8.7000000000000001E-5</v>
      </c>
      <c r="N864" s="249">
        <v>863</v>
      </c>
    </row>
    <row r="865" spans="1:14" x14ac:dyDescent="0.25">
      <c r="A865" s="252" t="s">
        <v>183</v>
      </c>
      <c r="B865" s="252" t="s">
        <v>3038</v>
      </c>
      <c r="C865" s="253">
        <v>0</v>
      </c>
      <c r="D865" s="252">
        <v>50592</v>
      </c>
      <c r="E865" s="252" t="s">
        <v>3059</v>
      </c>
      <c r="F865" s="254" t="s">
        <v>3271</v>
      </c>
      <c r="G865" s="252" t="s">
        <v>3336</v>
      </c>
      <c r="H865" s="252" t="s">
        <v>3337</v>
      </c>
      <c r="I865" s="252">
        <v>5</v>
      </c>
      <c r="J865" s="255">
        <v>1</v>
      </c>
      <c r="K865" s="255">
        <v>1</v>
      </c>
      <c r="L865" s="255"/>
      <c r="M865" s="256">
        <v>4.1100000000000002E-4</v>
      </c>
      <c r="N865" s="249">
        <v>864</v>
      </c>
    </row>
    <row r="866" spans="1:14" x14ac:dyDescent="0.25">
      <c r="A866" s="252" t="s">
        <v>183</v>
      </c>
      <c r="B866" s="252" t="s">
        <v>3038</v>
      </c>
      <c r="C866" s="253">
        <v>0</v>
      </c>
      <c r="D866" s="252">
        <v>50592</v>
      </c>
      <c r="E866" s="252" t="s">
        <v>3059</v>
      </c>
      <c r="F866" s="254" t="s">
        <v>3271</v>
      </c>
      <c r="G866" s="252" t="s">
        <v>3338</v>
      </c>
      <c r="H866" s="252" t="s">
        <v>3339</v>
      </c>
      <c r="I866" s="252">
        <v>5</v>
      </c>
      <c r="J866" s="255">
        <v>1</v>
      </c>
      <c r="K866" s="255">
        <v>1</v>
      </c>
      <c r="L866" s="255"/>
      <c r="M866" s="256">
        <v>3.0000000000000001E-5</v>
      </c>
      <c r="N866" s="249">
        <v>865</v>
      </c>
    </row>
    <row r="867" spans="1:14" x14ac:dyDescent="0.25">
      <c r="A867" s="252" t="s">
        <v>183</v>
      </c>
      <c r="B867" s="252" t="s">
        <v>3038</v>
      </c>
      <c r="C867" s="253">
        <v>0</v>
      </c>
      <c r="D867" s="252">
        <v>50592</v>
      </c>
      <c r="E867" s="252" t="s">
        <v>3059</v>
      </c>
      <c r="F867" s="254" t="s">
        <v>3271</v>
      </c>
      <c r="G867" s="252" t="s">
        <v>1666</v>
      </c>
      <c r="H867" s="252" t="s">
        <v>3340</v>
      </c>
      <c r="I867" s="252">
        <v>5</v>
      </c>
      <c r="J867" s="255">
        <v>1</v>
      </c>
      <c r="K867" s="255">
        <v>1</v>
      </c>
      <c r="L867" s="255"/>
      <c r="M867" s="256">
        <v>8.7000000000000001E-5</v>
      </c>
      <c r="N867" s="249">
        <v>866</v>
      </c>
    </row>
    <row r="868" spans="1:14" x14ac:dyDescent="0.25">
      <c r="A868" s="252" t="s">
        <v>183</v>
      </c>
      <c r="B868" s="252" t="s">
        <v>3038</v>
      </c>
      <c r="C868" s="253">
        <v>0</v>
      </c>
      <c r="D868" s="252">
        <v>50592</v>
      </c>
      <c r="E868" s="252" t="s">
        <v>3059</v>
      </c>
      <c r="F868" s="254" t="s">
        <v>3271</v>
      </c>
      <c r="G868" s="252" t="s">
        <v>1667</v>
      </c>
      <c r="H868" s="252" t="s">
        <v>3341</v>
      </c>
      <c r="I868" s="252">
        <v>5</v>
      </c>
      <c r="J868" s="255">
        <v>1</v>
      </c>
      <c r="K868" s="255">
        <v>1</v>
      </c>
      <c r="L868" s="255"/>
      <c r="M868" s="256">
        <v>4.1100000000000002E-4</v>
      </c>
      <c r="N868" s="249">
        <v>867</v>
      </c>
    </row>
    <row r="869" spans="1:14" x14ac:dyDescent="0.25">
      <c r="A869" s="252" t="s">
        <v>183</v>
      </c>
      <c r="B869" s="252" t="s">
        <v>3038</v>
      </c>
      <c r="C869" s="253">
        <v>0</v>
      </c>
      <c r="D869" s="252">
        <v>50592</v>
      </c>
      <c r="E869" s="252" t="s">
        <v>3059</v>
      </c>
      <c r="F869" s="254" t="s">
        <v>3271</v>
      </c>
      <c r="G869" s="252" t="s">
        <v>2236</v>
      </c>
      <c r="H869" s="252" t="s">
        <v>3342</v>
      </c>
      <c r="I869" s="252">
        <v>5</v>
      </c>
      <c r="J869" s="255">
        <v>1</v>
      </c>
      <c r="K869" s="255">
        <v>1</v>
      </c>
      <c r="L869" s="255"/>
      <c r="M869" s="256">
        <v>3.0000000000000001E-5</v>
      </c>
      <c r="N869" s="249">
        <v>868</v>
      </c>
    </row>
    <row r="870" spans="1:14" x14ac:dyDescent="0.25">
      <c r="A870" s="252" t="s">
        <v>183</v>
      </c>
      <c r="B870" s="252" t="s">
        <v>3038</v>
      </c>
      <c r="C870" s="253">
        <v>0</v>
      </c>
      <c r="D870" s="252">
        <v>50592</v>
      </c>
      <c r="E870" s="252" t="s">
        <v>3059</v>
      </c>
      <c r="F870" s="254" t="s">
        <v>3271</v>
      </c>
      <c r="G870" s="252" t="s">
        <v>3343</v>
      </c>
      <c r="H870" s="252" t="s">
        <v>3344</v>
      </c>
      <c r="I870" s="252">
        <v>5</v>
      </c>
      <c r="J870" s="255">
        <v>1</v>
      </c>
      <c r="K870" s="255">
        <v>1</v>
      </c>
      <c r="L870" s="255"/>
      <c r="M870" s="256">
        <v>8.7000000000000001E-5</v>
      </c>
      <c r="N870" s="249">
        <v>869</v>
      </c>
    </row>
    <row r="871" spans="1:14" x14ac:dyDescent="0.25">
      <c r="A871" s="252" t="s">
        <v>183</v>
      </c>
      <c r="B871" s="252" t="s">
        <v>3038</v>
      </c>
      <c r="C871" s="253">
        <v>0</v>
      </c>
      <c r="D871" s="252">
        <v>50592</v>
      </c>
      <c r="E871" s="252" t="s">
        <v>3059</v>
      </c>
      <c r="F871" s="254" t="s">
        <v>3271</v>
      </c>
      <c r="G871" s="252" t="s">
        <v>3345</v>
      </c>
      <c r="H871" s="252" t="s">
        <v>3346</v>
      </c>
      <c r="I871" s="252">
        <v>5</v>
      </c>
      <c r="J871" s="255">
        <v>1</v>
      </c>
      <c r="K871" s="255">
        <v>1</v>
      </c>
      <c r="L871" s="255"/>
      <c r="M871" s="256">
        <v>8.7000000000000001E-5</v>
      </c>
      <c r="N871" s="249">
        <v>870</v>
      </c>
    </row>
    <row r="872" spans="1:14" x14ac:dyDescent="0.25">
      <c r="A872" s="252" t="s">
        <v>183</v>
      </c>
      <c r="B872" s="252" t="s">
        <v>3038</v>
      </c>
      <c r="C872" s="253">
        <v>0</v>
      </c>
      <c r="D872" s="252">
        <v>50592</v>
      </c>
      <c r="E872" s="252" t="s">
        <v>3059</v>
      </c>
      <c r="F872" s="254" t="s">
        <v>3271</v>
      </c>
      <c r="G872" s="252" t="s">
        <v>3347</v>
      </c>
      <c r="H872" s="252" t="s">
        <v>3348</v>
      </c>
      <c r="I872" s="252">
        <v>5</v>
      </c>
      <c r="J872" s="255">
        <v>1</v>
      </c>
      <c r="K872" s="255">
        <v>1</v>
      </c>
      <c r="L872" s="255"/>
      <c r="M872" s="256">
        <v>1.8059999999999997E-3</v>
      </c>
      <c r="N872" s="249">
        <v>871</v>
      </c>
    </row>
    <row r="873" spans="1:14" x14ac:dyDescent="0.25">
      <c r="A873" s="252" t="s">
        <v>183</v>
      </c>
      <c r="B873" s="252" t="s">
        <v>3038</v>
      </c>
      <c r="C873" s="253">
        <v>0</v>
      </c>
      <c r="D873" s="252">
        <v>50592</v>
      </c>
      <c r="E873" s="252" t="s">
        <v>3059</v>
      </c>
      <c r="F873" s="254" t="s">
        <v>3271</v>
      </c>
      <c r="G873" s="252" t="s">
        <v>3349</v>
      </c>
      <c r="H873" s="252" t="s">
        <v>3350</v>
      </c>
      <c r="I873" s="252">
        <v>5</v>
      </c>
      <c r="J873" s="255">
        <v>1</v>
      </c>
      <c r="K873" s="255">
        <v>1</v>
      </c>
      <c r="L873" s="255"/>
      <c r="M873" s="256">
        <v>7.9199999999999995E-4</v>
      </c>
      <c r="N873" s="249">
        <v>872</v>
      </c>
    </row>
    <row r="874" spans="1:14" x14ac:dyDescent="0.25">
      <c r="A874" s="252" t="s">
        <v>183</v>
      </c>
      <c r="B874" s="252" t="s">
        <v>3038</v>
      </c>
      <c r="C874" s="253">
        <v>0</v>
      </c>
      <c r="D874" s="252">
        <v>50592</v>
      </c>
      <c r="E874" s="252" t="s">
        <v>3059</v>
      </c>
      <c r="F874" s="254" t="s">
        <v>3271</v>
      </c>
      <c r="G874" s="252" t="s">
        <v>3351</v>
      </c>
      <c r="H874" s="252" t="s">
        <v>3352</v>
      </c>
      <c r="I874" s="252">
        <v>5</v>
      </c>
      <c r="J874" s="255">
        <v>1</v>
      </c>
      <c r="K874" s="255">
        <v>1</v>
      </c>
      <c r="L874" s="255"/>
      <c r="M874" s="256">
        <v>7.9199999999999995E-4</v>
      </c>
      <c r="N874" s="249">
        <v>873</v>
      </c>
    </row>
    <row r="875" spans="1:14" x14ac:dyDescent="0.25">
      <c r="A875" s="252" t="s">
        <v>183</v>
      </c>
      <c r="B875" s="252" t="s">
        <v>3038</v>
      </c>
      <c r="C875" s="253">
        <v>0</v>
      </c>
      <c r="D875" s="252">
        <v>50592</v>
      </c>
      <c r="E875" s="252" t="s">
        <v>3059</v>
      </c>
      <c r="F875" s="254" t="s">
        <v>3271</v>
      </c>
      <c r="G875" s="252" t="s">
        <v>3353</v>
      </c>
      <c r="H875" s="252" t="s">
        <v>3354</v>
      </c>
      <c r="I875" s="252">
        <v>5</v>
      </c>
      <c r="J875" s="255">
        <v>1</v>
      </c>
      <c r="K875" s="255">
        <v>1</v>
      </c>
      <c r="L875" s="255"/>
      <c r="M875" s="256">
        <v>1.2149999999999999E-3</v>
      </c>
      <c r="N875" s="249">
        <v>874</v>
      </c>
    </row>
    <row r="876" spans="1:14" x14ac:dyDescent="0.25">
      <c r="A876" s="252" t="s">
        <v>183</v>
      </c>
      <c r="B876" s="252" t="s">
        <v>3038</v>
      </c>
      <c r="C876" s="253">
        <v>0</v>
      </c>
      <c r="D876" s="252">
        <v>50592</v>
      </c>
      <c r="E876" s="252" t="s">
        <v>3059</v>
      </c>
      <c r="F876" s="254" t="s">
        <v>3271</v>
      </c>
      <c r="G876" s="252" t="s">
        <v>3355</v>
      </c>
      <c r="H876" s="252" t="s">
        <v>3356</v>
      </c>
      <c r="I876" s="252">
        <v>5</v>
      </c>
      <c r="J876" s="255">
        <v>1</v>
      </c>
      <c r="K876" s="255">
        <v>1</v>
      </c>
      <c r="L876" s="255"/>
      <c r="M876" s="256">
        <v>2.7E-4</v>
      </c>
      <c r="N876" s="249">
        <v>875</v>
      </c>
    </row>
    <row r="877" spans="1:14" x14ac:dyDescent="0.25">
      <c r="A877" s="252" t="s">
        <v>183</v>
      </c>
      <c r="B877" s="252" t="s">
        <v>3038</v>
      </c>
      <c r="C877" s="253">
        <v>0</v>
      </c>
      <c r="D877" s="252">
        <v>50592</v>
      </c>
      <c r="E877" s="252" t="s">
        <v>3059</v>
      </c>
      <c r="F877" s="254" t="s">
        <v>3271</v>
      </c>
      <c r="G877" s="252" t="s">
        <v>3357</v>
      </c>
      <c r="H877" s="252" t="s">
        <v>3358</v>
      </c>
      <c r="I877" s="252">
        <v>5</v>
      </c>
      <c r="J877" s="255">
        <v>1</v>
      </c>
      <c r="K877" s="255">
        <v>1</v>
      </c>
      <c r="L877" s="255"/>
      <c r="M877" s="256">
        <v>4.4999999999999999E-4</v>
      </c>
      <c r="N877" s="249">
        <v>876</v>
      </c>
    </row>
    <row r="878" spans="1:14" x14ac:dyDescent="0.25">
      <c r="A878" s="252" t="s">
        <v>183</v>
      </c>
      <c r="B878" s="252" t="s">
        <v>3038</v>
      </c>
      <c r="C878" s="253">
        <v>0</v>
      </c>
      <c r="D878" s="252">
        <v>50592</v>
      </c>
      <c r="E878" s="252" t="s">
        <v>3059</v>
      </c>
      <c r="F878" s="254" t="s">
        <v>3271</v>
      </c>
      <c r="G878" s="252" t="s">
        <v>3359</v>
      </c>
      <c r="H878" s="252" t="s">
        <v>3360</v>
      </c>
      <c r="I878" s="252">
        <v>5</v>
      </c>
      <c r="J878" s="255">
        <v>1</v>
      </c>
      <c r="K878" s="255">
        <v>1</v>
      </c>
      <c r="L878" s="255"/>
      <c r="M878" s="256">
        <v>1.8569999999999999E-3</v>
      </c>
      <c r="N878" s="249">
        <v>877</v>
      </c>
    </row>
    <row r="879" spans="1:14" x14ac:dyDescent="0.25">
      <c r="A879" s="252" t="s">
        <v>183</v>
      </c>
      <c r="B879" s="252" t="s">
        <v>3038</v>
      </c>
      <c r="C879" s="253">
        <v>0</v>
      </c>
      <c r="D879" s="252">
        <v>50592</v>
      </c>
      <c r="E879" s="252" t="s">
        <v>3059</v>
      </c>
      <c r="F879" s="254" t="s">
        <v>3271</v>
      </c>
      <c r="G879" s="252" t="s">
        <v>3361</v>
      </c>
      <c r="H879" s="252" t="s">
        <v>3362</v>
      </c>
      <c r="I879" s="252">
        <v>5</v>
      </c>
      <c r="J879" s="255">
        <v>1</v>
      </c>
      <c r="K879" s="255">
        <v>1</v>
      </c>
      <c r="L879" s="255"/>
      <c r="M879" s="256">
        <v>1.7759999999999998E-3</v>
      </c>
      <c r="N879" s="249">
        <v>878</v>
      </c>
    </row>
    <row r="880" spans="1:14" x14ac:dyDescent="0.25">
      <c r="A880" s="252" t="s">
        <v>183</v>
      </c>
      <c r="B880" s="252" t="s">
        <v>3038</v>
      </c>
      <c r="C880" s="253">
        <v>0</v>
      </c>
      <c r="D880" s="252">
        <v>50592</v>
      </c>
      <c r="E880" s="252" t="s">
        <v>3059</v>
      </c>
      <c r="F880" s="254" t="s">
        <v>3271</v>
      </c>
      <c r="G880" s="252" t="s">
        <v>3363</v>
      </c>
      <c r="H880" s="252" t="s">
        <v>3364</v>
      </c>
      <c r="I880" s="252">
        <v>5</v>
      </c>
      <c r="J880" s="255">
        <v>1</v>
      </c>
      <c r="K880" s="255">
        <v>1</v>
      </c>
      <c r="L880" s="255"/>
      <c r="M880" s="256">
        <v>2.0159999999999996E-3</v>
      </c>
      <c r="N880" s="249">
        <v>879</v>
      </c>
    </row>
    <row r="881" spans="1:14" x14ac:dyDescent="0.25">
      <c r="A881" s="252" t="s">
        <v>183</v>
      </c>
      <c r="B881" s="252" t="s">
        <v>3038</v>
      </c>
      <c r="C881" s="253">
        <v>0</v>
      </c>
      <c r="D881" s="252">
        <v>50592</v>
      </c>
      <c r="E881" s="252" t="s">
        <v>3059</v>
      </c>
      <c r="F881" s="254" t="s">
        <v>3271</v>
      </c>
      <c r="G881" s="252" t="s">
        <v>3365</v>
      </c>
      <c r="H881" s="252" t="s">
        <v>3366</v>
      </c>
      <c r="I881" s="252">
        <v>5</v>
      </c>
      <c r="J881" s="255">
        <v>1</v>
      </c>
      <c r="K881" s="255">
        <v>1</v>
      </c>
      <c r="L881" s="255"/>
      <c r="M881" s="256">
        <v>8.7000000000000001E-5</v>
      </c>
      <c r="N881" s="249">
        <v>880</v>
      </c>
    </row>
    <row r="882" spans="1:14" x14ac:dyDescent="0.25">
      <c r="A882" s="252" t="s">
        <v>183</v>
      </c>
      <c r="B882" s="252" t="s">
        <v>3038</v>
      </c>
      <c r="C882" s="253">
        <v>0</v>
      </c>
      <c r="D882" s="252">
        <v>50592</v>
      </c>
      <c r="E882" s="252" t="s">
        <v>3059</v>
      </c>
      <c r="F882" s="254" t="s">
        <v>3271</v>
      </c>
      <c r="G882" s="252" t="s">
        <v>3367</v>
      </c>
      <c r="H882" s="252" t="s">
        <v>3368</v>
      </c>
      <c r="I882" s="252">
        <v>5</v>
      </c>
      <c r="J882" s="255">
        <v>1</v>
      </c>
      <c r="K882" s="255">
        <v>1</v>
      </c>
      <c r="L882" s="255"/>
      <c r="M882" s="256">
        <v>1.8059999999999997E-3</v>
      </c>
      <c r="N882" s="249">
        <v>881</v>
      </c>
    </row>
    <row r="883" spans="1:14" x14ac:dyDescent="0.25">
      <c r="A883" s="252" t="s">
        <v>183</v>
      </c>
      <c r="B883" s="252" t="s">
        <v>3038</v>
      </c>
      <c r="C883" s="253">
        <v>0</v>
      </c>
      <c r="D883" s="252">
        <v>50592</v>
      </c>
      <c r="E883" s="252" t="s">
        <v>3059</v>
      </c>
      <c r="F883" s="254" t="s">
        <v>3271</v>
      </c>
      <c r="G883" s="252" t="s">
        <v>3369</v>
      </c>
      <c r="H883" s="252" t="s">
        <v>3370</v>
      </c>
      <c r="I883" s="252">
        <v>5</v>
      </c>
      <c r="J883" s="255">
        <v>1</v>
      </c>
      <c r="K883" s="255">
        <v>1</v>
      </c>
      <c r="L883" s="255"/>
      <c r="M883" s="256">
        <v>1.1790000000000001E-3</v>
      </c>
      <c r="N883" s="249">
        <v>882</v>
      </c>
    </row>
    <row r="884" spans="1:14" x14ac:dyDescent="0.25">
      <c r="A884" s="252" t="s">
        <v>183</v>
      </c>
      <c r="B884" s="252" t="s">
        <v>3038</v>
      </c>
      <c r="C884" s="253">
        <v>0</v>
      </c>
      <c r="D884" s="252">
        <v>50592</v>
      </c>
      <c r="E884" s="252" t="s">
        <v>3059</v>
      </c>
      <c r="F884" s="254" t="s">
        <v>3271</v>
      </c>
      <c r="G884" s="252" t="s">
        <v>3371</v>
      </c>
      <c r="H884" s="252" t="s">
        <v>3372</v>
      </c>
      <c r="I884" s="252">
        <v>5</v>
      </c>
      <c r="J884" s="255">
        <v>1</v>
      </c>
      <c r="K884" s="255">
        <v>1</v>
      </c>
      <c r="L884" s="255"/>
      <c r="M884" s="256">
        <v>1.1790000000000001E-3</v>
      </c>
      <c r="N884" s="249">
        <v>883</v>
      </c>
    </row>
    <row r="885" spans="1:14" x14ac:dyDescent="0.25">
      <c r="A885" s="252" t="s">
        <v>183</v>
      </c>
      <c r="B885" s="252" t="s">
        <v>3038</v>
      </c>
      <c r="C885" s="253">
        <v>0</v>
      </c>
      <c r="D885" s="252">
        <v>50592</v>
      </c>
      <c r="E885" s="252" t="s">
        <v>3059</v>
      </c>
      <c r="F885" s="254" t="s">
        <v>3271</v>
      </c>
      <c r="G885" s="252" t="s">
        <v>3373</v>
      </c>
      <c r="H885" s="252" t="s">
        <v>3374</v>
      </c>
      <c r="I885" s="252">
        <v>5</v>
      </c>
      <c r="J885" s="255">
        <v>1</v>
      </c>
      <c r="K885" s="255">
        <v>1</v>
      </c>
      <c r="L885" s="255"/>
      <c r="M885" s="256">
        <v>8.7000000000000001E-5</v>
      </c>
      <c r="N885" s="249">
        <v>884</v>
      </c>
    </row>
    <row r="886" spans="1:14" x14ac:dyDescent="0.25">
      <c r="A886" s="252" t="s">
        <v>183</v>
      </c>
      <c r="B886" s="252" t="s">
        <v>3038</v>
      </c>
      <c r="C886" s="253">
        <v>0</v>
      </c>
      <c r="D886" s="252">
        <v>50592</v>
      </c>
      <c r="E886" s="252" t="s">
        <v>3059</v>
      </c>
      <c r="F886" s="254" t="s">
        <v>3271</v>
      </c>
      <c r="G886" s="252" t="s">
        <v>3375</v>
      </c>
      <c r="H886" s="252" t="s">
        <v>3376</v>
      </c>
      <c r="I886" s="252">
        <v>5</v>
      </c>
      <c r="J886" s="255">
        <v>1</v>
      </c>
      <c r="K886" s="255">
        <v>1</v>
      </c>
      <c r="L886" s="255"/>
      <c r="M886" s="256">
        <v>1.8059999999999997E-3</v>
      </c>
      <c r="N886" s="249">
        <v>885</v>
      </c>
    </row>
    <row r="887" spans="1:14" x14ac:dyDescent="0.25">
      <c r="A887" s="252" t="s">
        <v>183</v>
      </c>
      <c r="B887" s="252" t="s">
        <v>3038</v>
      </c>
      <c r="C887" s="253">
        <v>0</v>
      </c>
      <c r="D887" s="252">
        <v>50592</v>
      </c>
      <c r="E887" s="252" t="s">
        <v>3059</v>
      </c>
      <c r="F887" s="254" t="s">
        <v>3271</v>
      </c>
      <c r="G887" s="252" t="s">
        <v>2237</v>
      </c>
      <c r="H887" s="252" t="s">
        <v>3377</v>
      </c>
      <c r="I887" s="252">
        <v>5</v>
      </c>
      <c r="J887" s="255">
        <v>1</v>
      </c>
      <c r="K887" s="255">
        <v>1</v>
      </c>
      <c r="L887" s="255"/>
      <c r="M887" s="256">
        <v>3.0509999999999999E-3</v>
      </c>
      <c r="N887" s="249">
        <v>886</v>
      </c>
    </row>
    <row r="888" spans="1:14" x14ac:dyDescent="0.25">
      <c r="A888" s="252" t="s">
        <v>183</v>
      </c>
      <c r="B888" s="252" t="s">
        <v>3038</v>
      </c>
      <c r="C888" s="253">
        <v>0</v>
      </c>
      <c r="D888" s="252">
        <v>50592</v>
      </c>
      <c r="E888" s="252" t="s">
        <v>3059</v>
      </c>
      <c r="F888" s="254" t="s">
        <v>3271</v>
      </c>
      <c r="G888" s="252" t="s">
        <v>2238</v>
      </c>
      <c r="H888" s="252" t="s">
        <v>3378</v>
      </c>
      <c r="I888" s="252">
        <v>5</v>
      </c>
      <c r="J888" s="255">
        <v>1</v>
      </c>
      <c r="K888" s="255">
        <v>1</v>
      </c>
      <c r="L888" s="255"/>
      <c r="M888" s="256">
        <v>5.9099999999999995E-4</v>
      </c>
      <c r="N888" s="249">
        <v>887</v>
      </c>
    </row>
    <row r="889" spans="1:14" x14ac:dyDescent="0.25">
      <c r="A889" s="252" t="s">
        <v>183</v>
      </c>
      <c r="B889" s="252" t="s">
        <v>3038</v>
      </c>
      <c r="C889" s="253">
        <v>0</v>
      </c>
      <c r="D889" s="252">
        <v>50592</v>
      </c>
      <c r="E889" s="252" t="s">
        <v>3059</v>
      </c>
      <c r="F889" s="254" t="s">
        <v>3271</v>
      </c>
      <c r="G889" s="252" t="s">
        <v>3379</v>
      </c>
      <c r="H889" s="252" t="s">
        <v>3380</v>
      </c>
      <c r="I889" s="252">
        <v>5</v>
      </c>
      <c r="J889" s="255">
        <v>1</v>
      </c>
      <c r="K889" s="255">
        <v>1</v>
      </c>
      <c r="L889" s="255"/>
      <c r="M889" s="256">
        <v>5.9099999999999995E-4</v>
      </c>
      <c r="N889" s="249">
        <v>888</v>
      </c>
    </row>
    <row r="890" spans="1:14" x14ac:dyDescent="0.25">
      <c r="A890" s="252" t="s">
        <v>183</v>
      </c>
      <c r="B890" s="252" t="s">
        <v>3038</v>
      </c>
      <c r="C890" s="253">
        <v>0</v>
      </c>
      <c r="D890" s="252">
        <v>50592</v>
      </c>
      <c r="E890" s="252" t="s">
        <v>3059</v>
      </c>
      <c r="F890" s="254" t="s">
        <v>3271</v>
      </c>
      <c r="G890" s="252" t="s">
        <v>3381</v>
      </c>
      <c r="H890" s="252" t="s">
        <v>3382</v>
      </c>
      <c r="I890" s="252">
        <v>5</v>
      </c>
      <c r="J890" s="255">
        <v>1</v>
      </c>
      <c r="K890" s="255">
        <v>1</v>
      </c>
      <c r="L890" s="255"/>
      <c r="M890" s="256">
        <v>8.7000000000000001E-5</v>
      </c>
      <c r="N890" s="249">
        <v>889</v>
      </c>
    </row>
    <row r="891" spans="1:14" x14ac:dyDescent="0.25">
      <c r="A891" s="252" t="s">
        <v>183</v>
      </c>
      <c r="B891" s="252" t="s">
        <v>3038</v>
      </c>
      <c r="C891" s="253">
        <v>0</v>
      </c>
      <c r="D891" s="252">
        <v>50592</v>
      </c>
      <c r="E891" s="252" t="s">
        <v>3059</v>
      </c>
      <c r="F891" s="254" t="s">
        <v>3271</v>
      </c>
      <c r="G891" s="252" t="s">
        <v>3383</v>
      </c>
      <c r="H891" s="252" t="s">
        <v>3384</v>
      </c>
      <c r="I891" s="252">
        <v>5</v>
      </c>
      <c r="J891" s="255">
        <v>1</v>
      </c>
      <c r="K891" s="255">
        <v>1</v>
      </c>
      <c r="L891" s="255"/>
      <c r="M891" s="256">
        <v>1.7759999999999998E-3</v>
      </c>
      <c r="N891" s="249">
        <v>890</v>
      </c>
    </row>
    <row r="892" spans="1:14" x14ac:dyDescent="0.25">
      <c r="A892" s="252" t="s">
        <v>183</v>
      </c>
      <c r="B892" s="252" t="s">
        <v>3038</v>
      </c>
      <c r="C892" s="253">
        <v>0</v>
      </c>
      <c r="D892" s="252">
        <v>50592</v>
      </c>
      <c r="E892" s="252" t="s">
        <v>3059</v>
      </c>
      <c r="F892" s="254" t="s">
        <v>3271</v>
      </c>
      <c r="G892" s="252" t="s">
        <v>3385</v>
      </c>
      <c r="H892" s="252" t="s">
        <v>3386</v>
      </c>
      <c r="I892" s="252">
        <v>5</v>
      </c>
      <c r="J892" s="255">
        <v>1</v>
      </c>
      <c r="K892" s="255">
        <v>1</v>
      </c>
      <c r="L892" s="255"/>
      <c r="M892" s="256">
        <v>1.2149999999999999E-3</v>
      </c>
      <c r="N892" s="249">
        <v>891</v>
      </c>
    </row>
    <row r="893" spans="1:14" x14ac:dyDescent="0.25">
      <c r="A893" s="252" t="s">
        <v>183</v>
      </c>
      <c r="B893" s="252" t="s">
        <v>3038</v>
      </c>
      <c r="C893" s="253">
        <v>0</v>
      </c>
      <c r="D893" s="252">
        <v>50592</v>
      </c>
      <c r="E893" s="252" t="s">
        <v>3059</v>
      </c>
      <c r="F893" s="254" t="s">
        <v>3271</v>
      </c>
      <c r="G893" s="252" t="s">
        <v>3387</v>
      </c>
      <c r="H893" s="252" t="s">
        <v>3388</v>
      </c>
      <c r="I893" s="252">
        <v>5</v>
      </c>
      <c r="J893" s="255">
        <v>1</v>
      </c>
      <c r="K893" s="255">
        <v>1</v>
      </c>
      <c r="L893" s="255"/>
      <c r="M893" s="256">
        <v>4.4999999999999999E-4</v>
      </c>
      <c r="N893" s="249">
        <v>892</v>
      </c>
    </row>
    <row r="894" spans="1:14" x14ac:dyDescent="0.25">
      <c r="A894" s="252" t="s">
        <v>183</v>
      </c>
      <c r="B894" s="252" t="s">
        <v>3038</v>
      </c>
      <c r="C894" s="253">
        <v>0</v>
      </c>
      <c r="D894" s="252">
        <v>50592</v>
      </c>
      <c r="E894" s="252" t="s">
        <v>3059</v>
      </c>
      <c r="F894" s="254" t="s">
        <v>3271</v>
      </c>
      <c r="G894" s="252" t="s">
        <v>3389</v>
      </c>
      <c r="H894" s="252" t="s">
        <v>3390</v>
      </c>
      <c r="I894" s="252">
        <v>5</v>
      </c>
      <c r="J894" s="255">
        <v>1</v>
      </c>
      <c r="K894" s="255">
        <v>1</v>
      </c>
      <c r="L894" s="255"/>
      <c r="M894" s="256">
        <v>2.4899999999999998E-4</v>
      </c>
      <c r="N894" s="249">
        <v>893</v>
      </c>
    </row>
    <row r="895" spans="1:14" x14ac:dyDescent="0.25">
      <c r="A895" s="252" t="s">
        <v>183</v>
      </c>
      <c r="B895" s="252" t="s">
        <v>3038</v>
      </c>
      <c r="C895" s="253">
        <v>0</v>
      </c>
      <c r="D895" s="252">
        <v>50592</v>
      </c>
      <c r="E895" s="252" t="s">
        <v>3059</v>
      </c>
      <c r="F895" s="254" t="s">
        <v>3271</v>
      </c>
      <c r="G895" s="252" t="s">
        <v>3391</v>
      </c>
      <c r="H895" s="252" t="s">
        <v>3392</v>
      </c>
      <c r="I895" s="252">
        <v>5</v>
      </c>
      <c r="J895" s="255">
        <v>1</v>
      </c>
      <c r="K895" s="255">
        <v>1</v>
      </c>
      <c r="L895" s="255"/>
      <c r="M895" s="256">
        <v>8.7000000000000001E-5</v>
      </c>
      <c r="N895" s="249">
        <v>894</v>
      </c>
    </row>
    <row r="896" spans="1:14" x14ac:dyDescent="0.25">
      <c r="A896" s="252" t="s">
        <v>183</v>
      </c>
      <c r="B896" s="252" t="s">
        <v>3038</v>
      </c>
      <c r="C896" s="253">
        <v>0</v>
      </c>
      <c r="D896" s="252">
        <v>50592</v>
      </c>
      <c r="E896" s="252" t="s">
        <v>3059</v>
      </c>
      <c r="F896" s="254" t="s">
        <v>3271</v>
      </c>
      <c r="G896" s="252" t="s">
        <v>3393</v>
      </c>
      <c r="H896" s="252" t="s">
        <v>3394</v>
      </c>
      <c r="I896" s="252">
        <v>5</v>
      </c>
      <c r="J896" s="255">
        <v>1</v>
      </c>
      <c r="K896" s="255">
        <v>1</v>
      </c>
      <c r="L896" s="255"/>
      <c r="M896" s="256">
        <v>1.7759999999999998E-3</v>
      </c>
      <c r="N896" s="249">
        <v>895</v>
      </c>
    </row>
    <row r="897" spans="1:14" x14ac:dyDescent="0.25">
      <c r="A897" s="252" t="s">
        <v>183</v>
      </c>
      <c r="B897" s="252" t="s">
        <v>3038</v>
      </c>
      <c r="C897" s="253">
        <v>0</v>
      </c>
      <c r="D897" s="252">
        <v>50592</v>
      </c>
      <c r="E897" s="252" t="s">
        <v>3059</v>
      </c>
      <c r="F897" s="254" t="s">
        <v>3271</v>
      </c>
      <c r="G897" s="252" t="s">
        <v>3395</v>
      </c>
      <c r="H897" s="252" t="s">
        <v>3396</v>
      </c>
      <c r="I897" s="252">
        <v>5</v>
      </c>
      <c r="J897" s="255">
        <v>1</v>
      </c>
      <c r="K897" s="255">
        <v>1</v>
      </c>
      <c r="L897" s="255"/>
      <c r="M897" s="256">
        <v>8.7000000000000001E-5</v>
      </c>
      <c r="N897" s="249">
        <v>896</v>
      </c>
    </row>
    <row r="898" spans="1:14" x14ac:dyDescent="0.25">
      <c r="A898" s="252" t="s">
        <v>183</v>
      </c>
      <c r="B898" s="252" t="s">
        <v>3038</v>
      </c>
      <c r="C898" s="253">
        <v>0</v>
      </c>
      <c r="D898" s="252">
        <v>50592</v>
      </c>
      <c r="E898" s="252" t="s">
        <v>3059</v>
      </c>
      <c r="F898" s="254" t="s">
        <v>3271</v>
      </c>
      <c r="G898" s="252" t="s">
        <v>3397</v>
      </c>
      <c r="H898" s="252" t="s">
        <v>3398</v>
      </c>
      <c r="I898" s="252">
        <v>5</v>
      </c>
      <c r="J898" s="255">
        <v>1</v>
      </c>
      <c r="K898" s="255">
        <v>1</v>
      </c>
      <c r="L898" s="255"/>
      <c r="M898" s="256">
        <v>1.7759999999999998E-3</v>
      </c>
      <c r="N898" s="249">
        <v>897</v>
      </c>
    </row>
    <row r="899" spans="1:14" x14ac:dyDescent="0.25">
      <c r="A899" s="252" t="s">
        <v>183</v>
      </c>
      <c r="B899" s="252" t="s">
        <v>3038</v>
      </c>
      <c r="C899" s="253">
        <v>0</v>
      </c>
      <c r="D899" s="252">
        <v>50592</v>
      </c>
      <c r="E899" s="252" t="s">
        <v>3059</v>
      </c>
      <c r="F899" s="254" t="s">
        <v>3271</v>
      </c>
      <c r="G899" s="252" t="s">
        <v>3399</v>
      </c>
      <c r="H899" s="252" t="s">
        <v>3400</v>
      </c>
      <c r="I899" s="252">
        <v>5</v>
      </c>
      <c r="J899" s="255">
        <v>1</v>
      </c>
      <c r="K899" s="255">
        <v>1</v>
      </c>
      <c r="L899" s="255"/>
      <c r="M899" s="256">
        <v>5.9099999999999995E-4</v>
      </c>
      <c r="N899" s="249">
        <v>898</v>
      </c>
    </row>
    <row r="900" spans="1:14" x14ac:dyDescent="0.25">
      <c r="A900" s="252" t="s">
        <v>183</v>
      </c>
      <c r="B900" s="252" t="s">
        <v>3038</v>
      </c>
      <c r="C900" s="253">
        <v>0</v>
      </c>
      <c r="D900" s="252">
        <v>50592</v>
      </c>
      <c r="E900" s="252" t="s">
        <v>3059</v>
      </c>
      <c r="F900" s="254" t="s">
        <v>3271</v>
      </c>
      <c r="G900" s="252" t="s">
        <v>3401</v>
      </c>
      <c r="H900" s="252" t="s">
        <v>3402</v>
      </c>
      <c r="I900" s="252">
        <v>5</v>
      </c>
      <c r="J900" s="255">
        <v>1</v>
      </c>
      <c r="K900" s="255">
        <v>1</v>
      </c>
      <c r="L900" s="255"/>
      <c r="M900" s="256">
        <v>5.9099999999999995E-4</v>
      </c>
      <c r="N900" s="249">
        <v>899</v>
      </c>
    </row>
    <row r="901" spans="1:14" x14ac:dyDescent="0.25">
      <c r="A901" s="252" t="s">
        <v>183</v>
      </c>
      <c r="B901" s="252" t="s">
        <v>3038</v>
      </c>
      <c r="C901" s="253">
        <v>0</v>
      </c>
      <c r="D901" s="252">
        <v>50592</v>
      </c>
      <c r="E901" s="252" t="s">
        <v>3059</v>
      </c>
      <c r="F901" s="254" t="s">
        <v>3271</v>
      </c>
      <c r="G901" s="252" t="s">
        <v>3403</v>
      </c>
      <c r="H901" s="252" t="s">
        <v>3404</v>
      </c>
      <c r="I901" s="252">
        <v>5</v>
      </c>
      <c r="J901" s="255">
        <v>1</v>
      </c>
      <c r="K901" s="255">
        <v>1</v>
      </c>
      <c r="L901" s="255"/>
      <c r="M901" s="256">
        <v>1.2149999999999999E-3</v>
      </c>
      <c r="N901" s="249">
        <v>900</v>
      </c>
    </row>
    <row r="902" spans="1:14" x14ac:dyDescent="0.25">
      <c r="A902" s="252" t="s">
        <v>183</v>
      </c>
      <c r="B902" s="252" t="s">
        <v>3038</v>
      </c>
      <c r="C902" s="253">
        <v>0</v>
      </c>
      <c r="D902" s="252">
        <v>50592</v>
      </c>
      <c r="E902" s="252" t="s">
        <v>3059</v>
      </c>
      <c r="F902" s="254" t="s">
        <v>3271</v>
      </c>
      <c r="G902" s="252" t="s">
        <v>3405</v>
      </c>
      <c r="H902" s="252" t="s">
        <v>3406</v>
      </c>
      <c r="I902" s="252">
        <v>5</v>
      </c>
      <c r="J902" s="255">
        <v>1</v>
      </c>
      <c r="K902" s="255">
        <v>1</v>
      </c>
      <c r="L902" s="255"/>
      <c r="M902" s="256">
        <v>4.4999999999999999E-4</v>
      </c>
      <c r="N902" s="249">
        <v>901</v>
      </c>
    </row>
    <row r="903" spans="1:14" x14ac:dyDescent="0.25">
      <c r="A903" s="252" t="s">
        <v>183</v>
      </c>
      <c r="B903" s="252" t="s">
        <v>3038</v>
      </c>
      <c r="C903" s="253">
        <v>0</v>
      </c>
      <c r="D903" s="252">
        <v>50592</v>
      </c>
      <c r="E903" s="252" t="s">
        <v>3059</v>
      </c>
      <c r="F903" s="254" t="s">
        <v>3271</v>
      </c>
      <c r="G903" s="252" t="s">
        <v>3407</v>
      </c>
      <c r="H903" s="252" t="s">
        <v>3408</v>
      </c>
      <c r="I903" s="252">
        <v>5</v>
      </c>
      <c r="J903" s="255">
        <v>1</v>
      </c>
      <c r="K903" s="255">
        <v>1</v>
      </c>
      <c r="L903" s="255"/>
      <c r="M903" s="256">
        <v>2.4899999999999998E-4</v>
      </c>
      <c r="N903" s="249">
        <v>902</v>
      </c>
    </row>
    <row r="904" spans="1:14" x14ac:dyDescent="0.25">
      <c r="A904" s="252" t="s">
        <v>183</v>
      </c>
      <c r="B904" s="252" t="s">
        <v>3038</v>
      </c>
      <c r="C904" s="253">
        <v>0</v>
      </c>
      <c r="D904" s="252">
        <v>50592</v>
      </c>
      <c r="E904" s="252" t="s">
        <v>3059</v>
      </c>
      <c r="F904" s="254" t="s">
        <v>3271</v>
      </c>
      <c r="G904" s="252" t="s">
        <v>1669</v>
      </c>
      <c r="H904" s="252" t="s">
        <v>3409</v>
      </c>
      <c r="I904" s="252">
        <v>5</v>
      </c>
      <c r="J904" s="255">
        <v>1</v>
      </c>
      <c r="K904" s="255">
        <v>1</v>
      </c>
      <c r="L904" s="255"/>
      <c r="M904" s="256">
        <v>8.9999999999999998E-4</v>
      </c>
      <c r="N904" s="249">
        <v>903</v>
      </c>
    </row>
    <row r="905" spans="1:14" x14ac:dyDescent="0.25">
      <c r="A905" s="252" t="s">
        <v>183</v>
      </c>
      <c r="B905" s="252" t="s">
        <v>3038</v>
      </c>
      <c r="C905" s="253">
        <v>0</v>
      </c>
      <c r="D905" s="252">
        <v>50592</v>
      </c>
      <c r="E905" s="252" t="s">
        <v>3059</v>
      </c>
      <c r="F905" s="254" t="s">
        <v>3271</v>
      </c>
      <c r="G905" s="252" t="s">
        <v>1671</v>
      </c>
      <c r="H905" s="252" t="s">
        <v>3410</v>
      </c>
      <c r="I905" s="252">
        <v>5</v>
      </c>
      <c r="J905" s="255">
        <v>1</v>
      </c>
      <c r="K905" s="255">
        <v>1</v>
      </c>
      <c r="L905" s="255"/>
      <c r="M905" s="256">
        <v>5.0399999999999989E-4</v>
      </c>
      <c r="N905" s="249">
        <v>904</v>
      </c>
    </row>
    <row r="906" spans="1:14" x14ac:dyDescent="0.25">
      <c r="A906" s="252" t="s">
        <v>183</v>
      </c>
      <c r="B906" s="252" t="s">
        <v>3038</v>
      </c>
      <c r="C906" s="253">
        <v>0</v>
      </c>
      <c r="D906" s="252">
        <v>50592</v>
      </c>
      <c r="E906" s="252" t="s">
        <v>3059</v>
      </c>
      <c r="F906" s="254" t="s">
        <v>3271</v>
      </c>
      <c r="G906" s="252" t="s">
        <v>1672</v>
      </c>
      <c r="H906" s="252" t="s">
        <v>3411</v>
      </c>
      <c r="I906" s="252">
        <v>5</v>
      </c>
      <c r="J906" s="255">
        <v>1</v>
      </c>
      <c r="K906" s="255">
        <v>1</v>
      </c>
      <c r="L906" s="255"/>
      <c r="M906" s="256">
        <v>5.0399999999999989E-4</v>
      </c>
      <c r="N906" s="249">
        <v>905</v>
      </c>
    </row>
    <row r="907" spans="1:14" x14ac:dyDescent="0.25">
      <c r="A907" s="252" t="s">
        <v>183</v>
      </c>
      <c r="B907" s="252" t="s">
        <v>3038</v>
      </c>
      <c r="C907" s="253">
        <v>0</v>
      </c>
      <c r="D907" s="252">
        <v>50592</v>
      </c>
      <c r="E907" s="252" t="s">
        <v>3059</v>
      </c>
      <c r="F907" s="254" t="s">
        <v>3271</v>
      </c>
      <c r="G907" s="252" t="s">
        <v>1673</v>
      </c>
      <c r="H907" s="252" t="s">
        <v>3412</v>
      </c>
      <c r="I907" s="252">
        <v>5</v>
      </c>
      <c r="J907" s="255">
        <v>1</v>
      </c>
      <c r="K907" s="255">
        <v>1</v>
      </c>
      <c r="L907" s="255"/>
      <c r="M907" s="256">
        <v>8.7000000000000001E-5</v>
      </c>
      <c r="N907" s="249">
        <v>906</v>
      </c>
    </row>
    <row r="908" spans="1:14" x14ac:dyDescent="0.25">
      <c r="A908" s="252" t="s">
        <v>183</v>
      </c>
      <c r="B908" s="252" t="s">
        <v>3038</v>
      </c>
      <c r="C908" s="253">
        <v>0</v>
      </c>
      <c r="D908" s="252">
        <v>50592</v>
      </c>
      <c r="E908" s="252" t="s">
        <v>3059</v>
      </c>
      <c r="F908" s="254" t="s">
        <v>3271</v>
      </c>
      <c r="G908" s="252" t="s">
        <v>3413</v>
      </c>
      <c r="H908" s="252" t="s">
        <v>3414</v>
      </c>
      <c r="I908" s="252">
        <v>5</v>
      </c>
      <c r="J908" s="255">
        <v>1</v>
      </c>
      <c r="K908" s="255">
        <v>1</v>
      </c>
      <c r="L908" s="255"/>
      <c r="M908" s="256">
        <v>1.8059999999999997E-3</v>
      </c>
      <c r="N908" s="249">
        <v>907</v>
      </c>
    </row>
    <row r="909" spans="1:14" x14ac:dyDescent="0.25">
      <c r="A909" s="252" t="s">
        <v>183</v>
      </c>
      <c r="B909" s="252" t="s">
        <v>3038</v>
      </c>
      <c r="C909" s="253">
        <v>0</v>
      </c>
      <c r="D909" s="252">
        <v>50592</v>
      </c>
      <c r="E909" s="252" t="s">
        <v>3059</v>
      </c>
      <c r="F909" s="254" t="s">
        <v>3271</v>
      </c>
      <c r="G909" s="252" t="s">
        <v>3415</v>
      </c>
      <c r="H909" s="252" t="s">
        <v>3416</v>
      </c>
      <c r="I909" s="252">
        <v>5</v>
      </c>
      <c r="J909" s="255">
        <v>1</v>
      </c>
      <c r="K909" s="255">
        <v>1</v>
      </c>
      <c r="L909" s="255"/>
      <c r="M909" s="256">
        <v>1.8059999999999997E-3</v>
      </c>
      <c r="N909" s="249">
        <v>908</v>
      </c>
    </row>
    <row r="910" spans="1:14" x14ac:dyDescent="0.25">
      <c r="A910" s="252" t="s">
        <v>183</v>
      </c>
      <c r="B910" s="252" t="s">
        <v>3038</v>
      </c>
      <c r="C910" s="253">
        <v>0</v>
      </c>
      <c r="D910" s="252">
        <v>50592</v>
      </c>
      <c r="E910" s="252" t="s">
        <v>3059</v>
      </c>
      <c r="F910" s="254" t="s">
        <v>3271</v>
      </c>
      <c r="G910" s="252" t="s">
        <v>3417</v>
      </c>
      <c r="H910" s="252" t="s">
        <v>3418</v>
      </c>
      <c r="I910" s="252">
        <v>5</v>
      </c>
      <c r="J910" s="255">
        <v>1</v>
      </c>
      <c r="K910" s="255">
        <v>1</v>
      </c>
      <c r="L910" s="255"/>
      <c r="M910" s="256">
        <v>8.7000000000000001E-5</v>
      </c>
      <c r="N910" s="249">
        <v>909</v>
      </c>
    </row>
    <row r="911" spans="1:14" x14ac:dyDescent="0.25">
      <c r="A911" s="252" t="s">
        <v>183</v>
      </c>
      <c r="B911" s="252" t="s">
        <v>3038</v>
      </c>
      <c r="C911" s="253">
        <v>0</v>
      </c>
      <c r="D911" s="252">
        <v>50592</v>
      </c>
      <c r="E911" s="252" t="s">
        <v>3059</v>
      </c>
      <c r="F911" s="254" t="s">
        <v>3271</v>
      </c>
      <c r="G911" s="252" t="s">
        <v>1674</v>
      </c>
      <c r="H911" s="252" t="s">
        <v>3419</v>
      </c>
      <c r="I911" s="252">
        <v>5</v>
      </c>
      <c r="J911" s="255">
        <v>1</v>
      </c>
      <c r="K911" s="255">
        <v>1</v>
      </c>
      <c r="L911" s="255"/>
      <c r="M911" s="256">
        <v>1.2509999999999999E-3</v>
      </c>
      <c r="N911" s="249">
        <v>910</v>
      </c>
    </row>
    <row r="912" spans="1:14" x14ac:dyDescent="0.25">
      <c r="A912" s="252" t="s">
        <v>183</v>
      </c>
      <c r="B912" s="252" t="s">
        <v>3038</v>
      </c>
      <c r="C912" s="253">
        <v>0</v>
      </c>
      <c r="D912" s="252">
        <v>50592</v>
      </c>
      <c r="E912" s="252" t="s">
        <v>3059</v>
      </c>
      <c r="F912" s="254" t="s">
        <v>3271</v>
      </c>
      <c r="G912" s="252" t="s">
        <v>1676</v>
      </c>
      <c r="H912" s="252" t="s">
        <v>3420</v>
      </c>
      <c r="I912" s="252">
        <v>5</v>
      </c>
      <c r="J912" s="255">
        <v>1</v>
      </c>
      <c r="K912" s="255">
        <v>1</v>
      </c>
      <c r="L912" s="255"/>
      <c r="M912" s="256">
        <v>7.139999999999999E-4</v>
      </c>
      <c r="N912" s="249">
        <v>911</v>
      </c>
    </row>
    <row r="913" spans="1:14" x14ac:dyDescent="0.25">
      <c r="A913" s="252" t="s">
        <v>183</v>
      </c>
      <c r="B913" s="252" t="s">
        <v>3038</v>
      </c>
      <c r="C913" s="253">
        <v>0</v>
      </c>
      <c r="D913" s="252">
        <v>50592</v>
      </c>
      <c r="E913" s="252" t="s">
        <v>3059</v>
      </c>
      <c r="F913" s="254" t="s">
        <v>3271</v>
      </c>
      <c r="G913" s="252" t="s">
        <v>1677</v>
      </c>
      <c r="H913" s="252" t="s">
        <v>3421</v>
      </c>
      <c r="I913" s="252">
        <v>5</v>
      </c>
      <c r="J913" s="255">
        <v>1</v>
      </c>
      <c r="K913" s="255">
        <v>1</v>
      </c>
      <c r="L913" s="255"/>
      <c r="M913" s="256">
        <v>7.139999999999999E-4</v>
      </c>
      <c r="N913" s="249">
        <v>912</v>
      </c>
    </row>
    <row r="914" spans="1:14" x14ac:dyDescent="0.25">
      <c r="A914" s="252" t="s">
        <v>183</v>
      </c>
      <c r="B914" s="252" t="s">
        <v>3038</v>
      </c>
      <c r="C914" s="253">
        <v>0</v>
      </c>
      <c r="D914" s="252">
        <v>50592</v>
      </c>
      <c r="E914" s="252" t="s">
        <v>3059</v>
      </c>
      <c r="F914" s="254" t="s">
        <v>3271</v>
      </c>
      <c r="G914" s="252" t="s">
        <v>1678</v>
      </c>
      <c r="H914" s="252" t="s">
        <v>3422</v>
      </c>
      <c r="I914" s="252">
        <v>5</v>
      </c>
      <c r="J914" s="255">
        <v>1</v>
      </c>
      <c r="K914" s="255">
        <v>1</v>
      </c>
      <c r="L914" s="255"/>
      <c r="M914" s="256">
        <v>8.7000000000000001E-5</v>
      </c>
      <c r="N914" s="249">
        <v>913</v>
      </c>
    </row>
    <row r="915" spans="1:14" x14ac:dyDescent="0.25">
      <c r="A915" s="252" t="s">
        <v>183</v>
      </c>
      <c r="B915" s="252" t="s">
        <v>3038</v>
      </c>
      <c r="C915" s="253">
        <v>0</v>
      </c>
      <c r="D915" s="252">
        <v>50592</v>
      </c>
      <c r="E915" s="252" t="s">
        <v>3059</v>
      </c>
      <c r="F915" s="254" t="s">
        <v>3271</v>
      </c>
      <c r="G915" s="252" t="s">
        <v>3423</v>
      </c>
      <c r="H915" s="252" t="s">
        <v>3424</v>
      </c>
      <c r="I915" s="252">
        <v>5</v>
      </c>
      <c r="J915" s="255">
        <v>1</v>
      </c>
      <c r="K915" s="255">
        <v>1</v>
      </c>
      <c r="L915" s="255"/>
      <c r="M915" s="256">
        <v>1.5809999999999997E-3</v>
      </c>
      <c r="N915" s="249">
        <v>914</v>
      </c>
    </row>
    <row r="916" spans="1:14" x14ac:dyDescent="0.25">
      <c r="A916" s="252" t="s">
        <v>183</v>
      </c>
      <c r="B916" s="252" t="s">
        <v>3038</v>
      </c>
      <c r="C916" s="253">
        <v>0</v>
      </c>
      <c r="D916" s="252">
        <v>50592</v>
      </c>
      <c r="E916" s="252" t="s">
        <v>3059</v>
      </c>
      <c r="F916" s="254" t="s">
        <v>3271</v>
      </c>
      <c r="G916" s="252" t="s">
        <v>3425</v>
      </c>
      <c r="H916" s="252" t="s">
        <v>3426</v>
      </c>
      <c r="I916" s="252">
        <v>5</v>
      </c>
      <c r="J916" s="255">
        <v>1</v>
      </c>
      <c r="K916" s="255">
        <v>1</v>
      </c>
      <c r="L916" s="255"/>
      <c r="M916" s="256">
        <v>1.5809999999999997E-3</v>
      </c>
      <c r="N916" s="249">
        <v>915</v>
      </c>
    </row>
    <row r="917" spans="1:14" x14ac:dyDescent="0.25">
      <c r="A917" s="252" t="s">
        <v>183</v>
      </c>
      <c r="B917" s="252" t="s">
        <v>3038</v>
      </c>
      <c r="C917" s="253">
        <v>0</v>
      </c>
      <c r="D917" s="252">
        <v>50592</v>
      </c>
      <c r="E917" s="252" t="s">
        <v>3059</v>
      </c>
      <c r="F917" s="254" t="s">
        <v>3271</v>
      </c>
      <c r="G917" s="252" t="s">
        <v>3427</v>
      </c>
      <c r="H917" s="252" t="s">
        <v>3428</v>
      </c>
      <c r="I917" s="252">
        <v>5</v>
      </c>
      <c r="J917" s="255">
        <v>1</v>
      </c>
      <c r="K917" s="255">
        <v>1</v>
      </c>
      <c r="L917" s="255"/>
      <c r="M917" s="256">
        <v>8.7000000000000001E-5</v>
      </c>
      <c r="N917" s="249">
        <v>916</v>
      </c>
    </row>
    <row r="918" spans="1:14" x14ac:dyDescent="0.25">
      <c r="A918" s="252" t="s">
        <v>183</v>
      </c>
      <c r="B918" s="252" t="s">
        <v>3038</v>
      </c>
      <c r="C918" s="253">
        <v>0</v>
      </c>
      <c r="D918" s="252">
        <v>50592</v>
      </c>
      <c r="E918" s="252" t="s">
        <v>3039</v>
      </c>
      <c r="F918" s="254" t="s">
        <v>3429</v>
      </c>
      <c r="G918" s="252" t="s">
        <v>2332</v>
      </c>
      <c r="H918" s="252" t="s">
        <v>3430</v>
      </c>
      <c r="I918" s="252">
        <v>6</v>
      </c>
      <c r="J918" s="255">
        <v>1</v>
      </c>
      <c r="K918" s="255">
        <v>1</v>
      </c>
      <c r="L918" s="255"/>
      <c r="M918" s="256">
        <v>2.9700000000000001E-4</v>
      </c>
      <c r="N918" s="249">
        <v>917</v>
      </c>
    </row>
    <row r="919" spans="1:14" x14ac:dyDescent="0.25">
      <c r="A919" s="252" t="s">
        <v>183</v>
      </c>
      <c r="B919" s="252" t="s">
        <v>3038</v>
      </c>
      <c r="C919" s="253">
        <v>0</v>
      </c>
      <c r="D919" s="252">
        <v>50592</v>
      </c>
      <c r="E919" s="252" t="s">
        <v>3039</v>
      </c>
      <c r="F919" s="254" t="s">
        <v>3429</v>
      </c>
      <c r="G919" s="252" t="s">
        <v>2334</v>
      </c>
      <c r="H919" s="252" t="s">
        <v>3431</v>
      </c>
      <c r="I919" s="252">
        <v>6</v>
      </c>
      <c r="J919" s="255">
        <v>1</v>
      </c>
      <c r="K919" s="255">
        <v>1</v>
      </c>
      <c r="L919" s="255"/>
      <c r="M919" s="256">
        <v>1.2570000000000001E-3</v>
      </c>
      <c r="N919" s="249">
        <v>918</v>
      </c>
    </row>
    <row r="920" spans="1:14" x14ac:dyDescent="0.25">
      <c r="A920" s="252" t="s">
        <v>183</v>
      </c>
      <c r="B920" s="252" t="s">
        <v>3038</v>
      </c>
      <c r="C920" s="253">
        <v>0</v>
      </c>
      <c r="D920" s="252">
        <v>50592</v>
      </c>
      <c r="E920" s="252" t="s">
        <v>3039</v>
      </c>
      <c r="F920" s="254" t="s">
        <v>3429</v>
      </c>
      <c r="G920" s="252" t="s">
        <v>2335</v>
      </c>
      <c r="H920" s="252" t="s">
        <v>3432</v>
      </c>
      <c r="I920" s="252">
        <v>6</v>
      </c>
      <c r="J920" s="255">
        <v>1</v>
      </c>
      <c r="K920" s="255">
        <v>1</v>
      </c>
      <c r="L920" s="255"/>
      <c r="M920" s="256">
        <v>1.2570000000000001E-3</v>
      </c>
      <c r="N920" s="249">
        <v>919</v>
      </c>
    </row>
    <row r="921" spans="1:14" x14ac:dyDescent="0.25">
      <c r="A921" s="252" t="s">
        <v>183</v>
      </c>
      <c r="B921" s="252" t="s">
        <v>3038</v>
      </c>
      <c r="C921" s="253">
        <v>0</v>
      </c>
      <c r="D921" s="252">
        <v>50592</v>
      </c>
      <c r="E921" s="252" t="s">
        <v>3039</v>
      </c>
      <c r="F921" s="254" t="s">
        <v>3429</v>
      </c>
      <c r="G921" s="252" t="s">
        <v>2336</v>
      </c>
      <c r="H921" s="252" t="s">
        <v>3433</v>
      </c>
      <c r="I921" s="252">
        <v>6</v>
      </c>
      <c r="J921" s="255">
        <v>1</v>
      </c>
      <c r="K921" s="255">
        <v>1</v>
      </c>
      <c r="L921" s="255"/>
      <c r="M921" s="256">
        <v>2.9399999999999999E-4</v>
      </c>
      <c r="N921" s="249">
        <v>920</v>
      </c>
    </row>
    <row r="922" spans="1:14" x14ac:dyDescent="0.25">
      <c r="A922" s="252" t="s">
        <v>183</v>
      </c>
      <c r="B922" s="252" t="s">
        <v>3038</v>
      </c>
      <c r="C922" s="253">
        <v>0</v>
      </c>
      <c r="D922" s="252">
        <v>50592</v>
      </c>
      <c r="E922" s="252" t="s">
        <v>3039</v>
      </c>
      <c r="F922" s="254" t="s">
        <v>3429</v>
      </c>
      <c r="G922" s="252" t="s">
        <v>2337</v>
      </c>
      <c r="H922" s="252" t="s">
        <v>3434</v>
      </c>
      <c r="I922" s="252">
        <v>6</v>
      </c>
      <c r="J922" s="255">
        <v>1</v>
      </c>
      <c r="K922" s="255">
        <v>1</v>
      </c>
      <c r="L922" s="255"/>
      <c r="M922" s="256">
        <v>2.9399999999999999E-4</v>
      </c>
      <c r="N922" s="249">
        <v>921</v>
      </c>
    </row>
    <row r="923" spans="1:14" x14ac:dyDescent="0.25">
      <c r="A923" s="252" t="s">
        <v>183</v>
      </c>
      <c r="B923" s="252" t="s">
        <v>3038</v>
      </c>
      <c r="C923" s="253">
        <v>0</v>
      </c>
      <c r="D923" s="252">
        <v>50592</v>
      </c>
      <c r="E923" s="252" t="s">
        <v>3039</v>
      </c>
      <c r="F923" s="254" t="s">
        <v>3429</v>
      </c>
      <c r="G923" s="252" t="s">
        <v>2338</v>
      </c>
      <c r="H923" s="252" t="s">
        <v>3435</v>
      </c>
      <c r="I923" s="252">
        <v>6</v>
      </c>
      <c r="J923" s="255">
        <v>1</v>
      </c>
      <c r="K923" s="255">
        <v>1</v>
      </c>
      <c r="L923" s="255"/>
      <c r="M923" s="256">
        <v>3.6899999999999997E-4</v>
      </c>
      <c r="N923" s="249">
        <v>922</v>
      </c>
    </row>
    <row r="924" spans="1:14" x14ac:dyDescent="0.25">
      <c r="A924" s="252" t="s">
        <v>183</v>
      </c>
      <c r="B924" s="252" t="s">
        <v>3038</v>
      </c>
      <c r="C924" s="253">
        <v>0</v>
      </c>
      <c r="D924" s="252">
        <v>50592</v>
      </c>
      <c r="E924" s="252" t="s">
        <v>3039</v>
      </c>
      <c r="F924" s="254" t="s">
        <v>3429</v>
      </c>
      <c r="G924" s="252" t="s">
        <v>2339</v>
      </c>
      <c r="H924" s="252" t="s">
        <v>3436</v>
      </c>
      <c r="I924" s="252">
        <v>6</v>
      </c>
      <c r="J924" s="255">
        <v>1</v>
      </c>
      <c r="K924" s="255">
        <v>1</v>
      </c>
      <c r="L924" s="255"/>
      <c r="M924" s="256">
        <v>3.6899999999999997E-4</v>
      </c>
      <c r="N924" s="249">
        <v>923</v>
      </c>
    </row>
    <row r="925" spans="1:14" x14ac:dyDescent="0.25">
      <c r="A925" s="252" t="s">
        <v>183</v>
      </c>
      <c r="B925" s="252" t="s">
        <v>3038</v>
      </c>
      <c r="C925" s="253">
        <v>0</v>
      </c>
      <c r="D925" s="252">
        <v>50592</v>
      </c>
      <c r="E925" s="252" t="s">
        <v>3039</v>
      </c>
      <c r="F925" s="254" t="s">
        <v>3429</v>
      </c>
      <c r="G925" s="252" t="s">
        <v>2340</v>
      </c>
      <c r="H925" s="252" t="s">
        <v>3437</v>
      </c>
      <c r="I925" s="252">
        <v>6</v>
      </c>
      <c r="J925" s="255">
        <v>1</v>
      </c>
      <c r="K925" s="255">
        <v>1</v>
      </c>
      <c r="L925" s="255"/>
      <c r="M925" s="256">
        <v>2.9399999999999999E-4</v>
      </c>
      <c r="N925" s="249">
        <v>924</v>
      </c>
    </row>
    <row r="926" spans="1:14" x14ac:dyDescent="0.25">
      <c r="A926" s="252" t="s">
        <v>183</v>
      </c>
      <c r="B926" s="252" t="s">
        <v>3038</v>
      </c>
      <c r="C926" s="253">
        <v>0</v>
      </c>
      <c r="D926" s="252">
        <v>50592</v>
      </c>
      <c r="E926" s="252" t="s">
        <v>3039</v>
      </c>
      <c r="F926" s="254" t="s">
        <v>3429</v>
      </c>
      <c r="G926" s="252" t="s">
        <v>2341</v>
      </c>
      <c r="H926" s="252" t="s">
        <v>3438</v>
      </c>
      <c r="I926" s="252">
        <v>6</v>
      </c>
      <c r="J926" s="255">
        <v>1</v>
      </c>
      <c r="K926" s="255">
        <v>1</v>
      </c>
      <c r="L926" s="255"/>
      <c r="M926" s="256">
        <v>2.9399999999999999E-4</v>
      </c>
      <c r="N926" s="249">
        <v>925</v>
      </c>
    </row>
    <row r="927" spans="1:14" x14ac:dyDescent="0.25">
      <c r="A927" s="252" t="s">
        <v>183</v>
      </c>
      <c r="B927" s="252" t="s">
        <v>3038</v>
      </c>
      <c r="C927" s="253">
        <v>0</v>
      </c>
      <c r="D927" s="252">
        <v>50592</v>
      </c>
      <c r="E927" s="252" t="s">
        <v>3039</v>
      </c>
      <c r="F927" s="254" t="s">
        <v>3429</v>
      </c>
      <c r="G927" s="252" t="s">
        <v>2343</v>
      </c>
      <c r="H927" s="252" t="s">
        <v>3439</v>
      </c>
      <c r="I927" s="252">
        <v>6</v>
      </c>
      <c r="J927" s="255">
        <v>1</v>
      </c>
      <c r="K927" s="255">
        <v>1</v>
      </c>
      <c r="L927" s="255"/>
      <c r="M927" s="256">
        <v>2.9700000000000001E-4</v>
      </c>
      <c r="N927" s="249">
        <v>926</v>
      </c>
    </row>
    <row r="928" spans="1:14" x14ac:dyDescent="0.25">
      <c r="A928" s="252" t="s">
        <v>183</v>
      </c>
      <c r="B928" s="252" t="s">
        <v>3038</v>
      </c>
      <c r="C928" s="253">
        <v>0</v>
      </c>
      <c r="D928" s="252">
        <v>50592</v>
      </c>
      <c r="E928" s="252" t="s">
        <v>3039</v>
      </c>
      <c r="F928" s="254" t="s">
        <v>3429</v>
      </c>
      <c r="G928" s="252" t="s">
        <v>2344</v>
      </c>
      <c r="H928" s="252" t="s">
        <v>3440</v>
      </c>
      <c r="I928" s="252">
        <v>6</v>
      </c>
      <c r="J928" s="255">
        <v>1</v>
      </c>
      <c r="K928" s="255">
        <v>1</v>
      </c>
      <c r="L928" s="255"/>
      <c r="M928" s="256">
        <v>6.9599999999999992E-3</v>
      </c>
      <c r="N928" s="249">
        <v>927</v>
      </c>
    </row>
    <row r="929" spans="1:14" x14ac:dyDescent="0.25">
      <c r="A929" s="252" t="s">
        <v>183</v>
      </c>
      <c r="B929" s="252" t="s">
        <v>3038</v>
      </c>
      <c r="C929" s="253">
        <v>0</v>
      </c>
      <c r="D929" s="252">
        <v>50592</v>
      </c>
      <c r="E929" s="252" t="s">
        <v>3039</v>
      </c>
      <c r="F929" s="254" t="s">
        <v>3429</v>
      </c>
      <c r="G929" s="252" t="s">
        <v>3441</v>
      </c>
      <c r="H929" s="252" t="s">
        <v>3442</v>
      </c>
      <c r="I929" s="252">
        <v>6</v>
      </c>
      <c r="J929" s="255">
        <v>1</v>
      </c>
      <c r="K929" s="255">
        <v>1</v>
      </c>
      <c r="L929" s="255"/>
      <c r="M929" s="256">
        <v>6.9599999999999992E-3</v>
      </c>
      <c r="N929" s="249">
        <v>928</v>
      </c>
    </row>
    <row r="930" spans="1:14" x14ac:dyDescent="0.25">
      <c r="A930" s="252" t="s">
        <v>183</v>
      </c>
      <c r="B930" s="252" t="s">
        <v>3038</v>
      </c>
      <c r="C930" s="253">
        <v>0</v>
      </c>
      <c r="D930" s="252">
        <v>50592</v>
      </c>
      <c r="E930" s="252" t="s">
        <v>3039</v>
      </c>
      <c r="F930" s="254" t="s">
        <v>3429</v>
      </c>
      <c r="G930" s="252" t="s">
        <v>3443</v>
      </c>
      <c r="H930" s="252" t="s">
        <v>3444</v>
      </c>
      <c r="I930" s="252">
        <v>6</v>
      </c>
      <c r="J930" s="255">
        <v>1</v>
      </c>
      <c r="K930" s="255">
        <v>1</v>
      </c>
      <c r="L930" s="255"/>
      <c r="M930" s="256">
        <v>2.7900000000000004E-3</v>
      </c>
      <c r="N930" s="249">
        <v>929</v>
      </c>
    </row>
    <row r="931" spans="1:14" x14ac:dyDescent="0.25">
      <c r="A931" s="252" t="s">
        <v>183</v>
      </c>
      <c r="B931" s="252" t="s">
        <v>3038</v>
      </c>
      <c r="C931" s="253">
        <v>0</v>
      </c>
      <c r="D931" s="252">
        <v>50592</v>
      </c>
      <c r="E931" s="252" t="s">
        <v>3039</v>
      </c>
      <c r="F931" s="254" t="s">
        <v>3429</v>
      </c>
      <c r="G931" s="252" t="s">
        <v>3445</v>
      </c>
      <c r="H931" s="252" t="s">
        <v>3446</v>
      </c>
      <c r="I931" s="252">
        <v>6</v>
      </c>
      <c r="J931" s="255">
        <v>1</v>
      </c>
      <c r="K931" s="255">
        <v>1</v>
      </c>
      <c r="L931" s="255"/>
      <c r="M931" s="256">
        <v>2.7239999999999999E-3</v>
      </c>
      <c r="N931" s="249">
        <v>930</v>
      </c>
    </row>
    <row r="932" spans="1:14" x14ac:dyDescent="0.25">
      <c r="A932" s="252" t="s">
        <v>183</v>
      </c>
      <c r="B932" s="252" t="s">
        <v>3038</v>
      </c>
      <c r="C932" s="253">
        <v>0</v>
      </c>
      <c r="D932" s="252">
        <v>50592</v>
      </c>
      <c r="E932" s="252" t="s">
        <v>3039</v>
      </c>
      <c r="F932" s="254" t="s">
        <v>3429</v>
      </c>
      <c r="G932" s="252" t="s">
        <v>3447</v>
      </c>
      <c r="H932" s="252" t="s">
        <v>3448</v>
      </c>
      <c r="I932" s="252">
        <v>6</v>
      </c>
      <c r="J932" s="255">
        <v>1</v>
      </c>
      <c r="K932" s="255">
        <v>1</v>
      </c>
      <c r="L932" s="255"/>
      <c r="M932" s="256">
        <v>2.9700000000000001E-4</v>
      </c>
      <c r="N932" s="249">
        <v>931</v>
      </c>
    </row>
    <row r="933" spans="1:14" x14ac:dyDescent="0.25">
      <c r="A933" s="252" t="s">
        <v>183</v>
      </c>
      <c r="B933" s="252" t="s">
        <v>3038</v>
      </c>
      <c r="C933" s="253">
        <v>0</v>
      </c>
      <c r="D933" s="252">
        <v>50592</v>
      </c>
      <c r="E933" s="252" t="s">
        <v>3039</v>
      </c>
      <c r="F933" s="254" t="s">
        <v>3429</v>
      </c>
      <c r="G933" s="252" t="s">
        <v>3449</v>
      </c>
      <c r="H933" s="252" t="s">
        <v>3450</v>
      </c>
      <c r="I933" s="252">
        <v>6</v>
      </c>
      <c r="J933" s="255">
        <v>1</v>
      </c>
      <c r="K933" s="255">
        <v>1</v>
      </c>
      <c r="L933" s="255"/>
      <c r="M933" s="256">
        <v>1.2570000000000001E-3</v>
      </c>
      <c r="N933" s="249">
        <v>932</v>
      </c>
    </row>
    <row r="934" spans="1:14" x14ac:dyDescent="0.25">
      <c r="A934" s="252" t="s">
        <v>183</v>
      </c>
      <c r="B934" s="252" t="s">
        <v>3038</v>
      </c>
      <c r="C934" s="253">
        <v>0</v>
      </c>
      <c r="D934" s="252">
        <v>50592</v>
      </c>
      <c r="E934" s="252" t="s">
        <v>3039</v>
      </c>
      <c r="F934" s="254" t="s">
        <v>3429</v>
      </c>
      <c r="G934" s="252" t="s">
        <v>3451</v>
      </c>
      <c r="H934" s="252" t="s">
        <v>3452</v>
      </c>
      <c r="I934" s="252">
        <v>6</v>
      </c>
      <c r="J934" s="255">
        <v>1</v>
      </c>
      <c r="K934" s="255">
        <v>1</v>
      </c>
      <c r="L934" s="255"/>
      <c r="M934" s="256">
        <v>1.2570000000000001E-3</v>
      </c>
      <c r="N934" s="249">
        <v>933</v>
      </c>
    </row>
    <row r="935" spans="1:14" x14ac:dyDescent="0.25">
      <c r="A935" s="252" t="s">
        <v>183</v>
      </c>
      <c r="B935" s="252" t="s">
        <v>3038</v>
      </c>
      <c r="C935" s="253">
        <v>0</v>
      </c>
      <c r="D935" s="252">
        <v>50592</v>
      </c>
      <c r="E935" s="252" t="s">
        <v>3039</v>
      </c>
      <c r="F935" s="254" t="s">
        <v>3429</v>
      </c>
      <c r="G935" s="252" t="s">
        <v>3453</v>
      </c>
      <c r="H935" s="252" t="s">
        <v>3454</v>
      </c>
      <c r="I935" s="252">
        <v>6</v>
      </c>
      <c r="J935" s="255">
        <v>1</v>
      </c>
      <c r="K935" s="255">
        <v>1</v>
      </c>
      <c r="L935" s="255"/>
      <c r="M935" s="256">
        <v>3.6899999999999997E-4</v>
      </c>
      <c r="N935" s="249">
        <v>934</v>
      </c>
    </row>
    <row r="936" spans="1:14" x14ac:dyDescent="0.25">
      <c r="A936" s="252" t="s">
        <v>183</v>
      </c>
      <c r="B936" s="252" t="s">
        <v>3038</v>
      </c>
      <c r="C936" s="253">
        <v>0</v>
      </c>
      <c r="D936" s="252">
        <v>50592</v>
      </c>
      <c r="E936" s="252" t="s">
        <v>3039</v>
      </c>
      <c r="F936" s="254" t="s">
        <v>3429</v>
      </c>
      <c r="G936" s="252" t="s">
        <v>3455</v>
      </c>
      <c r="H936" s="252" t="s">
        <v>3456</v>
      </c>
      <c r="I936" s="252">
        <v>6</v>
      </c>
      <c r="J936" s="255">
        <v>1</v>
      </c>
      <c r="K936" s="255">
        <v>1</v>
      </c>
      <c r="L936" s="255"/>
      <c r="M936" s="256">
        <v>3.6899999999999997E-4</v>
      </c>
      <c r="N936" s="249">
        <v>935</v>
      </c>
    </row>
    <row r="937" spans="1:14" x14ac:dyDescent="0.25">
      <c r="A937" s="252" t="s">
        <v>183</v>
      </c>
      <c r="B937" s="252" t="s">
        <v>3038</v>
      </c>
      <c r="C937" s="253">
        <v>0</v>
      </c>
      <c r="D937" s="252">
        <v>50592</v>
      </c>
      <c r="E937" s="252" t="s">
        <v>3039</v>
      </c>
      <c r="F937" s="254" t="s">
        <v>3429</v>
      </c>
      <c r="G937" s="252" t="s">
        <v>3457</v>
      </c>
      <c r="H937" s="252" t="s">
        <v>3458</v>
      </c>
      <c r="I937" s="252">
        <v>6</v>
      </c>
      <c r="J937" s="255">
        <v>1</v>
      </c>
      <c r="K937" s="255">
        <v>1</v>
      </c>
      <c r="L937" s="255"/>
      <c r="M937" s="256">
        <v>2.9700000000000001E-4</v>
      </c>
      <c r="N937" s="249">
        <v>936</v>
      </c>
    </row>
    <row r="938" spans="1:14" x14ac:dyDescent="0.25">
      <c r="A938" s="252" t="s">
        <v>183</v>
      </c>
      <c r="B938" s="252" t="s">
        <v>3038</v>
      </c>
      <c r="C938" s="253">
        <v>0</v>
      </c>
      <c r="D938" s="252">
        <v>50592</v>
      </c>
      <c r="E938" s="252" t="s">
        <v>3039</v>
      </c>
      <c r="F938" s="254" t="s">
        <v>3429</v>
      </c>
      <c r="G938" s="252" t="s">
        <v>2346</v>
      </c>
      <c r="H938" s="252" t="s">
        <v>3459</v>
      </c>
      <c r="I938" s="252">
        <v>6</v>
      </c>
      <c r="J938" s="255">
        <v>1</v>
      </c>
      <c r="K938" s="255">
        <v>1</v>
      </c>
      <c r="L938" s="255"/>
      <c r="M938" s="256">
        <v>2.9700000000000001E-4</v>
      </c>
      <c r="N938" s="249">
        <v>937</v>
      </c>
    </row>
    <row r="939" spans="1:14" x14ac:dyDescent="0.25">
      <c r="A939" s="252" t="s">
        <v>183</v>
      </c>
      <c r="B939" s="252" t="s">
        <v>3038</v>
      </c>
      <c r="C939" s="253">
        <v>0</v>
      </c>
      <c r="D939" s="252">
        <v>50592</v>
      </c>
      <c r="E939" s="252" t="s">
        <v>3039</v>
      </c>
      <c r="F939" s="254" t="s">
        <v>3429</v>
      </c>
      <c r="G939" s="252" t="s">
        <v>3460</v>
      </c>
      <c r="H939" s="252" t="s">
        <v>3461</v>
      </c>
      <c r="I939" s="252">
        <v>6</v>
      </c>
      <c r="J939" s="255">
        <v>1</v>
      </c>
      <c r="K939" s="255">
        <v>1</v>
      </c>
      <c r="L939" s="255"/>
      <c r="M939" s="256">
        <v>2.9700000000000001E-4</v>
      </c>
      <c r="N939" s="249">
        <v>938</v>
      </c>
    </row>
    <row r="940" spans="1:14" x14ac:dyDescent="0.25">
      <c r="A940" s="252" t="s">
        <v>183</v>
      </c>
      <c r="B940" s="252" t="s">
        <v>3038</v>
      </c>
      <c r="C940" s="253">
        <v>0</v>
      </c>
      <c r="D940" s="252">
        <v>50592</v>
      </c>
      <c r="E940" s="252" t="s">
        <v>3039</v>
      </c>
      <c r="F940" s="254" t="s">
        <v>3429</v>
      </c>
      <c r="G940" s="252" t="s">
        <v>3462</v>
      </c>
      <c r="H940" s="252" t="s">
        <v>3463</v>
      </c>
      <c r="I940" s="252">
        <v>6</v>
      </c>
      <c r="J940" s="255">
        <v>1</v>
      </c>
      <c r="K940" s="255">
        <v>1</v>
      </c>
      <c r="L940" s="255"/>
      <c r="M940" s="256">
        <v>2.9700000000000001E-4</v>
      </c>
      <c r="N940" s="249">
        <v>939</v>
      </c>
    </row>
    <row r="941" spans="1:14" x14ac:dyDescent="0.25">
      <c r="A941" s="252" t="s">
        <v>183</v>
      </c>
      <c r="B941" s="252" t="s">
        <v>3038</v>
      </c>
      <c r="C941" s="253">
        <v>0</v>
      </c>
      <c r="D941" s="252">
        <v>50592</v>
      </c>
      <c r="E941" s="252" t="s">
        <v>3039</v>
      </c>
      <c r="F941" s="254" t="s">
        <v>3429</v>
      </c>
      <c r="G941" s="252" t="s">
        <v>3464</v>
      </c>
      <c r="H941" s="252" t="s">
        <v>3465</v>
      </c>
      <c r="I941" s="252">
        <v>6</v>
      </c>
      <c r="J941" s="255">
        <v>1</v>
      </c>
      <c r="K941" s="255">
        <v>1</v>
      </c>
      <c r="L941" s="255"/>
      <c r="M941" s="256">
        <v>2.9700000000000001E-4</v>
      </c>
      <c r="N941" s="249">
        <v>940</v>
      </c>
    </row>
    <row r="942" spans="1:14" x14ac:dyDescent="0.25">
      <c r="A942" s="252" t="s">
        <v>183</v>
      </c>
      <c r="B942" s="252" t="s">
        <v>3038</v>
      </c>
      <c r="C942" s="253">
        <v>0</v>
      </c>
      <c r="D942" s="252">
        <v>50592</v>
      </c>
      <c r="E942" s="252" t="s">
        <v>3039</v>
      </c>
      <c r="F942" s="254" t="s">
        <v>3429</v>
      </c>
      <c r="G942" s="252" t="s">
        <v>2347</v>
      </c>
      <c r="H942" s="252" t="s">
        <v>3466</v>
      </c>
      <c r="I942" s="252">
        <v>6</v>
      </c>
      <c r="J942" s="255">
        <v>1</v>
      </c>
      <c r="K942" s="255">
        <v>1</v>
      </c>
      <c r="L942" s="255"/>
      <c r="M942" s="256">
        <v>2.9700000000000001E-4</v>
      </c>
      <c r="N942" s="249">
        <v>941</v>
      </c>
    </row>
    <row r="943" spans="1:14" x14ac:dyDescent="0.25">
      <c r="A943" s="252" t="s">
        <v>183</v>
      </c>
      <c r="B943" s="252" t="s">
        <v>3038</v>
      </c>
      <c r="C943" s="253">
        <v>0</v>
      </c>
      <c r="D943" s="252">
        <v>50592</v>
      </c>
      <c r="E943" s="252" t="s">
        <v>3039</v>
      </c>
      <c r="F943" s="254" t="s">
        <v>3429</v>
      </c>
      <c r="G943" s="252" t="s">
        <v>3467</v>
      </c>
      <c r="H943" s="252" t="s">
        <v>3468</v>
      </c>
      <c r="I943" s="252">
        <v>6</v>
      </c>
      <c r="J943" s="255">
        <v>1</v>
      </c>
      <c r="K943" s="255">
        <v>1</v>
      </c>
      <c r="L943" s="255"/>
      <c r="M943" s="256">
        <v>2.9700000000000001E-4</v>
      </c>
      <c r="N943" s="249">
        <v>942</v>
      </c>
    </row>
    <row r="944" spans="1:14" x14ac:dyDescent="0.25">
      <c r="A944" s="252" t="s">
        <v>183</v>
      </c>
      <c r="B944" s="252" t="s">
        <v>3038</v>
      </c>
      <c r="C944" s="253">
        <v>0</v>
      </c>
      <c r="D944" s="252">
        <v>50592</v>
      </c>
      <c r="E944" s="252" t="s">
        <v>3039</v>
      </c>
      <c r="F944" s="254" t="s">
        <v>3429</v>
      </c>
      <c r="G944" s="252" t="s">
        <v>3469</v>
      </c>
      <c r="H944" s="252" t="s">
        <v>3470</v>
      </c>
      <c r="I944" s="252">
        <v>6</v>
      </c>
      <c r="J944" s="255">
        <v>1</v>
      </c>
      <c r="K944" s="255">
        <v>1</v>
      </c>
      <c r="L944" s="255"/>
      <c r="M944" s="256">
        <v>3.9449999999999997E-3</v>
      </c>
      <c r="N944" s="249">
        <v>943</v>
      </c>
    </row>
    <row r="945" spans="1:14" x14ac:dyDescent="0.25">
      <c r="A945" s="252" t="s">
        <v>183</v>
      </c>
      <c r="B945" s="252" t="s">
        <v>3038</v>
      </c>
      <c r="C945" s="253">
        <v>0</v>
      </c>
      <c r="D945" s="252">
        <v>50592</v>
      </c>
      <c r="E945" s="252" t="s">
        <v>3039</v>
      </c>
      <c r="F945" s="254" t="s">
        <v>3429</v>
      </c>
      <c r="G945" s="252" t="s">
        <v>3471</v>
      </c>
      <c r="H945" s="252" t="s">
        <v>3472</v>
      </c>
      <c r="I945" s="252">
        <v>6</v>
      </c>
      <c r="J945" s="255">
        <v>1</v>
      </c>
      <c r="K945" s="255">
        <v>1</v>
      </c>
      <c r="L945" s="255"/>
      <c r="M945" s="256">
        <v>3.9449999999999997E-3</v>
      </c>
      <c r="N945" s="249">
        <v>944</v>
      </c>
    </row>
    <row r="946" spans="1:14" x14ac:dyDescent="0.25">
      <c r="A946" s="252" t="s">
        <v>183</v>
      </c>
      <c r="B946" s="252" t="s">
        <v>3038</v>
      </c>
      <c r="C946" s="253">
        <v>0</v>
      </c>
      <c r="D946" s="252">
        <v>50592</v>
      </c>
      <c r="E946" s="252" t="s">
        <v>3039</v>
      </c>
      <c r="F946" s="254" t="s">
        <v>3429</v>
      </c>
      <c r="G946" s="252" t="s">
        <v>3473</v>
      </c>
      <c r="H946" s="252" t="s">
        <v>3474</v>
      </c>
      <c r="I946" s="252">
        <v>6</v>
      </c>
      <c r="J946" s="255">
        <v>1</v>
      </c>
      <c r="K946" s="255">
        <v>1</v>
      </c>
      <c r="L946" s="255"/>
      <c r="M946" s="256">
        <v>2.2229999999999997E-3</v>
      </c>
      <c r="N946" s="249">
        <v>945</v>
      </c>
    </row>
    <row r="947" spans="1:14" x14ac:dyDescent="0.25">
      <c r="A947" s="252" t="s">
        <v>183</v>
      </c>
      <c r="B947" s="252" t="s">
        <v>3038</v>
      </c>
      <c r="C947" s="253">
        <v>0</v>
      </c>
      <c r="D947" s="252">
        <v>50592</v>
      </c>
      <c r="E947" s="252" t="s">
        <v>3039</v>
      </c>
      <c r="F947" s="254" t="s">
        <v>3429</v>
      </c>
      <c r="G947" s="252" t="s">
        <v>3475</v>
      </c>
      <c r="H947" s="252" t="s">
        <v>3476</v>
      </c>
      <c r="I947" s="252">
        <v>6</v>
      </c>
      <c r="J947" s="255">
        <v>1</v>
      </c>
      <c r="K947" s="255">
        <v>1</v>
      </c>
      <c r="L947" s="255"/>
      <c r="M947" s="256">
        <v>2.2229999999999997E-3</v>
      </c>
      <c r="N947" s="249">
        <v>946</v>
      </c>
    </row>
    <row r="948" spans="1:14" x14ac:dyDescent="0.25">
      <c r="A948" s="252" t="s">
        <v>183</v>
      </c>
      <c r="B948" s="252" t="s">
        <v>3038</v>
      </c>
      <c r="C948" s="253">
        <v>0</v>
      </c>
      <c r="D948" s="252">
        <v>50592</v>
      </c>
      <c r="E948" s="252" t="s">
        <v>3039</v>
      </c>
      <c r="F948" s="254" t="s">
        <v>3429</v>
      </c>
      <c r="G948" s="252" t="s">
        <v>3477</v>
      </c>
      <c r="H948" s="252" t="s">
        <v>3478</v>
      </c>
      <c r="I948" s="252">
        <v>6</v>
      </c>
      <c r="J948" s="255">
        <v>1</v>
      </c>
      <c r="K948" s="255">
        <v>1</v>
      </c>
      <c r="L948" s="255"/>
      <c r="M948" s="256">
        <v>1.2570000000000001E-3</v>
      </c>
      <c r="N948" s="249">
        <v>947</v>
      </c>
    </row>
    <row r="949" spans="1:14" x14ac:dyDescent="0.25">
      <c r="A949" s="252" t="s">
        <v>183</v>
      </c>
      <c r="B949" s="252" t="s">
        <v>3038</v>
      </c>
      <c r="C949" s="253">
        <v>0</v>
      </c>
      <c r="D949" s="252">
        <v>50592</v>
      </c>
      <c r="E949" s="252" t="s">
        <v>3039</v>
      </c>
      <c r="F949" s="254" t="s">
        <v>3429</v>
      </c>
      <c r="G949" s="252" t="s">
        <v>3479</v>
      </c>
      <c r="H949" s="252" t="s">
        <v>3480</v>
      </c>
      <c r="I949" s="252">
        <v>6</v>
      </c>
      <c r="J949" s="255">
        <v>1</v>
      </c>
      <c r="K949" s="255">
        <v>1</v>
      </c>
      <c r="L949" s="255"/>
      <c r="M949" s="256">
        <v>1.2570000000000001E-3</v>
      </c>
      <c r="N949" s="249">
        <v>948</v>
      </c>
    </row>
    <row r="950" spans="1:14" x14ac:dyDescent="0.25">
      <c r="A950" s="252" t="s">
        <v>183</v>
      </c>
      <c r="B950" s="252" t="s">
        <v>3038</v>
      </c>
      <c r="C950" s="253">
        <v>0</v>
      </c>
      <c r="D950" s="252">
        <v>50592</v>
      </c>
      <c r="E950" s="252" t="s">
        <v>3039</v>
      </c>
      <c r="F950" s="254" t="s">
        <v>3429</v>
      </c>
      <c r="G950" s="252" t="s">
        <v>3481</v>
      </c>
      <c r="H950" s="252" t="s">
        <v>3482</v>
      </c>
      <c r="I950" s="252">
        <v>6</v>
      </c>
      <c r="J950" s="255">
        <v>1</v>
      </c>
      <c r="K950" s="255">
        <v>1</v>
      </c>
      <c r="L950" s="255"/>
      <c r="M950" s="256">
        <v>3.6899999999999997E-4</v>
      </c>
      <c r="N950" s="249">
        <v>949</v>
      </c>
    </row>
    <row r="951" spans="1:14" x14ac:dyDescent="0.25">
      <c r="A951" s="252" t="s">
        <v>183</v>
      </c>
      <c r="B951" s="252" t="s">
        <v>3038</v>
      </c>
      <c r="C951" s="253">
        <v>0</v>
      </c>
      <c r="D951" s="252">
        <v>50592</v>
      </c>
      <c r="E951" s="252" t="s">
        <v>3039</v>
      </c>
      <c r="F951" s="254" t="s">
        <v>3429</v>
      </c>
      <c r="G951" s="252" t="s">
        <v>3483</v>
      </c>
      <c r="H951" s="252" t="s">
        <v>3484</v>
      </c>
      <c r="I951" s="252">
        <v>6</v>
      </c>
      <c r="J951" s="255">
        <v>1</v>
      </c>
      <c r="K951" s="255">
        <v>1</v>
      </c>
      <c r="L951" s="255"/>
      <c r="M951" s="256">
        <v>3.6899999999999997E-4</v>
      </c>
      <c r="N951" s="249">
        <v>950</v>
      </c>
    </row>
    <row r="952" spans="1:14" x14ac:dyDescent="0.25">
      <c r="A952" s="252" t="s">
        <v>183</v>
      </c>
      <c r="B952" s="252" t="s">
        <v>3038</v>
      </c>
      <c r="C952" s="253">
        <v>0</v>
      </c>
      <c r="D952" s="252">
        <v>50592</v>
      </c>
      <c r="E952" s="252" t="s">
        <v>190</v>
      </c>
      <c r="F952" s="254" t="s">
        <v>3429</v>
      </c>
      <c r="G952" s="252" t="s">
        <v>3485</v>
      </c>
      <c r="H952" s="252" t="s">
        <v>3486</v>
      </c>
      <c r="I952" s="252">
        <v>6</v>
      </c>
      <c r="J952" s="255">
        <v>1</v>
      </c>
      <c r="K952" s="255">
        <v>1</v>
      </c>
      <c r="L952" s="255"/>
      <c r="M952" s="256">
        <v>4.6799999999999999E-4</v>
      </c>
      <c r="N952" s="249">
        <v>951</v>
      </c>
    </row>
    <row r="953" spans="1:14" x14ac:dyDescent="0.25">
      <c r="A953" s="252" t="s">
        <v>183</v>
      </c>
      <c r="B953" s="252" t="s">
        <v>3038</v>
      </c>
      <c r="C953" s="253">
        <v>0</v>
      </c>
      <c r="D953" s="252">
        <v>50592</v>
      </c>
      <c r="E953" s="252" t="s">
        <v>190</v>
      </c>
      <c r="F953" s="254" t="s">
        <v>3429</v>
      </c>
      <c r="G953" s="252" t="s">
        <v>3487</v>
      </c>
      <c r="H953" s="252" t="s">
        <v>3488</v>
      </c>
      <c r="I953" s="252">
        <v>6</v>
      </c>
      <c r="J953" s="255">
        <v>1</v>
      </c>
      <c r="K953" s="255">
        <v>1</v>
      </c>
      <c r="L953" s="255"/>
      <c r="M953" s="256">
        <v>4.6799999999999999E-4</v>
      </c>
      <c r="N953" s="249">
        <v>952</v>
      </c>
    </row>
    <row r="954" spans="1:14" x14ac:dyDescent="0.25">
      <c r="A954" s="252" t="s">
        <v>183</v>
      </c>
      <c r="B954" s="252" t="s">
        <v>3038</v>
      </c>
      <c r="C954" s="253">
        <v>0</v>
      </c>
      <c r="D954" s="252">
        <v>50592</v>
      </c>
      <c r="E954" s="252" t="s">
        <v>190</v>
      </c>
      <c r="F954" s="254" t="s">
        <v>3429</v>
      </c>
      <c r="G954" s="252" t="s">
        <v>3489</v>
      </c>
      <c r="H954" s="252" t="s">
        <v>3490</v>
      </c>
      <c r="I954" s="252">
        <v>6</v>
      </c>
      <c r="J954" s="255">
        <v>1</v>
      </c>
      <c r="K954" s="255">
        <v>1</v>
      </c>
      <c r="L954" s="255"/>
      <c r="M954" s="256">
        <v>4.4399999999999995E-4</v>
      </c>
      <c r="N954" s="249">
        <v>953</v>
      </c>
    </row>
    <row r="955" spans="1:14" x14ac:dyDescent="0.25">
      <c r="A955" s="252" t="s">
        <v>183</v>
      </c>
      <c r="B955" s="252" t="s">
        <v>3038</v>
      </c>
      <c r="C955" s="253">
        <v>0</v>
      </c>
      <c r="D955" s="252">
        <v>50592</v>
      </c>
      <c r="E955" s="252" t="s">
        <v>190</v>
      </c>
      <c r="F955" s="254" t="s">
        <v>3429</v>
      </c>
      <c r="G955" s="252" t="s">
        <v>3491</v>
      </c>
      <c r="H955" s="252" t="s">
        <v>3492</v>
      </c>
      <c r="I955" s="252">
        <v>6</v>
      </c>
      <c r="J955" s="255">
        <v>1</v>
      </c>
      <c r="K955" s="255">
        <v>1</v>
      </c>
      <c r="L955" s="255"/>
      <c r="M955" s="256">
        <v>4.4399999999999995E-4</v>
      </c>
      <c r="N955" s="249">
        <v>954</v>
      </c>
    </row>
    <row r="956" spans="1:14" x14ac:dyDescent="0.25">
      <c r="A956" s="252" t="s">
        <v>183</v>
      </c>
      <c r="B956" s="252" t="s">
        <v>3038</v>
      </c>
      <c r="C956" s="253">
        <v>0</v>
      </c>
      <c r="D956" s="252">
        <v>50592</v>
      </c>
      <c r="E956" s="252" t="s">
        <v>190</v>
      </c>
      <c r="F956" s="254" t="s">
        <v>3429</v>
      </c>
      <c r="G956" s="252" t="s">
        <v>2348</v>
      </c>
      <c r="H956" s="252" t="s">
        <v>3493</v>
      </c>
      <c r="I956" s="252">
        <v>6</v>
      </c>
      <c r="J956" s="255">
        <v>1</v>
      </c>
      <c r="K956" s="255">
        <v>1</v>
      </c>
      <c r="L956" s="255"/>
      <c r="M956" s="256">
        <v>4.6799999999999999E-4</v>
      </c>
      <c r="N956" s="249">
        <v>955</v>
      </c>
    </row>
    <row r="957" spans="1:14" x14ac:dyDescent="0.25">
      <c r="A957" s="252" t="s">
        <v>183</v>
      </c>
      <c r="B957" s="252" t="s">
        <v>3038</v>
      </c>
      <c r="C957" s="253">
        <v>0</v>
      </c>
      <c r="D957" s="252">
        <v>50592</v>
      </c>
      <c r="E957" s="252" t="s">
        <v>190</v>
      </c>
      <c r="F957" s="254" t="s">
        <v>3429</v>
      </c>
      <c r="G957" s="252" t="s">
        <v>3494</v>
      </c>
      <c r="H957" s="252" t="s">
        <v>3495</v>
      </c>
      <c r="I957" s="252">
        <v>6</v>
      </c>
      <c r="J957" s="255">
        <v>1</v>
      </c>
      <c r="K957" s="255">
        <v>1</v>
      </c>
      <c r="L957" s="255"/>
      <c r="M957" s="256">
        <v>4.6799999999999999E-4</v>
      </c>
      <c r="N957" s="249">
        <v>956</v>
      </c>
    </row>
    <row r="958" spans="1:14" x14ac:dyDescent="0.25">
      <c r="A958" s="252" t="s">
        <v>183</v>
      </c>
      <c r="B958" s="252" t="s">
        <v>3038</v>
      </c>
      <c r="C958" s="253">
        <v>0</v>
      </c>
      <c r="D958" s="252">
        <v>50592</v>
      </c>
      <c r="E958" s="252" t="s">
        <v>3039</v>
      </c>
      <c r="F958" s="254" t="s">
        <v>3429</v>
      </c>
      <c r="G958" s="252" t="s">
        <v>2350</v>
      </c>
      <c r="H958" s="252" t="s">
        <v>3496</v>
      </c>
      <c r="I958" s="252">
        <v>6</v>
      </c>
      <c r="J958" s="255">
        <v>1</v>
      </c>
      <c r="K958" s="255">
        <v>1</v>
      </c>
      <c r="L958" s="255"/>
      <c r="M958" s="256">
        <v>2.4000000000000001E-4</v>
      </c>
      <c r="N958" s="249">
        <v>957</v>
      </c>
    </row>
    <row r="959" spans="1:14" x14ac:dyDescent="0.25">
      <c r="A959" s="252" t="s">
        <v>183</v>
      </c>
      <c r="B959" s="252" t="s">
        <v>3038</v>
      </c>
      <c r="C959" s="253">
        <v>0</v>
      </c>
      <c r="D959" s="252">
        <v>50592</v>
      </c>
      <c r="E959" s="252" t="s">
        <v>3059</v>
      </c>
      <c r="F959" s="254" t="s">
        <v>3429</v>
      </c>
      <c r="G959" s="252" t="s">
        <v>2351</v>
      </c>
      <c r="H959" s="252" t="s">
        <v>3497</v>
      </c>
      <c r="I959" s="252">
        <v>6</v>
      </c>
      <c r="J959" s="255">
        <v>1</v>
      </c>
      <c r="K959" s="255">
        <v>1</v>
      </c>
      <c r="L959" s="255"/>
      <c r="M959" s="256">
        <v>8.7000000000000001E-5</v>
      </c>
      <c r="N959" s="249">
        <v>958</v>
      </c>
    </row>
    <row r="960" spans="1:14" x14ac:dyDescent="0.25">
      <c r="A960" s="252" t="s">
        <v>183</v>
      </c>
      <c r="B960" s="252" t="s">
        <v>3038</v>
      </c>
      <c r="C960" s="253">
        <v>0</v>
      </c>
      <c r="D960" s="252">
        <v>50592</v>
      </c>
      <c r="E960" s="252" t="s">
        <v>3059</v>
      </c>
      <c r="F960" s="254" t="s">
        <v>3429</v>
      </c>
      <c r="G960" s="252" t="s">
        <v>3498</v>
      </c>
      <c r="H960" s="252" t="s">
        <v>3499</v>
      </c>
      <c r="I960" s="252">
        <v>6</v>
      </c>
      <c r="J960" s="255">
        <v>1</v>
      </c>
      <c r="K960" s="255">
        <v>1</v>
      </c>
      <c r="L960" s="255"/>
      <c r="M960" s="256">
        <v>1.8059999999999997E-3</v>
      </c>
      <c r="N960" s="249">
        <v>959</v>
      </c>
    </row>
    <row r="961" spans="1:14" x14ac:dyDescent="0.25">
      <c r="A961" s="252" t="s">
        <v>183</v>
      </c>
      <c r="B961" s="252" t="s">
        <v>3038</v>
      </c>
      <c r="C961" s="253">
        <v>0</v>
      </c>
      <c r="D961" s="252">
        <v>50592</v>
      </c>
      <c r="E961" s="252" t="s">
        <v>3059</v>
      </c>
      <c r="F961" s="254" t="s">
        <v>3429</v>
      </c>
      <c r="G961" s="252" t="s">
        <v>3500</v>
      </c>
      <c r="H961" s="252" t="s">
        <v>3501</v>
      </c>
      <c r="I961" s="252">
        <v>6</v>
      </c>
      <c r="J961" s="255">
        <v>1</v>
      </c>
      <c r="K961" s="255">
        <v>1</v>
      </c>
      <c r="L961" s="255"/>
      <c r="M961" s="256">
        <v>8.7000000000000001E-5</v>
      </c>
      <c r="N961" s="249">
        <v>960</v>
      </c>
    </row>
    <row r="962" spans="1:14" x14ac:dyDescent="0.25">
      <c r="A962" s="252" t="s">
        <v>183</v>
      </c>
      <c r="B962" s="252" t="s">
        <v>3038</v>
      </c>
      <c r="C962" s="253">
        <v>0</v>
      </c>
      <c r="D962" s="252">
        <v>50592</v>
      </c>
      <c r="E962" s="252" t="s">
        <v>3059</v>
      </c>
      <c r="F962" s="254" t="s">
        <v>3429</v>
      </c>
      <c r="G962" s="252" t="s">
        <v>3502</v>
      </c>
      <c r="H962" s="252" t="s">
        <v>3503</v>
      </c>
      <c r="I962" s="252">
        <v>6</v>
      </c>
      <c r="J962" s="255">
        <v>1</v>
      </c>
      <c r="K962" s="255">
        <v>1</v>
      </c>
      <c r="L962" s="255"/>
      <c r="M962" s="256">
        <v>1.8059999999999997E-3</v>
      </c>
      <c r="N962" s="249">
        <v>961</v>
      </c>
    </row>
    <row r="963" spans="1:14" x14ac:dyDescent="0.25">
      <c r="A963" s="252" t="s">
        <v>183</v>
      </c>
      <c r="B963" s="252" t="s">
        <v>3038</v>
      </c>
      <c r="C963" s="253">
        <v>0</v>
      </c>
      <c r="D963" s="252">
        <v>50592</v>
      </c>
      <c r="E963" s="252" t="s">
        <v>3059</v>
      </c>
      <c r="F963" s="254" t="s">
        <v>3429</v>
      </c>
      <c r="G963" s="252" t="s">
        <v>3504</v>
      </c>
      <c r="H963" s="252" t="s">
        <v>3505</v>
      </c>
      <c r="I963" s="252">
        <v>6</v>
      </c>
      <c r="J963" s="255">
        <v>1</v>
      </c>
      <c r="K963" s="255">
        <v>1</v>
      </c>
      <c r="L963" s="255"/>
      <c r="M963" s="256">
        <v>1.02E-4</v>
      </c>
      <c r="N963" s="249">
        <v>962</v>
      </c>
    </row>
    <row r="964" spans="1:14" x14ac:dyDescent="0.25">
      <c r="A964" s="252" t="s">
        <v>183</v>
      </c>
      <c r="B964" s="252" t="s">
        <v>3038</v>
      </c>
      <c r="C964" s="253">
        <v>0</v>
      </c>
      <c r="D964" s="252">
        <v>50592</v>
      </c>
      <c r="E964" s="252" t="s">
        <v>3059</v>
      </c>
      <c r="F964" s="254" t="s">
        <v>3429</v>
      </c>
      <c r="G964" s="252" t="s">
        <v>3506</v>
      </c>
      <c r="H964" s="252" t="s">
        <v>3507</v>
      </c>
      <c r="I964" s="252">
        <v>6</v>
      </c>
      <c r="J964" s="255">
        <v>1</v>
      </c>
      <c r="K964" s="255">
        <v>1</v>
      </c>
      <c r="L964" s="255"/>
      <c r="M964" s="256">
        <v>1.02E-4</v>
      </c>
      <c r="N964" s="249">
        <v>963</v>
      </c>
    </row>
    <row r="965" spans="1:14" x14ac:dyDescent="0.25">
      <c r="A965" s="252" t="s">
        <v>183</v>
      </c>
      <c r="B965" s="252" t="s">
        <v>3038</v>
      </c>
      <c r="C965" s="253">
        <v>0</v>
      </c>
      <c r="D965" s="252">
        <v>50592</v>
      </c>
      <c r="E965" s="252" t="s">
        <v>3059</v>
      </c>
      <c r="F965" s="254" t="s">
        <v>3429</v>
      </c>
      <c r="G965" s="252" t="s">
        <v>3508</v>
      </c>
      <c r="H965" s="252" t="s">
        <v>3509</v>
      </c>
      <c r="I965" s="252">
        <v>6</v>
      </c>
      <c r="J965" s="255">
        <v>1</v>
      </c>
      <c r="K965" s="255">
        <v>1</v>
      </c>
      <c r="L965" s="255"/>
      <c r="M965" s="256">
        <v>5.6399999999999994E-4</v>
      </c>
      <c r="N965" s="249">
        <v>964</v>
      </c>
    </row>
    <row r="966" spans="1:14" x14ac:dyDescent="0.25">
      <c r="A966" s="252" t="s">
        <v>183</v>
      </c>
      <c r="B966" s="252" t="s">
        <v>3038</v>
      </c>
      <c r="C966" s="253">
        <v>0</v>
      </c>
      <c r="D966" s="252">
        <v>50592</v>
      </c>
      <c r="E966" s="252" t="s">
        <v>3059</v>
      </c>
      <c r="F966" s="254" t="s">
        <v>3429</v>
      </c>
      <c r="G966" s="252" t="s">
        <v>3510</v>
      </c>
      <c r="H966" s="252" t="s">
        <v>3511</v>
      </c>
      <c r="I966" s="252">
        <v>6</v>
      </c>
      <c r="J966" s="255">
        <v>1</v>
      </c>
      <c r="K966" s="255">
        <v>1</v>
      </c>
      <c r="L966" s="255"/>
      <c r="M966" s="256">
        <v>2.2769999999999999E-3</v>
      </c>
      <c r="N966" s="249">
        <v>965</v>
      </c>
    </row>
    <row r="967" spans="1:14" x14ac:dyDescent="0.25">
      <c r="A967" s="252" t="s">
        <v>183</v>
      </c>
      <c r="B967" s="252" t="s">
        <v>3038</v>
      </c>
      <c r="C967" s="253">
        <v>0</v>
      </c>
      <c r="D967" s="252">
        <v>50592</v>
      </c>
      <c r="E967" s="252" t="s">
        <v>3059</v>
      </c>
      <c r="F967" s="254" t="s">
        <v>3429</v>
      </c>
      <c r="G967" s="252" t="s">
        <v>3512</v>
      </c>
      <c r="H967" s="252" t="s">
        <v>3513</v>
      </c>
      <c r="I967" s="252">
        <v>6</v>
      </c>
      <c r="J967" s="255">
        <v>1</v>
      </c>
      <c r="K967" s="255">
        <v>1</v>
      </c>
      <c r="L967" s="255"/>
      <c r="M967" s="256">
        <v>8.7000000000000001E-5</v>
      </c>
      <c r="N967" s="249">
        <v>966</v>
      </c>
    </row>
    <row r="968" spans="1:14" x14ac:dyDescent="0.25">
      <c r="A968" s="252" t="s">
        <v>183</v>
      </c>
      <c r="B968" s="252" t="s">
        <v>3038</v>
      </c>
      <c r="C968" s="253">
        <v>0</v>
      </c>
      <c r="D968" s="252">
        <v>50592</v>
      </c>
      <c r="E968" s="252" t="s">
        <v>3059</v>
      </c>
      <c r="F968" s="254" t="s">
        <v>3429</v>
      </c>
      <c r="G968" s="252" t="s">
        <v>3514</v>
      </c>
      <c r="H968" s="252" t="s">
        <v>3515</v>
      </c>
      <c r="I968" s="252">
        <v>6</v>
      </c>
      <c r="J968" s="255">
        <v>1</v>
      </c>
      <c r="K968" s="255">
        <v>1</v>
      </c>
      <c r="L968" s="255"/>
      <c r="M968" s="256">
        <v>1.8059999999999997E-3</v>
      </c>
      <c r="N968" s="249">
        <v>967</v>
      </c>
    </row>
    <row r="969" spans="1:14" x14ac:dyDescent="0.25">
      <c r="A969" s="252" t="s">
        <v>183</v>
      </c>
      <c r="B969" s="252" t="s">
        <v>3038</v>
      </c>
      <c r="C969" s="253">
        <v>0</v>
      </c>
      <c r="D969" s="252">
        <v>50592</v>
      </c>
      <c r="E969" s="252" t="s">
        <v>3059</v>
      </c>
      <c r="F969" s="254" t="s">
        <v>3429</v>
      </c>
      <c r="G969" s="252" t="s">
        <v>3516</v>
      </c>
      <c r="H969" s="252" t="s">
        <v>3517</v>
      </c>
      <c r="I969" s="252">
        <v>6</v>
      </c>
      <c r="J969" s="255">
        <v>1</v>
      </c>
      <c r="K969" s="255">
        <v>1</v>
      </c>
      <c r="L969" s="255"/>
      <c r="M969" s="256">
        <v>8.7000000000000001E-5</v>
      </c>
      <c r="N969" s="249">
        <v>968</v>
      </c>
    </row>
    <row r="970" spans="1:14" x14ac:dyDescent="0.25">
      <c r="A970" s="252" t="s">
        <v>183</v>
      </c>
      <c r="B970" s="252" t="s">
        <v>3038</v>
      </c>
      <c r="C970" s="253">
        <v>0</v>
      </c>
      <c r="D970" s="252">
        <v>50592</v>
      </c>
      <c r="E970" s="252" t="s">
        <v>3059</v>
      </c>
      <c r="F970" s="254" t="s">
        <v>3429</v>
      </c>
      <c r="G970" s="252" t="s">
        <v>3518</v>
      </c>
      <c r="H970" s="252" t="s">
        <v>3519</v>
      </c>
      <c r="I970" s="252">
        <v>6</v>
      </c>
      <c r="J970" s="255">
        <v>1</v>
      </c>
      <c r="K970" s="255">
        <v>1</v>
      </c>
      <c r="L970" s="255"/>
      <c r="M970" s="256">
        <v>1.8059999999999997E-3</v>
      </c>
      <c r="N970" s="249">
        <v>969</v>
      </c>
    </row>
    <row r="971" spans="1:14" x14ac:dyDescent="0.25">
      <c r="A971" s="252" t="s">
        <v>183</v>
      </c>
      <c r="B971" s="252" t="s">
        <v>3038</v>
      </c>
      <c r="C971" s="253">
        <v>0</v>
      </c>
      <c r="D971" s="252">
        <v>50592</v>
      </c>
      <c r="E971" s="252" t="s">
        <v>3059</v>
      </c>
      <c r="F971" s="254" t="s">
        <v>3429</v>
      </c>
      <c r="G971" s="252" t="s">
        <v>3520</v>
      </c>
      <c r="H971" s="252" t="s">
        <v>3521</v>
      </c>
      <c r="I971" s="252">
        <v>6</v>
      </c>
      <c r="J971" s="255">
        <v>1</v>
      </c>
      <c r="K971" s="255">
        <v>1</v>
      </c>
      <c r="L971" s="255"/>
      <c r="M971" s="256">
        <v>1.3379999999999998E-3</v>
      </c>
      <c r="N971" s="249">
        <v>970</v>
      </c>
    </row>
    <row r="972" spans="1:14" x14ac:dyDescent="0.25">
      <c r="A972" s="252" t="s">
        <v>183</v>
      </c>
      <c r="B972" s="252" t="s">
        <v>3038</v>
      </c>
      <c r="C972" s="253">
        <v>0</v>
      </c>
      <c r="D972" s="252">
        <v>50592</v>
      </c>
      <c r="E972" s="252" t="s">
        <v>3059</v>
      </c>
      <c r="F972" s="254" t="s">
        <v>3429</v>
      </c>
      <c r="G972" s="252" t="s">
        <v>3522</v>
      </c>
      <c r="H972" s="252" t="s">
        <v>3523</v>
      </c>
      <c r="I972" s="252">
        <v>6</v>
      </c>
      <c r="J972" s="255">
        <v>1</v>
      </c>
      <c r="K972" s="255">
        <v>1</v>
      </c>
      <c r="L972" s="255"/>
      <c r="M972" s="256">
        <v>1.3379999999999998E-3</v>
      </c>
      <c r="N972" s="249">
        <v>971</v>
      </c>
    </row>
    <row r="973" spans="1:14" x14ac:dyDescent="0.25">
      <c r="A973" s="252" t="s">
        <v>183</v>
      </c>
      <c r="B973" s="252" t="s">
        <v>3038</v>
      </c>
      <c r="C973" s="253">
        <v>0</v>
      </c>
      <c r="D973" s="252">
        <v>50592</v>
      </c>
      <c r="E973" s="252" t="s">
        <v>3059</v>
      </c>
      <c r="F973" s="254" t="s">
        <v>3429</v>
      </c>
      <c r="G973" s="252" t="s">
        <v>3524</v>
      </c>
      <c r="H973" s="252" t="s">
        <v>3525</v>
      </c>
      <c r="I973" s="252">
        <v>6</v>
      </c>
      <c r="J973" s="255">
        <v>1</v>
      </c>
      <c r="K973" s="255">
        <v>1</v>
      </c>
      <c r="L973" s="255"/>
      <c r="M973" s="256">
        <v>3.3300000000000002E-4</v>
      </c>
      <c r="N973" s="249">
        <v>972</v>
      </c>
    </row>
    <row r="974" spans="1:14" x14ac:dyDescent="0.25">
      <c r="A974" s="252" t="s">
        <v>183</v>
      </c>
      <c r="B974" s="252" t="s">
        <v>3038</v>
      </c>
      <c r="C974" s="253">
        <v>0</v>
      </c>
      <c r="D974" s="252">
        <v>50592</v>
      </c>
      <c r="E974" s="252" t="s">
        <v>3059</v>
      </c>
      <c r="F974" s="254" t="s">
        <v>3429</v>
      </c>
      <c r="G974" s="252" t="s">
        <v>3526</v>
      </c>
      <c r="H974" s="252" t="s">
        <v>3527</v>
      </c>
      <c r="I974" s="252">
        <v>6</v>
      </c>
      <c r="J974" s="255">
        <v>1</v>
      </c>
      <c r="K974" s="255">
        <v>1</v>
      </c>
      <c r="L974" s="255"/>
      <c r="M974" s="256">
        <v>8.7000000000000001E-5</v>
      </c>
      <c r="N974" s="249">
        <v>973</v>
      </c>
    </row>
    <row r="975" spans="1:14" x14ac:dyDescent="0.25">
      <c r="A975" s="252" t="s">
        <v>183</v>
      </c>
      <c r="B975" s="252" t="s">
        <v>3038</v>
      </c>
      <c r="C975" s="253">
        <v>0</v>
      </c>
      <c r="D975" s="252">
        <v>50592</v>
      </c>
      <c r="E975" s="252" t="s">
        <v>3059</v>
      </c>
      <c r="F975" s="254" t="s">
        <v>3429</v>
      </c>
      <c r="G975" s="252" t="s">
        <v>3528</v>
      </c>
      <c r="H975" s="252" t="s">
        <v>3529</v>
      </c>
      <c r="I975" s="252">
        <v>6</v>
      </c>
      <c r="J975" s="255">
        <v>1</v>
      </c>
      <c r="K975" s="255">
        <v>1</v>
      </c>
      <c r="L975" s="255"/>
      <c r="M975" s="256">
        <v>1.8059999999999997E-3</v>
      </c>
      <c r="N975" s="249">
        <v>974</v>
      </c>
    </row>
    <row r="976" spans="1:14" x14ac:dyDescent="0.25">
      <c r="A976" s="252" t="s">
        <v>183</v>
      </c>
      <c r="B976" s="252" t="s">
        <v>3038</v>
      </c>
      <c r="C976" s="253">
        <v>0</v>
      </c>
      <c r="D976" s="252">
        <v>50592</v>
      </c>
      <c r="E976" s="252" t="s">
        <v>3059</v>
      </c>
      <c r="F976" s="254" t="s">
        <v>3429</v>
      </c>
      <c r="G976" s="252" t="s">
        <v>3530</v>
      </c>
      <c r="H976" s="252" t="s">
        <v>3531</v>
      </c>
      <c r="I976" s="252">
        <v>6</v>
      </c>
      <c r="J976" s="255">
        <v>1</v>
      </c>
      <c r="K976" s="255">
        <v>1</v>
      </c>
      <c r="L976" s="255"/>
      <c r="M976" s="256">
        <v>8.7000000000000001E-5</v>
      </c>
      <c r="N976" s="249">
        <v>975</v>
      </c>
    </row>
    <row r="977" spans="1:14" x14ac:dyDescent="0.25">
      <c r="A977" s="252" t="s">
        <v>183</v>
      </c>
      <c r="B977" s="252" t="s">
        <v>3038</v>
      </c>
      <c r="C977" s="253">
        <v>0</v>
      </c>
      <c r="D977" s="252">
        <v>50592</v>
      </c>
      <c r="E977" s="252" t="s">
        <v>3059</v>
      </c>
      <c r="F977" s="254" t="s">
        <v>3429</v>
      </c>
      <c r="G977" s="252" t="s">
        <v>3532</v>
      </c>
      <c r="H977" s="252" t="s">
        <v>3533</v>
      </c>
      <c r="I977" s="252">
        <v>6</v>
      </c>
      <c r="J977" s="255">
        <v>1</v>
      </c>
      <c r="K977" s="255">
        <v>1</v>
      </c>
      <c r="L977" s="255"/>
      <c r="M977" s="256">
        <v>1.8059999999999997E-3</v>
      </c>
      <c r="N977" s="249">
        <v>976</v>
      </c>
    </row>
    <row r="978" spans="1:14" x14ac:dyDescent="0.25">
      <c r="A978" s="252" t="s">
        <v>183</v>
      </c>
      <c r="B978" s="252" t="s">
        <v>3038</v>
      </c>
      <c r="C978" s="253">
        <v>0</v>
      </c>
      <c r="D978" s="252">
        <v>50592</v>
      </c>
      <c r="E978" s="252" t="s">
        <v>3059</v>
      </c>
      <c r="F978" s="254" t="s">
        <v>3429</v>
      </c>
      <c r="G978" s="252" t="s">
        <v>3534</v>
      </c>
      <c r="H978" s="252" t="s">
        <v>3535</v>
      </c>
      <c r="I978" s="252">
        <v>6</v>
      </c>
      <c r="J978" s="255">
        <v>1</v>
      </c>
      <c r="K978" s="255">
        <v>1</v>
      </c>
      <c r="L978" s="255"/>
      <c r="M978" s="256">
        <v>1.5899999999999999E-4</v>
      </c>
      <c r="N978" s="249">
        <v>977</v>
      </c>
    </row>
    <row r="979" spans="1:14" x14ac:dyDescent="0.25">
      <c r="A979" s="252" t="s">
        <v>183</v>
      </c>
      <c r="B979" s="252" t="s">
        <v>3038</v>
      </c>
      <c r="C979" s="253">
        <v>0</v>
      </c>
      <c r="D979" s="252">
        <v>50592</v>
      </c>
      <c r="E979" s="252" t="s">
        <v>3059</v>
      </c>
      <c r="F979" s="254" t="s">
        <v>3429</v>
      </c>
      <c r="G979" s="252" t="s">
        <v>3536</v>
      </c>
      <c r="H979" s="252" t="s">
        <v>3537</v>
      </c>
      <c r="I979" s="252">
        <v>6</v>
      </c>
      <c r="J979" s="255">
        <v>1</v>
      </c>
      <c r="K979" s="255">
        <v>1</v>
      </c>
      <c r="L979" s="255"/>
      <c r="M979" s="256">
        <v>1.5899999999999999E-4</v>
      </c>
      <c r="N979" s="249">
        <v>978</v>
      </c>
    </row>
    <row r="980" spans="1:14" x14ac:dyDescent="0.25">
      <c r="A980" s="252" t="s">
        <v>183</v>
      </c>
      <c r="B980" s="252" t="s">
        <v>3038</v>
      </c>
      <c r="C980" s="253">
        <v>0</v>
      </c>
      <c r="D980" s="252">
        <v>50592</v>
      </c>
      <c r="E980" s="252" t="s">
        <v>3059</v>
      </c>
      <c r="F980" s="254" t="s">
        <v>3429</v>
      </c>
      <c r="G980" s="252" t="s">
        <v>3538</v>
      </c>
      <c r="H980" s="252" t="s">
        <v>3539</v>
      </c>
      <c r="I980" s="252">
        <v>6</v>
      </c>
      <c r="J980" s="255">
        <v>1</v>
      </c>
      <c r="K980" s="255">
        <v>1</v>
      </c>
      <c r="L980" s="255"/>
      <c r="M980" s="256">
        <v>1.011E-3</v>
      </c>
      <c r="N980" s="249">
        <v>979</v>
      </c>
    </row>
    <row r="981" spans="1:14" x14ac:dyDescent="0.25">
      <c r="A981" s="252" t="s">
        <v>183</v>
      </c>
      <c r="B981" s="252" t="s">
        <v>3038</v>
      </c>
      <c r="C981" s="253">
        <v>0</v>
      </c>
      <c r="D981" s="252">
        <v>50592</v>
      </c>
      <c r="E981" s="252" t="s">
        <v>3059</v>
      </c>
      <c r="F981" s="254" t="s">
        <v>3429</v>
      </c>
      <c r="G981" s="252" t="s">
        <v>2353</v>
      </c>
      <c r="H981" s="252" t="s">
        <v>3540</v>
      </c>
      <c r="I981" s="252">
        <v>6</v>
      </c>
      <c r="J981" s="255">
        <v>1</v>
      </c>
      <c r="K981" s="255">
        <v>1</v>
      </c>
      <c r="L981" s="255"/>
      <c r="M981" s="256">
        <v>5.2979999999999998E-3</v>
      </c>
      <c r="N981" s="249">
        <v>980</v>
      </c>
    </row>
    <row r="982" spans="1:14" x14ac:dyDescent="0.25">
      <c r="A982" s="252" t="s">
        <v>183</v>
      </c>
      <c r="B982" s="252" t="s">
        <v>3038</v>
      </c>
      <c r="C982" s="253">
        <v>0</v>
      </c>
      <c r="D982" s="252">
        <v>50592</v>
      </c>
      <c r="E982" s="252" t="s">
        <v>3059</v>
      </c>
      <c r="F982" s="254" t="s">
        <v>3429</v>
      </c>
      <c r="G982" s="252" t="s">
        <v>3541</v>
      </c>
      <c r="H982" s="252" t="s">
        <v>3542</v>
      </c>
      <c r="I982" s="252">
        <v>6</v>
      </c>
      <c r="J982" s="255">
        <v>1</v>
      </c>
      <c r="K982" s="255">
        <v>1</v>
      </c>
      <c r="L982" s="255"/>
      <c r="M982" s="256">
        <v>1.2149999999999999E-3</v>
      </c>
      <c r="N982" s="249">
        <v>981</v>
      </c>
    </row>
    <row r="983" spans="1:14" x14ac:dyDescent="0.25">
      <c r="A983" s="252" t="s">
        <v>183</v>
      </c>
      <c r="B983" s="252" t="s">
        <v>3038</v>
      </c>
      <c r="C983" s="253">
        <v>0</v>
      </c>
      <c r="D983" s="252">
        <v>50592</v>
      </c>
      <c r="E983" s="252" t="s">
        <v>3059</v>
      </c>
      <c r="F983" s="254" t="s">
        <v>3429</v>
      </c>
      <c r="G983" s="252" t="s">
        <v>3543</v>
      </c>
      <c r="H983" s="252" t="s">
        <v>3544</v>
      </c>
      <c r="I983" s="252">
        <v>6</v>
      </c>
      <c r="J983" s="255">
        <v>1</v>
      </c>
      <c r="K983" s="255">
        <v>1</v>
      </c>
      <c r="L983" s="255"/>
      <c r="M983" s="256">
        <v>4.4999999999999999E-4</v>
      </c>
      <c r="N983" s="249">
        <v>982</v>
      </c>
    </row>
    <row r="984" spans="1:14" x14ac:dyDescent="0.25">
      <c r="A984" s="252" t="s">
        <v>183</v>
      </c>
      <c r="B984" s="252" t="s">
        <v>3038</v>
      </c>
      <c r="C984" s="253">
        <v>0</v>
      </c>
      <c r="D984" s="252">
        <v>50592</v>
      </c>
      <c r="E984" s="252" t="s">
        <v>3059</v>
      </c>
      <c r="F984" s="254" t="s">
        <v>3429</v>
      </c>
      <c r="G984" s="252" t="s">
        <v>3545</v>
      </c>
      <c r="H984" s="252" t="s">
        <v>3546</v>
      </c>
      <c r="I984" s="252">
        <v>6</v>
      </c>
      <c r="J984" s="255">
        <v>1</v>
      </c>
      <c r="K984" s="255">
        <v>1</v>
      </c>
      <c r="L984" s="255"/>
      <c r="M984" s="256">
        <v>2.4899999999999998E-4</v>
      </c>
      <c r="N984" s="249">
        <v>983</v>
      </c>
    </row>
    <row r="985" spans="1:14" x14ac:dyDescent="0.25">
      <c r="A985" s="252" t="s">
        <v>183</v>
      </c>
      <c r="B985" s="252" t="s">
        <v>3038</v>
      </c>
      <c r="C985" s="253">
        <v>0</v>
      </c>
      <c r="D985" s="252">
        <v>50592</v>
      </c>
      <c r="E985" s="252" t="s">
        <v>3059</v>
      </c>
      <c r="F985" s="254" t="s">
        <v>3429</v>
      </c>
      <c r="G985" s="252" t="s">
        <v>3547</v>
      </c>
      <c r="H985" s="252" t="s">
        <v>3548</v>
      </c>
      <c r="I985" s="252">
        <v>6</v>
      </c>
      <c r="J985" s="255">
        <v>1</v>
      </c>
      <c r="K985" s="255">
        <v>1</v>
      </c>
      <c r="L985" s="255"/>
      <c r="M985" s="256">
        <v>8.7000000000000001E-5</v>
      </c>
      <c r="N985" s="249">
        <v>984</v>
      </c>
    </row>
    <row r="986" spans="1:14" x14ac:dyDescent="0.25">
      <c r="A986" s="252" t="s">
        <v>183</v>
      </c>
      <c r="B986" s="252" t="s">
        <v>3038</v>
      </c>
      <c r="C986" s="253">
        <v>0</v>
      </c>
      <c r="D986" s="252">
        <v>50592</v>
      </c>
      <c r="E986" s="252" t="s">
        <v>3059</v>
      </c>
      <c r="F986" s="254" t="s">
        <v>3429</v>
      </c>
      <c r="G986" s="252" t="s">
        <v>3549</v>
      </c>
      <c r="H986" s="252" t="s">
        <v>3550</v>
      </c>
      <c r="I986" s="252">
        <v>6</v>
      </c>
      <c r="J986" s="255">
        <v>1</v>
      </c>
      <c r="K986" s="255">
        <v>1</v>
      </c>
      <c r="L986" s="255"/>
      <c r="M986" s="256">
        <v>1.7759999999999998E-3</v>
      </c>
      <c r="N986" s="249">
        <v>985</v>
      </c>
    </row>
    <row r="987" spans="1:14" x14ac:dyDescent="0.25">
      <c r="A987" s="252" t="s">
        <v>183</v>
      </c>
      <c r="B987" s="252" t="s">
        <v>3038</v>
      </c>
      <c r="C987" s="253">
        <v>0</v>
      </c>
      <c r="D987" s="252">
        <v>50592</v>
      </c>
      <c r="E987" s="252" t="s">
        <v>3059</v>
      </c>
      <c r="F987" s="254" t="s">
        <v>3429</v>
      </c>
      <c r="G987" s="252" t="s">
        <v>3551</v>
      </c>
      <c r="H987" s="252" t="s">
        <v>3552</v>
      </c>
      <c r="I987" s="252">
        <v>6</v>
      </c>
      <c r="J987" s="255">
        <v>1</v>
      </c>
      <c r="K987" s="255">
        <v>1</v>
      </c>
      <c r="L987" s="255"/>
      <c r="M987" s="256">
        <v>1.2719999999999999E-3</v>
      </c>
      <c r="N987" s="249">
        <v>986</v>
      </c>
    </row>
    <row r="988" spans="1:14" x14ac:dyDescent="0.25">
      <c r="A988" s="252" t="s">
        <v>183</v>
      </c>
      <c r="B988" s="252" t="s">
        <v>3038</v>
      </c>
      <c r="C988" s="253">
        <v>0</v>
      </c>
      <c r="D988" s="252">
        <v>50592</v>
      </c>
      <c r="E988" s="252" t="s">
        <v>3059</v>
      </c>
      <c r="F988" s="254" t="s">
        <v>3429</v>
      </c>
      <c r="G988" s="252" t="s">
        <v>3553</v>
      </c>
      <c r="H988" s="252" t="s">
        <v>3554</v>
      </c>
      <c r="I988" s="252">
        <v>6</v>
      </c>
      <c r="J988" s="255">
        <v>1</v>
      </c>
      <c r="K988" s="255">
        <v>1</v>
      </c>
      <c r="L988" s="255"/>
      <c r="M988" s="256">
        <v>1.2719999999999999E-3</v>
      </c>
      <c r="N988" s="249">
        <v>987</v>
      </c>
    </row>
    <row r="989" spans="1:14" x14ac:dyDescent="0.25">
      <c r="A989" s="252" t="s">
        <v>183</v>
      </c>
      <c r="B989" s="252" t="s">
        <v>3038</v>
      </c>
      <c r="C989" s="253">
        <v>0</v>
      </c>
      <c r="D989" s="252">
        <v>50592</v>
      </c>
      <c r="E989" s="252" t="s">
        <v>3059</v>
      </c>
      <c r="F989" s="254" t="s">
        <v>3429</v>
      </c>
      <c r="G989" s="252" t="s">
        <v>3555</v>
      </c>
      <c r="H989" s="252" t="s">
        <v>3556</v>
      </c>
      <c r="I989" s="252">
        <v>6</v>
      </c>
      <c r="J989" s="255">
        <v>1</v>
      </c>
      <c r="K989" s="255">
        <v>1</v>
      </c>
      <c r="L989" s="255"/>
      <c r="M989" s="256">
        <v>1.2149999999999999E-3</v>
      </c>
      <c r="N989" s="249">
        <v>988</v>
      </c>
    </row>
    <row r="990" spans="1:14" x14ac:dyDescent="0.25">
      <c r="A990" s="252" t="s">
        <v>183</v>
      </c>
      <c r="B990" s="252" t="s">
        <v>3038</v>
      </c>
      <c r="C990" s="253">
        <v>0</v>
      </c>
      <c r="D990" s="252">
        <v>50592</v>
      </c>
      <c r="E990" s="252" t="s">
        <v>3059</v>
      </c>
      <c r="F990" s="254" t="s">
        <v>3429</v>
      </c>
      <c r="G990" s="252" t="s">
        <v>3557</v>
      </c>
      <c r="H990" s="252" t="s">
        <v>3558</v>
      </c>
      <c r="I990" s="252">
        <v>6</v>
      </c>
      <c r="J990" s="255">
        <v>1</v>
      </c>
      <c r="K990" s="255">
        <v>1</v>
      </c>
      <c r="L990" s="255"/>
      <c r="M990" s="256">
        <v>4.4999999999999999E-4</v>
      </c>
      <c r="N990" s="249">
        <v>989</v>
      </c>
    </row>
    <row r="991" spans="1:14" x14ac:dyDescent="0.25">
      <c r="A991" s="252" t="s">
        <v>183</v>
      </c>
      <c r="B991" s="252" t="s">
        <v>3038</v>
      </c>
      <c r="C991" s="253">
        <v>0</v>
      </c>
      <c r="D991" s="252">
        <v>50592</v>
      </c>
      <c r="E991" s="252" t="s">
        <v>3059</v>
      </c>
      <c r="F991" s="254" t="s">
        <v>3429</v>
      </c>
      <c r="G991" s="252" t="s">
        <v>3559</v>
      </c>
      <c r="H991" s="252" t="s">
        <v>3560</v>
      </c>
      <c r="I991" s="252">
        <v>6</v>
      </c>
      <c r="J991" s="255">
        <v>1</v>
      </c>
      <c r="K991" s="255">
        <v>1</v>
      </c>
      <c r="L991" s="255"/>
      <c r="M991" s="256">
        <v>2.4899999999999998E-4</v>
      </c>
      <c r="N991" s="249">
        <v>990</v>
      </c>
    </row>
    <row r="992" spans="1:14" x14ac:dyDescent="0.25">
      <c r="A992" s="252" t="s">
        <v>183</v>
      </c>
      <c r="B992" s="252" t="s">
        <v>3038</v>
      </c>
      <c r="C992" s="253">
        <v>0</v>
      </c>
      <c r="D992" s="252">
        <v>50592</v>
      </c>
      <c r="E992" s="252" t="s">
        <v>3059</v>
      </c>
      <c r="F992" s="254" t="s">
        <v>3429</v>
      </c>
      <c r="G992" s="252" t="s">
        <v>3561</v>
      </c>
      <c r="H992" s="252" t="s">
        <v>3562</v>
      </c>
      <c r="I992" s="252">
        <v>6</v>
      </c>
      <c r="J992" s="255">
        <v>1</v>
      </c>
      <c r="K992" s="255">
        <v>1</v>
      </c>
      <c r="L992" s="255"/>
      <c r="M992" s="256">
        <v>8.7000000000000001E-5</v>
      </c>
      <c r="N992" s="249">
        <v>991</v>
      </c>
    </row>
    <row r="993" spans="1:14" x14ac:dyDescent="0.25">
      <c r="A993" s="252" t="s">
        <v>183</v>
      </c>
      <c r="B993" s="252" t="s">
        <v>3038</v>
      </c>
      <c r="C993" s="253">
        <v>0</v>
      </c>
      <c r="D993" s="252">
        <v>50592</v>
      </c>
      <c r="E993" s="252" t="s">
        <v>3059</v>
      </c>
      <c r="F993" s="254" t="s">
        <v>3429</v>
      </c>
      <c r="G993" s="252" t="s">
        <v>3563</v>
      </c>
      <c r="H993" s="252" t="s">
        <v>3564</v>
      </c>
      <c r="I993" s="252">
        <v>6</v>
      </c>
      <c r="J993" s="255">
        <v>1</v>
      </c>
      <c r="K993" s="255">
        <v>1</v>
      </c>
      <c r="L993" s="255"/>
      <c r="M993" s="256">
        <v>1.7759999999999998E-3</v>
      </c>
      <c r="N993" s="249">
        <v>992</v>
      </c>
    </row>
    <row r="994" spans="1:14" x14ac:dyDescent="0.25">
      <c r="A994" s="252" t="s">
        <v>183</v>
      </c>
      <c r="B994" s="252" t="s">
        <v>3038</v>
      </c>
      <c r="C994" s="253">
        <v>0</v>
      </c>
      <c r="D994" s="252">
        <v>50592</v>
      </c>
      <c r="E994" s="252" t="s">
        <v>3059</v>
      </c>
      <c r="F994" s="254" t="s">
        <v>3429</v>
      </c>
      <c r="G994" s="252" t="s">
        <v>3565</v>
      </c>
      <c r="H994" s="252" t="s">
        <v>3566</v>
      </c>
      <c r="I994" s="252">
        <v>6</v>
      </c>
      <c r="J994" s="255">
        <v>1</v>
      </c>
      <c r="K994" s="255">
        <v>1</v>
      </c>
      <c r="L994" s="255"/>
      <c r="M994" s="256">
        <v>8.7000000000000001E-5</v>
      </c>
      <c r="N994" s="249">
        <v>993</v>
      </c>
    </row>
    <row r="995" spans="1:14" x14ac:dyDescent="0.25">
      <c r="A995" s="252" t="s">
        <v>183</v>
      </c>
      <c r="B995" s="252" t="s">
        <v>3038</v>
      </c>
      <c r="C995" s="253">
        <v>0</v>
      </c>
      <c r="D995" s="252">
        <v>50592</v>
      </c>
      <c r="E995" s="252" t="s">
        <v>3059</v>
      </c>
      <c r="F995" s="254" t="s">
        <v>3429</v>
      </c>
      <c r="G995" s="252" t="s">
        <v>3567</v>
      </c>
      <c r="H995" s="252" t="s">
        <v>3568</v>
      </c>
      <c r="I995" s="252">
        <v>6</v>
      </c>
      <c r="J995" s="255">
        <v>1</v>
      </c>
      <c r="K995" s="255">
        <v>1</v>
      </c>
      <c r="L995" s="255"/>
      <c r="M995" s="256">
        <v>1.7759999999999998E-3</v>
      </c>
      <c r="N995" s="249">
        <v>994</v>
      </c>
    </row>
    <row r="996" spans="1:14" x14ac:dyDescent="0.25">
      <c r="A996" s="252" t="s">
        <v>183</v>
      </c>
      <c r="B996" s="252" t="s">
        <v>3038</v>
      </c>
      <c r="C996" s="253">
        <v>0</v>
      </c>
      <c r="D996" s="252">
        <v>50592</v>
      </c>
      <c r="E996" s="252" t="s">
        <v>3059</v>
      </c>
      <c r="F996" s="254" t="s">
        <v>3429</v>
      </c>
      <c r="G996" s="252" t="s">
        <v>3569</v>
      </c>
      <c r="H996" s="252" t="s">
        <v>3570</v>
      </c>
      <c r="I996" s="252">
        <v>6</v>
      </c>
      <c r="J996" s="255">
        <v>1</v>
      </c>
      <c r="K996" s="255">
        <v>1</v>
      </c>
      <c r="L996" s="255"/>
      <c r="M996" s="256">
        <v>1.2719999999999999E-3</v>
      </c>
      <c r="N996" s="249">
        <v>995</v>
      </c>
    </row>
    <row r="997" spans="1:14" x14ac:dyDescent="0.25">
      <c r="A997" s="252" t="s">
        <v>183</v>
      </c>
      <c r="B997" s="252" t="s">
        <v>3038</v>
      </c>
      <c r="C997" s="253">
        <v>0</v>
      </c>
      <c r="D997" s="252">
        <v>50592</v>
      </c>
      <c r="E997" s="252" t="s">
        <v>3059</v>
      </c>
      <c r="F997" s="254" t="s">
        <v>3429</v>
      </c>
      <c r="G997" s="252" t="s">
        <v>3571</v>
      </c>
      <c r="H997" s="252" t="s">
        <v>3572</v>
      </c>
      <c r="I997" s="252">
        <v>6</v>
      </c>
      <c r="J997" s="255">
        <v>1</v>
      </c>
      <c r="K997" s="255">
        <v>1</v>
      </c>
      <c r="L997" s="255"/>
      <c r="M997" s="256">
        <v>1.2719999999999999E-3</v>
      </c>
      <c r="N997" s="249">
        <v>996</v>
      </c>
    </row>
    <row r="998" spans="1:14" x14ac:dyDescent="0.25">
      <c r="A998" s="252" t="s">
        <v>183</v>
      </c>
      <c r="B998" s="252" t="s">
        <v>3038</v>
      </c>
      <c r="C998" s="253">
        <v>0</v>
      </c>
      <c r="D998" s="252">
        <v>50592</v>
      </c>
      <c r="E998" s="252" t="s">
        <v>3059</v>
      </c>
      <c r="F998" s="254" t="s">
        <v>3429</v>
      </c>
      <c r="G998" s="252" t="s">
        <v>3573</v>
      </c>
      <c r="H998" s="252" t="s">
        <v>3574</v>
      </c>
      <c r="I998" s="252">
        <v>6</v>
      </c>
      <c r="J998" s="255">
        <v>1</v>
      </c>
      <c r="K998" s="255">
        <v>1</v>
      </c>
      <c r="L998" s="255"/>
      <c r="M998" s="256">
        <v>2.7900000000000001E-4</v>
      </c>
      <c r="N998" s="249">
        <v>997</v>
      </c>
    </row>
    <row r="999" spans="1:14" x14ac:dyDescent="0.25">
      <c r="A999" s="252" t="s">
        <v>183</v>
      </c>
      <c r="B999" s="252" t="s">
        <v>3038</v>
      </c>
      <c r="C999" s="253">
        <v>0</v>
      </c>
      <c r="D999" s="252">
        <v>50592</v>
      </c>
      <c r="E999" s="252" t="s">
        <v>3059</v>
      </c>
      <c r="F999" s="254" t="s">
        <v>3429</v>
      </c>
      <c r="G999" s="252" t="s">
        <v>3575</v>
      </c>
      <c r="H999" s="252" t="s">
        <v>3576</v>
      </c>
      <c r="I999" s="252">
        <v>6</v>
      </c>
      <c r="J999" s="255">
        <v>1</v>
      </c>
      <c r="K999" s="255">
        <v>1</v>
      </c>
      <c r="L999" s="255"/>
      <c r="M999" s="256">
        <v>8.7000000000000001E-5</v>
      </c>
      <c r="N999" s="249">
        <v>998</v>
      </c>
    </row>
    <row r="1000" spans="1:14" x14ac:dyDescent="0.25">
      <c r="A1000" s="252" t="s">
        <v>183</v>
      </c>
      <c r="B1000" s="252" t="s">
        <v>3038</v>
      </c>
      <c r="C1000" s="253">
        <v>0</v>
      </c>
      <c r="D1000" s="252">
        <v>50592</v>
      </c>
      <c r="E1000" s="252" t="s">
        <v>3059</v>
      </c>
      <c r="F1000" s="254" t="s">
        <v>3429</v>
      </c>
      <c r="G1000" s="252" t="s">
        <v>3577</v>
      </c>
      <c r="H1000" s="252" t="s">
        <v>3578</v>
      </c>
      <c r="I1000" s="252">
        <v>6</v>
      </c>
      <c r="J1000" s="255">
        <v>1</v>
      </c>
      <c r="K1000" s="255">
        <v>1</v>
      </c>
      <c r="L1000" s="255"/>
      <c r="M1000" s="256">
        <v>1.8059999999999997E-3</v>
      </c>
      <c r="N1000" s="249">
        <v>999</v>
      </c>
    </row>
    <row r="1001" spans="1:14" x14ac:dyDescent="0.25">
      <c r="A1001" s="252" t="s">
        <v>183</v>
      </c>
      <c r="B1001" s="252" t="s">
        <v>3038</v>
      </c>
      <c r="C1001" s="253">
        <v>0</v>
      </c>
      <c r="D1001" s="252">
        <v>50592</v>
      </c>
      <c r="E1001" s="252" t="s">
        <v>3059</v>
      </c>
      <c r="F1001" s="254" t="s">
        <v>3429</v>
      </c>
      <c r="G1001" s="252" t="s">
        <v>3579</v>
      </c>
      <c r="H1001" s="252" t="s">
        <v>3580</v>
      </c>
      <c r="I1001" s="252">
        <v>6</v>
      </c>
      <c r="J1001" s="255">
        <v>1</v>
      </c>
      <c r="K1001" s="255">
        <v>1</v>
      </c>
      <c r="L1001" s="255"/>
      <c r="M1001" s="256">
        <v>1.2599999999999997E-4</v>
      </c>
      <c r="N1001" s="249">
        <v>1000</v>
      </c>
    </row>
    <row r="1002" spans="1:14" x14ac:dyDescent="0.25">
      <c r="A1002" s="252" t="s">
        <v>183</v>
      </c>
      <c r="B1002" s="252" t="s">
        <v>3038</v>
      </c>
      <c r="C1002" s="253">
        <v>0</v>
      </c>
      <c r="D1002" s="252">
        <v>50592</v>
      </c>
      <c r="E1002" s="252" t="s">
        <v>3059</v>
      </c>
      <c r="F1002" s="254" t="s">
        <v>3429</v>
      </c>
      <c r="G1002" s="252" t="s">
        <v>3581</v>
      </c>
      <c r="H1002" s="252" t="s">
        <v>3582</v>
      </c>
      <c r="I1002" s="252">
        <v>6</v>
      </c>
      <c r="J1002" s="255">
        <v>1</v>
      </c>
      <c r="K1002" s="255">
        <v>1</v>
      </c>
      <c r="L1002" s="255"/>
      <c r="M1002" s="256">
        <v>1.2599999999999997E-4</v>
      </c>
      <c r="N1002" s="249">
        <v>1001</v>
      </c>
    </row>
    <row r="1003" spans="1:14" x14ac:dyDescent="0.25">
      <c r="A1003" s="252" t="s">
        <v>183</v>
      </c>
      <c r="B1003" s="252" t="s">
        <v>3038</v>
      </c>
      <c r="C1003" s="253">
        <v>0</v>
      </c>
      <c r="D1003" s="252">
        <v>50592</v>
      </c>
      <c r="E1003" s="252" t="s">
        <v>3059</v>
      </c>
      <c r="F1003" s="254" t="s">
        <v>3429</v>
      </c>
      <c r="G1003" s="252" t="s">
        <v>3583</v>
      </c>
      <c r="H1003" s="252" t="s">
        <v>3584</v>
      </c>
      <c r="I1003" s="252">
        <v>6</v>
      </c>
      <c r="J1003" s="255">
        <v>1</v>
      </c>
      <c r="K1003" s="255">
        <v>1</v>
      </c>
      <c r="L1003" s="255"/>
      <c r="M1003" s="256">
        <v>8.7000000000000001E-5</v>
      </c>
      <c r="N1003" s="249">
        <v>1002</v>
      </c>
    </row>
    <row r="1004" spans="1:14" x14ac:dyDescent="0.25">
      <c r="A1004" s="252" t="s">
        <v>183</v>
      </c>
      <c r="B1004" s="252" t="s">
        <v>3038</v>
      </c>
      <c r="C1004" s="253">
        <v>0</v>
      </c>
      <c r="D1004" s="252">
        <v>50592</v>
      </c>
      <c r="E1004" s="252" t="s">
        <v>3059</v>
      </c>
      <c r="F1004" s="254" t="s">
        <v>3429</v>
      </c>
      <c r="G1004" s="252" t="s">
        <v>3585</v>
      </c>
      <c r="H1004" s="252" t="s">
        <v>3586</v>
      </c>
      <c r="I1004" s="252">
        <v>6</v>
      </c>
      <c r="J1004" s="255">
        <v>1</v>
      </c>
      <c r="K1004" s="255">
        <v>1</v>
      </c>
      <c r="L1004" s="255"/>
      <c r="M1004" s="256">
        <v>1.8059999999999997E-3</v>
      </c>
      <c r="N1004" s="249">
        <v>1003</v>
      </c>
    </row>
    <row r="1005" spans="1:14" x14ac:dyDescent="0.25">
      <c r="A1005" s="252" t="s">
        <v>183</v>
      </c>
      <c r="B1005" s="252" t="s">
        <v>3038</v>
      </c>
      <c r="C1005" s="253">
        <v>0</v>
      </c>
      <c r="D1005" s="252">
        <v>50592</v>
      </c>
      <c r="E1005" s="252" t="s">
        <v>3059</v>
      </c>
      <c r="F1005" s="254" t="s">
        <v>3429</v>
      </c>
      <c r="G1005" s="252" t="s">
        <v>2355</v>
      </c>
      <c r="H1005" s="252" t="s">
        <v>3587</v>
      </c>
      <c r="I1005" s="252">
        <v>6</v>
      </c>
      <c r="J1005" s="255">
        <v>1</v>
      </c>
      <c r="K1005" s="255">
        <v>1</v>
      </c>
      <c r="L1005" s="255"/>
      <c r="M1005" s="256">
        <v>3.7800000000000003E-4</v>
      </c>
      <c r="N1005" s="249">
        <v>1004</v>
      </c>
    </row>
    <row r="1006" spans="1:14" x14ac:dyDescent="0.25">
      <c r="A1006" s="252" t="s">
        <v>183</v>
      </c>
      <c r="B1006" s="252" t="s">
        <v>3038</v>
      </c>
      <c r="C1006" s="253">
        <v>0</v>
      </c>
      <c r="D1006" s="252">
        <v>50592</v>
      </c>
      <c r="E1006" s="252" t="s">
        <v>3059</v>
      </c>
      <c r="F1006" s="254" t="s">
        <v>3429</v>
      </c>
      <c r="G1006" s="252" t="s">
        <v>2356</v>
      </c>
      <c r="H1006" s="252" t="s">
        <v>3588</v>
      </c>
      <c r="I1006" s="252">
        <v>6</v>
      </c>
      <c r="J1006" s="255">
        <v>1</v>
      </c>
      <c r="K1006" s="255">
        <v>1</v>
      </c>
      <c r="L1006" s="255"/>
      <c r="M1006" s="256">
        <v>1.119E-3</v>
      </c>
      <c r="N1006" s="249">
        <v>1005</v>
      </c>
    </row>
    <row r="1007" spans="1:14" x14ac:dyDescent="0.25">
      <c r="A1007" s="252" t="s">
        <v>183</v>
      </c>
      <c r="B1007" s="252" t="s">
        <v>3038</v>
      </c>
      <c r="C1007" s="253">
        <v>0</v>
      </c>
      <c r="D1007" s="252">
        <v>50592</v>
      </c>
      <c r="E1007" s="252" t="s">
        <v>3059</v>
      </c>
      <c r="F1007" s="254" t="s">
        <v>3429</v>
      </c>
      <c r="G1007" s="252" t="s">
        <v>2357</v>
      </c>
      <c r="H1007" s="252" t="s">
        <v>3589</v>
      </c>
      <c r="I1007" s="252">
        <v>6</v>
      </c>
      <c r="J1007" s="255">
        <v>1</v>
      </c>
      <c r="K1007" s="255">
        <v>1</v>
      </c>
      <c r="L1007" s="255"/>
      <c r="M1007" s="256">
        <v>8.7000000000000001E-5</v>
      </c>
      <c r="N1007" s="249">
        <v>1006</v>
      </c>
    </row>
    <row r="1008" spans="1:14" x14ac:dyDescent="0.25">
      <c r="A1008" s="252" t="s">
        <v>183</v>
      </c>
      <c r="B1008" s="252" t="s">
        <v>3038</v>
      </c>
      <c r="C1008" s="253">
        <v>0</v>
      </c>
      <c r="D1008" s="252">
        <v>50592</v>
      </c>
      <c r="E1008" s="252" t="s">
        <v>3059</v>
      </c>
      <c r="F1008" s="254" t="s">
        <v>3429</v>
      </c>
      <c r="G1008" s="252" t="s">
        <v>2358</v>
      </c>
      <c r="H1008" s="252" t="s">
        <v>3590</v>
      </c>
      <c r="I1008" s="252">
        <v>6</v>
      </c>
      <c r="J1008" s="255">
        <v>1</v>
      </c>
      <c r="K1008" s="255">
        <v>1</v>
      </c>
      <c r="L1008" s="255"/>
      <c r="M1008" s="256">
        <v>1.8059999999999997E-3</v>
      </c>
      <c r="N1008" s="249">
        <v>1007</v>
      </c>
    </row>
    <row r="1009" spans="1:14" x14ac:dyDescent="0.25">
      <c r="A1009" s="252" t="s">
        <v>183</v>
      </c>
      <c r="B1009" s="252" t="s">
        <v>3038</v>
      </c>
      <c r="C1009" s="253">
        <v>0</v>
      </c>
      <c r="D1009" s="252">
        <v>50592</v>
      </c>
      <c r="E1009" s="252" t="s">
        <v>3059</v>
      </c>
      <c r="F1009" s="254" t="s">
        <v>3429</v>
      </c>
      <c r="G1009" s="252" t="s">
        <v>2359</v>
      </c>
      <c r="H1009" s="252" t="s">
        <v>3591</v>
      </c>
      <c r="I1009" s="252">
        <v>6</v>
      </c>
      <c r="J1009" s="255">
        <v>1</v>
      </c>
      <c r="K1009" s="255">
        <v>1</v>
      </c>
      <c r="L1009" s="255"/>
      <c r="M1009" s="256">
        <v>1.8599999999999999E-4</v>
      </c>
      <c r="N1009" s="249">
        <v>1008</v>
      </c>
    </row>
    <row r="1010" spans="1:14" x14ac:dyDescent="0.25">
      <c r="A1010" s="252" t="s">
        <v>183</v>
      </c>
      <c r="B1010" s="252" t="s">
        <v>3038</v>
      </c>
      <c r="C1010" s="253">
        <v>0</v>
      </c>
      <c r="D1010" s="252">
        <v>50592</v>
      </c>
      <c r="E1010" s="252" t="s">
        <v>3059</v>
      </c>
      <c r="F1010" s="254" t="s">
        <v>3429</v>
      </c>
      <c r="G1010" s="252" t="s">
        <v>3592</v>
      </c>
      <c r="H1010" s="252" t="s">
        <v>3593</v>
      </c>
      <c r="I1010" s="252">
        <v>6</v>
      </c>
      <c r="J1010" s="255">
        <v>1</v>
      </c>
      <c r="K1010" s="255">
        <v>1</v>
      </c>
      <c r="L1010" s="255"/>
      <c r="M1010" s="256">
        <v>1.8599999999999999E-4</v>
      </c>
      <c r="N1010" s="249">
        <v>1009</v>
      </c>
    </row>
    <row r="1011" spans="1:14" x14ac:dyDescent="0.25">
      <c r="A1011" s="252" t="s">
        <v>183</v>
      </c>
      <c r="B1011" s="252" t="s">
        <v>3038</v>
      </c>
      <c r="C1011" s="253">
        <v>0</v>
      </c>
      <c r="D1011" s="252">
        <v>50592</v>
      </c>
      <c r="E1011" s="252" t="s">
        <v>3059</v>
      </c>
      <c r="F1011" s="254" t="s">
        <v>3429</v>
      </c>
      <c r="G1011" s="252" t="s">
        <v>3594</v>
      </c>
      <c r="H1011" s="252" t="s">
        <v>3595</v>
      </c>
      <c r="I1011" s="252">
        <v>6</v>
      </c>
      <c r="J1011" s="255">
        <v>1</v>
      </c>
      <c r="K1011" s="255">
        <v>1</v>
      </c>
      <c r="L1011" s="255"/>
      <c r="M1011" s="256">
        <v>8.7000000000000001E-5</v>
      </c>
      <c r="N1011" s="249">
        <v>1010</v>
      </c>
    </row>
    <row r="1012" spans="1:14" x14ac:dyDescent="0.25">
      <c r="A1012" s="252" t="s">
        <v>183</v>
      </c>
      <c r="B1012" s="252" t="s">
        <v>3038</v>
      </c>
      <c r="C1012" s="253">
        <v>0</v>
      </c>
      <c r="D1012" s="252">
        <v>50592</v>
      </c>
      <c r="E1012" s="252" t="s">
        <v>3059</v>
      </c>
      <c r="F1012" s="254" t="s">
        <v>3429</v>
      </c>
      <c r="G1012" s="252" t="s">
        <v>3596</v>
      </c>
      <c r="H1012" s="252" t="s">
        <v>3597</v>
      </c>
      <c r="I1012" s="252">
        <v>6</v>
      </c>
      <c r="J1012" s="255">
        <v>1</v>
      </c>
      <c r="K1012" s="255">
        <v>1</v>
      </c>
      <c r="L1012" s="255"/>
      <c r="M1012" s="256">
        <v>1.8059999999999997E-3</v>
      </c>
      <c r="N1012" s="249">
        <v>1011</v>
      </c>
    </row>
    <row r="1013" spans="1:14" x14ac:dyDescent="0.25">
      <c r="A1013" s="252" t="s">
        <v>183</v>
      </c>
      <c r="B1013" s="252" t="s">
        <v>3038</v>
      </c>
      <c r="C1013" s="253">
        <v>0</v>
      </c>
      <c r="D1013" s="252">
        <v>50592</v>
      </c>
      <c r="E1013" s="252" t="s">
        <v>3059</v>
      </c>
      <c r="F1013" s="254" t="s">
        <v>3429</v>
      </c>
      <c r="G1013" s="252" t="s">
        <v>2360</v>
      </c>
      <c r="H1013" s="252" t="s">
        <v>3598</v>
      </c>
      <c r="I1013" s="252">
        <v>6</v>
      </c>
      <c r="J1013" s="255">
        <v>1</v>
      </c>
      <c r="K1013" s="255">
        <v>1</v>
      </c>
      <c r="L1013" s="255"/>
      <c r="M1013" s="256">
        <v>2.3999999999999998E-3</v>
      </c>
      <c r="N1013" s="249">
        <v>1012</v>
      </c>
    </row>
    <row r="1014" spans="1:14" x14ac:dyDescent="0.25">
      <c r="A1014" s="252" t="s">
        <v>183</v>
      </c>
      <c r="B1014" s="252" t="s">
        <v>3038</v>
      </c>
      <c r="C1014" s="253">
        <v>0</v>
      </c>
      <c r="D1014" s="252">
        <v>50592</v>
      </c>
      <c r="E1014" s="252" t="s">
        <v>3059</v>
      </c>
      <c r="F1014" s="254" t="s">
        <v>3429</v>
      </c>
      <c r="G1014" s="252" t="s">
        <v>2361</v>
      </c>
      <c r="H1014" s="252" t="s">
        <v>3599</v>
      </c>
      <c r="I1014" s="252">
        <v>6</v>
      </c>
      <c r="J1014" s="255">
        <v>1</v>
      </c>
      <c r="K1014" s="255">
        <v>1</v>
      </c>
      <c r="L1014" s="255"/>
      <c r="M1014" s="256">
        <v>8.7000000000000001E-5</v>
      </c>
      <c r="N1014" s="249">
        <v>1013</v>
      </c>
    </row>
    <row r="1015" spans="1:14" x14ac:dyDescent="0.25">
      <c r="A1015" s="252" t="s">
        <v>183</v>
      </c>
      <c r="B1015" s="252" t="s">
        <v>3038</v>
      </c>
      <c r="C1015" s="253">
        <v>0</v>
      </c>
      <c r="D1015" s="252">
        <v>50592</v>
      </c>
      <c r="E1015" s="252" t="s">
        <v>3059</v>
      </c>
      <c r="F1015" s="254" t="s">
        <v>3429</v>
      </c>
      <c r="G1015" s="252" t="s">
        <v>3600</v>
      </c>
      <c r="H1015" s="252" t="s">
        <v>3601</v>
      </c>
      <c r="I1015" s="252">
        <v>6</v>
      </c>
      <c r="J1015" s="255">
        <v>1</v>
      </c>
      <c r="K1015" s="255">
        <v>1</v>
      </c>
      <c r="L1015" s="255"/>
      <c r="M1015" s="256">
        <v>1.8059999999999997E-3</v>
      </c>
      <c r="N1015" s="249">
        <v>1014</v>
      </c>
    </row>
    <row r="1016" spans="1:14" x14ac:dyDescent="0.25">
      <c r="A1016" s="252" t="s">
        <v>183</v>
      </c>
      <c r="B1016" s="252" t="s">
        <v>3038</v>
      </c>
      <c r="C1016" s="253">
        <v>0</v>
      </c>
      <c r="D1016" s="252">
        <v>50592</v>
      </c>
      <c r="E1016" s="252" t="s">
        <v>3059</v>
      </c>
      <c r="F1016" s="254" t="s">
        <v>3429</v>
      </c>
      <c r="G1016" s="252" t="s">
        <v>3602</v>
      </c>
      <c r="H1016" s="252" t="s">
        <v>3603</v>
      </c>
      <c r="I1016" s="252">
        <v>6</v>
      </c>
      <c r="J1016" s="255">
        <v>1</v>
      </c>
      <c r="K1016" s="255">
        <v>1</v>
      </c>
      <c r="L1016" s="255"/>
      <c r="M1016" s="256">
        <v>8.7000000000000001E-5</v>
      </c>
      <c r="N1016" s="249">
        <v>1015</v>
      </c>
    </row>
    <row r="1017" spans="1:14" x14ac:dyDescent="0.25">
      <c r="A1017" s="252" t="s">
        <v>183</v>
      </c>
      <c r="B1017" s="252" t="s">
        <v>3038</v>
      </c>
      <c r="C1017" s="253">
        <v>0</v>
      </c>
      <c r="D1017" s="252">
        <v>50592</v>
      </c>
      <c r="E1017" s="252" t="s">
        <v>3059</v>
      </c>
      <c r="F1017" s="254" t="s">
        <v>3429</v>
      </c>
      <c r="G1017" s="252" t="s">
        <v>3604</v>
      </c>
      <c r="H1017" s="252" t="s">
        <v>3605</v>
      </c>
      <c r="I1017" s="252">
        <v>6</v>
      </c>
      <c r="J1017" s="255">
        <v>1</v>
      </c>
      <c r="K1017" s="255">
        <v>1</v>
      </c>
      <c r="L1017" s="255"/>
      <c r="M1017" s="256">
        <v>1.8059999999999997E-3</v>
      </c>
      <c r="N1017" s="249">
        <v>1016</v>
      </c>
    </row>
    <row r="1018" spans="1:14" x14ac:dyDescent="0.25">
      <c r="A1018" s="252" t="s">
        <v>183</v>
      </c>
      <c r="B1018" s="252" t="s">
        <v>3038</v>
      </c>
      <c r="C1018" s="253">
        <v>0</v>
      </c>
      <c r="D1018" s="252">
        <v>50592</v>
      </c>
      <c r="E1018" s="252" t="s">
        <v>3059</v>
      </c>
      <c r="F1018" s="254" t="s">
        <v>3429</v>
      </c>
      <c r="G1018" s="252" t="s">
        <v>3606</v>
      </c>
      <c r="H1018" s="252" t="s">
        <v>3607</v>
      </c>
      <c r="I1018" s="252">
        <v>6</v>
      </c>
      <c r="J1018" s="255">
        <v>1</v>
      </c>
      <c r="K1018" s="255">
        <v>1</v>
      </c>
      <c r="L1018" s="255"/>
      <c r="M1018" s="256">
        <v>1.413E-3</v>
      </c>
      <c r="N1018" s="249">
        <v>1017</v>
      </c>
    </row>
    <row r="1019" spans="1:14" x14ac:dyDescent="0.25">
      <c r="A1019" s="252" t="s">
        <v>183</v>
      </c>
      <c r="B1019" s="252" t="s">
        <v>3038</v>
      </c>
      <c r="C1019" s="253">
        <v>0</v>
      </c>
      <c r="D1019" s="252">
        <v>50592</v>
      </c>
      <c r="E1019" s="252" t="s">
        <v>3059</v>
      </c>
      <c r="F1019" s="254" t="s">
        <v>3429</v>
      </c>
      <c r="G1019" s="252" t="s">
        <v>3608</v>
      </c>
      <c r="H1019" s="252" t="s">
        <v>3609</v>
      </c>
      <c r="I1019" s="252">
        <v>6</v>
      </c>
      <c r="J1019" s="255">
        <v>1</v>
      </c>
      <c r="K1019" s="255">
        <v>1</v>
      </c>
      <c r="L1019" s="255"/>
      <c r="M1019" s="256">
        <v>1.413E-3</v>
      </c>
      <c r="N1019" s="249">
        <v>1018</v>
      </c>
    </row>
    <row r="1020" spans="1:14" x14ac:dyDescent="0.25">
      <c r="A1020" s="252" t="s">
        <v>183</v>
      </c>
      <c r="B1020" s="252" t="s">
        <v>3038</v>
      </c>
      <c r="C1020" s="253">
        <v>0</v>
      </c>
      <c r="D1020" s="252">
        <v>50592</v>
      </c>
      <c r="E1020" s="252" t="s">
        <v>3059</v>
      </c>
      <c r="F1020" s="254" t="s">
        <v>3429</v>
      </c>
      <c r="G1020" s="252" t="s">
        <v>2362</v>
      </c>
      <c r="H1020" s="252" t="s">
        <v>3610</v>
      </c>
      <c r="I1020" s="252">
        <v>6</v>
      </c>
      <c r="J1020" s="255">
        <v>1</v>
      </c>
      <c r="K1020" s="255">
        <v>1</v>
      </c>
      <c r="L1020" s="255"/>
      <c r="M1020" s="256">
        <v>5.8799999999999998E-4</v>
      </c>
      <c r="N1020" s="249">
        <v>1019</v>
      </c>
    </row>
    <row r="1021" spans="1:14" x14ac:dyDescent="0.25">
      <c r="A1021" s="252" t="s">
        <v>183</v>
      </c>
      <c r="B1021" s="252" t="s">
        <v>3038</v>
      </c>
      <c r="C1021" s="253">
        <v>0</v>
      </c>
      <c r="D1021" s="252">
        <v>50592</v>
      </c>
      <c r="E1021" s="252" t="s">
        <v>3059</v>
      </c>
      <c r="F1021" s="254" t="s">
        <v>3429</v>
      </c>
      <c r="G1021" s="252" t="s">
        <v>2363</v>
      </c>
      <c r="H1021" s="252" t="s">
        <v>3611</v>
      </c>
      <c r="I1021" s="252">
        <v>6</v>
      </c>
      <c r="J1021" s="255">
        <v>1</v>
      </c>
      <c r="K1021" s="255">
        <v>1</v>
      </c>
      <c r="L1021" s="255"/>
      <c r="M1021" s="256">
        <v>8.7000000000000001E-5</v>
      </c>
      <c r="N1021" s="249">
        <v>1020</v>
      </c>
    </row>
    <row r="1022" spans="1:14" x14ac:dyDescent="0.25">
      <c r="A1022" s="252" t="s">
        <v>183</v>
      </c>
      <c r="B1022" s="252" t="s">
        <v>3038</v>
      </c>
      <c r="C1022" s="253">
        <v>0</v>
      </c>
      <c r="D1022" s="252">
        <v>50592</v>
      </c>
      <c r="E1022" s="252" t="s">
        <v>3059</v>
      </c>
      <c r="F1022" s="254" t="s">
        <v>3429</v>
      </c>
      <c r="G1022" s="252" t="s">
        <v>3612</v>
      </c>
      <c r="H1022" s="252" t="s">
        <v>3613</v>
      </c>
      <c r="I1022" s="252">
        <v>6</v>
      </c>
      <c r="J1022" s="255">
        <v>1</v>
      </c>
      <c r="K1022" s="255">
        <v>1</v>
      </c>
      <c r="L1022" s="255"/>
      <c r="M1022" s="256">
        <v>1.8059999999999997E-3</v>
      </c>
      <c r="N1022" s="249">
        <v>1021</v>
      </c>
    </row>
    <row r="1023" spans="1:14" x14ac:dyDescent="0.25">
      <c r="A1023" s="252" t="s">
        <v>183</v>
      </c>
      <c r="B1023" s="252" t="s">
        <v>3038</v>
      </c>
      <c r="C1023" s="253">
        <v>0</v>
      </c>
      <c r="D1023" s="252">
        <v>50592</v>
      </c>
      <c r="E1023" s="252" t="s">
        <v>3059</v>
      </c>
      <c r="F1023" s="254" t="s">
        <v>3429</v>
      </c>
      <c r="G1023" s="252" t="s">
        <v>3614</v>
      </c>
      <c r="H1023" s="252" t="s">
        <v>3615</v>
      </c>
      <c r="I1023" s="252">
        <v>6</v>
      </c>
      <c r="J1023" s="255">
        <v>1</v>
      </c>
      <c r="K1023" s="255">
        <v>1</v>
      </c>
      <c r="L1023" s="255"/>
      <c r="M1023" s="256">
        <v>3.1500000000000001E-4</v>
      </c>
      <c r="N1023" s="249">
        <v>1022</v>
      </c>
    </row>
    <row r="1024" spans="1:14" x14ac:dyDescent="0.25">
      <c r="A1024" s="252" t="s">
        <v>183</v>
      </c>
      <c r="B1024" s="252" t="s">
        <v>3038</v>
      </c>
      <c r="C1024" s="253">
        <v>0</v>
      </c>
      <c r="D1024" s="252">
        <v>50592</v>
      </c>
      <c r="E1024" s="252" t="s">
        <v>3059</v>
      </c>
      <c r="F1024" s="254" t="s">
        <v>3429</v>
      </c>
      <c r="G1024" s="252" t="s">
        <v>3616</v>
      </c>
      <c r="H1024" s="252" t="s">
        <v>3617</v>
      </c>
      <c r="I1024" s="252">
        <v>6</v>
      </c>
      <c r="J1024" s="255">
        <v>1</v>
      </c>
      <c r="K1024" s="255">
        <v>1</v>
      </c>
      <c r="L1024" s="255"/>
      <c r="M1024" s="256">
        <v>3.1500000000000001E-4</v>
      </c>
      <c r="N1024" s="249">
        <v>1023</v>
      </c>
    </row>
    <row r="1025" spans="1:14" x14ac:dyDescent="0.25">
      <c r="A1025" s="252" t="s">
        <v>183</v>
      </c>
      <c r="B1025" s="252" t="s">
        <v>3038</v>
      </c>
      <c r="C1025" s="253">
        <v>0</v>
      </c>
      <c r="D1025" s="252">
        <v>50592</v>
      </c>
      <c r="E1025" s="252" t="s">
        <v>3059</v>
      </c>
      <c r="F1025" s="254" t="s">
        <v>3429</v>
      </c>
      <c r="G1025" s="252" t="s">
        <v>3618</v>
      </c>
      <c r="H1025" s="252" t="s">
        <v>3619</v>
      </c>
      <c r="I1025" s="252">
        <v>6</v>
      </c>
      <c r="J1025" s="255">
        <v>1</v>
      </c>
      <c r="K1025" s="255">
        <v>1</v>
      </c>
      <c r="L1025" s="255"/>
      <c r="M1025" s="256">
        <v>8.7000000000000001E-5</v>
      </c>
      <c r="N1025" s="249">
        <v>1024</v>
      </c>
    </row>
    <row r="1026" spans="1:14" x14ac:dyDescent="0.25">
      <c r="A1026" s="252" t="s">
        <v>183</v>
      </c>
      <c r="B1026" s="252" t="s">
        <v>3038</v>
      </c>
      <c r="C1026" s="253">
        <v>0</v>
      </c>
      <c r="D1026" s="252">
        <v>50592</v>
      </c>
      <c r="E1026" s="252" t="s">
        <v>3059</v>
      </c>
      <c r="F1026" s="254" t="s">
        <v>3429</v>
      </c>
      <c r="G1026" s="252" t="s">
        <v>3620</v>
      </c>
      <c r="H1026" s="252" t="s">
        <v>3621</v>
      </c>
      <c r="I1026" s="252">
        <v>6</v>
      </c>
      <c r="J1026" s="255">
        <v>1</v>
      </c>
      <c r="K1026" s="255">
        <v>1</v>
      </c>
      <c r="L1026" s="255"/>
      <c r="M1026" s="256">
        <v>1.8059999999999997E-3</v>
      </c>
      <c r="N1026" s="249">
        <v>1025</v>
      </c>
    </row>
    <row r="1027" spans="1:14" x14ac:dyDescent="0.25">
      <c r="A1027" s="252" t="s">
        <v>183</v>
      </c>
      <c r="B1027" s="252" t="s">
        <v>3038</v>
      </c>
      <c r="C1027" s="253">
        <v>0</v>
      </c>
      <c r="D1027" s="252">
        <v>50592</v>
      </c>
      <c r="E1027" s="252" t="s">
        <v>3059</v>
      </c>
      <c r="F1027" s="254" t="s">
        <v>3429</v>
      </c>
      <c r="G1027" s="252" t="s">
        <v>3622</v>
      </c>
      <c r="H1027" s="252" t="s">
        <v>3623</v>
      </c>
      <c r="I1027" s="252">
        <v>6</v>
      </c>
      <c r="J1027" s="255">
        <v>1</v>
      </c>
      <c r="K1027" s="255">
        <v>1</v>
      </c>
      <c r="L1027" s="255"/>
      <c r="M1027" s="256">
        <v>8.7000000000000001E-5</v>
      </c>
      <c r="N1027" s="249">
        <v>1026</v>
      </c>
    </row>
    <row r="1028" spans="1:14" x14ac:dyDescent="0.25">
      <c r="A1028" s="252" t="s">
        <v>183</v>
      </c>
      <c r="B1028" s="252" t="s">
        <v>3038</v>
      </c>
      <c r="C1028" s="253">
        <v>0</v>
      </c>
      <c r="D1028" s="252">
        <v>50592</v>
      </c>
      <c r="E1028" s="252" t="s">
        <v>3059</v>
      </c>
      <c r="F1028" s="254" t="s">
        <v>3429</v>
      </c>
      <c r="G1028" s="252" t="s">
        <v>3624</v>
      </c>
      <c r="H1028" s="252" t="s">
        <v>3625</v>
      </c>
      <c r="I1028" s="252">
        <v>6</v>
      </c>
      <c r="J1028" s="255">
        <v>1</v>
      </c>
      <c r="K1028" s="255">
        <v>1</v>
      </c>
      <c r="L1028" s="255"/>
      <c r="M1028" s="256">
        <v>1.8059999999999997E-3</v>
      </c>
      <c r="N1028" s="249">
        <v>1027</v>
      </c>
    </row>
    <row r="1029" spans="1:14" x14ac:dyDescent="0.25">
      <c r="A1029" s="252" t="s">
        <v>183</v>
      </c>
      <c r="B1029" s="252" t="s">
        <v>3038</v>
      </c>
      <c r="C1029" s="253">
        <v>0</v>
      </c>
      <c r="D1029" s="252">
        <v>50592</v>
      </c>
      <c r="E1029" s="252" t="s">
        <v>3059</v>
      </c>
      <c r="F1029" s="254" t="s">
        <v>3429</v>
      </c>
      <c r="G1029" s="252" t="s">
        <v>3626</v>
      </c>
      <c r="H1029" s="252" t="s">
        <v>3627</v>
      </c>
      <c r="I1029" s="252">
        <v>6</v>
      </c>
      <c r="J1029" s="255">
        <v>1</v>
      </c>
      <c r="K1029" s="255">
        <v>1</v>
      </c>
      <c r="L1029" s="255"/>
      <c r="M1029" s="256">
        <v>8.7000000000000001E-5</v>
      </c>
      <c r="N1029" s="249">
        <v>1028</v>
      </c>
    </row>
    <row r="1030" spans="1:14" x14ac:dyDescent="0.25">
      <c r="A1030" s="252" t="s">
        <v>183</v>
      </c>
      <c r="B1030" s="252" t="s">
        <v>3038</v>
      </c>
      <c r="C1030" s="253">
        <v>0</v>
      </c>
      <c r="D1030" s="252">
        <v>50592</v>
      </c>
      <c r="E1030" s="252" t="s">
        <v>3059</v>
      </c>
      <c r="F1030" s="254" t="s">
        <v>3429</v>
      </c>
      <c r="G1030" s="252" t="s">
        <v>3628</v>
      </c>
      <c r="H1030" s="252" t="s">
        <v>3629</v>
      </c>
      <c r="I1030" s="252">
        <v>6</v>
      </c>
      <c r="J1030" s="255">
        <v>1</v>
      </c>
      <c r="K1030" s="255">
        <v>1</v>
      </c>
      <c r="L1030" s="255"/>
      <c r="M1030" s="256">
        <v>1.8059999999999997E-3</v>
      </c>
      <c r="N1030" s="249">
        <v>1029</v>
      </c>
    </row>
    <row r="1031" spans="1:14" x14ac:dyDescent="0.25">
      <c r="A1031" s="252" t="s">
        <v>183</v>
      </c>
      <c r="B1031" s="252" t="s">
        <v>3038</v>
      </c>
      <c r="C1031" s="253">
        <v>0</v>
      </c>
      <c r="D1031" s="252">
        <v>50592</v>
      </c>
      <c r="E1031" s="252" t="s">
        <v>3059</v>
      </c>
      <c r="F1031" s="254" t="s">
        <v>3429</v>
      </c>
      <c r="G1031" s="252" t="s">
        <v>3630</v>
      </c>
      <c r="H1031" s="252" t="s">
        <v>3631</v>
      </c>
      <c r="I1031" s="252">
        <v>6</v>
      </c>
      <c r="J1031" s="255">
        <v>1</v>
      </c>
      <c r="K1031" s="255">
        <v>1</v>
      </c>
      <c r="L1031" s="255"/>
      <c r="M1031" s="256">
        <v>2.2169999999999998E-3</v>
      </c>
      <c r="N1031" s="249">
        <v>1030</v>
      </c>
    </row>
    <row r="1032" spans="1:14" x14ac:dyDescent="0.25">
      <c r="A1032" s="252" t="s">
        <v>183</v>
      </c>
      <c r="B1032" s="252" t="s">
        <v>3038</v>
      </c>
      <c r="C1032" s="253">
        <v>0</v>
      </c>
      <c r="D1032" s="252">
        <v>50592</v>
      </c>
      <c r="E1032" s="252" t="s">
        <v>3059</v>
      </c>
      <c r="F1032" s="254" t="s">
        <v>3429</v>
      </c>
      <c r="G1032" s="252" t="s">
        <v>3632</v>
      </c>
      <c r="H1032" s="252" t="s">
        <v>3633</v>
      </c>
      <c r="I1032" s="252">
        <v>6</v>
      </c>
      <c r="J1032" s="255">
        <v>1</v>
      </c>
      <c r="K1032" s="255">
        <v>1</v>
      </c>
      <c r="L1032" s="255"/>
      <c r="M1032" s="256">
        <v>1.302E-3</v>
      </c>
      <c r="N1032" s="249">
        <v>1031</v>
      </c>
    </row>
    <row r="1033" spans="1:14" x14ac:dyDescent="0.25">
      <c r="A1033" s="252" t="s">
        <v>183</v>
      </c>
      <c r="B1033" s="252" t="s">
        <v>3038</v>
      </c>
      <c r="C1033" s="253">
        <v>0</v>
      </c>
      <c r="D1033" s="252">
        <v>50592</v>
      </c>
      <c r="E1033" s="252" t="s">
        <v>3059</v>
      </c>
      <c r="F1033" s="254" t="s">
        <v>3429</v>
      </c>
      <c r="G1033" s="252" t="s">
        <v>3634</v>
      </c>
      <c r="H1033" s="252" t="s">
        <v>3635</v>
      </c>
      <c r="I1033" s="252">
        <v>6</v>
      </c>
      <c r="J1033" s="255">
        <v>1</v>
      </c>
      <c r="K1033" s="255">
        <v>1</v>
      </c>
      <c r="L1033" s="255"/>
      <c r="M1033" s="256">
        <v>1.302E-3</v>
      </c>
      <c r="N1033" s="249">
        <v>1032</v>
      </c>
    </row>
    <row r="1034" spans="1:14" x14ac:dyDescent="0.25">
      <c r="A1034" s="252" t="s">
        <v>183</v>
      </c>
      <c r="B1034" s="252" t="s">
        <v>3038</v>
      </c>
      <c r="C1034" s="253">
        <v>0</v>
      </c>
      <c r="D1034" s="252">
        <v>50592</v>
      </c>
      <c r="E1034" s="252" t="s">
        <v>3059</v>
      </c>
      <c r="F1034" s="254" t="s">
        <v>3429</v>
      </c>
      <c r="G1034" s="252" t="s">
        <v>3636</v>
      </c>
      <c r="H1034" s="252" t="s">
        <v>3637</v>
      </c>
      <c r="I1034" s="252">
        <v>6</v>
      </c>
      <c r="J1034" s="255">
        <v>1</v>
      </c>
      <c r="K1034" s="255">
        <v>1</v>
      </c>
      <c r="L1034" s="255"/>
      <c r="M1034" s="256">
        <v>3.1470000000000001E-3</v>
      </c>
      <c r="N1034" s="249">
        <v>1033</v>
      </c>
    </row>
    <row r="1035" spans="1:14" x14ac:dyDescent="0.25">
      <c r="A1035" s="252" t="s">
        <v>183</v>
      </c>
      <c r="B1035" s="252" t="s">
        <v>3038</v>
      </c>
      <c r="C1035" s="253">
        <v>0</v>
      </c>
      <c r="D1035" s="252">
        <v>50592</v>
      </c>
      <c r="E1035" s="252" t="s">
        <v>3059</v>
      </c>
      <c r="F1035" s="254" t="s">
        <v>3429</v>
      </c>
      <c r="G1035" s="252" t="s">
        <v>3638</v>
      </c>
      <c r="H1035" s="252" t="s">
        <v>3639</v>
      </c>
      <c r="I1035" s="252">
        <v>6</v>
      </c>
      <c r="J1035" s="255">
        <v>1</v>
      </c>
      <c r="K1035" s="255">
        <v>1</v>
      </c>
      <c r="L1035" s="255"/>
      <c r="M1035" s="256">
        <v>8.7000000000000001E-5</v>
      </c>
      <c r="N1035" s="249">
        <v>1034</v>
      </c>
    </row>
    <row r="1036" spans="1:14" x14ac:dyDescent="0.25">
      <c r="A1036" s="252" t="s">
        <v>183</v>
      </c>
      <c r="B1036" s="252" t="s">
        <v>3038</v>
      </c>
      <c r="C1036" s="253">
        <v>0</v>
      </c>
      <c r="D1036" s="252">
        <v>50592</v>
      </c>
      <c r="E1036" s="252" t="s">
        <v>3059</v>
      </c>
      <c r="F1036" s="254" t="s">
        <v>3429</v>
      </c>
      <c r="G1036" s="252" t="s">
        <v>3640</v>
      </c>
      <c r="H1036" s="252" t="s">
        <v>3641</v>
      </c>
      <c r="I1036" s="252">
        <v>6</v>
      </c>
      <c r="J1036" s="255">
        <v>1</v>
      </c>
      <c r="K1036" s="255">
        <v>1</v>
      </c>
      <c r="L1036" s="255"/>
      <c r="M1036" s="256">
        <v>1.2149999999999999E-3</v>
      </c>
      <c r="N1036" s="249">
        <v>1035</v>
      </c>
    </row>
    <row r="1037" spans="1:14" x14ac:dyDescent="0.25">
      <c r="A1037" s="252" t="s">
        <v>183</v>
      </c>
      <c r="B1037" s="252" t="s">
        <v>3038</v>
      </c>
      <c r="C1037" s="253">
        <v>0</v>
      </c>
      <c r="D1037" s="252">
        <v>50592</v>
      </c>
      <c r="E1037" s="252" t="s">
        <v>3059</v>
      </c>
      <c r="F1037" s="254" t="s">
        <v>3429</v>
      </c>
      <c r="G1037" s="252" t="s">
        <v>3642</v>
      </c>
      <c r="H1037" s="252" t="s">
        <v>3643</v>
      </c>
      <c r="I1037" s="252">
        <v>6</v>
      </c>
      <c r="J1037" s="255">
        <v>1</v>
      </c>
      <c r="K1037" s="255">
        <v>1</v>
      </c>
      <c r="L1037" s="255"/>
      <c r="M1037" s="256">
        <v>1.7759999999999998E-3</v>
      </c>
      <c r="N1037" s="249">
        <v>1036</v>
      </c>
    </row>
    <row r="1038" spans="1:14" x14ac:dyDescent="0.25">
      <c r="A1038" s="252" t="s">
        <v>183</v>
      </c>
      <c r="B1038" s="252" t="s">
        <v>3038</v>
      </c>
      <c r="C1038" s="253">
        <v>0</v>
      </c>
      <c r="D1038" s="252">
        <v>50592</v>
      </c>
      <c r="E1038" s="252" t="s">
        <v>3059</v>
      </c>
      <c r="F1038" s="254" t="s">
        <v>3429</v>
      </c>
      <c r="G1038" s="252" t="s">
        <v>3644</v>
      </c>
      <c r="H1038" s="252" t="s">
        <v>3645</v>
      </c>
      <c r="I1038" s="252">
        <v>6</v>
      </c>
      <c r="J1038" s="255">
        <v>1</v>
      </c>
      <c r="K1038" s="255">
        <v>1</v>
      </c>
      <c r="L1038" s="255"/>
      <c r="M1038" s="256">
        <v>2.4899999999999998E-4</v>
      </c>
      <c r="N1038" s="249">
        <v>1037</v>
      </c>
    </row>
    <row r="1039" spans="1:14" x14ac:dyDescent="0.25">
      <c r="A1039" s="252" t="s">
        <v>183</v>
      </c>
      <c r="B1039" s="252" t="s">
        <v>3038</v>
      </c>
      <c r="C1039" s="253">
        <v>0</v>
      </c>
      <c r="D1039" s="252">
        <v>50592</v>
      </c>
      <c r="E1039" s="252" t="s">
        <v>3059</v>
      </c>
      <c r="F1039" s="254" t="s">
        <v>3429</v>
      </c>
      <c r="G1039" s="252" t="s">
        <v>3646</v>
      </c>
      <c r="H1039" s="252" t="s">
        <v>3647</v>
      </c>
      <c r="I1039" s="252">
        <v>6</v>
      </c>
      <c r="J1039" s="255">
        <v>1</v>
      </c>
      <c r="K1039" s="255">
        <v>1</v>
      </c>
      <c r="L1039" s="255"/>
      <c r="M1039" s="256">
        <v>4.4999999999999999E-4</v>
      </c>
      <c r="N1039" s="249">
        <v>1038</v>
      </c>
    </row>
    <row r="1040" spans="1:14" x14ac:dyDescent="0.25">
      <c r="A1040" s="252" t="s">
        <v>183</v>
      </c>
      <c r="B1040" s="252" t="s">
        <v>3038</v>
      </c>
      <c r="C1040" s="253">
        <v>0</v>
      </c>
      <c r="D1040" s="252">
        <v>50592</v>
      </c>
      <c r="E1040" s="252" t="s">
        <v>3059</v>
      </c>
      <c r="F1040" s="254" t="s">
        <v>3429</v>
      </c>
      <c r="G1040" s="252" t="s">
        <v>3648</v>
      </c>
      <c r="H1040" s="252" t="s">
        <v>3649</v>
      </c>
      <c r="I1040" s="252">
        <v>6</v>
      </c>
      <c r="J1040" s="255">
        <v>1</v>
      </c>
      <c r="K1040" s="255">
        <v>1</v>
      </c>
      <c r="L1040" s="255"/>
      <c r="M1040" s="256">
        <v>8.7000000000000001E-5</v>
      </c>
      <c r="N1040" s="249">
        <v>1039</v>
      </c>
    </row>
    <row r="1041" spans="1:14" x14ac:dyDescent="0.25">
      <c r="A1041" s="252" t="s">
        <v>183</v>
      </c>
      <c r="B1041" s="252" t="s">
        <v>3038</v>
      </c>
      <c r="C1041" s="253">
        <v>0</v>
      </c>
      <c r="D1041" s="252">
        <v>50592</v>
      </c>
      <c r="E1041" s="252" t="s">
        <v>3059</v>
      </c>
      <c r="F1041" s="254" t="s">
        <v>3429</v>
      </c>
      <c r="G1041" s="252" t="s">
        <v>3650</v>
      </c>
      <c r="H1041" s="252" t="s">
        <v>3651</v>
      </c>
      <c r="I1041" s="252">
        <v>6</v>
      </c>
      <c r="J1041" s="255">
        <v>1</v>
      </c>
      <c r="K1041" s="255">
        <v>1</v>
      </c>
      <c r="L1041" s="255"/>
      <c r="M1041" s="256">
        <v>1.7759999999999998E-3</v>
      </c>
      <c r="N1041" s="249">
        <v>1040</v>
      </c>
    </row>
    <row r="1042" spans="1:14" x14ac:dyDescent="0.25">
      <c r="A1042" s="252" t="s">
        <v>183</v>
      </c>
      <c r="B1042" s="252" t="s">
        <v>3038</v>
      </c>
      <c r="C1042" s="253">
        <v>0</v>
      </c>
      <c r="D1042" s="252">
        <v>50592</v>
      </c>
      <c r="E1042" s="252" t="s">
        <v>3059</v>
      </c>
      <c r="F1042" s="254" t="s">
        <v>3429</v>
      </c>
      <c r="G1042" s="252" t="s">
        <v>3652</v>
      </c>
      <c r="H1042" s="252" t="s">
        <v>3653</v>
      </c>
      <c r="I1042" s="252">
        <v>6</v>
      </c>
      <c r="J1042" s="255">
        <v>1</v>
      </c>
      <c r="K1042" s="255">
        <v>1</v>
      </c>
      <c r="L1042" s="255"/>
      <c r="M1042" s="256">
        <v>1.284E-3</v>
      </c>
      <c r="N1042" s="249">
        <v>1041</v>
      </c>
    </row>
    <row r="1043" spans="1:14" x14ac:dyDescent="0.25">
      <c r="A1043" s="252" t="s">
        <v>183</v>
      </c>
      <c r="B1043" s="252" t="s">
        <v>3038</v>
      </c>
      <c r="C1043" s="253">
        <v>0</v>
      </c>
      <c r="D1043" s="252">
        <v>50592</v>
      </c>
      <c r="E1043" s="252" t="s">
        <v>3059</v>
      </c>
      <c r="F1043" s="254" t="s">
        <v>3429</v>
      </c>
      <c r="G1043" s="252" t="s">
        <v>3654</v>
      </c>
      <c r="H1043" s="252" t="s">
        <v>3655</v>
      </c>
      <c r="I1043" s="252">
        <v>6</v>
      </c>
      <c r="J1043" s="255">
        <v>1</v>
      </c>
      <c r="K1043" s="255">
        <v>1</v>
      </c>
      <c r="L1043" s="255"/>
      <c r="M1043" s="256">
        <v>1.284E-3</v>
      </c>
      <c r="N1043" s="249">
        <v>1042</v>
      </c>
    </row>
    <row r="1044" spans="1:14" x14ac:dyDescent="0.25">
      <c r="A1044" s="252" t="s">
        <v>183</v>
      </c>
      <c r="B1044" s="252" t="s">
        <v>3038</v>
      </c>
      <c r="C1044" s="253">
        <v>0</v>
      </c>
      <c r="D1044" s="252">
        <v>50592</v>
      </c>
      <c r="E1044" s="252" t="s">
        <v>3059</v>
      </c>
      <c r="F1044" s="254" t="s">
        <v>3429</v>
      </c>
      <c r="G1044" s="252" t="s">
        <v>3656</v>
      </c>
      <c r="H1044" s="252" t="s">
        <v>3657</v>
      </c>
      <c r="I1044" s="252">
        <v>6</v>
      </c>
      <c r="J1044" s="255">
        <v>1</v>
      </c>
      <c r="K1044" s="255">
        <v>1</v>
      </c>
      <c r="L1044" s="255"/>
      <c r="M1044" s="256">
        <v>1.2149999999999999E-3</v>
      </c>
      <c r="N1044" s="249">
        <v>1043</v>
      </c>
    </row>
    <row r="1045" spans="1:14" x14ac:dyDescent="0.25">
      <c r="A1045" s="252" t="s">
        <v>183</v>
      </c>
      <c r="B1045" s="252" t="s">
        <v>3038</v>
      </c>
      <c r="C1045" s="253">
        <v>0</v>
      </c>
      <c r="D1045" s="252">
        <v>50592</v>
      </c>
      <c r="E1045" s="252" t="s">
        <v>3059</v>
      </c>
      <c r="F1045" s="254" t="s">
        <v>3429</v>
      </c>
      <c r="G1045" s="252" t="s">
        <v>3658</v>
      </c>
      <c r="H1045" s="252" t="s">
        <v>3659</v>
      </c>
      <c r="I1045" s="252">
        <v>6</v>
      </c>
      <c r="J1045" s="255">
        <v>1</v>
      </c>
      <c r="K1045" s="255">
        <v>1</v>
      </c>
      <c r="L1045" s="255"/>
      <c r="M1045" s="256">
        <v>2.4899999999999998E-4</v>
      </c>
      <c r="N1045" s="249">
        <v>1044</v>
      </c>
    </row>
    <row r="1046" spans="1:14" x14ac:dyDescent="0.25">
      <c r="A1046" s="252" t="s">
        <v>183</v>
      </c>
      <c r="B1046" s="252" t="s">
        <v>3038</v>
      </c>
      <c r="C1046" s="253">
        <v>0</v>
      </c>
      <c r="D1046" s="252">
        <v>50592</v>
      </c>
      <c r="E1046" s="252" t="s">
        <v>3059</v>
      </c>
      <c r="F1046" s="254" t="s">
        <v>3429</v>
      </c>
      <c r="G1046" s="252" t="s">
        <v>3660</v>
      </c>
      <c r="H1046" s="252" t="s">
        <v>3661</v>
      </c>
      <c r="I1046" s="252">
        <v>6</v>
      </c>
      <c r="J1046" s="255">
        <v>1</v>
      </c>
      <c r="K1046" s="255">
        <v>1</v>
      </c>
      <c r="L1046" s="255"/>
      <c r="M1046" s="256">
        <v>4.4999999999999999E-4</v>
      </c>
      <c r="N1046" s="249">
        <v>1045</v>
      </c>
    </row>
    <row r="1047" spans="1:14" x14ac:dyDescent="0.25">
      <c r="A1047" s="252" t="s">
        <v>183</v>
      </c>
      <c r="B1047" s="252" t="s">
        <v>3038</v>
      </c>
      <c r="C1047" s="253">
        <v>0</v>
      </c>
      <c r="D1047" s="252">
        <v>50592</v>
      </c>
      <c r="E1047" s="252" t="s">
        <v>3039</v>
      </c>
      <c r="F1047" s="254" t="s">
        <v>3662</v>
      </c>
      <c r="G1047" s="252" t="s">
        <v>2401</v>
      </c>
      <c r="H1047" s="252" t="s">
        <v>3663</v>
      </c>
      <c r="I1047" s="252">
        <v>5</v>
      </c>
      <c r="J1047" s="255">
        <v>1</v>
      </c>
      <c r="K1047" s="255">
        <v>1</v>
      </c>
      <c r="L1047" s="255"/>
      <c r="M1047" s="256">
        <v>3.228E-3</v>
      </c>
      <c r="N1047" s="249">
        <v>1046</v>
      </c>
    </row>
    <row r="1048" spans="1:14" x14ac:dyDescent="0.25">
      <c r="A1048" s="252" t="s">
        <v>183</v>
      </c>
      <c r="B1048" s="252" t="s">
        <v>3038</v>
      </c>
      <c r="C1048" s="253">
        <v>0</v>
      </c>
      <c r="D1048" s="252">
        <v>50592</v>
      </c>
      <c r="E1048" s="252" t="s">
        <v>3039</v>
      </c>
      <c r="F1048" s="254" t="s">
        <v>3662</v>
      </c>
      <c r="G1048" s="252" t="s">
        <v>2402</v>
      </c>
      <c r="H1048" s="252" t="s">
        <v>3664</v>
      </c>
      <c r="I1048" s="252">
        <v>5</v>
      </c>
      <c r="J1048" s="255">
        <v>1</v>
      </c>
      <c r="K1048" s="255">
        <v>1</v>
      </c>
      <c r="L1048" s="255"/>
      <c r="M1048" s="256">
        <v>3.228E-3</v>
      </c>
      <c r="N1048" s="249">
        <v>1047</v>
      </c>
    </row>
    <row r="1049" spans="1:14" x14ac:dyDescent="0.25">
      <c r="A1049" s="252" t="s">
        <v>183</v>
      </c>
      <c r="B1049" s="252" t="s">
        <v>3038</v>
      </c>
      <c r="C1049" s="253">
        <v>0</v>
      </c>
      <c r="D1049" s="252">
        <v>50592</v>
      </c>
      <c r="E1049" s="252" t="s">
        <v>3039</v>
      </c>
      <c r="F1049" s="254" t="s">
        <v>3662</v>
      </c>
      <c r="G1049" s="252" t="s">
        <v>2405</v>
      </c>
      <c r="H1049" s="252" t="s">
        <v>3665</v>
      </c>
      <c r="I1049" s="252">
        <v>5</v>
      </c>
      <c r="J1049" s="255">
        <v>1</v>
      </c>
      <c r="K1049" s="255">
        <v>1</v>
      </c>
      <c r="L1049" s="255"/>
      <c r="M1049" s="256">
        <v>1.6200000000000001E-4</v>
      </c>
      <c r="N1049" s="249">
        <v>1048</v>
      </c>
    </row>
    <row r="1050" spans="1:14" x14ac:dyDescent="0.25">
      <c r="A1050" s="252" t="s">
        <v>183</v>
      </c>
      <c r="B1050" s="252" t="s">
        <v>3038</v>
      </c>
      <c r="C1050" s="253">
        <v>0</v>
      </c>
      <c r="D1050" s="252">
        <v>50592</v>
      </c>
      <c r="E1050" s="252" t="s">
        <v>3039</v>
      </c>
      <c r="F1050" s="254" t="s">
        <v>3662</v>
      </c>
      <c r="G1050" s="252" t="s">
        <v>2406</v>
      </c>
      <c r="H1050" s="252" t="s">
        <v>3666</v>
      </c>
      <c r="I1050" s="252">
        <v>5</v>
      </c>
      <c r="J1050" s="255">
        <v>1</v>
      </c>
      <c r="K1050" s="255">
        <v>1</v>
      </c>
      <c r="L1050" s="255"/>
      <c r="M1050" s="256">
        <v>1.6200000000000001E-4</v>
      </c>
      <c r="N1050" s="249">
        <v>1049</v>
      </c>
    </row>
    <row r="1051" spans="1:14" x14ac:dyDescent="0.25">
      <c r="A1051" s="252" t="s">
        <v>183</v>
      </c>
      <c r="B1051" s="252" t="s">
        <v>3038</v>
      </c>
      <c r="C1051" s="253">
        <v>0</v>
      </c>
      <c r="D1051" s="252">
        <v>50592</v>
      </c>
      <c r="E1051" s="252" t="s">
        <v>3039</v>
      </c>
      <c r="F1051" s="254" t="s">
        <v>3662</v>
      </c>
      <c r="G1051" s="252" t="s">
        <v>2407</v>
      </c>
      <c r="H1051" s="252" t="s">
        <v>3667</v>
      </c>
      <c r="I1051" s="252">
        <v>5</v>
      </c>
      <c r="J1051" s="255">
        <v>1</v>
      </c>
      <c r="K1051" s="255">
        <v>1</v>
      </c>
      <c r="L1051" s="255"/>
      <c r="M1051" s="256">
        <v>1.0379999999999999E-3</v>
      </c>
      <c r="N1051" s="249">
        <v>1050</v>
      </c>
    </row>
    <row r="1052" spans="1:14" x14ac:dyDescent="0.25">
      <c r="A1052" s="252" t="s">
        <v>183</v>
      </c>
      <c r="B1052" s="252" t="s">
        <v>3038</v>
      </c>
      <c r="C1052" s="253">
        <v>0</v>
      </c>
      <c r="D1052" s="252">
        <v>50592</v>
      </c>
      <c r="E1052" s="252" t="s">
        <v>3039</v>
      </c>
      <c r="F1052" s="254" t="s">
        <v>3662</v>
      </c>
      <c r="G1052" s="252" t="s">
        <v>2408</v>
      </c>
      <c r="H1052" s="252" t="s">
        <v>3668</v>
      </c>
      <c r="I1052" s="252">
        <v>5</v>
      </c>
      <c r="J1052" s="255">
        <v>1</v>
      </c>
      <c r="K1052" s="255">
        <v>1</v>
      </c>
      <c r="L1052" s="255"/>
      <c r="M1052" s="256">
        <v>2.04E-4</v>
      </c>
      <c r="N1052" s="249">
        <v>1051</v>
      </c>
    </row>
    <row r="1053" spans="1:14" x14ac:dyDescent="0.25">
      <c r="A1053" s="252" t="s">
        <v>183</v>
      </c>
      <c r="B1053" s="252" t="s">
        <v>3038</v>
      </c>
      <c r="C1053" s="253">
        <v>0</v>
      </c>
      <c r="D1053" s="252">
        <v>50592</v>
      </c>
      <c r="E1053" s="252" t="s">
        <v>3039</v>
      </c>
      <c r="F1053" s="254" t="s">
        <v>3662</v>
      </c>
      <c r="G1053" s="252" t="s">
        <v>3669</v>
      </c>
      <c r="H1053" s="252" t="s">
        <v>3670</v>
      </c>
      <c r="I1053" s="252">
        <v>5</v>
      </c>
      <c r="J1053" s="255">
        <v>1</v>
      </c>
      <c r="K1053" s="255">
        <v>1</v>
      </c>
      <c r="L1053" s="255"/>
      <c r="M1053" s="256">
        <v>1.0379999999999999E-3</v>
      </c>
      <c r="N1053" s="249">
        <v>1052</v>
      </c>
    </row>
    <row r="1054" spans="1:14" x14ac:dyDescent="0.25">
      <c r="A1054" s="252" t="s">
        <v>183</v>
      </c>
      <c r="B1054" s="252" t="s">
        <v>3038</v>
      </c>
      <c r="C1054" s="253">
        <v>0</v>
      </c>
      <c r="D1054" s="252">
        <v>50592</v>
      </c>
      <c r="E1054" s="252" t="s">
        <v>3039</v>
      </c>
      <c r="F1054" s="254" t="s">
        <v>3662</v>
      </c>
      <c r="G1054" s="252" t="s">
        <v>3671</v>
      </c>
      <c r="H1054" s="252" t="s">
        <v>3672</v>
      </c>
      <c r="I1054" s="252">
        <v>5</v>
      </c>
      <c r="J1054" s="255">
        <v>1</v>
      </c>
      <c r="K1054" s="255">
        <v>1</v>
      </c>
      <c r="L1054" s="255"/>
      <c r="M1054" s="256">
        <v>2.04E-4</v>
      </c>
      <c r="N1054" s="249">
        <v>1053</v>
      </c>
    </row>
    <row r="1055" spans="1:14" x14ac:dyDescent="0.25">
      <c r="A1055" s="252" t="s">
        <v>183</v>
      </c>
      <c r="B1055" s="252" t="s">
        <v>3038</v>
      </c>
      <c r="C1055" s="253">
        <v>0</v>
      </c>
      <c r="D1055" s="252">
        <v>50592</v>
      </c>
      <c r="E1055" s="252" t="s">
        <v>3039</v>
      </c>
      <c r="F1055" s="254" t="s">
        <v>3662</v>
      </c>
      <c r="G1055" s="252" t="s">
        <v>2409</v>
      </c>
      <c r="H1055" s="252" t="s">
        <v>3673</v>
      </c>
      <c r="I1055" s="252">
        <v>5</v>
      </c>
      <c r="J1055" s="255">
        <v>1</v>
      </c>
      <c r="K1055" s="255">
        <v>1</v>
      </c>
      <c r="L1055" s="255"/>
      <c r="M1055" s="256">
        <v>1.6200000000000001E-4</v>
      </c>
      <c r="N1055" s="249">
        <v>1054</v>
      </c>
    </row>
    <row r="1056" spans="1:14" x14ac:dyDescent="0.25">
      <c r="A1056" s="252" t="s">
        <v>183</v>
      </c>
      <c r="B1056" s="252" t="s">
        <v>3038</v>
      </c>
      <c r="C1056" s="253">
        <v>0</v>
      </c>
      <c r="D1056" s="252">
        <v>50592</v>
      </c>
      <c r="E1056" s="252" t="s">
        <v>3039</v>
      </c>
      <c r="F1056" s="254" t="s">
        <v>3662</v>
      </c>
      <c r="G1056" s="252" t="s">
        <v>2410</v>
      </c>
      <c r="H1056" s="252" t="s">
        <v>3674</v>
      </c>
      <c r="I1056" s="252">
        <v>5</v>
      </c>
      <c r="J1056" s="255">
        <v>1</v>
      </c>
      <c r="K1056" s="255">
        <v>1</v>
      </c>
      <c r="L1056" s="255"/>
      <c r="M1056" s="256">
        <v>1.6200000000000001E-4</v>
      </c>
      <c r="N1056" s="249">
        <v>1055</v>
      </c>
    </row>
    <row r="1057" spans="1:14" x14ac:dyDescent="0.25">
      <c r="A1057" s="252" t="s">
        <v>183</v>
      </c>
      <c r="B1057" s="252" t="s">
        <v>3038</v>
      </c>
      <c r="C1057" s="253">
        <v>0</v>
      </c>
      <c r="D1057" s="252">
        <v>50592</v>
      </c>
      <c r="E1057" s="252" t="s">
        <v>3039</v>
      </c>
      <c r="F1057" s="254" t="s">
        <v>3662</v>
      </c>
      <c r="G1057" s="252" t="s">
        <v>2411</v>
      </c>
      <c r="H1057" s="252" t="s">
        <v>3675</v>
      </c>
      <c r="I1057" s="252">
        <v>5</v>
      </c>
      <c r="J1057" s="255">
        <v>1</v>
      </c>
      <c r="K1057" s="255">
        <v>1</v>
      </c>
      <c r="L1057" s="255"/>
      <c r="M1057" s="256">
        <v>1.0379999999999999E-3</v>
      </c>
      <c r="N1057" s="249">
        <v>1056</v>
      </c>
    </row>
    <row r="1058" spans="1:14" x14ac:dyDescent="0.25">
      <c r="A1058" s="252" t="s">
        <v>183</v>
      </c>
      <c r="B1058" s="252" t="s">
        <v>3038</v>
      </c>
      <c r="C1058" s="253">
        <v>0</v>
      </c>
      <c r="D1058" s="252">
        <v>50592</v>
      </c>
      <c r="E1058" s="252" t="s">
        <v>3039</v>
      </c>
      <c r="F1058" s="254" t="s">
        <v>3662</v>
      </c>
      <c r="G1058" s="252" t="s">
        <v>2412</v>
      </c>
      <c r="H1058" s="252" t="s">
        <v>3676</v>
      </c>
      <c r="I1058" s="252">
        <v>5</v>
      </c>
      <c r="J1058" s="255">
        <v>1</v>
      </c>
      <c r="K1058" s="255">
        <v>1</v>
      </c>
      <c r="L1058" s="255"/>
      <c r="M1058" s="256">
        <v>2.04E-4</v>
      </c>
      <c r="N1058" s="249">
        <v>1057</v>
      </c>
    </row>
    <row r="1059" spans="1:14" x14ac:dyDescent="0.25">
      <c r="A1059" s="252" t="s">
        <v>183</v>
      </c>
      <c r="B1059" s="252" t="s">
        <v>3038</v>
      </c>
      <c r="C1059" s="253">
        <v>0</v>
      </c>
      <c r="D1059" s="252">
        <v>50592</v>
      </c>
      <c r="E1059" s="252" t="s">
        <v>3039</v>
      </c>
      <c r="F1059" s="254" t="s">
        <v>3662</v>
      </c>
      <c r="G1059" s="252" t="s">
        <v>3677</v>
      </c>
      <c r="H1059" s="252" t="s">
        <v>3678</v>
      </c>
      <c r="I1059" s="252">
        <v>5</v>
      </c>
      <c r="J1059" s="255">
        <v>1</v>
      </c>
      <c r="K1059" s="255">
        <v>1</v>
      </c>
      <c r="L1059" s="255"/>
      <c r="M1059" s="256">
        <v>1.0379999999999999E-3</v>
      </c>
      <c r="N1059" s="249">
        <v>1058</v>
      </c>
    </row>
    <row r="1060" spans="1:14" x14ac:dyDescent="0.25">
      <c r="A1060" s="252" t="s">
        <v>183</v>
      </c>
      <c r="B1060" s="252" t="s">
        <v>3038</v>
      </c>
      <c r="C1060" s="253">
        <v>0</v>
      </c>
      <c r="D1060" s="252">
        <v>50592</v>
      </c>
      <c r="E1060" s="252" t="s">
        <v>3039</v>
      </c>
      <c r="F1060" s="254" t="s">
        <v>3662</v>
      </c>
      <c r="G1060" s="252" t="s">
        <v>3679</v>
      </c>
      <c r="H1060" s="252" t="s">
        <v>3680</v>
      </c>
      <c r="I1060" s="252">
        <v>5</v>
      </c>
      <c r="J1060" s="255">
        <v>1</v>
      </c>
      <c r="K1060" s="255">
        <v>1</v>
      </c>
      <c r="L1060" s="255"/>
      <c r="M1060" s="256">
        <v>2.04E-4</v>
      </c>
      <c r="N1060" s="249">
        <v>1059</v>
      </c>
    </row>
    <row r="1061" spans="1:14" x14ac:dyDescent="0.25">
      <c r="A1061" s="252" t="s">
        <v>183</v>
      </c>
      <c r="B1061" s="252" t="s">
        <v>3038</v>
      </c>
      <c r="C1061" s="253">
        <v>0</v>
      </c>
      <c r="D1061" s="252">
        <v>50592</v>
      </c>
      <c r="E1061" s="252" t="s">
        <v>3039</v>
      </c>
      <c r="F1061" s="254" t="s">
        <v>3662</v>
      </c>
      <c r="G1061" s="252" t="s">
        <v>2413</v>
      </c>
      <c r="H1061" s="252" t="s">
        <v>3681</v>
      </c>
      <c r="I1061" s="252">
        <v>5</v>
      </c>
      <c r="J1061" s="255">
        <v>1</v>
      </c>
      <c r="K1061" s="255">
        <v>1</v>
      </c>
      <c r="L1061" s="255"/>
      <c r="M1061" s="256">
        <v>1.0379999999999999E-3</v>
      </c>
      <c r="N1061" s="249">
        <v>1060</v>
      </c>
    </row>
    <row r="1062" spans="1:14" x14ac:dyDescent="0.25">
      <c r="A1062" s="252" t="s">
        <v>183</v>
      </c>
      <c r="B1062" s="252" t="s">
        <v>3038</v>
      </c>
      <c r="C1062" s="253">
        <v>0</v>
      </c>
      <c r="D1062" s="252">
        <v>50592</v>
      </c>
      <c r="E1062" s="252" t="s">
        <v>3039</v>
      </c>
      <c r="F1062" s="254" t="s">
        <v>3662</v>
      </c>
      <c r="G1062" s="252" t="s">
        <v>2414</v>
      </c>
      <c r="H1062" s="252" t="s">
        <v>3682</v>
      </c>
      <c r="I1062" s="252">
        <v>5</v>
      </c>
      <c r="J1062" s="255">
        <v>1</v>
      </c>
      <c r="K1062" s="255">
        <v>1</v>
      </c>
      <c r="L1062" s="255"/>
      <c r="M1062" s="256">
        <v>2.04E-4</v>
      </c>
      <c r="N1062" s="249">
        <v>1061</v>
      </c>
    </row>
    <row r="1063" spans="1:14" x14ac:dyDescent="0.25">
      <c r="A1063" s="252" t="s">
        <v>183</v>
      </c>
      <c r="B1063" s="252" t="s">
        <v>3038</v>
      </c>
      <c r="C1063" s="253">
        <v>0</v>
      </c>
      <c r="D1063" s="252">
        <v>50592</v>
      </c>
      <c r="E1063" s="252" t="s">
        <v>3039</v>
      </c>
      <c r="F1063" s="254" t="s">
        <v>3662</v>
      </c>
      <c r="G1063" s="252" t="s">
        <v>3683</v>
      </c>
      <c r="H1063" s="252" t="s">
        <v>3684</v>
      </c>
      <c r="I1063" s="252">
        <v>5</v>
      </c>
      <c r="J1063" s="255">
        <v>1</v>
      </c>
      <c r="K1063" s="255">
        <v>1</v>
      </c>
      <c r="L1063" s="255"/>
      <c r="M1063" s="256">
        <v>1.0379999999999999E-3</v>
      </c>
      <c r="N1063" s="249">
        <v>1062</v>
      </c>
    </row>
    <row r="1064" spans="1:14" x14ac:dyDescent="0.25">
      <c r="A1064" s="252" t="s">
        <v>183</v>
      </c>
      <c r="B1064" s="252" t="s">
        <v>3038</v>
      </c>
      <c r="C1064" s="253">
        <v>0</v>
      </c>
      <c r="D1064" s="252">
        <v>50592</v>
      </c>
      <c r="E1064" s="252" t="s">
        <v>3039</v>
      </c>
      <c r="F1064" s="254" t="s">
        <v>3662</v>
      </c>
      <c r="G1064" s="252" t="s">
        <v>3685</v>
      </c>
      <c r="H1064" s="252" t="s">
        <v>3686</v>
      </c>
      <c r="I1064" s="252">
        <v>5</v>
      </c>
      <c r="J1064" s="255">
        <v>1</v>
      </c>
      <c r="K1064" s="255">
        <v>1</v>
      </c>
      <c r="L1064" s="255"/>
      <c r="M1064" s="256">
        <v>2.04E-4</v>
      </c>
      <c r="N1064" s="249">
        <v>1063</v>
      </c>
    </row>
    <row r="1065" spans="1:14" x14ac:dyDescent="0.25">
      <c r="A1065" s="252" t="s">
        <v>183</v>
      </c>
      <c r="B1065" s="252" t="s">
        <v>3038</v>
      </c>
      <c r="C1065" s="253">
        <v>0</v>
      </c>
      <c r="D1065" s="252">
        <v>50592</v>
      </c>
      <c r="E1065" s="252" t="s">
        <v>3039</v>
      </c>
      <c r="F1065" s="254" t="s">
        <v>3662</v>
      </c>
      <c r="G1065" s="252" t="s">
        <v>2415</v>
      </c>
      <c r="H1065" s="252" t="s">
        <v>3687</v>
      </c>
      <c r="I1065" s="252">
        <v>5</v>
      </c>
      <c r="J1065" s="255">
        <v>1</v>
      </c>
      <c r="K1065" s="255">
        <v>1</v>
      </c>
      <c r="L1065" s="255"/>
      <c r="M1065" s="256">
        <v>1.6200000000000001E-4</v>
      </c>
      <c r="N1065" s="249">
        <v>1064</v>
      </c>
    </row>
    <row r="1066" spans="1:14" x14ac:dyDescent="0.25">
      <c r="A1066" s="252" t="s">
        <v>183</v>
      </c>
      <c r="B1066" s="252" t="s">
        <v>3038</v>
      </c>
      <c r="C1066" s="253">
        <v>0</v>
      </c>
      <c r="D1066" s="252">
        <v>50592</v>
      </c>
      <c r="E1066" s="252" t="s">
        <v>3039</v>
      </c>
      <c r="F1066" s="254" t="s">
        <v>3662</v>
      </c>
      <c r="G1066" s="252" t="s">
        <v>2417</v>
      </c>
      <c r="H1066" s="252" t="s">
        <v>3688</v>
      </c>
      <c r="I1066" s="252">
        <v>5</v>
      </c>
      <c r="J1066" s="255">
        <v>1</v>
      </c>
      <c r="K1066" s="255">
        <v>1</v>
      </c>
      <c r="L1066" s="255"/>
      <c r="M1066" s="256">
        <v>1.6200000000000001E-4</v>
      </c>
      <c r="N1066" s="249">
        <v>1065</v>
      </c>
    </row>
    <row r="1067" spans="1:14" x14ac:dyDescent="0.25">
      <c r="A1067" s="252" t="s">
        <v>183</v>
      </c>
      <c r="B1067" s="252" t="s">
        <v>3038</v>
      </c>
      <c r="C1067" s="253">
        <v>0</v>
      </c>
      <c r="D1067" s="252">
        <v>50592</v>
      </c>
      <c r="E1067" s="252" t="s">
        <v>3039</v>
      </c>
      <c r="F1067" s="254" t="s">
        <v>3662</v>
      </c>
      <c r="G1067" s="252" t="s">
        <v>2418</v>
      </c>
      <c r="H1067" s="252" t="s">
        <v>3689</v>
      </c>
      <c r="I1067" s="252">
        <v>5</v>
      </c>
      <c r="J1067" s="255">
        <v>1</v>
      </c>
      <c r="K1067" s="255">
        <v>1</v>
      </c>
      <c r="L1067" s="255"/>
      <c r="M1067" s="256">
        <v>2.9099999999999997E-4</v>
      </c>
      <c r="N1067" s="249">
        <v>1066</v>
      </c>
    </row>
    <row r="1068" spans="1:14" x14ac:dyDescent="0.25">
      <c r="A1068" s="252" t="s">
        <v>183</v>
      </c>
      <c r="B1068" s="252" t="s">
        <v>3038</v>
      </c>
      <c r="C1068" s="253">
        <v>0</v>
      </c>
      <c r="D1068" s="252">
        <v>50592</v>
      </c>
      <c r="E1068" s="252" t="s">
        <v>3039</v>
      </c>
      <c r="F1068" s="254" t="s">
        <v>3662</v>
      </c>
      <c r="G1068" s="252" t="s">
        <v>3690</v>
      </c>
      <c r="H1068" s="252" t="s">
        <v>3691</v>
      </c>
      <c r="I1068" s="252">
        <v>5</v>
      </c>
      <c r="J1068" s="255">
        <v>1</v>
      </c>
      <c r="K1068" s="255">
        <v>1</v>
      </c>
      <c r="L1068" s="255"/>
      <c r="M1068" s="256">
        <v>1.4099999999999998E-4</v>
      </c>
      <c r="N1068" s="249">
        <v>1067</v>
      </c>
    </row>
    <row r="1069" spans="1:14" x14ac:dyDescent="0.25">
      <c r="A1069" s="252" t="s">
        <v>183</v>
      </c>
      <c r="B1069" s="252" t="s">
        <v>3038</v>
      </c>
      <c r="C1069" s="253">
        <v>0</v>
      </c>
      <c r="D1069" s="252">
        <v>50592</v>
      </c>
      <c r="E1069" s="252" t="s">
        <v>3039</v>
      </c>
      <c r="F1069" s="254" t="s">
        <v>3662</v>
      </c>
      <c r="G1069" s="252" t="s">
        <v>3692</v>
      </c>
      <c r="H1069" s="252" t="s">
        <v>3693</v>
      </c>
      <c r="I1069" s="252">
        <v>5</v>
      </c>
      <c r="J1069" s="255">
        <v>1</v>
      </c>
      <c r="K1069" s="255">
        <v>1</v>
      </c>
      <c r="L1069" s="255"/>
      <c r="M1069" s="256">
        <v>1.4099999999999998E-4</v>
      </c>
      <c r="N1069" s="249">
        <v>1068</v>
      </c>
    </row>
    <row r="1070" spans="1:14" x14ac:dyDescent="0.25">
      <c r="A1070" s="252" t="s">
        <v>183</v>
      </c>
      <c r="B1070" s="252" t="s">
        <v>3038</v>
      </c>
      <c r="C1070" s="253">
        <v>0</v>
      </c>
      <c r="D1070" s="252">
        <v>50592</v>
      </c>
      <c r="E1070" s="252" t="s">
        <v>3039</v>
      </c>
      <c r="F1070" s="254" t="s">
        <v>3662</v>
      </c>
      <c r="G1070" s="252" t="s">
        <v>2420</v>
      </c>
      <c r="H1070" s="252" t="s">
        <v>3694</v>
      </c>
      <c r="I1070" s="252">
        <v>5</v>
      </c>
      <c r="J1070" s="255">
        <v>1</v>
      </c>
      <c r="K1070" s="255">
        <v>1</v>
      </c>
      <c r="L1070" s="255"/>
      <c r="M1070" s="256">
        <v>1.6200000000000001E-4</v>
      </c>
      <c r="N1070" s="249">
        <v>1069</v>
      </c>
    </row>
    <row r="1071" spans="1:14" x14ac:dyDescent="0.25">
      <c r="A1071" s="252" t="s">
        <v>183</v>
      </c>
      <c r="B1071" s="252" t="s">
        <v>3038</v>
      </c>
      <c r="C1071" s="253">
        <v>0</v>
      </c>
      <c r="D1071" s="252">
        <v>50592</v>
      </c>
      <c r="E1071" s="252" t="s">
        <v>3039</v>
      </c>
      <c r="F1071" s="254" t="s">
        <v>3662</v>
      </c>
      <c r="G1071" s="252" t="s">
        <v>2425</v>
      </c>
      <c r="H1071" s="252" t="s">
        <v>3695</v>
      </c>
      <c r="I1071" s="252">
        <v>5</v>
      </c>
      <c r="J1071" s="255">
        <v>1</v>
      </c>
      <c r="K1071" s="255">
        <v>1</v>
      </c>
      <c r="L1071" s="255"/>
      <c r="M1071" s="256">
        <v>1.6200000000000001E-4</v>
      </c>
      <c r="N1071" s="249">
        <v>1070</v>
      </c>
    </row>
    <row r="1072" spans="1:14" x14ac:dyDescent="0.25">
      <c r="A1072" s="252" t="s">
        <v>183</v>
      </c>
      <c r="B1072" s="252" t="s">
        <v>3038</v>
      </c>
      <c r="C1072" s="253">
        <v>0</v>
      </c>
      <c r="D1072" s="252">
        <v>50592</v>
      </c>
      <c r="E1072" s="252" t="s">
        <v>3039</v>
      </c>
      <c r="F1072" s="254" t="s">
        <v>3662</v>
      </c>
      <c r="G1072" s="252" t="s">
        <v>2426</v>
      </c>
      <c r="H1072" s="252" t="s">
        <v>3696</v>
      </c>
      <c r="I1072" s="252">
        <v>5</v>
      </c>
      <c r="J1072" s="255">
        <v>1</v>
      </c>
      <c r="K1072" s="255">
        <v>1</v>
      </c>
      <c r="L1072" s="255"/>
      <c r="M1072" s="256">
        <v>2.9099999999999997E-4</v>
      </c>
      <c r="N1072" s="249">
        <v>1071</v>
      </c>
    </row>
    <row r="1073" spans="1:14" x14ac:dyDescent="0.25">
      <c r="A1073" s="252" t="s">
        <v>183</v>
      </c>
      <c r="B1073" s="252" t="s">
        <v>3038</v>
      </c>
      <c r="C1073" s="253">
        <v>0</v>
      </c>
      <c r="D1073" s="252">
        <v>50592</v>
      </c>
      <c r="E1073" s="252" t="s">
        <v>3039</v>
      </c>
      <c r="F1073" s="254" t="s">
        <v>3662</v>
      </c>
      <c r="G1073" s="252" t="s">
        <v>2427</v>
      </c>
      <c r="H1073" s="252" t="s">
        <v>3697</v>
      </c>
      <c r="I1073" s="252">
        <v>5</v>
      </c>
      <c r="J1073" s="255">
        <v>1</v>
      </c>
      <c r="K1073" s="255">
        <v>1</v>
      </c>
      <c r="L1073" s="255"/>
      <c r="M1073" s="256">
        <v>1.4099999999999998E-4</v>
      </c>
      <c r="N1073" s="249">
        <v>1072</v>
      </c>
    </row>
    <row r="1074" spans="1:14" x14ac:dyDescent="0.25">
      <c r="A1074" s="252" t="s">
        <v>183</v>
      </c>
      <c r="B1074" s="252" t="s">
        <v>3038</v>
      </c>
      <c r="C1074" s="253">
        <v>0</v>
      </c>
      <c r="D1074" s="252">
        <v>50592</v>
      </c>
      <c r="E1074" s="252" t="s">
        <v>3039</v>
      </c>
      <c r="F1074" s="254" t="s">
        <v>3662</v>
      </c>
      <c r="G1074" s="252" t="s">
        <v>2428</v>
      </c>
      <c r="H1074" s="252" t="s">
        <v>3698</v>
      </c>
      <c r="I1074" s="252">
        <v>5</v>
      </c>
      <c r="J1074" s="255">
        <v>1</v>
      </c>
      <c r="K1074" s="255">
        <v>1</v>
      </c>
      <c r="L1074" s="255"/>
      <c r="M1074" s="256">
        <v>1.4099999999999998E-4</v>
      </c>
      <c r="N1074" s="249">
        <v>1073</v>
      </c>
    </row>
    <row r="1075" spans="1:14" x14ac:dyDescent="0.25">
      <c r="A1075" s="252" t="s">
        <v>183</v>
      </c>
      <c r="B1075" s="252" t="s">
        <v>3038</v>
      </c>
      <c r="C1075" s="253">
        <v>0</v>
      </c>
      <c r="D1075" s="252">
        <v>50592</v>
      </c>
      <c r="E1075" s="252" t="s">
        <v>3039</v>
      </c>
      <c r="F1075" s="254" t="s">
        <v>3662</v>
      </c>
      <c r="G1075" s="252" t="s">
        <v>2429</v>
      </c>
      <c r="H1075" s="252" t="s">
        <v>3699</v>
      </c>
      <c r="I1075" s="252">
        <v>5</v>
      </c>
      <c r="J1075" s="255">
        <v>1</v>
      </c>
      <c r="K1075" s="255">
        <v>1</v>
      </c>
      <c r="L1075" s="255"/>
      <c r="M1075" s="256">
        <v>3.228E-3</v>
      </c>
      <c r="N1075" s="249">
        <v>1074</v>
      </c>
    </row>
    <row r="1076" spans="1:14" x14ac:dyDescent="0.25">
      <c r="A1076" s="252" t="s">
        <v>183</v>
      </c>
      <c r="B1076" s="252" t="s">
        <v>3038</v>
      </c>
      <c r="C1076" s="253">
        <v>0</v>
      </c>
      <c r="D1076" s="252">
        <v>50592</v>
      </c>
      <c r="E1076" s="252" t="s">
        <v>3039</v>
      </c>
      <c r="F1076" s="254" t="s">
        <v>3662</v>
      </c>
      <c r="G1076" s="252" t="s">
        <v>2430</v>
      </c>
      <c r="H1076" s="252" t="s">
        <v>3700</v>
      </c>
      <c r="I1076" s="252">
        <v>5</v>
      </c>
      <c r="J1076" s="255">
        <v>1</v>
      </c>
      <c r="K1076" s="255">
        <v>1</v>
      </c>
      <c r="L1076" s="255"/>
      <c r="M1076" s="256">
        <v>3.228E-3</v>
      </c>
      <c r="N1076" s="249">
        <v>1075</v>
      </c>
    </row>
    <row r="1077" spans="1:14" x14ac:dyDescent="0.25">
      <c r="A1077" s="252" t="s">
        <v>183</v>
      </c>
      <c r="B1077" s="252" t="s">
        <v>3038</v>
      </c>
      <c r="C1077" s="253">
        <v>0</v>
      </c>
      <c r="D1077" s="252">
        <v>50592</v>
      </c>
      <c r="E1077" s="252" t="s">
        <v>3039</v>
      </c>
      <c r="F1077" s="254" t="s">
        <v>3662</v>
      </c>
      <c r="G1077" s="252" t="s">
        <v>2431</v>
      </c>
      <c r="H1077" s="252" t="s">
        <v>3701</v>
      </c>
      <c r="I1077" s="252">
        <v>5</v>
      </c>
      <c r="J1077" s="255">
        <v>1</v>
      </c>
      <c r="K1077" s="255">
        <v>1</v>
      </c>
      <c r="L1077" s="255"/>
      <c r="M1077" s="256">
        <v>1.6200000000000001E-4</v>
      </c>
      <c r="N1077" s="249">
        <v>1076</v>
      </c>
    </row>
    <row r="1078" spans="1:14" x14ac:dyDescent="0.25">
      <c r="A1078" s="252" t="s">
        <v>183</v>
      </c>
      <c r="B1078" s="252" t="s">
        <v>3038</v>
      </c>
      <c r="C1078" s="253">
        <v>0</v>
      </c>
      <c r="D1078" s="252">
        <v>50592</v>
      </c>
      <c r="E1078" s="252" t="s">
        <v>190</v>
      </c>
      <c r="F1078" s="254" t="s">
        <v>3662</v>
      </c>
      <c r="G1078" s="252" t="s">
        <v>2439</v>
      </c>
      <c r="H1078" s="252" t="s">
        <v>3702</v>
      </c>
      <c r="I1078" s="252">
        <v>5</v>
      </c>
      <c r="J1078" s="255">
        <v>1</v>
      </c>
      <c r="K1078" s="255">
        <v>1</v>
      </c>
      <c r="L1078" s="255"/>
      <c r="M1078" s="256">
        <v>4.7099999999999996E-4</v>
      </c>
      <c r="N1078" s="249">
        <v>1077</v>
      </c>
    </row>
    <row r="1079" spans="1:14" x14ac:dyDescent="0.25">
      <c r="A1079" s="252" t="s">
        <v>183</v>
      </c>
      <c r="B1079" s="252" t="s">
        <v>3038</v>
      </c>
      <c r="C1079" s="253">
        <v>0</v>
      </c>
      <c r="D1079" s="252">
        <v>50592</v>
      </c>
      <c r="E1079" s="252" t="s">
        <v>190</v>
      </c>
      <c r="F1079" s="254" t="s">
        <v>3662</v>
      </c>
      <c r="G1079" s="252" t="s">
        <v>3703</v>
      </c>
      <c r="H1079" s="252" t="s">
        <v>3704</v>
      </c>
      <c r="I1079" s="252">
        <v>5</v>
      </c>
      <c r="J1079" s="255">
        <v>1</v>
      </c>
      <c r="K1079" s="255">
        <v>1</v>
      </c>
      <c r="L1079" s="255"/>
      <c r="M1079" s="256">
        <v>4.7099999999999996E-4</v>
      </c>
      <c r="N1079" s="249">
        <v>1078</v>
      </c>
    </row>
    <row r="1080" spans="1:14" x14ac:dyDescent="0.25">
      <c r="A1080" s="252" t="s">
        <v>183</v>
      </c>
      <c r="B1080" s="252" t="s">
        <v>3038</v>
      </c>
      <c r="C1080" s="253">
        <v>0</v>
      </c>
      <c r="D1080" s="252">
        <v>50592</v>
      </c>
      <c r="E1080" s="252" t="s">
        <v>190</v>
      </c>
      <c r="F1080" s="254" t="s">
        <v>3662</v>
      </c>
      <c r="G1080" s="252" t="s">
        <v>2440</v>
      </c>
      <c r="H1080" s="252" t="s">
        <v>3705</v>
      </c>
      <c r="I1080" s="252">
        <v>5</v>
      </c>
      <c r="J1080" s="255">
        <v>1</v>
      </c>
      <c r="K1080" s="255">
        <v>1</v>
      </c>
      <c r="L1080" s="255"/>
      <c r="M1080" s="256">
        <v>3.8099999999999999E-4</v>
      </c>
      <c r="N1080" s="249">
        <v>1079</v>
      </c>
    </row>
    <row r="1081" spans="1:14" x14ac:dyDescent="0.25">
      <c r="A1081" s="252" t="s">
        <v>183</v>
      </c>
      <c r="B1081" s="252" t="s">
        <v>3038</v>
      </c>
      <c r="C1081" s="253">
        <v>0</v>
      </c>
      <c r="D1081" s="252">
        <v>50592</v>
      </c>
      <c r="E1081" s="252" t="s">
        <v>190</v>
      </c>
      <c r="F1081" s="254" t="s">
        <v>3662</v>
      </c>
      <c r="G1081" s="252" t="s">
        <v>2441</v>
      </c>
      <c r="H1081" s="252" t="s">
        <v>3706</v>
      </c>
      <c r="I1081" s="252">
        <v>5</v>
      </c>
      <c r="J1081" s="255">
        <v>1</v>
      </c>
      <c r="K1081" s="255">
        <v>1</v>
      </c>
      <c r="L1081" s="255"/>
      <c r="M1081" s="256">
        <v>3.8099999999999999E-4</v>
      </c>
      <c r="N1081" s="249">
        <v>1080</v>
      </c>
    </row>
    <row r="1082" spans="1:14" x14ac:dyDescent="0.25">
      <c r="A1082" s="252" t="s">
        <v>183</v>
      </c>
      <c r="B1082" s="252" t="s">
        <v>3038</v>
      </c>
      <c r="C1082" s="253">
        <v>0</v>
      </c>
      <c r="D1082" s="252">
        <v>50592</v>
      </c>
      <c r="E1082" s="252" t="s">
        <v>190</v>
      </c>
      <c r="F1082" s="254" t="s">
        <v>3662</v>
      </c>
      <c r="G1082" s="252" t="s">
        <v>2442</v>
      </c>
      <c r="H1082" s="252" t="s">
        <v>3707</v>
      </c>
      <c r="I1082" s="252">
        <v>5</v>
      </c>
      <c r="J1082" s="255">
        <v>1</v>
      </c>
      <c r="K1082" s="255">
        <v>1</v>
      </c>
      <c r="L1082" s="255"/>
      <c r="M1082" s="256">
        <v>4.7099999999999996E-4</v>
      </c>
      <c r="N1082" s="249">
        <v>1081</v>
      </c>
    </row>
    <row r="1083" spans="1:14" x14ac:dyDescent="0.25">
      <c r="A1083" s="252" t="s">
        <v>183</v>
      </c>
      <c r="B1083" s="252" t="s">
        <v>3038</v>
      </c>
      <c r="C1083" s="253">
        <v>0</v>
      </c>
      <c r="D1083" s="252">
        <v>50592</v>
      </c>
      <c r="E1083" s="252" t="s">
        <v>190</v>
      </c>
      <c r="F1083" s="254" t="s">
        <v>3662</v>
      </c>
      <c r="G1083" s="252" t="s">
        <v>2443</v>
      </c>
      <c r="H1083" s="252" t="s">
        <v>3708</v>
      </c>
      <c r="I1083" s="252">
        <v>5</v>
      </c>
      <c r="J1083" s="255">
        <v>1</v>
      </c>
      <c r="K1083" s="255">
        <v>1</v>
      </c>
      <c r="L1083" s="255"/>
      <c r="M1083" s="256">
        <v>4.7099999999999996E-4</v>
      </c>
      <c r="N1083" s="249">
        <v>1082</v>
      </c>
    </row>
    <row r="1084" spans="1:14" x14ac:dyDescent="0.25">
      <c r="A1084" s="252" t="s">
        <v>183</v>
      </c>
      <c r="B1084" s="252" t="s">
        <v>3038</v>
      </c>
      <c r="C1084" s="253">
        <v>0</v>
      </c>
      <c r="D1084" s="252">
        <v>50592</v>
      </c>
      <c r="E1084" s="252" t="s">
        <v>190</v>
      </c>
      <c r="F1084" s="254" t="s">
        <v>3662</v>
      </c>
      <c r="G1084" s="252" t="s">
        <v>2444</v>
      </c>
      <c r="H1084" s="252" t="s">
        <v>3709</v>
      </c>
      <c r="I1084" s="252">
        <v>5</v>
      </c>
      <c r="J1084" s="255">
        <v>1</v>
      </c>
      <c r="K1084" s="255">
        <v>1</v>
      </c>
      <c r="L1084" s="255"/>
      <c r="M1084" s="256">
        <v>3.8099999999999999E-4</v>
      </c>
      <c r="N1084" s="249">
        <v>1083</v>
      </c>
    </row>
    <row r="1085" spans="1:14" x14ac:dyDescent="0.25">
      <c r="A1085" s="252" t="s">
        <v>183</v>
      </c>
      <c r="B1085" s="252" t="s">
        <v>3038</v>
      </c>
      <c r="C1085" s="253">
        <v>0</v>
      </c>
      <c r="D1085" s="252">
        <v>50592</v>
      </c>
      <c r="E1085" s="252" t="s">
        <v>190</v>
      </c>
      <c r="F1085" s="254" t="s">
        <v>3662</v>
      </c>
      <c r="G1085" s="252" t="s">
        <v>2445</v>
      </c>
      <c r="H1085" s="252" t="s">
        <v>3710</v>
      </c>
      <c r="I1085" s="252">
        <v>5</v>
      </c>
      <c r="J1085" s="255">
        <v>1</v>
      </c>
      <c r="K1085" s="255">
        <v>1</v>
      </c>
      <c r="L1085" s="255"/>
      <c r="M1085" s="256">
        <v>3.8099999999999999E-4</v>
      </c>
      <c r="N1085" s="249">
        <v>1084</v>
      </c>
    </row>
    <row r="1086" spans="1:14" x14ac:dyDescent="0.25">
      <c r="A1086" s="252" t="s">
        <v>183</v>
      </c>
      <c r="B1086" s="252" t="s">
        <v>3038</v>
      </c>
      <c r="C1086" s="253">
        <v>0</v>
      </c>
      <c r="D1086" s="252">
        <v>50592</v>
      </c>
      <c r="E1086" s="252" t="s">
        <v>190</v>
      </c>
      <c r="F1086" s="254" t="s">
        <v>3662</v>
      </c>
      <c r="G1086" s="252" t="s">
        <v>2446</v>
      </c>
      <c r="H1086" s="252" t="s">
        <v>3711</v>
      </c>
      <c r="I1086" s="252">
        <v>5</v>
      </c>
      <c r="J1086" s="255">
        <v>1</v>
      </c>
      <c r="K1086" s="255">
        <v>1</v>
      </c>
      <c r="L1086" s="255"/>
      <c r="M1086" s="256">
        <v>4.7099999999999996E-4</v>
      </c>
      <c r="N1086" s="249">
        <v>1085</v>
      </c>
    </row>
    <row r="1087" spans="1:14" x14ac:dyDescent="0.25">
      <c r="A1087" s="252" t="s">
        <v>183</v>
      </c>
      <c r="B1087" s="252" t="s">
        <v>3038</v>
      </c>
      <c r="C1087" s="253">
        <v>0</v>
      </c>
      <c r="D1087" s="252">
        <v>50592</v>
      </c>
      <c r="E1087" s="252" t="s">
        <v>190</v>
      </c>
      <c r="F1087" s="254" t="s">
        <v>3662</v>
      </c>
      <c r="G1087" s="252" t="s">
        <v>2447</v>
      </c>
      <c r="H1087" s="252" t="s">
        <v>3712</v>
      </c>
      <c r="I1087" s="252">
        <v>5</v>
      </c>
      <c r="J1087" s="255">
        <v>1</v>
      </c>
      <c r="K1087" s="255">
        <v>1</v>
      </c>
      <c r="L1087" s="255"/>
      <c r="M1087" s="256">
        <v>4.7099999999999996E-4</v>
      </c>
      <c r="N1087" s="249">
        <v>1086</v>
      </c>
    </row>
    <row r="1088" spans="1:14" x14ac:dyDescent="0.25">
      <c r="A1088" s="252" t="s">
        <v>183</v>
      </c>
      <c r="B1088" s="252" t="s">
        <v>3038</v>
      </c>
      <c r="C1088" s="253">
        <v>0</v>
      </c>
      <c r="D1088" s="252">
        <v>50592</v>
      </c>
      <c r="E1088" s="252" t="s">
        <v>3059</v>
      </c>
      <c r="F1088" s="254" t="s">
        <v>3662</v>
      </c>
      <c r="G1088" s="252" t="s">
        <v>2448</v>
      </c>
      <c r="H1088" s="252" t="s">
        <v>3713</v>
      </c>
      <c r="I1088" s="252">
        <v>5</v>
      </c>
      <c r="J1088" s="255">
        <v>1</v>
      </c>
      <c r="K1088" s="255">
        <v>1</v>
      </c>
      <c r="L1088" s="255"/>
      <c r="M1088" s="256">
        <v>8.7000000000000001E-5</v>
      </c>
      <c r="N1088" s="249">
        <v>1087</v>
      </c>
    </row>
    <row r="1089" spans="1:14" x14ac:dyDescent="0.25">
      <c r="A1089" s="252" t="s">
        <v>183</v>
      </c>
      <c r="B1089" s="252" t="s">
        <v>3038</v>
      </c>
      <c r="C1089" s="253">
        <v>0</v>
      </c>
      <c r="D1089" s="252">
        <v>50592</v>
      </c>
      <c r="E1089" s="252" t="s">
        <v>3059</v>
      </c>
      <c r="F1089" s="254" t="s">
        <v>3662</v>
      </c>
      <c r="G1089" s="252" t="s">
        <v>2449</v>
      </c>
      <c r="H1089" s="252" t="s">
        <v>3714</v>
      </c>
      <c r="I1089" s="252">
        <v>5</v>
      </c>
      <c r="J1089" s="255">
        <v>1</v>
      </c>
      <c r="K1089" s="255">
        <v>1</v>
      </c>
      <c r="L1089" s="255"/>
      <c r="M1089" s="256">
        <v>1.8059999999999997E-3</v>
      </c>
      <c r="N1089" s="249">
        <v>1088</v>
      </c>
    </row>
    <row r="1090" spans="1:14" x14ac:dyDescent="0.25">
      <c r="A1090" s="252" t="s">
        <v>183</v>
      </c>
      <c r="B1090" s="252" t="s">
        <v>3038</v>
      </c>
      <c r="C1090" s="253">
        <v>0</v>
      </c>
      <c r="D1090" s="252">
        <v>50592</v>
      </c>
      <c r="E1090" s="252" t="s">
        <v>3059</v>
      </c>
      <c r="F1090" s="254" t="s">
        <v>3662</v>
      </c>
      <c r="G1090" s="252" t="s">
        <v>3715</v>
      </c>
      <c r="H1090" s="252" t="s">
        <v>3716</v>
      </c>
      <c r="I1090" s="252">
        <v>5</v>
      </c>
      <c r="J1090" s="255">
        <v>1</v>
      </c>
      <c r="K1090" s="255">
        <v>1</v>
      </c>
      <c r="L1090" s="255"/>
      <c r="M1090" s="256">
        <v>3.3E-4</v>
      </c>
      <c r="N1090" s="249">
        <v>1089</v>
      </c>
    </row>
    <row r="1091" spans="1:14" x14ac:dyDescent="0.25">
      <c r="A1091" s="252" t="s">
        <v>183</v>
      </c>
      <c r="B1091" s="252" t="s">
        <v>3038</v>
      </c>
      <c r="C1091" s="253">
        <v>0</v>
      </c>
      <c r="D1091" s="252">
        <v>50592</v>
      </c>
      <c r="E1091" s="252" t="s">
        <v>3059</v>
      </c>
      <c r="F1091" s="254" t="s">
        <v>3662</v>
      </c>
      <c r="G1091" s="252" t="s">
        <v>3717</v>
      </c>
      <c r="H1091" s="252" t="s">
        <v>3718</v>
      </c>
      <c r="I1091" s="252">
        <v>5</v>
      </c>
      <c r="J1091" s="255">
        <v>1</v>
      </c>
      <c r="K1091" s="255">
        <v>1</v>
      </c>
      <c r="L1091" s="255"/>
      <c r="M1091" s="256">
        <v>1.5899999999999999E-4</v>
      </c>
      <c r="N1091" s="249">
        <v>1090</v>
      </c>
    </row>
    <row r="1092" spans="1:14" x14ac:dyDescent="0.25">
      <c r="A1092" s="252" t="s">
        <v>183</v>
      </c>
      <c r="B1092" s="252" t="s">
        <v>3038</v>
      </c>
      <c r="C1092" s="253">
        <v>0</v>
      </c>
      <c r="D1092" s="252">
        <v>50592</v>
      </c>
      <c r="E1092" s="252" t="s">
        <v>3059</v>
      </c>
      <c r="F1092" s="254" t="s">
        <v>3662</v>
      </c>
      <c r="G1092" s="252" t="s">
        <v>3719</v>
      </c>
      <c r="H1092" s="252" t="s">
        <v>3720</v>
      </c>
      <c r="I1092" s="252">
        <v>5</v>
      </c>
      <c r="J1092" s="255">
        <v>1</v>
      </c>
      <c r="K1092" s="255">
        <v>1</v>
      </c>
      <c r="L1092" s="255"/>
      <c r="M1092" s="256">
        <v>1.5899999999999999E-4</v>
      </c>
      <c r="N1092" s="249">
        <v>1091</v>
      </c>
    </row>
    <row r="1093" spans="1:14" x14ac:dyDescent="0.25">
      <c r="A1093" s="252" t="s">
        <v>183</v>
      </c>
      <c r="B1093" s="252" t="s">
        <v>3038</v>
      </c>
      <c r="C1093" s="253">
        <v>0</v>
      </c>
      <c r="D1093" s="252">
        <v>50592</v>
      </c>
      <c r="E1093" s="252" t="s">
        <v>3059</v>
      </c>
      <c r="F1093" s="254" t="s">
        <v>3662</v>
      </c>
      <c r="G1093" s="252" t="s">
        <v>3721</v>
      </c>
      <c r="H1093" s="252" t="s">
        <v>3722</v>
      </c>
      <c r="I1093" s="252">
        <v>5</v>
      </c>
      <c r="J1093" s="255">
        <v>1</v>
      </c>
      <c r="K1093" s="255">
        <v>1</v>
      </c>
      <c r="L1093" s="255"/>
      <c r="M1093" s="256">
        <v>1.2989999999999998E-3</v>
      </c>
      <c r="N1093" s="249">
        <v>1092</v>
      </c>
    </row>
    <row r="1094" spans="1:14" x14ac:dyDescent="0.25">
      <c r="A1094" s="252" t="s">
        <v>183</v>
      </c>
      <c r="B1094" s="252" t="s">
        <v>3038</v>
      </c>
      <c r="C1094" s="253">
        <v>0</v>
      </c>
      <c r="D1094" s="252">
        <v>50592</v>
      </c>
      <c r="E1094" s="252" t="s">
        <v>3059</v>
      </c>
      <c r="F1094" s="254" t="s">
        <v>3662</v>
      </c>
      <c r="G1094" s="252" t="s">
        <v>3723</v>
      </c>
      <c r="H1094" s="252" t="s">
        <v>3724</v>
      </c>
      <c r="I1094" s="252">
        <v>5</v>
      </c>
      <c r="J1094" s="255">
        <v>1</v>
      </c>
      <c r="K1094" s="255">
        <v>1</v>
      </c>
      <c r="L1094" s="255"/>
      <c r="M1094" s="256">
        <v>8.7000000000000001E-5</v>
      </c>
      <c r="N1094" s="249">
        <v>1093</v>
      </c>
    </row>
    <row r="1095" spans="1:14" x14ac:dyDescent="0.25">
      <c r="A1095" s="252" t="s">
        <v>183</v>
      </c>
      <c r="B1095" s="252" t="s">
        <v>3038</v>
      </c>
      <c r="C1095" s="253">
        <v>0</v>
      </c>
      <c r="D1095" s="252">
        <v>50592</v>
      </c>
      <c r="E1095" s="252" t="s">
        <v>3059</v>
      </c>
      <c r="F1095" s="254" t="s">
        <v>3662</v>
      </c>
      <c r="G1095" s="252" t="s">
        <v>3725</v>
      </c>
      <c r="H1095" s="252" t="s">
        <v>3726</v>
      </c>
      <c r="I1095" s="252">
        <v>5</v>
      </c>
      <c r="J1095" s="255">
        <v>1</v>
      </c>
      <c r="K1095" s="255">
        <v>1</v>
      </c>
      <c r="L1095" s="255"/>
      <c r="M1095" s="256">
        <v>1.8059999999999997E-3</v>
      </c>
      <c r="N1095" s="249">
        <v>1094</v>
      </c>
    </row>
    <row r="1096" spans="1:14" x14ac:dyDescent="0.25">
      <c r="A1096" s="252" t="s">
        <v>183</v>
      </c>
      <c r="B1096" s="252" t="s">
        <v>3038</v>
      </c>
      <c r="C1096" s="253">
        <v>0</v>
      </c>
      <c r="D1096" s="252">
        <v>50592</v>
      </c>
      <c r="E1096" s="252" t="s">
        <v>3059</v>
      </c>
      <c r="F1096" s="254" t="s">
        <v>3662</v>
      </c>
      <c r="G1096" s="252" t="s">
        <v>2450</v>
      </c>
      <c r="H1096" s="252" t="s">
        <v>3727</v>
      </c>
      <c r="I1096" s="252">
        <v>5</v>
      </c>
      <c r="J1096" s="255">
        <v>1</v>
      </c>
      <c r="K1096" s="255">
        <v>1</v>
      </c>
      <c r="L1096" s="255"/>
      <c r="M1096" s="256">
        <v>4.9199999999999992E-4</v>
      </c>
      <c r="N1096" s="249">
        <v>1095</v>
      </c>
    </row>
    <row r="1097" spans="1:14" x14ac:dyDescent="0.25">
      <c r="A1097" s="252" t="s">
        <v>183</v>
      </c>
      <c r="B1097" s="252" t="s">
        <v>3038</v>
      </c>
      <c r="C1097" s="253">
        <v>0</v>
      </c>
      <c r="D1097" s="252">
        <v>50592</v>
      </c>
      <c r="E1097" s="252" t="s">
        <v>3059</v>
      </c>
      <c r="F1097" s="254" t="s">
        <v>3662</v>
      </c>
      <c r="G1097" s="252" t="s">
        <v>2451</v>
      </c>
      <c r="H1097" s="252" t="s">
        <v>3728</v>
      </c>
      <c r="I1097" s="252">
        <v>5</v>
      </c>
      <c r="J1097" s="255">
        <v>1</v>
      </c>
      <c r="K1097" s="255">
        <v>1</v>
      </c>
      <c r="L1097" s="255"/>
      <c r="M1097" s="256">
        <v>8.7000000000000001E-5</v>
      </c>
      <c r="N1097" s="249">
        <v>1096</v>
      </c>
    </row>
    <row r="1098" spans="1:14" x14ac:dyDescent="0.25">
      <c r="A1098" s="252" t="s">
        <v>183</v>
      </c>
      <c r="B1098" s="252" t="s">
        <v>3038</v>
      </c>
      <c r="C1098" s="253">
        <v>0</v>
      </c>
      <c r="D1098" s="252">
        <v>50592</v>
      </c>
      <c r="E1098" s="252" t="s">
        <v>3059</v>
      </c>
      <c r="F1098" s="254" t="s">
        <v>3662</v>
      </c>
      <c r="G1098" s="252" t="s">
        <v>3729</v>
      </c>
      <c r="H1098" s="252" t="s">
        <v>3730</v>
      </c>
      <c r="I1098" s="252">
        <v>5</v>
      </c>
      <c r="J1098" s="255">
        <v>1</v>
      </c>
      <c r="K1098" s="255">
        <v>1</v>
      </c>
      <c r="L1098" s="255"/>
      <c r="M1098" s="256">
        <v>1.8059999999999997E-3</v>
      </c>
      <c r="N1098" s="249">
        <v>1097</v>
      </c>
    </row>
    <row r="1099" spans="1:14" x14ac:dyDescent="0.25">
      <c r="A1099" s="252" t="s">
        <v>183</v>
      </c>
      <c r="B1099" s="252" t="s">
        <v>3038</v>
      </c>
      <c r="C1099" s="253">
        <v>0</v>
      </c>
      <c r="D1099" s="252">
        <v>50592</v>
      </c>
      <c r="E1099" s="252" t="s">
        <v>3059</v>
      </c>
      <c r="F1099" s="254" t="s">
        <v>3662</v>
      </c>
      <c r="G1099" s="252" t="s">
        <v>3731</v>
      </c>
      <c r="H1099" s="252" t="s">
        <v>3732</v>
      </c>
      <c r="I1099" s="252">
        <v>5</v>
      </c>
      <c r="J1099" s="255">
        <v>1</v>
      </c>
      <c r="K1099" s="255">
        <v>1</v>
      </c>
      <c r="L1099" s="255"/>
      <c r="M1099" s="256">
        <v>2.5499999999999996E-4</v>
      </c>
      <c r="N1099" s="249">
        <v>1098</v>
      </c>
    </row>
    <row r="1100" spans="1:14" x14ac:dyDescent="0.25">
      <c r="A1100" s="252" t="s">
        <v>183</v>
      </c>
      <c r="B1100" s="252" t="s">
        <v>3038</v>
      </c>
      <c r="C1100" s="253">
        <v>0</v>
      </c>
      <c r="D1100" s="252">
        <v>50592</v>
      </c>
      <c r="E1100" s="252" t="s">
        <v>3059</v>
      </c>
      <c r="F1100" s="254" t="s">
        <v>3662</v>
      </c>
      <c r="G1100" s="252" t="s">
        <v>3733</v>
      </c>
      <c r="H1100" s="252" t="s">
        <v>3734</v>
      </c>
      <c r="I1100" s="252">
        <v>5</v>
      </c>
      <c r="J1100" s="255">
        <v>1</v>
      </c>
      <c r="K1100" s="255">
        <v>1</v>
      </c>
      <c r="L1100" s="255"/>
      <c r="M1100" s="256">
        <v>2.5499999999999996E-4</v>
      </c>
      <c r="N1100" s="249">
        <v>1099</v>
      </c>
    </row>
    <row r="1101" spans="1:14" x14ac:dyDescent="0.25">
      <c r="A1101" s="252" t="s">
        <v>183</v>
      </c>
      <c r="B1101" s="252" t="s">
        <v>3038</v>
      </c>
      <c r="C1101" s="253">
        <v>0</v>
      </c>
      <c r="D1101" s="252">
        <v>50592</v>
      </c>
      <c r="E1101" s="252" t="s">
        <v>3059</v>
      </c>
      <c r="F1101" s="254" t="s">
        <v>3662</v>
      </c>
      <c r="G1101" s="252" t="s">
        <v>3735</v>
      </c>
      <c r="H1101" s="252" t="s">
        <v>3736</v>
      </c>
      <c r="I1101" s="252">
        <v>5</v>
      </c>
      <c r="J1101" s="255">
        <v>1</v>
      </c>
      <c r="K1101" s="255">
        <v>1</v>
      </c>
      <c r="L1101" s="255"/>
      <c r="M1101" s="256">
        <v>1.6769999999999999E-3</v>
      </c>
      <c r="N1101" s="249">
        <v>1100</v>
      </c>
    </row>
    <row r="1102" spans="1:14" x14ac:dyDescent="0.25">
      <c r="A1102" s="252" t="s">
        <v>183</v>
      </c>
      <c r="B1102" s="252" t="s">
        <v>3038</v>
      </c>
      <c r="C1102" s="253">
        <v>0</v>
      </c>
      <c r="D1102" s="252">
        <v>50592</v>
      </c>
      <c r="E1102" s="252" t="s">
        <v>3059</v>
      </c>
      <c r="F1102" s="254" t="s">
        <v>3662</v>
      </c>
      <c r="G1102" s="252" t="s">
        <v>3737</v>
      </c>
      <c r="H1102" s="252" t="s">
        <v>3738</v>
      </c>
      <c r="I1102" s="252">
        <v>5</v>
      </c>
      <c r="J1102" s="255">
        <v>1</v>
      </c>
      <c r="K1102" s="255">
        <v>1</v>
      </c>
      <c r="L1102" s="255"/>
      <c r="M1102" s="256">
        <v>8.7000000000000001E-5</v>
      </c>
      <c r="N1102" s="249">
        <v>1101</v>
      </c>
    </row>
    <row r="1103" spans="1:14" x14ac:dyDescent="0.25">
      <c r="A1103" s="252" t="s">
        <v>183</v>
      </c>
      <c r="B1103" s="252" t="s">
        <v>3038</v>
      </c>
      <c r="C1103" s="253">
        <v>0</v>
      </c>
      <c r="D1103" s="252">
        <v>50592</v>
      </c>
      <c r="E1103" s="252" t="s">
        <v>3059</v>
      </c>
      <c r="F1103" s="254" t="s">
        <v>3662</v>
      </c>
      <c r="G1103" s="252" t="s">
        <v>3739</v>
      </c>
      <c r="H1103" s="252" t="s">
        <v>3740</v>
      </c>
      <c r="I1103" s="252">
        <v>5</v>
      </c>
      <c r="J1103" s="255">
        <v>1</v>
      </c>
      <c r="K1103" s="255">
        <v>1</v>
      </c>
      <c r="L1103" s="255"/>
      <c r="M1103" s="256">
        <v>1.8059999999999997E-3</v>
      </c>
      <c r="N1103" s="249">
        <v>1102</v>
      </c>
    </row>
    <row r="1104" spans="1:14" x14ac:dyDescent="0.25">
      <c r="A1104" s="252" t="s">
        <v>183</v>
      </c>
      <c r="B1104" s="252" t="s">
        <v>3038</v>
      </c>
      <c r="C1104" s="253">
        <v>0</v>
      </c>
      <c r="D1104" s="252">
        <v>50592</v>
      </c>
      <c r="E1104" s="252" t="s">
        <v>3059</v>
      </c>
      <c r="F1104" s="254" t="s">
        <v>3662</v>
      </c>
      <c r="G1104" s="252" t="s">
        <v>2452</v>
      </c>
      <c r="H1104" s="252" t="s">
        <v>3741</v>
      </c>
      <c r="I1104" s="252">
        <v>5</v>
      </c>
      <c r="J1104" s="255">
        <v>1</v>
      </c>
      <c r="K1104" s="255">
        <v>1</v>
      </c>
      <c r="L1104" s="255"/>
      <c r="M1104" s="256">
        <v>3.1319999999999998E-3</v>
      </c>
      <c r="N1104" s="249">
        <v>1103</v>
      </c>
    </row>
    <row r="1105" spans="1:14" x14ac:dyDescent="0.25">
      <c r="A1105" s="252" t="s">
        <v>183</v>
      </c>
      <c r="B1105" s="252" t="s">
        <v>3038</v>
      </c>
      <c r="C1105" s="253">
        <v>0</v>
      </c>
      <c r="D1105" s="252">
        <v>50592</v>
      </c>
      <c r="E1105" s="252" t="s">
        <v>3059</v>
      </c>
      <c r="F1105" s="254" t="s">
        <v>3662</v>
      </c>
      <c r="G1105" s="252" t="s">
        <v>2453</v>
      </c>
      <c r="H1105" s="252" t="s">
        <v>3742</v>
      </c>
      <c r="I1105" s="252">
        <v>5</v>
      </c>
      <c r="J1105" s="255">
        <v>1</v>
      </c>
      <c r="K1105" s="255">
        <v>1</v>
      </c>
      <c r="L1105" s="255"/>
      <c r="M1105" s="256">
        <v>1.2149999999999999E-3</v>
      </c>
      <c r="N1105" s="249">
        <v>1104</v>
      </c>
    </row>
    <row r="1106" spans="1:14" x14ac:dyDescent="0.25">
      <c r="A1106" s="252" t="s">
        <v>183</v>
      </c>
      <c r="B1106" s="252" t="s">
        <v>3038</v>
      </c>
      <c r="C1106" s="253">
        <v>0</v>
      </c>
      <c r="D1106" s="252">
        <v>50592</v>
      </c>
      <c r="E1106" s="252" t="s">
        <v>3059</v>
      </c>
      <c r="F1106" s="254" t="s">
        <v>3662</v>
      </c>
      <c r="G1106" s="252" t="s">
        <v>3743</v>
      </c>
      <c r="H1106" s="252" t="s">
        <v>3744</v>
      </c>
      <c r="I1106" s="252">
        <v>5</v>
      </c>
      <c r="J1106" s="255">
        <v>1</v>
      </c>
      <c r="K1106" s="255">
        <v>1</v>
      </c>
      <c r="L1106" s="255"/>
      <c r="M1106" s="256">
        <v>2.4899999999999998E-4</v>
      </c>
      <c r="N1106" s="249">
        <v>1105</v>
      </c>
    </row>
    <row r="1107" spans="1:14" x14ac:dyDescent="0.25">
      <c r="A1107" s="252" t="s">
        <v>183</v>
      </c>
      <c r="B1107" s="252" t="s">
        <v>3038</v>
      </c>
      <c r="C1107" s="253">
        <v>0</v>
      </c>
      <c r="D1107" s="252">
        <v>50592</v>
      </c>
      <c r="E1107" s="252" t="s">
        <v>3059</v>
      </c>
      <c r="F1107" s="254" t="s">
        <v>3662</v>
      </c>
      <c r="G1107" s="252" t="s">
        <v>3745</v>
      </c>
      <c r="H1107" s="252" t="s">
        <v>3746</v>
      </c>
      <c r="I1107" s="252">
        <v>5</v>
      </c>
      <c r="J1107" s="255">
        <v>1</v>
      </c>
      <c r="K1107" s="255">
        <v>1</v>
      </c>
      <c r="L1107" s="255"/>
      <c r="M1107" s="256">
        <v>4.4999999999999999E-4</v>
      </c>
      <c r="N1107" s="249">
        <v>1106</v>
      </c>
    </row>
    <row r="1108" spans="1:14" x14ac:dyDescent="0.25">
      <c r="A1108" s="252" t="s">
        <v>183</v>
      </c>
      <c r="B1108" s="252" t="s">
        <v>3038</v>
      </c>
      <c r="C1108" s="253">
        <v>0</v>
      </c>
      <c r="D1108" s="252">
        <v>50592</v>
      </c>
      <c r="E1108" s="252" t="s">
        <v>3059</v>
      </c>
      <c r="F1108" s="254" t="s">
        <v>3662</v>
      </c>
      <c r="G1108" s="252" t="s">
        <v>3747</v>
      </c>
      <c r="H1108" s="252" t="s">
        <v>3748</v>
      </c>
      <c r="I1108" s="252">
        <v>5</v>
      </c>
      <c r="J1108" s="255">
        <v>1</v>
      </c>
      <c r="K1108" s="255">
        <v>1</v>
      </c>
      <c r="L1108" s="255"/>
      <c r="M1108" s="256">
        <v>8.7000000000000001E-5</v>
      </c>
      <c r="N1108" s="249">
        <v>1107</v>
      </c>
    </row>
    <row r="1109" spans="1:14" x14ac:dyDescent="0.25">
      <c r="A1109" s="252" t="s">
        <v>183</v>
      </c>
      <c r="B1109" s="252" t="s">
        <v>3038</v>
      </c>
      <c r="C1109" s="253">
        <v>0</v>
      </c>
      <c r="D1109" s="252">
        <v>50592</v>
      </c>
      <c r="E1109" s="252" t="s">
        <v>3059</v>
      </c>
      <c r="F1109" s="254" t="s">
        <v>3662</v>
      </c>
      <c r="G1109" s="252" t="s">
        <v>3749</v>
      </c>
      <c r="H1109" s="252" t="s">
        <v>3750</v>
      </c>
      <c r="I1109" s="252">
        <v>5</v>
      </c>
      <c r="J1109" s="255">
        <v>1</v>
      </c>
      <c r="K1109" s="255">
        <v>1</v>
      </c>
      <c r="L1109" s="255"/>
      <c r="M1109" s="256">
        <v>1.7759999999999998E-3</v>
      </c>
      <c r="N1109" s="249">
        <v>1108</v>
      </c>
    </row>
    <row r="1110" spans="1:14" x14ac:dyDescent="0.25">
      <c r="A1110" s="252" t="s">
        <v>183</v>
      </c>
      <c r="B1110" s="252" t="s">
        <v>3038</v>
      </c>
      <c r="C1110" s="253">
        <v>0</v>
      </c>
      <c r="D1110" s="252">
        <v>50592</v>
      </c>
      <c r="E1110" s="252" t="s">
        <v>3059</v>
      </c>
      <c r="F1110" s="254" t="s">
        <v>3662</v>
      </c>
      <c r="G1110" s="252" t="s">
        <v>3751</v>
      </c>
      <c r="H1110" s="252" t="s">
        <v>3752</v>
      </c>
      <c r="I1110" s="252">
        <v>5</v>
      </c>
      <c r="J1110" s="255">
        <v>1</v>
      </c>
      <c r="K1110" s="255">
        <v>1</v>
      </c>
      <c r="L1110" s="255"/>
      <c r="M1110" s="256">
        <v>8.7000000000000001E-5</v>
      </c>
      <c r="N1110" s="249">
        <v>1109</v>
      </c>
    </row>
    <row r="1111" spans="1:14" x14ac:dyDescent="0.25">
      <c r="A1111" s="252" t="s">
        <v>183</v>
      </c>
      <c r="B1111" s="252" t="s">
        <v>3038</v>
      </c>
      <c r="C1111" s="253">
        <v>0</v>
      </c>
      <c r="D1111" s="252">
        <v>50592</v>
      </c>
      <c r="E1111" s="252" t="s">
        <v>3059</v>
      </c>
      <c r="F1111" s="254" t="s">
        <v>3662</v>
      </c>
      <c r="G1111" s="252" t="s">
        <v>3753</v>
      </c>
      <c r="H1111" s="252" t="s">
        <v>3754</v>
      </c>
      <c r="I1111" s="252">
        <v>5</v>
      </c>
      <c r="J1111" s="255">
        <v>1</v>
      </c>
      <c r="K1111" s="255">
        <v>1</v>
      </c>
      <c r="L1111" s="255"/>
      <c r="M1111" s="256">
        <v>1.7759999999999998E-3</v>
      </c>
      <c r="N1111" s="249">
        <v>1110</v>
      </c>
    </row>
    <row r="1112" spans="1:14" x14ac:dyDescent="0.25">
      <c r="A1112" s="252" t="s">
        <v>183</v>
      </c>
      <c r="B1112" s="252" t="s">
        <v>3038</v>
      </c>
      <c r="C1112" s="253">
        <v>0</v>
      </c>
      <c r="D1112" s="252">
        <v>50592</v>
      </c>
      <c r="E1112" s="252" t="s">
        <v>3059</v>
      </c>
      <c r="F1112" s="254" t="s">
        <v>3662</v>
      </c>
      <c r="G1112" s="252" t="s">
        <v>3755</v>
      </c>
      <c r="H1112" s="252" t="s">
        <v>3756</v>
      </c>
      <c r="I1112" s="252">
        <v>5</v>
      </c>
      <c r="J1112" s="255">
        <v>1</v>
      </c>
      <c r="K1112" s="255">
        <v>1</v>
      </c>
      <c r="L1112" s="255"/>
      <c r="M1112" s="256">
        <v>1.2149999999999999E-3</v>
      </c>
      <c r="N1112" s="249">
        <v>1111</v>
      </c>
    </row>
    <row r="1113" spans="1:14" x14ac:dyDescent="0.25">
      <c r="A1113" s="252" t="s">
        <v>183</v>
      </c>
      <c r="B1113" s="252" t="s">
        <v>3038</v>
      </c>
      <c r="C1113" s="253">
        <v>0</v>
      </c>
      <c r="D1113" s="252">
        <v>50592</v>
      </c>
      <c r="E1113" s="252" t="s">
        <v>3059</v>
      </c>
      <c r="F1113" s="254" t="s">
        <v>3662</v>
      </c>
      <c r="G1113" s="252" t="s">
        <v>3757</v>
      </c>
      <c r="H1113" s="252" t="s">
        <v>3758</v>
      </c>
      <c r="I1113" s="252">
        <v>5</v>
      </c>
      <c r="J1113" s="255">
        <v>1</v>
      </c>
      <c r="K1113" s="255">
        <v>1</v>
      </c>
      <c r="L1113" s="255"/>
      <c r="M1113" s="256">
        <v>2.4899999999999998E-4</v>
      </c>
      <c r="N1113" s="249">
        <v>1112</v>
      </c>
    </row>
    <row r="1114" spans="1:14" x14ac:dyDescent="0.25">
      <c r="A1114" s="252" t="s">
        <v>183</v>
      </c>
      <c r="B1114" s="252" t="s">
        <v>3038</v>
      </c>
      <c r="C1114" s="253">
        <v>0</v>
      </c>
      <c r="D1114" s="252">
        <v>50592</v>
      </c>
      <c r="E1114" s="252" t="s">
        <v>3059</v>
      </c>
      <c r="F1114" s="254" t="s">
        <v>3662</v>
      </c>
      <c r="G1114" s="252" t="s">
        <v>3759</v>
      </c>
      <c r="H1114" s="252" t="s">
        <v>3760</v>
      </c>
      <c r="I1114" s="252">
        <v>5</v>
      </c>
      <c r="J1114" s="255">
        <v>1</v>
      </c>
      <c r="K1114" s="255">
        <v>1</v>
      </c>
      <c r="L1114" s="255"/>
      <c r="M1114" s="256">
        <v>4.4999999999999999E-4</v>
      </c>
      <c r="N1114" s="249">
        <v>1113</v>
      </c>
    </row>
    <row r="1115" spans="1:14" x14ac:dyDescent="0.25">
      <c r="A1115" s="252" t="s">
        <v>183</v>
      </c>
      <c r="B1115" s="252" t="s">
        <v>3038</v>
      </c>
      <c r="C1115" s="253">
        <v>0</v>
      </c>
      <c r="D1115" s="252">
        <v>50592</v>
      </c>
      <c r="E1115" s="252" t="s">
        <v>3059</v>
      </c>
      <c r="F1115" s="254" t="s">
        <v>3662</v>
      </c>
      <c r="G1115" s="252" t="s">
        <v>3761</v>
      </c>
      <c r="H1115" s="252" t="s">
        <v>3762</v>
      </c>
      <c r="I1115" s="252">
        <v>5</v>
      </c>
      <c r="J1115" s="255">
        <v>1</v>
      </c>
      <c r="K1115" s="255">
        <v>1</v>
      </c>
      <c r="L1115" s="255"/>
      <c r="M1115" s="256">
        <v>1.2750000000000001E-3</v>
      </c>
      <c r="N1115" s="249">
        <v>1114</v>
      </c>
    </row>
    <row r="1116" spans="1:14" x14ac:dyDescent="0.25">
      <c r="A1116" s="252" t="s">
        <v>183</v>
      </c>
      <c r="B1116" s="252" t="s">
        <v>3038</v>
      </c>
      <c r="C1116" s="253">
        <v>0</v>
      </c>
      <c r="D1116" s="252">
        <v>50592</v>
      </c>
      <c r="E1116" s="252" t="s">
        <v>3059</v>
      </c>
      <c r="F1116" s="254" t="s">
        <v>3662</v>
      </c>
      <c r="G1116" s="252" t="s">
        <v>3763</v>
      </c>
      <c r="H1116" s="252" t="s">
        <v>3764</v>
      </c>
      <c r="I1116" s="252">
        <v>5</v>
      </c>
      <c r="J1116" s="255">
        <v>1</v>
      </c>
      <c r="K1116" s="255">
        <v>1</v>
      </c>
      <c r="L1116" s="255"/>
      <c r="M1116" s="256">
        <v>1.2750000000000001E-3</v>
      </c>
      <c r="N1116" s="249">
        <v>1115</v>
      </c>
    </row>
    <row r="1117" spans="1:14" x14ac:dyDescent="0.25">
      <c r="A1117" s="252" t="s">
        <v>183</v>
      </c>
      <c r="B1117" s="252" t="s">
        <v>3038</v>
      </c>
      <c r="C1117" s="253">
        <v>0</v>
      </c>
      <c r="D1117" s="252">
        <v>50592</v>
      </c>
      <c r="E1117" s="252" t="s">
        <v>3059</v>
      </c>
      <c r="F1117" s="254" t="s">
        <v>3662</v>
      </c>
      <c r="G1117" s="252" t="s">
        <v>2454</v>
      </c>
      <c r="H1117" s="252" t="s">
        <v>3765</v>
      </c>
      <c r="I1117" s="252">
        <v>5</v>
      </c>
      <c r="J1117" s="255">
        <v>1</v>
      </c>
      <c r="K1117" s="255">
        <v>1</v>
      </c>
      <c r="L1117" s="255"/>
      <c r="M1117" s="256">
        <v>2.4899999999999998E-4</v>
      </c>
      <c r="N1117" s="249">
        <v>1116</v>
      </c>
    </row>
    <row r="1118" spans="1:14" x14ac:dyDescent="0.25">
      <c r="A1118" s="252" t="s">
        <v>183</v>
      </c>
      <c r="B1118" s="252" t="s">
        <v>3038</v>
      </c>
      <c r="C1118" s="253">
        <v>0</v>
      </c>
      <c r="D1118" s="252">
        <v>50592</v>
      </c>
      <c r="E1118" s="252" t="s">
        <v>3059</v>
      </c>
      <c r="F1118" s="254" t="s">
        <v>3662</v>
      </c>
      <c r="G1118" s="252" t="s">
        <v>3766</v>
      </c>
      <c r="H1118" s="252" t="s">
        <v>3767</v>
      </c>
      <c r="I1118" s="252">
        <v>5</v>
      </c>
      <c r="J1118" s="255">
        <v>1</v>
      </c>
      <c r="K1118" s="255">
        <v>1</v>
      </c>
      <c r="L1118" s="255"/>
      <c r="M1118" s="256">
        <v>8.7000000000000001E-5</v>
      </c>
      <c r="N1118" s="249">
        <v>1117</v>
      </c>
    </row>
    <row r="1119" spans="1:14" x14ac:dyDescent="0.25">
      <c r="A1119" s="252" t="s">
        <v>183</v>
      </c>
      <c r="B1119" s="252" t="s">
        <v>3038</v>
      </c>
      <c r="C1119" s="253">
        <v>0</v>
      </c>
      <c r="D1119" s="252">
        <v>50592</v>
      </c>
      <c r="E1119" s="252" t="s">
        <v>3059</v>
      </c>
      <c r="F1119" s="254" t="s">
        <v>3662</v>
      </c>
      <c r="G1119" s="252" t="s">
        <v>3768</v>
      </c>
      <c r="H1119" s="252" t="s">
        <v>3769</v>
      </c>
      <c r="I1119" s="252">
        <v>5</v>
      </c>
      <c r="J1119" s="255">
        <v>1</v>
      </c>
      <c r="K1119" s="255">
        <v>1</v>
      </c>
      <c r="L1119" s="255"/>
      <c r="M1119" s="256">
        <v>1.7759999999999998E-3</v>
      </c>
      <c r="N1119" s="249">
        <v>1118</v>
      </c>
    </row>
    <row r="1120" spans="1:14" x14ac:dyDescent="0.25">
      <c r="A1120" s="252" t="s">
        <v>183</v>
      </c>
      <c r="B1120" s="252" t="s">
        <v>3038</v>
      </c>
      <c r="C1120" s="253">
        <v>0</v>
      </c>
      <c r="D1120" s="252">
        <v>50592</v>
      </c>
      <c r="E1120" s="252" t="s">
        <v>3059</v>
      </c>
      <c r="F1120" s="254" t="s">
        <v>3662</v>
      </c>
      <c r="G1120" s="252" t="s">
        <v>3770</v>
      </c>
      <c r="H1120" s="252" t="s">
        <v>3771</v>
      </c>
      <c r="I1120" s="252">
        <v>5</v>
      </c>
      <c r="J1120" s="255">
        <v>1</v>
      </c>
      <c r="K1120" s="255">
        <v>1</v>
      </c>
      <c r="L1120" s="255"/>
      <c r="M1120" s="256">
        <v>1.2149999999999999E-3</v>
      </c>
      <c r="N1120" s="249">
        <v>1119</v>
      </c>
    </row>
    <row r="1121" spans="1:14" x14ac:dyDescent="0.25">
      <c r="A1121" s="252" t="s">
        <v>183</v>
      </c>
      <c r="B1121" s="252" t="s">
        <v>3038</v>
      </c>
      <c r="C1121" s="253">
        <v>0</v>
      </c>
      <c r="D1121" s="252">
        <v>50592</v>
      </c>
      <c r="E1121" s="252" t="s">
        <v>3059</v>
      </c>
      <c r="F1121" s="254" t="s">
        <v>3662</v>
      </c>
      <c r="G1121" s="252" t="s">
        <v>3772</v>
      </c>
      <c r="H1121" s="252" t="s">
        <v>3773</v>
      </c>
      <c r="I1121" s="252">
        <v>5</v>
      </c>
      <c r="J1121" s="255">
        <v>1</v>
      </c>
      <c r="K1121" s="255">
        <v>1</v>
      </c>
      <c r="L1121" s="255"/>
      <c r="M1121" s="256">
        <v>2.4899999999999998E-4</v>
      </c>
      <c r="N1121" s="249">
        <v>1120</v>
      </c>
    </row>
    <row r="1122" spans="1:14" x14ac:dyDescent="0.25">
      <c r="A1122" s="252" t="s">
        <v>183</v>
      </c>
      <c r="B1122" s="252" t="s">
        <v>3038</v>
      </c>
      <c r="C1122" s="253">
        <v>0</v>
      </c>
      <c r="D1122" s="252">
        <v>50592</v>
      </c>
      <c r="E1122" s="252" t="s">
        <v>3059</v>
      </c>
      <c r="F1122" s="254" t="s">
        <v>3662</v>
      </c>
      <c r="G1122" s="252" t="s">
        <v>3774</v>
      </c>
      <c r="H1122" s="252" t="s">
        <v>3775</v>
      </c>
      <c r="I1122" s="252">
        <v>5</v>
      </c>
      <c r="J1122" s="255">
        <v>1</v>
      </c>
      <c r="K1122" s="255">
        <v>1</v>
      </c>
      <c r="L1122" s="255"/>
      <c r="M1122" s="256">
        <v>4.4999999999999999E-4</v>
      </c>
      <c r="N1122" s="249">
        <v>1121</v>
      </c>
    </row>
    <row r="1123" spans="1:14" x14ac:dyDescent="0.25">
      <c r="A1123" s="252" t="s">
        <v>183</v>
      </c>
      <c r="B1123" s="252" t="s">
        <v>3038</v>
      </c>
      <c r="C1123" s="253">
        <v>0</v>
      </c>
      <c r="D1123" s="252">
        <v>50592</v>
      </c>
      <c r="E1123" s="252" t="s">
        <v>3059</v>
      </c>
      <c r="F1123" s="254" t="s">
        <v>3662</v>
      </c>
      <c r="G1123" s="252" t="s">
        <v>3776</v>
      </c>
      <c r="H1123" s="252" t="s">
        <v>3777</v>
      </c>
      <c r="I1123" s="252">
        <v>5</v>
      </c>
      <c r="J1123" s="255">
        <v>1</v>
      </c>
      <c r="K1123" s="255">
        <v>1</v>
      </c>
      <c r="L1123" s="255"/>
      <c r="M1123" s="256">
        <v>8.7000000000000001E-5</v>
      </c>
      <c r="N1123" s="249">
        <v>1122</v>
      </c>
    </row>
    <row r="1124" spans="1:14" x14ac:dyDescent="0.25">
      <c r="A1124" s="252" t="s">
        <v>183</v>
      </c>
      <c r="B1124" s="252" t="s">
        <v>3038</v>
      </c>
      <c r="C1124" s="253">
        <v>0</v>
      </c>
      <c r="D1124" s="252">
        <v>50592</v>
      </c>
      <c r="E1124" s="252" t="s">
        <v>3059</v>
      </c>
      <c r="F1124" s="254" t="s">
        <v>3662</v>
      </c>
      <c r="G1124" s="252" t="s">
        <v>3778</v>
      </c>
      <c r="H1124" s="252" t="s">
        <v>3779</v>
      </c>
      <c r="I1124" s="252">
        <v>5</v>
      </c>
      <c r="J1124" s="255">
        <v>1</v>
      </c>
      <c r="K1124" s="255">
        <v>1</v>
      </c>
      <c r="L1124" s="255"/>
      <c r="M1124" s="256">
        <v>1.7759999999999998E-3</v>
      </c>
      <c r="N1124" s="249">
        <v>1123</v>
      </c>
    </row>
    <row r="1125" spans="1:14" x14ac:dyDescent="0.25">
      <c r="A1125" s="252" t="s">
        <v>183</v>
      </c>
      <c r="B1125" s="252" t="s">
        <v>3038</v>
      </c>
      <c r="C1125" s="253">
        <v>0</v>
      </c>
      <c r="D1125" s="252">
        <v>50592</v>
      </c>
      <c r="E1125" s="252" t="s">
        <v>3059</v>
      </c>
      <c r="F1125" s="254" t="s">
        <v>3662</v>
      </c>
      <c r="G1125" s="252" t="s">
        <v>3780</v>
      </c>
      <c r="H1125" s="252" t="s">
        <v>3781</v>
      </c>
      <c r="I1125" s="252">
        <v>5</v>
      </c>
      <c r="J1125" s="255">
        <v>1</v>
      </c>
      <c r="K1125" s="255">
        <v>1</v>
      </c>
      <c r="L1125" s="255"/>
      <c r="M1125" s="256">
        <v>8.7000000000000001E-5</v>
      </c>
      <c r="N1125" s="249">
        <v>1124</v>
      </c>
    </row>
    <row r="1126" spans="1:14" x14ac:dyDescent="0.25">
      <c r="A1126" s="252" t="s">
        <v>183</v>
      </c>
      <c r="B1126" s="252" t="s">
        <v>3038</v>
      </c>
      <c r="C1126" s="253">
        <v>0</v>
      </c>
      <c r="D1126" s="252">
        <v>50592</v>
      </c>
      <c r="E1126" s="252" t="s">
        <v>3059</v>
      </c>
      <c r="F1126" s="254" t="s">
        <v>3662</v>
      </c>
      <c r="G1126" s="252" t="s">
        <v>3782</v>
      </c>
      <c r="H1126" s="252" t="s">
        <v>3783</v>
      </c>
      <c r="I1126" s="252">
        <v>5</v>
      </c>
      <c r="J1126" s="255">
        <v>1</v>
      </c>
      <c r="K1126" s="255">
        <v>1</v>
      </c>
      <c r="L1126" s="255"/>
      <c r="M1126" s="256">
        <v>1.7759999999999998E-3</v>
      </c>
      <c r="N1126" s="249">
        <v>1125</v>
      </c>
    </row>
    <row r="1127" spans="1:14" x14ac:dyDescent="0.25">
      <c r="A1127" s="252" t="s">
        <v>183</v>
      </c>
      <c r="B1127" s="252" t="s">
        <v>3038</v>
      </c>
      <c r="C1127" s="253">
        <v>0</v>
      </c>
      <c r="D1127" s="252">
        <v>50592</v>
      </c>
      <c r="E1127" s="252" t="s">
        <v>3059</v>
      </c>
      <c r="F1127" s="254" t="s">
        <v>3662</v>
      </c>
      <c r="G1127" s="252" t="s">
        <v>3784</v>
      </c>
      <c r="H1127" s="252" t="s">
        <v>3785</v>
      </c>
      <c r="I1127" s="252">
        <v>5</v>
      </c>
      <c r="J1127" s="255">
        <v>1</v>
      </c>
      <c r="K1127" s="255">
        <v>1</v>
      </c>
      <c r="L1127" s="255"/>
      <c r="M1127" s="256">
        <v>8.7000000000000001E-5</v>
      </c>
      <c r="N1127" s="249">
        <v>1126</v>
      </c>
    </row>
    <row r="1128" spans="1:14" x14ac:dyDescent="0.25">
      <c r="A1128" s="252" t="s">
        <v>183</v>
      </c>
      <c r="B1128" s="252" t="s">
        <v>3038</v>
      </c>
      <c r="C1128" s="253">
        <v>0</v>
      </c>
      <c r="D1128" s="252">
        <v>50592</v>
      </c>
      <c r="E1128" s="252" t="s">
        <v>3059</v>
      </c>
      <c r="F1128" s="254" t="s">
        <v>3662</v>
      </c>
      <c r="G1128" s="252" t="s">
        <v>3786</v>
      </c>
      <c r="H1128" s="252" t="s">
        <v>3787</v>
      </c>
      <c r="I1128" s="252">
        <v>5</v>
      </c>
      <c r="J1128" s="255">
        <v>1</v>
      </c>
      <c r="K1128" s="255">
        <v>1</v>
      </c>
      <c r="L1128" s="255"/>
      <c r="M1128" s="256">
        <v>1.7759999999999998E-3</v>
      </c>
      <c r="N1128" s="249">
        <v>1127</v>
      </c>
    </row>
    <row r="1129" spans="1:14" x14ac:dyDescent="0.25">
      <c r="A1129" s="252" t="s">
        <v>183</v>
      </c>
      <c r="B1129" s="252" t="s">
        <v>3038</v>
      </c>
      <c r="C1129" s="253">
        <v>0</v>
      </c>
      <c r="D1129" s="252">
        <v>50592</v>
      </c>
      <c r="E1129" s="252" t="s">
        <v>3059</v>
      </c>
      <c r="F1129" s="254" t="s">
        <v>3662</v>
      </c>
      <c r="G1129" s="252" t="s">
        <v>3788</v>
      </c>
      <c r="H1129" s="252" t="s">
        <v>3789</v>
      </c>
      <c r="I1129" s="252">
        <v>5</v>
      </c>
      <c r="J1129" s="255">
        <v>1</v>
      </c>
      <c r="K1129" s="255">
        <v>1</v>
      </c>
      <c r="L1129" s="255"/>
      <c r="M1129" s="256">
        <v>1.0319999999999999E-3</v>
      </c>
      <c r="N1129" s="249">
        <v>1128</v>
      </c>
    </row>
    <row r="1130" spans="1:14" x14ac:dyDescent="0.25">
      <c r="A1130" s="252" t="s">
        <v>183</v>
      </c>
      <c r="B1130" s="252" t="s">
        <v>3038</v>
      </c>
      <c r="C1130" s="253">
        <v>0</v>
      </c>
      <c r="D1130" s="252">
        <v>50592</v>
      </c>
      <c r="E1130" s="252" t="s">
        <v>3059</v>
      </c>
      <c r="F1130" s="254" t="s">
        <v>3662</v>
      </c>
      <c r="G1130" s="252" t="s">
        <v>3790</v>
      </c>
      <c r="H1130" s="252" t="s">
        <v>3791</v>
      </c>
      <c r="I1130" s="252">
        <v>5</v>
      </c>
      <c r="J1130" s="255">
        <v>1</v>
      </c>
      <c r="K1130" s="255">
        <v>1</v>
      </c>
      <c r="L1130" s="255"/>
      <c r="M1130" s="256">
        <v>1.0319999999999999E-3</v>
      </c>
      <c r="N1130" s="249">
        <v>1129</v>
      </c>
    </row>
    <row r="1131" spans="1:14" x14ac:dyDescent="0.25">
      <c r="A1131" s="252" t="s">
        <v>183</v>
      </c>
      <c r="B1131" s="252" t="s">
        <v>3038</v>
      </c>
      <c r="C1131" s="253">
        <v>0</v>
      </c>
      <c r="D1131" s="252">
        <v>50592</v>
      </c>
      <c r="E1131" s="252" t="s">
        <v>3059</v>
      </c>
      <c r="F1131" s="254" t="s">
        <v>3662</v>
      </c>
      <c r="G1131" s="252" t="s">
        <v>3792</v>
      </c>
      <c r="H1131" s="252" t="s">
        <v>3793</v>
      </c>
      <c r="I1131" s="252">
        <v>5</v>
      </c>
      <c r="J1131" s="255">
        <v>1</v>
      </c>
      <c r="K1131" s="255">
        <v>1</v>
      </c>
      <c r="L1131" s="255"/>
      <c r="M1131" s="256">
        <v>1.0319999999999999E-3</v>
      </c>
      <c r="N1131" s="249">
        <v>1130</v>
      </c>
    </row>
    <row r="1132" spans="1:14" x14ac:dyDescent="0.25">
      <c r="A1132" s="252" t="s">
        <v>183</v>
      </c>
      <c r="B1132" s="252" t="s">
        <v>3038</v>
      </c>
      <c r="C1132" s="253">
        <v>0</v>
      </c>
      <c r="D1132" s="252">
        <v>50592</v>
      </c>
      <c r="E1132" s="252" t="s">
        <v>3059</v>
      </c>
      <c r="F1132" s="254" t="s">
        <v>3662</v>
      </c>
      <c r="G1132" s="252" t="s">
        <v>3794</v>
      </c>
      <c r="H1132" s="252" t="s">
        <v>3795</v>
      </c>
      <c r="I1132" s="252">
        <v>5</v>
      </c>
      <c r="J1132" s="255">
        <v>1</v>
      </c>
      <c r="K1132" s="255">
        <v>1</v>
      </c>
      <c r="L1132" s="255"/>
      <c r="M1132" s="256">
        <v>1.0319999999999999E-3</v>
      </c>
      <c r="N1132" s="249">
        <v>1131</v>
      </c>
    </row>
    <row r="1133" spans="1:14" x14ac:dyDescent="0.25">
      <c r="A1133" s="252" t="s">
        <v>183</v>
      </c>
      <c r="B1133" s="252" t="s">
        <v>3038</v>
      </c>
      <c r="C1133" s="253">
        <v>0</v>
      </c>
      <c r="D1133" s="252">
        <v>50592</v>
      </c>
      <c r="E1133" s="252" t="s">
        <v>3059</v>
      </c>
      <c r="F1133" s="254" t="s">
        <v>3662</v>
      </c>
      <c r="G1133" s="252" t="s">
        <v>3796</v>
      </c>
      <c r="H1133" s="252" t="s">
        <v>3797</v>
      </c>
      <c r="I1133" s="252">
        <v>5</v>
      </c>
      <c r="J1133" s="255">
        <v>1</v>
      </c>
      <c r="K1133" s="255">
        <v>1</v>
      </c>
      <c r="L1133" s="255"/>
      <c r="M1133" s="256">
        <v>1.0319999999999999E-3</v>
      </c>
      <c r="N1133" s="249">
        <v>1132</v>
      </c>
    </row>
    <row r="1134" spans="1:14" x14ac:dyDescent="0.25">
      <c r="A1134" s="252" t="s">
        <v>183</v>
      </c>
      <c r="B1134" s="252" t="s">
        <v>3038</v>
      </c>
      <c r="C1134" s="253">
        <v>0</v>
      </c>
      <c r="D1134" s="252">
        <v>50592</v>
      </c>
      <c r="E1134" s="252" t="s">
        <v>3059</v>
      </c>
      <c r="F1134" s="254" t="s">
        <v>3662</v>
      </c>
      <c r="G1134" s="252" t="s">
        <v>3798</v>
      </c>
      <c r="H1134" s="252" t="s">
        <v>3799</v>
      </c>
      <c r="I1134" s="252">
        <v>5</v>
      </c>
      <c r="J1134" s="255">
        <v>1</v>
      </c>
      <c r="K1134" s="255">
        <v>1</v>
      </c>
      <c r="L1134" s="255"/>
      <c r="M1134" s="256">
        <v>1.0319999999999999E-3</v>
      </c>
      <c r="N1134" s="249">
        <v>1133</v>
      </c>
    </row>
    <row r="1135" spans="1:14" x14ac:dyDescent="0.25">
      <c r="A1135" s="252" t="s">
        <v>183</v>
      </c>
      <c r="B1135" s="252" t="s">
        <v>3038</v>
      </c>
      <c r="C1135" s="253">
        <v>0</v>
      </c>
      <c r="D1135" s="252">
        <v>50592</v>
      </c>
      <c r="E1135" s="252" t="s">
        <v>3059</v>
      </c>
      <c r="F1135" s="254" t="s">
        <v>3662</v>
      </c>
      <c r="G1135" s="252" t="s">
        <v>3800</v>
      </c>
      <c r="H1135" s="252" t="s">
        <v>3801</v>
      </c>
      <c r="I1135" s="252">
        <v>5</v>
      </c>
      <c r="J1135" s="255">
        <v>1</v>
      </c>
      <c r="K1135" s="255">
        <v>1</v>
      </c>
      <c r="L1135" s="255"/>
      <c r="M1135" s="256">
        <v>7.737E-3</v>
      </c>
      <c r="N1135" s="249">
        <v>1134</v>
      </c>
    </row>
    <row r="1136" spans="1:14" x14ac:dyDescent="0.25">
      <c r="A1136" s="252" t="s">
        <v>183</v>
      </c>
      <c r="B1136" s="252" t="s">
        <v>3038</v>
      </c>
      <c r="C1136" s="253">
        <v>0</v>
      </c>
      <c r="D1136" s="252">
        <v>50592</v>
      </c>
      <c r="E1136" s="252" t="s">
        <v>3059</v>
      </c>
      <c r="F1136" s="254" t="s">
        <v>3662</v>
      </c>
      <c r="G1136" s="252" t="s">
        <v>2455</v>
      </c>
      <c r="H1136" s="252" t="s">
        <v>3802</v>
      </c>
      <c r="I1136" s="252">
        <v>5</v>
      </c>
      <c r="J1136" s="255">
        <v>1</v>
      </c>
      <c r="K1136" s="255">
        <v>1</v>
      </c>
      <c r="L1136" s="255"/>
      <c r="M1136" s="256">
        <v>2.9250000000000001E-3</v>
      </c>
      <c r="N1136" s="249">
        <v>1135</v>
      </c>
    </row>
    <row r="1137" spans="1:14" x14ac:dyDescent="0.25">
      <c r="A1137" s="252" t="s">
        <v>183</v>
      </c>
      <c r="B1137" s="252" t="s">
        <v>3038</v>
      </c>
      <c r="C1137" s="253">
        <v>0</v>
      </c>
      <c r="D1137" s="252">
        <v>50592</v>
      </c>
      <c r="E1137" s="252" t="s">
        <v>3059</v>
      </c>
      <c r="F1137" s="254" t="s">
        <v>3662</v>
      </c>
      <c r="G1137" s="252" t="s">
        <v>2456</v>
      </c>
      <c r="H1137" s="252" t="s">
        <v>3803</v>
      </c>
      <c r="I1137" s="252">
        <v>5</v>
      </c>
      <c r="J1137" s="255">
        <v>1</v>
      </c>
      <c r="K1137" s="255">
        <v>1</v>
      </c>
      <c r="L1137" s="255"/>
      <c r="M1137" s="256">
        <v>1.2149999999999999E-3</v>
      </c>
      <c r="N1137" s="249">
        <v>1136</v>
      </c>
    </row>
    <row r="1138" spans="1:14" x14ac:dyDescent="0.25">
      <c r="A1138" s="252" t="s">
        <v>183</v>
      </c>
      <c r="B1138" s="252" t="s">
        <v>3038</v>
      </c>
      <c r="C1138" s="253">
        <v>0</v>
      </c>
      <c r="D1138" s="252">
        <v>50592</v>
      </c>
      <c r="E1138" s="252" t="s">
        <v>3059</v>
      </c>
      <c r="F1138" s="254" t="s">
        <v>3662</v>
      </c>
      <c r="G1138" s="252" t="s">
        <v>3804</v>
      </c>
      <c r="H1138" s="252" t="s">
        <v>3805</v>
      </c>
      <c r="I1138" s="252">
        <v>5</v>
      </c>
      <c r="J1138" s="255">
        <v>1</v>
      </c>
      <c r="K1138" s="255">
        <v>1</v>
      </c>
      <c r="L1138" s="255"/>
      <c r="M1138" s="256">
        <v>2.4899999999999998E-4</v>
      </c>
      <c r="N1138" s="249">
        <v>1137</v>
      </c>
    </row>
    <row r="1139" spans="1:14" x14ac:dyDescent="0.25">
      <c r="A1139" s="252" t="s">
        <v>183</v>
      </c>
      <c r="B1139" s="252" t="s">
        <v>3038</v>
      </c>
      <c r="C1139" s="253">
        <v>0</v>
      </c>
      <c r="D1139" s="252">
        <v>50592</v>
      </c>
      <c r="E1139" s="252" t="s">
        <v>3059</v>
      </c>
      <c r="F1139" s="254" t="s">
        <v>3662</v>
      </c>
      <c r="G1139" s="252" t="s">
        <v>3806</v>
      </c>
      <c r="H1139" s="252" t="s">
        <v>3807</v>
      </c>
      <c r="I1139" s="252">
        <v>5</v>
      </c>
      <c r="J1139" s="255">
        <v>1</v>
      </c>
      <c r="K1139" s="255">
        <v>1</v>
      </c>
      <c r="L1139" s="255"/>
      <c r="M1139" s="256">
        <v>4.4999999999999999E-4</v>
      </c>
      <c r="N1139" s="249">
        <v>1138</v>
      </c>
    </row>
    <row r="1140" spans="1:14" x14ac:dyDescent="0.25">
      <c r="A1140" s="252" t="s">
        <v>183</v>
      </c>
      <c r="B1140" s="252" t="s">
        <v>3038</v>
      </c>
      <c r="C1140" s="253">
        <v>0</v>
      </c>
      <c r="D1140" s="252">
        <v>50592</v>
      </c>
      <c r="E1140" s="252" t="s">
        <v>3059</v>
      </c>
      <c r="F1140" s="254" t="s">
        <v>3662</v>
      </c>
      <c r="G1140" s="252" t="s">
        <v>3808</v>
      </c>
      <c r="H1140" s="252" t="s">
        <v>3809</v>
      </c>
      <c r="I1140" s="252">
        <v>5</v>
      </c>
      <c r="J1140" s="255">
        <v>1</v>
      </c>
      <c r="K1140" s="255">
        <v>1</v>
      </c>
      <c r="L1140" s="255"/>
      <c r="M1140" s="256">
        <v>1.7759999999999998E-3</v>
      </c>
      <c r="N1140" s="249">
        <v>1139</v>
      </c>
    </row>
    <row r="1141" spans="1:14" x14ac:dyDescent="0.25">
      <c r="A1141" s="252" t="s">
        <v>183</v>
      </c>
      <c r="B1141" s="252" t="s">
        <v>3038</v>
      </c>
      <c r="C1141" s="253">
        <v>0</v>
      </c>
      <c r="D1141" s="252">
        <v>50592</v>
      </c>
      <c r="E1141" s="252" t="s">
        <v>3059</v>
      </c>
      <c r="F1141" s="254" t="s">
        <v>3662</v>
      </c>
      <c r="G1141" s="252" t="s">
        <v>3810</v>
      </c>
      <c r="H1141" s="252" t="s">
        <v>3811</v>
      </c>
      <c r="I1141" s="252">
        <v>5</v>
      </c>
      <c r="J1141" s="255">
        <v>1</v>
      </c>
      <c r="K1141" s="255">
        <v>1</v>
      </c>
      <c r="L1141" s="255"/>
      <c r="M1141" s="256">
        <v>8.7000000000000001E-5</v>
      </c>
      <c r="N1141" s="249">
        <v>1140</v>
      </c>
    </row>
    <row r="1142" spans="1:14" x14ac:dyDescent="0.25">
      <c r="A1142" s="252" t="s">
        <v>183</v>
      </c>
      <c r="B1142" s="252" t="s">
        <v>3038</v>
      </c>
      <c r="C1142" s="253">
        <v>0</v>
      </c>
      <c r="D1142" s="252">
        <v>50592</v>
      </c>
      <c r="E1142" s="252" t="s">
        <v>3059</v>
      </c>
      <c r="F1142" s="254" t="s">
        <v>3662</v>
      </c>
      <c r="G1142" s="252" t="s">
        <v>3812</v>
      </c>
      <c r="H1142" s="252" t="s">
        <v>3813</v>
      </c>
      <c r="I1142" s="252">
        <v>5</v>
      </c>
      <c r="J1142" s="255">
        <v>1</v>
      </c>
      <c r="K1142" s="255">
        <v>1</v>
      </c>
      <c r="L1142" s="255"/>
      <c r="M1142" s="256">
        <v>1.7759999999999998E-3</v>
      </c>
      <c r="N1142" s="249">
        <v>1141</v>
      </c>
    </row>
    <row r="1143" spans="1:14" x14ac:dyDescent="0.25">
      <c r="A1143" s="252" t="s">
        <v>183</v>
      </c>
      <c r="B1143" s="252" t="s">
        <v>3038</v>
      </c>
      <c r="C1143" s="253">
        <v>0</v>
      </c>
      <c r="D1143" s="252">
        <v>50592</v>
      </c>
      <c r="E1143" s="252" t="s">
        <v>3059</v>
      </c>
      <c r="F1143" s="254" t="s">
        <v>3662</v>
      </c>
      <c r="G1143" s="252" t="s">
        <v>3814</v>
      </c>
      <c r="H1143" s="252" t="s">
        <v>3815</v>
      </c>
      <c r="I1143" s="252">
        <v>5</v>
      </c>
      <c r="J1143" s="255">
        <v>1</v>
      </c>
      <c r="K1143" s="255">
        <v>1</v>
      </c>
      <c r="L1143" s="255"/>
      <c r="M1143" s="256">
        <v>1.2149999999999999E-3</v>
      </c>
      <c r="N1143" s="249">
        <v>1142</v>
      </c>
    </row>
    <row r="1144" spans="1:14" x14ac:dyDescent="0.25">
      <c r="A1144" s="252" t="s">
        <v>183</v>
      </c>
      <c r="B1144" s="252" t="s">
        <v>3038</v>
      </c>
      <c r="C1144" s="253">
        <v>0</v>
      </c>
      <c r="D1144" s="252">
        <v>50592</v>
      </c>
      <c r="E1144" s="252" t="s">
        <v>3059</v>
      </c>
      <c r="F1144" s="254" t="s">
        <v>3662</v>
      </c>
      <c r="G1144" s="252" t="s">
        <v>3816</v>
      </c>
      <c r="H1144" s="252" t="s">
        <v>3817</v>
      </c>
      <c r="I1144" s="252">
        <v>5</v>
      </c>
      <c r="J1144" s="255">
        <v>1</v>
      </c>
      <c r="K1144" s="255">
        <v>1</v>
      </c>
      <c r="L1144" s="255"/>
      <c r="M1144" s="256">
        <v>2.4899999999999998E-4</v>
      </c>
      <c r="N1144" s="249">
        <v>1143</v>
      </c>
    </row>
    <row r="1145" spans="1:14" x14ac:dyDescent="0.25">
      <c r="A1145" s="252" t="s">
        <v>183</v>
      </c>
      <c r="B1145" s="252" t="s">
        <v>3038</v>
      </c>
      <c r="C1145" s="253">
        <v>0</v>
      </c>
      <c r="D1145" s="252">
        <v>50592</v>
      </c>
      <c r="E1145" s="252" t="s">
        <v>3059</v>
      </c>
      <c r="F1145" s="254" t="s">
        <v>3662</v>
      </c>
      <c r="G1145" s="252" t="s">
        <v>3818</v>
      </c>
      <c r="H1145" s="252" t="s">
        <v>3819</v>
      </c>
      <c r="I1145" s="252">
        <v>5</v>
      </c>
      <c r="J1145" s="255">
        <v>1</v>
      </c>
      <c r="K1145" s="255">
        <v>1</v>
      </c>
      <c r="L1145" s="255"/>
      <c r="M1145" s="256">
        <v>4.4999999999999999E-4</v>
      </c>
      <c r="N1145" s="249">
        <v>1144</v>
      </c>
    </row>
    <row r="1146" spans="1:14" x14ac:dyDescent="0.25">
      <c r="A1146" s="252" t="s">
        <v>183</v>
      </c>
      <c r="B1146" s="252" t="s">
        <v>3038</v>
      </c>
      <c r="C1146" s="253">
        <v>0</v>
      </c>
      <c r="D1146" s="252">
        <v>50592</v>
      </c>
      <c r="E1146" s="252" t="s">
        <v>3059</v>
      </c>
      <c r="F1146" s="254" t="s">
        <v>3662</v>
      </c>
      <c r="G1146" s="252" t="s">
        <v>3820</v>
      </c>
      <c r="H1146" s="252" t="s">
        <v>3821</v>
      </c>
      <c r="I1146" s="252">
        <v>5</v>
      </c>
      <c r="J1146" s="255">
        <v>1</v>
      </c>
      <c r="K1146" s="255">
        <v>1</v>
      </c>
      <c r="L1146" s="255"/>
      <c r="M1146" s="256">
        <v>1.1490000000000001E-3</v>
      </c>
      <c r="N1146" s="249">
        <v>1145</v>
      </c>
    </row>
    <row r="1147" spans="1:14" x14ac:dyDescent="0.25">
      <c r="A1147" s="252" t="s">
        <v>183</v>
      </c>
      <c r="B1147" s="252" t="s">
        <v>3038</v>
      </c>
      <c r="C1147" s="253">
        <v>0</v>
      </c>
      <c r="D1147" s="252">
        <v>50592</v>
      </c>
      <c r="E1147" s="252" t="s">
        <v>3059</v>
      </c>
      <c r="F1147" s="254" t="s">
        <v>3662</v>
      </c>
      <c r="G1147" s="252" t="s">
        <v>3822</v>
      </c>
      <c r="H1147" s="252" t="s">
        <v>3823</v>
      </c>
      <c r="I1147" s="252">
        <v>5</v>
      </c>
      <c r="J1147" s="255">
        <v>1</v>
      </c>
      <c r="K1147" s="255">
        <v>1</v>
      </c>
      <c r="L1147" s="255"/>
      <c r="M1147" s="256">
        <v>1.1490000000000001E-3</v>
      </c>
      <c r="N1147" s="249">
        <v>1146</v>
      </c>
    </row>
    <row r="1148" spans="1:14" x14ac:dyDescent="0.25">
      <c r="A1148" s="252" t="s">
        <v>183</v>
      </c>
      <c r="B1148" s="252" t="s">
        <v>3038</v>
      </c>
      <c r="C1148" s="253">
        <v>0</v>
      </c>
      <c r="D1148" s="252">
        <v>50592</v>
      </c>
      <c r="E1148" s="252" t="s">
        <v>3059</v>
      </c>
      <c r="F1148" s="254" t="s">
        <v>3662</v>
      </c>
      <c r="G1148" s="252" t="s">
        <v>3824</v>
      </c>
      <c r="H1148" s="252" t="s">
        <v>3825</v>
      </c>
      <c r="I1148" s="252">
        <v>5</v>
      </c>
      <c r="J1148" s="255">
        <v>1</v>
      </c>
      <c r="K1148" s="255">
        <v>1</v>
      </c>
      <c r="L1148" s="255"/>
      <c r="M1148" s="256">
        <v>8.7000000000000001E-5</v>
      </c>
      <c r="N1148" s="249">
        <v>1147</v>
      </c>
    </row>
    <row r="1149" spans="1:14" x14ac:dyDescent="0.25">
      <c r="A1149" s="252" t="s">
        <v>183</v>
      </c>
      <c r="B1149" s="252" t="s">
        <v>3038</v>
      </c>
      <c r="C1149" s="253">
        <v>0</v>
      </c>
      <c r="D1149" s="252">
        <v>50592</v>
      </c>
      <c r="E1149" s="252" t="s">
        <v>3059</v>
      </c>
      <c r="F1149" s="254" t="s">
        <v>3662</v>
      </c>
      <c r="G1149" s="252" t="s">
        <v>2457</v>
      </c>
      <c r="H1149" s="252" t="s">
        <v>3826</v>
      </c>
      <c r="I1149" s="252">
        <v>5</v>
      </c>
      <c r="J1149" s="255">
        <v>1</v>
      </c>
      <c r="K1149" s="255">
        <v>1</v>
      </c>
      <c r="L1149" s="255"/>
      <c r="M1149" s="256">
        <v>2.3340000000000001E-3</v>
      </c>
      <c r="N1149" s="249">
        <v>1148</v>
      </c>
    </row>
    <row r="1150" spans="1:14" x14ac:dyDescent="0.25">
      <c r="A1150" s="252" t="s">
        <v>183</v>
      </c>
      <c r="B1150" s="252" t="s">
        <v>3038</v>
      </c>
      <c r="C1150" s="253">
        <v>0</v>
      </c>
      <c r="D1150" s="252">
        <v>50592</v>
      </c>
      <c r="E1150" s="252" t="s">
        <v>3059</v>
      </c>
      <c r="F1150" s="254" t="s">
        <v>3662</v>
      </c>
      <c r="G1150" s="252" t="s">
        <v>2458</v>
      </c>
      <c r="H1150" s="252" t="s">
        <v>3827</v>
      </c>
      <c r="I1150" s="252">
        <v>5</v>
      </c>
      <c r="J1150" s="255">
        <v>1</v>
      </c>
      <c r="K1150" s="255">
        <v>1</v>
      </c>
      <c r="L1150" s="255"/>
      <c r="M1150" s="256">
        <v>1.2149999999999999E-3</v>
      </c>
      <c r="N1150" s="249">
        <v>1149</v>
      </c>
    </row>
    <row r="1151" spans="1:14" x14ac:dyDescent="0.25">
      <c r="A1151" s="252" t="s">
        <v>183</v>
      </c>
      <c r="B1151" s="252" t="s">
        <v>3038</v>
      </c>
      <c r="C1151" s="253">
        <v>0</v>
      </c>
      <c r="D1151" s="252">
        <v>50592</v>
      </c>
      <c r="E1151" s="252" t="s">
        <v>3059</v>
      </c>
      <c r="F1151" s="254" t="s">
        <v>3662</v>
      </c>
      <c r="G1151" s="252" t="s">
        <v>3828</v>
      </c>
      <c r="H1151" s="252" t="s">
        <v>3829</v>
      </c>
      <c r="I1151" s="252">
        <v>5</v>
      </c>
      <c r="J1151" s="255">
        <v>1</v>
      </c>
      <c r="K1151" s="255">
        <v>1</v>
      </c>
      <c r="L1151" s="255"/>
      <c r="M1151" s="256">
        <v>2.4899999999999998E-4</v>
      </c>
      <c r="N1151" s="249">
        <v>1150</v>
      </c>
    </row>
    <row r="1152" spans="1:14" x14ac:dyDescent="0.25">
      <c r="A1152" s="252" t="s">
        <v>183</v>
      </c>
      <c r="B1152" s="252" t="s">
        <v>3038</v>
      </c>
      <c r="C1152" s="253">
        <v>0</v>
      </c>
      <c r="D1152" s="252">
        <v>50592</v>
      </c>
      <c r="E1152" s="252" t="s">
        <v>3059</v>
      </c>
      <c r="F1152" s="254" t="s">
        <v>3662</v>
      </c>
      <c r="G1152" s="252" t="s">
        <v>3830</v>
      </c>
      <c r="H1152" s="252" t="s">
        <v>3831</v>
      </c>
      <c r="I1152" s="252">
        <v>5</v>
      </c>
      <c r="J1152" s="255">
        <v>1</v>
      </c>
      <c r="K1152" s="255">
        <v>1</v>
      </c>
      <c r="L1152" s="255"/>
      <c r="M1152" s="256">
        <v>4.4999999999999999E-4</v>
      </c>
      <c r="N1152" s="249">
        <v>1151</v>
      </c>
    </row>
    <row r="1153" spans="1:14" x14ac:dyDescent="0.25">
      <c r="A1153" s="252" t="s">
        <v>183</v>
      </c>
      <c r="B1153" s="252" t="s">
        <v>3038</v>
      </c>
      <c r="C1153" s="253">
        <v>0</v>
      </c>
      <c r="D1153" s="252">
        <v>50592</v>
      </c>
      <c r="E1153" s="252" t="s">
        <v>3059</v>
      </c>
      <c r="F1153" s="254" t="s">
        <v>3662</v>
      </c>
      <c r="G1153" s="252" t="s">
        <v>3832</v>
      </c>
      <c r="H1153" s="252" t="s">
        <v>3833</v>
      </c>
      <c r="I1153" s="252">
        <v>5</v>
      </c>
      <c r="J1153" s="255">
        <v>1</v>
      </c>
      <c r="K1153" s="255">
        <v>1</v>
      </c>
      <c r="L1153" s="255"/>
      <c r="M1153" s="256">
        <v>1.7759999999999998E-3</v>
      </c>
      <c r="N1153" s="249">
        <v>1152</v>
      </c>
    </row>
    <row r="1154" spans="1:14" x14ac:dyDescent="0.25">
      <c r="A1154" s="252" t="s">
        <v>183</v>
      </c>
      <c r="B1154" s="252" t="s">
        <v>3038</v>
      </c>
      <c r="C1154" s="253">
        <v>0</v>
      </c>
      <c r="D1154" s="252">
        <v>50592</v>
      </c>
      <c r="E1154" s="252" t="s">
        <v>3059</v>
      </c>
      <c r="F1154" s="254" t="s">
        <v>3662</v>
      </c>
      <c r="G1154" s="252" t="s">
        <v>3834</v>
      </c>
      <c r="H1154" s="252" t="s">
        <v>3835</v>
      </c>
      <c r="I1154" s="252">
        <v>5</v>
      </c>
      <c r="J1154" s="255">
        <v>1</v>
      </c>
      <c r="K1154" s="255">
        <v>1</v>
      </c>
      <c r="L1154" s="255"/>
      <c r="M1154" s="256">
        <v>8.7000000000000001E-5</v>
      </c>
      <c r="N1154" s="249">
        <v>1153</v>
      </c>
    </row>
    <row r="1155" spans="1:14" x14ac:dyDescent="0.25">
      <c r="A1155" s="252" t="s">
        <v>183</v>
      </c>
      <c r="B1155" s="252" t="s">
        <v>3038</v>
      </c>
      <c r="C1155" s="253">
        <v>0</v>
      </c>
      <c r="D1155" s="252">
        <v>50592</v>
      </c>
      <c r="E1155" s="252" t="s">
        <v>3059</v>
      </c>
      <c r="F1155" s="254" t="s">
        <v>3662</v>
      </c>
      <c r="G1155" s="252" t="s">
        <v>3836</v>
      </c>
      <c r="H1155" s="252" t="s">
        <v>3837</v>
      </c>
      <c r="I1155" s="252">
        <v>5</v>
      </c>
      <c r="J1155" s="255">
        <v>1</v>
      </c>
      <c r="K1155" s="255">
        <v>1</v>
      </c>
      <c r="L1155" s="255"/>
      <c r="M1155" s="256">
        <v>1.7759999999999998E-3</v>
      </c>
      <c r="N1155" s="249">
        <v>1154</v>
      </c>
    </row>
    <row r="1156" spans="1:14" x14ac:dyDescent="0.25">
      <c r="A1156" s="252" t="s">
        <v>183</v>
      </c>
      <c r="B1156" s="252" t="s">
        <v>3038</v>
      </c>
      <c r="C1156" s="253">
        <v>0</v>
      </c>
      <c r="D1156" s="252">
        <v>50592</v>
      </c>
      <c r="E1156" s="252" t="s">
        <v>3059</v>
      </c>
      <c r="F1156" s="254" t="s">
        <v>3662</v>
      </c>
      <c r="G1156" s="252" t="s">
        <v>3838</v>
      </c>
      <c r="H1156" s="252" t="s">
        <v>3839</v>
      </c>
      <c r="I1156" s="252">
        <v>5</v>
      </c>
      <c r="J1156" s="255">
        <v>1</v>
      </c>
      <c r="K1156" s="255">
        <v>1</v>
      </c>
      <c r="L1156" s="255"/>
      <c r="M1156" s="256">
        <v>1.2149999999999999E-3</v>
      </c>
      <c r="N1156" s="249">
        <v>1155</v>
      </c>
    </row>
    <row r="1157" spans="1:14" x14ac:dyDescent="0.25">
      <c r="A1157" s="252" t="s">
        <v>183</v>
      </c>
      <c r="B1157" s="252" t="s">
        <v>3038</v>
      </c>
      <c r="C1157" s="253">
        <v>0</v>
      </c>
      <c r="D1157" s="252">
        <v>50592</v>
      </c>
      <c r="E1157" s="252" t="s">
        <v>3059</v>
      </c>
      <c r="F1157" s="254" t="s">
        <v>3662</v>
      </c>
      <c r="G1157" s="252" t="s">
        <v>3840</v>
      </c>
      <c r="H1157" s="252" t="s">
        <v>3841</v>
      </c>
      <c r="I1157" s="252">
        <v>5</v>
      </c>
      <c r="J1157" s="255">
        <v>1</v>
      </c>
      <c r="K1157" s="255">
        <v>1</v>
      </c>
      <c r="L1157" s="255"/>
      <c r="M1157" s="256">
        <v>2.4899999999999998E-4</v>
      </c>
      <c r="N1157" s="249">
        <v>1156</v>
      </c>
    </row>
    <row r="1158" spans="1:14" x14ac:dyDescent="0.25">
      <c r="A1158" s="252" t="s">
        <v>183</v>
      </c>
      <c r="B1158" s="252" t="s">
        <v>3038</v>
      </c>
      <c r="C1158" s="253">
        <v>0</v>
      </c>
      <c r="D1158" s="252">
        <v>50592</v>
      </c>
      <c r="E1158" s="252" t="s">
        <v>3059</v>
      </c>
      <c r="F1158" s="254" t="s">
        <v>3662</v>
      </c>
      <c r="G1158" s="252" t="s">
        <v>3842</v>
      </c>
      <c r="H1158" s="252" t="s">
        <v>3843</v>
      </c>
      <c r="I1158" s="252">
        <v>5</v>
      </c>
      <c r="J1158" s="255">
        <v>1</v>
      </c>
      <c r="K1158" s="255">
        <v>1</v>
      </c>
      <c r="L1158" s="255"/>
      <c r="M1158" s="256">
        <v>4.4999999999999999E-4</v>
      </c>
      <c r="N1158" s="249">
        <v>1157</v>
      </c>
    </row>
    <row r="1159" spans="1:14" x14ac:dyDescent="0.25">
      <c r="A1159" s="252" t="s">
        <v>183</v>
      </c>
      <c r="B1159" s="252" t="s">
        <v>3038</v>
      </c>
      <c r="C1159" s="253">
        <v>0</v>
      </c>
      <c r="D1159" s="252">
        <v>50592</v>
      </c>
      <c r="E1159" s="252" t="s">
        <v>3059</v>
      </c>
      <c r="F1159" s="254" t="s">
        <v>3662</v>
      </c>
      <c r="G1159" s="252" t="s">
        <v>3844</v>
      </c>
      <c r="H1159" s="252" t="s">
        <v>3845</v>
      </c>
      <c r="I1159" s="252">
        <v>5</v>
      </c>
      <c r="J1159" s="255">
        <v>1</v>
      </c>
      <c r="K1159" s="255">
        <v>1</v>
      </c>
      <c r="L1159" s="255"/>
      <c r="M1159" s="256">
        <v>8.7000000000000001E-5</v>
      </c>
      <c r="N1159" s="249">
        <v>1158</v>
      </c>
    </row>
    <row r="1160" spans="1:14" x14ac:dyDescent="0.25">
      <c r="A1160" s="252" t="s">
        <v>183</v>
      </c>
      <c r="B1160" s="252" t="s">
        <v>3038</v>
      </c>
      <c r="C1160" s="253">
        <v>0</v>
      </c>
      <c r="D1160" s="252">
        <v>50592</v>
      </c>
      <c r="E1160" s="252" t="s">
        <v>3059</v>
      </c>
      <c r="F1160" s="254" t="s">
        <v>3662</v>
      </c>
      <c r="G1160" s="252" t="s">
        <v>3846</v>
      </c>
      <c r="H1160" s="252" t="s">
        <v>3847</v>
      </c>
      <c r="I1160" s="252">
        <v>5</v>
      </c>
      <c r="J1160" s="255">
        <v>1</v>
      </c>
      <c r="K1160" s="255">
        <v>1</v>
      </c>
      <c r="L1160" s="255"/>
      <c r="M1160" s="256">
        <v>7.9199999999999995E-4</v>
      </c>
      <c r="N1160" s="249">
        <v>1159</v>
      </c>
    </row>
    <row r="1161" spans="1:14" x14ac:dyDescent="0.25">
      <c r="A1161" s="252" t="s">
        <v>183</v>
      </c>
      <c r="B1161" s="252" t="s">
        <v>3038</v>
      </c>
      <c r="C1161" s="253">
        <v>0</v>
      </c>
      <c r="D1161" s="252">
        <v>50592</v>
      </c>
      <c r="E1161" s="252" t="s">
        <v>3059</v>
      </c>
      <c r="F1161" s="254" t="s">
        <v>3662</v>
      </c>
      <c r="G1161" s="252" t="s">
        <v>3848</v>
      </c>
      <c r="H1161" s="252" t="s">
        <v>3849</v>
      </c>
      <c r="I1161" s="252">
        <v>5</v>
      </c>
      <c r="J1161" s="255">
        <v>1</v>
      </c>
      <c r="K1161" s="255">
        <v>1</v>
      </c>
      <c r="L1161" s="255"/>
      <c r="M1161" s="256">
        <v>7.9199999999999995E-4</v>
      </c>
      <c r="N1161" s="249">
        <v>1160</v>
      </c>
    </row>
    <row r="1162" spans="1:14" x14ac:dyDescent="0.25">
      <c r="A1162" s="252" t="s">
        <v>183</v>
      </c>
      <c r="B1162" s="252" t="s">
        <v>3038</v>
      </c>
      <c r="C1162" s="253">
        <v>0</v>
      </c>
      <c r="D1162" s="252">
        <v>50592</v>
      </c>
      <c r="E1162" s="252" t="s">
        <v>3059</v>
      </c>
      <c r="F1162" s="254" t="s">
        <v>3662</v>
      </c>
      <c r="G1162" s="252" t="s">
        <v>2459</v>
      </c>
      <c r="H1162" s="252" t="s">
        <v>3850</v>
      </c>
      <c r="I1162" s="252">
        <v>5</v>
      </c>
      <c r="J1162" s="255">
        <v>1</v>
      </c>
      <c r="K1162" s="255">
        <v>1</v>
      </c>
      <c r="L1162" s="255"/>
      <c r="M1162" s="256">
        <v>3.3E-4</v>
      </c>
      <c r="N1162" s="249">
        <v>1161</v>
      </c>
    </row>
    <row r="1163" spans="1:14" x14ac:dyDescent="0.25">
      <c r="A1163" s="252" t="s">
        <v>183</v>
      </c>
      <c r="B1163" s="252" t="s">
        <v>3038</v>
      </c>
      <c r="C1163" s="253">
        <v>0</v>
      </c>
      <c r="D1163" s="252">
        <v>50592</v>
      </c>
      <c r="E1163" s="252" t="s">
        <v>3059</v>
      </c>
      <c r="F1163" s="254" t="s">
        <v>3662</v>
      </c>
      <c r="G1163" s="252" t="s">
        <v>2460</v>
      </c>
      <c r="H1163" s="252" t="s">
        <v>3851</v>
      </c>
      <c r="I1163" s="252">
        <v>5</v>
      </c>
      <c r="J1163" s="255">
        <v>1</v>
      </c>
      <c r="K1163" s="255">
        <v>1</v>
      </c>
      <c r="L1163" s="255"/>
      <c r="M1163" s="256">
        <v>8.7000000000000001E-5</v>
      </c>
      <c r="N1163" s="249">
        <v>1162</v>
      </c>
    </row>
    <row r="1164" spans="1:14" x14ac:dyDescent="0.25">
      <c r="A1164" s="252" t="s">
        <v>183</v>
      </c>
      <c r="B1164" s="252" t="s">
        <v>3038</v>
      </c>
      <c r="C1164" s="253">
        <v>0</v>
      </c>
      <c r="D1164" s="252">
        <v>50592</v>
      </c>
      <c r="E1164" s="252" t="s">
        <v>3059</v>
      </c>
      <c r="F1164" s="254" t="s">
        <v>3662</v>
      </c>
      <c r="G1164" s="252" t="s">
        <v>2461</v>
      </c>
      <c r="H1164" s="252" t="s">
        <v>3852</v>
      </c>
      <c r="I1164" s="252">
        <v>5</v>
      </c>
      <c r="J1164" s="255">
        <v>1</v>
      </c>
      <c r="K1164" s="255">
        <v>1</v>
      </c>
      <c r="L1164" s="255"/>
      <c r="M1164" s="256">
        <v>1.8059999999999997E-3</v>
      </c>
      <c r="N1164" s="249">
        <v>1163</v>
      </c>
    </row>
    <row r="1165" spans="1:14" x14ac:dyDescent="0.25">
      <c r="A1165" s="252" t="s">
        <v>183</v>
      </c>
      <c r="B1165" s="252" t="s">
        <v>3038</v>
      </c>
      <c r="C1165" s="253">
        <v>0</v>
      </c>
      <c r="D1165" s="252">
        <v>50592</v>
      </c>
      <c r="E1165" s="252" t="s">
        <v>3059</v>
      </c>
      <c r="F1165" s="254" t="s">
        <v>3662</v>
      </c>
      <c r="G1165" s="252" t="s">
        <v>3853</v>
      </c>
      <c r="H1165" s="252" t="s">
        <v>3854</v>
      </c>
      <c r="I1165" s="252">
        <v>5</v>
      </c>
      <c r="J1165" s="255">
        <v>1</v>
      </c>
      <c r="K1165" s="255">
        <v>1</v>
      </c>
      <c r="L1165" s="255"/>
      <c r="M1165" s="256">
        <v>1.5899999999999999E-4</v>
      </c>
      <c r="N1165" s="249">
        <v>1164</v>
      </c>
    </row>
    <row r="1166" spans="1:14" x14ac:dyDescent="0.25">
      <c r="A1166" s="252" t="s">
        <v>183</v>
      </c>
      <c r="B1166" s="252" t="s">
        <v>3038</v>
      </c>
      <c r="C1166" s="253">
        <v>0</v>
      </c>
      <c r="D1166" s="252">
        <v>50592</v>
      </c>
      <c r="E1166" s="252" t="s">
        <v>3059</v>
      </c>
      <c r="F1166" s="254" t="s">
        <v>3662</v>
      </c>
      <c r="G1166" s="252" t="s">
        <v>3855</v>
      </c>
      <c r="H1166" s="252" t="s">
        <v>3856</v>
      </c>
      <c r="I1166" s="252">
        <v>5</v>
      </c>
      <c r="J1166" s="255">
        <v>1</v>
      </c>
      <c r="K1166" s="255">
        <v>1</v>
      </c>
      <c r="L1166" s="255"/>
      <c r="M1166" s="256">
        <v>1.5899999999999999E-4</v>
      </c>
      <c r="N1166" s="249">
        <v>1165</v>
      </c>
    </row>
    <row r="1167" spans="1:14" x14ac:dyDescent="0.25">
      <c r="A1167" s="252" t="s">
        <v>183</v>
      </c>
      <c r="B1167" s="252" t="s">
        <v>3038</v>
      </c>
      <c r="C1167" s="253">
        <v>0</v>
      </c>
      <c r="D1167" s="252">
        <v>50592</v>
      </c>
      <c r="E1167" s="252" t="s">
        <v>3059</v>
      </c>
      <c r="F1167" s="254" t="s">
        <v>3662</v>
      </c>
      <c r="G1167" s="252" t="s">
        <v>3857</v>
      </c>
      <c r="H1167" s="252" t="s">
        <v>3858</v>
      </c>
      <c r="I1167" s="252">
        <v>5</v>
      </c>
      <c r="J1167" s="255">
        <v>1</v>
      </c>
      <c r="K1167" s="255">
        <v>1</v>
      </c>
      <c r="L1167" s="255"/>
      <c r="M1167" s="256">
        <v>1.2989999999999998E-3</v>
      </c>
      <c r="N1167" s="249">
        <v>1166</v>
      </c>
    </row>
    <row r="1168" spans="1:14" x14ac:dyDescent="0.25">
      <c r="A1168" s="252" t="s">
        <v>183</v>
      </c>
      <c r="B1168" s="252" t="s">
        <v>3038</v>
      </c>
      <c r="C1168" s="253">
        <v>0</v>
      </c>
      <c r="D1168" s="252">
        <v>50592</v>
      </c>
      <c r="E1168" s="252" t="s">
        <v>3059</v>
      </c>
      <c r="F1168" s="254" t="s">
        <v>3662</v>
      </c>
      <c r="G1168" s="252" t="s">
        <v>3859</v>
      </c>
      <c r="H1168" s="252" t="s">
        <v>3860</v>
      </c>
      <c r="I1168" s="252">
        <v>5</v>
      </c>
      <c r="J1168" s="255">
        <v>1</v>
      </c>
      <c r="K1168" s="255">
        <v>1</v>
      </c>
      <c r="L1168" s="255"/>
      <c r="M1168" s="256">
        <v>8.7000000000000001E-5</v>
      </c>
      <c r="N1168" s="249">
        <v>1167</v>
      </c>
    </row>
    <row r="1169" spans="1:14" x14ac:dyDescent="0.25">
      <c r="A1169" s="252" t="s">
        <v>183</v>
      </c>
      <c r="B1169" s="252" t="s">
        <v>3038</v>
      </c>
      <c r="C1169" s="253">
        <v>0</v>
      </c>
      <c r="D1169" s="252">
        <v>50592</v>
      </c>
      <c r="E1169" s="252" t="s">
        <v>3059</v>
      </c>
      <c r="F1169" s="254" t="s">
        <v>3662</v>
      </c>
      <c r="G1169" s="252" t="s">
        <v>3861</v>
      </c>
      <c r="H1169" s="252" t="s">
        <v>3862</v>
      </c>
      <c r="I1169" s="252">
        <v>5</v>
      </c>
      <c r="J1169" s="255">
        <v>1</v>
      </c>
      <c r="K1169" s="255">
        <v>1</v>
      </c>
      <c r="L1169" s="255"/>
      <c r="M1169" s="256">
        <v>1.8059999999999997E-3</v>
      </c>
      <c r="N1169" s="249">
        <v>1168</v>
      </c>
    </row>
    <row r="1170" spans="1:14" x14ac:dyDescent="0.25">
      <c r="A1170" s="252" t="s">
        <v>183</v>
      </c>
      <c r="B1170" s="252" t="s">
        <v>3038</v>
      </c>
      <c r="C1170" s="253">
        <v>0</v>
      </c>
      <c r="D1170" s="252">
        <v>50592</v>
      </c>
      <c r="E1170" s="252" t="s">
        <v>3059</v>
      </c>
      <c r="F1170" s="254" t="s">
        <v>3662</v>
      </c>
      <c r="G1170" s="252" t="s">
        <v>2462</v>
      </c>
      <c r="H1170" s="252" t="s">
        <v>3863</v>
      </c>
      <c r="I1170" s="252">
        <v>5</v>
      </c>
      <c r="J1170" s="255">
        <v>1</v>
      </c>
      <c r="K1170" s="255">
        <v>1</v>
      </c>
      <c r="L1170" s="255"/>
      <c r="M1170" s="256">
        <v>4.9199999999999992E-4</v>
      </c>
      <c r="N1170" s="249">
        <v>1169</v>
      </c>
    </row>
    <row r="1171" spans="1:14" x14ac:dyDescent="0.25">
      <c r="A1171" s="252" t="s">
        <v>183</v>
      </c>
      <c r="B1171" s="252" t="s">
        <v>3038</v>
      </c>
      <c r="C1171" s="253">
        <v>0</v>
      </c>
      <c r="D1171" s="252">
        <v>50592</v>
      </c>
      <c r="E1171" s="252" t="s">
        <v>3059</v>
      </c>
      <c r="F1171" s="254" t="s">
        <v>3662</v>
      </c>
      <c r="G1171" s="252" t="s">
        <v>2463</v>
      </c>
      <c r="H1171" s="252" t="s">
        <v>3864</v>
      </c>
      <c r="I1171" s="252">
        <v>5</v>
      </c>
      <c r="J1171" s="255">
        <v>1</v>
      </c>
      <c r="K1171" s="255">
        <v>1</v>
      </c>
      <c r="L1171" s="255"/>
      <c r="M1171" s="256">
        <v>8.7000000000000001E-5</v>
      </c>
      <c r="N1171" s="249">
        <v>1170</v>
      </c>
    </row>
    <row r="1172" spans="1:14" x14ac:dyDescent="0.25">
      <c r="A1172" s="252" t="s">
        <v>183</v>
      </c>
      <c r="B1172" s="252" t="s">
        <v>3038</v>
      </c>
      <c r="C1172" s="253">
        <v>0</v>
      </c>
      <c r="D1172" s="252">
        <v>50592</v>
      </c>
      <c r="E1172" s="252" t="s">
        <v>3059</v>
      </c>
      <c r="F1172" s="254" t="s">
        <v>3662</v>
      </c>
      <c r="G1172" s="252" t="s">
        <v>3865</v>
      </c>
      <c r="H1172" s="252" t="s">
        <v>3866</v>
      </c>
      <c r="I1172" s="252">
        <v>5</v>
      </c>
      <c r="J1172" s="255">
        <v>1</v>
      </c>
      <c r="K1172" s="255">
        <v>1</v>
      </c>
      <c r="L1172" s="255"/>
      <c r="M1172" s="256">
        <v>1.8059999999999997E-3</v>
      </c>
      <c r="N1172" s="249">
        <v>1171</v>
      </c>
    </row>
    <row r="1173" spans="1:14" x14ac:dyDescent="0.25">
      <c r="A1173" s="252" t="s">
        <v>183</v>
      </c>
      <c r="B1173" s="252" t="s">
        <v>3038</v>
      </c>
      <c r="C1173" s="253">
        <v>0</v>
      </c>
      <c r="D1173" s="252">
        <v>50592</v>
      </c>
      <c r="E1173" s="252" t="s">
        <v>3059</v>
      </c>
      <c r="F1173" s="254" t="s">
        <v>3662</v>
      </c>
      <c r="G1173" s="252" t="s">
        <v>3867</v>
      </c>
      <c r="H1173" s="252" t="s">
        <v>3868</v>
      </c>
      <c r="I1173" s="252">
        <v>5</v>
      </c>
      <c r="J1173" s="255">
        <v>1</v>
      </c>
      <c r="K1173" s="255">
        <v>1</v>
      </c>
      <c r="L1173" s="255"/>
      <c r="M1173" s="256">
        <v>2.5499999999999996E-4</v>
      </c>
      <c r="N1173" s="249">
        <v>1172</v>
      </c>
    </row>
    <row r="1174" spans="1:14" x14ac:dyDescent="0.25">
      <c r="A1174" s="252" t="s">
        <v>183</v>
      </c>
      <c r="B1174" s="252" t="s">
        <v>3038</v>
      </c>
      <c r="C1174" s="253">
        <v>0</v>
      </c>
      <c r="D1174" s="252">
        <v>50592</v>
      </c>
      <c r="E1174" s="252" t="s">
        <v>3059</v>
      </c>
      <c r="F1174" s="254" t="s">
        <v>3662</v>
      </c>
      <c r="G1174" s="252" t="s">
        <v>3869</v>
      </c>
      <c r="H1174" s="252" t="s">
        <v>3870</v>
      </c>
      <c r="I1174" s="252">
        <v>5</v>
      </c>
      <c r="J1174" s="255">
        <v>1</v>
      </c>
      <c r="K1174" s="255">
        <v>1</v>
      </c>
      <c r="L1174" s="255"/>
      <c r="M1174" s="256">
        <v>2.5499999999999996E-4</v>
      </c>
      <c r="N1174" s="249">
        <v>1173</v>
      </c>
    </row>
    <row r="1175" spans="1:14" x14ac:dyDescent="0.25">
      <c r="A1175" s="252" t="s">
        <v>183</v>
      </c>
      <c r="B1175" s="252" t="s">
        <v>3038</v>
      </c>
      <c r="C1175" s="253">
        <v>0</v>
      </c>
      <c r="D1175" s="252">
        <v>50592</v>
      </c>
      <c r="E1175" s="252" t="s">
        <v>3059</v>
      </c>
      <c r="F1175" s="254" t="s">
        <v>3662</v>
      </c>
      <c r="G1175" s="252" t="s">
        <v>3871</v>
      </c>
      <c r="H1175" s="252" t="s">
        <v>3872</v>
      </c>
      <c r="I1175" s="252">
        <v>5</v>
      </c>
      <c r="J1175" s="255">
        <v>1</v>
      </c>
      <c r="K1175" s="255">
        <v>1</v>
      </c>
      <c r="L1175" s="255"/>
      <c r="M1175" s="256">
        <v>1.6769999999999999E-3</v>
      </c>
      <c r="N1175" s="249">
        <v>1174</v>
      </c>
    </row>
    <row r="1176" spans="1:14" x14ac:dyDescent="0.25">
      <c r="A1176" s="252" t="s">
        <v>183</v>
      </c>
      <c r="B1176" s="252" t="s">
        <v>3038</v>
      </c>
      <c r="C1176" s="253">
        <v>0</v>
      </c>
      <c r="D1176" s="252">
        <v>50592</v>
      </c>
      <c r="E1176" s="252" t="s">
        <v>3059</v>
      </c>
      <c r="F1176" s="254" t="s">
        <v>3662</v>
      </c>
      <c r="G1176" s="252" t="s">
        <v>3873</v>
      </c>
      <c r="H1176" s="252" t="s">
        <v>3874</v>
      </c>
      <c r="I1176" s="252">
        <v>5</v>
      </c>
      <c r="J1176" s="255">
        <v>1</v>
      </c>
      <c r="K1176" s="255">
        <v>1</v>
      </c>
      <c r="L1176" s="255"/>
      <c r="M1176" s="256">
        <v>8.7000000000000001E-5</v>
      </c>
      <c r="N1176" s="249">
        <v>1175</v>
      </c>
    </row>
    <row r="1177" spans="1:14" x14ac:dyDescent="0.25">
      <c r="A1177" s="252" t="s">
        <v>183</v>
      </c>
      <c r="B1177" s="252" t="s">
        <v>3038</v>
      </c>
      <c r="C1177" s="253">
        <v>0</v>
      </c>
      <c r="D1177" s="252">
        <v>50592</v>
      </c>
      <c r="E1177" s="252" t="s">
        <v>3059</v>
      </c>
      <c r="F1177" s="254" t="s">
        <v>3662</v>
      </c>
      <c r="G1177" s="252" t="s">
        <v>3875</v>
      </c>
      <c r="H1177" s="252" t="s">
        <v>3876</v>
      </c>
      <c r="I1177" s="252">
        <v>5</v>
      </c>
      <c r="J1177" s="255">
        <v>1</v>
      </c>
      <c r="K1177" s="255">
        <v>1</v>
      </c>
      <c r="L1177" s="255"/>
      <c r="M1177" s="256">
        <v>1.8059999999999997E-3</v>
      </c>
      <c r="N1177" s="249">
        <v>1176</v>
      </c>
    </row>
    <row r="1178" spans="1:14" x14ac:dyDescent="0.25">
      <c r="A1178" s="252" t="s">
        <v>183</v>
      </c>
      <c r="B1178" s="252" t="s">
        <v>3038</v>
      </c>
      <c r="C1178" s="253">
        <v>0</v>
      </c>
      <c r="D1178" s="252">
        <v>50592</v>
      </c>
      <c r="E1178" s="252" t="s">
        <v>3059</v>
      </c>
      <c r="F1178" s="254" t="s">
        <v>3662</v>
      </c>
      <c r="G1178" s="252" t="s">
        <v>2464</v>
      </c>
      <c r="H1178" s="252" t="s">
        <v>3877</v>
      </c>
      <c r="I1178" s="252">
        <v>5</v>
      </c>
      <c r="J1178" s="255">
        <v>1</v>
      </c>
      <c r="K1178" s="255">
        <v>1</v>
      </c>
      <c r="L1178" s="255"/>
      <c r="M1178" s="256">
        <v>8.7000000000000001E-5</v>
      </c>
      <c r="N1178" s="249">
        <v>1177</v>
      </c>
    </row>
    <row r="1179" spans="1:14" x14ac:dyDescent="0.25">
      <c r="A1179" s="252" t="s">
        <v>183</v>
      </c>
      <c r="B1179" s="252" t="s">
        <v>3038</v>
      </c>
      <c r="C1179" s="253">
        <v>0</v>
      </c>
      <c r="D1179" s="252">
        <v>50592</v>
      </c>
      <c r="E1179" s="252" t="s">
        <v>3059</v>
      </c>
      <c r="F1179" s="254" t="s">
        <v>3662</v>
      </c>
      <c r="G1179" s="252" t="s">
        <v>2465</v>
      </c>
      <c r="H1179" s="252" t="s">
        <v>3878</v>
      </c>
      <c r="I1179" s="252">
        <v>5</v>
      </c>
      <c r="J1179" s="255">
        <v>1</v>
      </c>
      <c r="K1179" s="255">
        <v>1</v>
      </c>
      <c r="L1179" s="255"/>
      <c r="M1179" s="256">
        <v>1.0740000000000001E-3</v>
      </c>
      <c r="N1179" s="249">
        <v>1178</v>
      </c>
    </row>
    <row r="1180" spans="1:14" x14ac:dyDescent="0.25">
      <c r="A1180" s="252" t="s">
        <v>183</v>
      </c>
      <c r="B1180" s="252" t="s">
        <v>3038</v>
      </c>
      <c r="C1180" s="253">
        <v>0</v>
      </c>
      <c r="D1180" s="252">
        <v>50592</v>
      </c>
      <c r="E1180" s="252" t="s">
        <v>3059</v>
      </c>
      <c r="F1180" s="254" t="s">
        <v>3662</v>
      </c>
      <c r="G1180" s="252" t="s">
        <v>3879</v>
      </c>
      <c r="H1180" s="252" t="s">
        <v>3880</v>
      </c>
      <c r="I1180" s="252">
        <v>5</v>
      </c>
      <c r="J1180" s="255">
        <v>1</v>
      </c>
      <c r="K1180" s="255">
        <v>1</v>
      </c>
      <c r="L1180" s="255"/>
      <c r="M1180" s="256">
        <v>8.7000000000000001E-5</v>
      </c>
      <c r="N1180" s="249">
        <v>1179</v>
      </c>
    </row>
    <row r="1181" spans="1:14" x14ac:dyDescent="0.25">
      <c r="A1181" s="252" t="s">
        <v>183</v>
      </c>
      <c r="B1181" s="252" t="s">
        <v>3038</v>
      </c>
      <c r="C1181" s="253">
        <v>0</v>
      </c>
      <c r="D1181" s="252">
        <v>50592</v>
      </c>
      <c r="E1181" s="252" t="s">
        <v>3059</v>
      </c>
      <c r="F1181" s="254" t="s">
        <v>3662</v>
      </c>
      <c r="G1181" s="252" t="s">
        <v>3881</v>
      </c>
      <c r="H1181" s="252" t="s">
        <v>3882</v>
      </c>
      <c r="I1181" s="252">
        <v>5</v>
      </c>
      <c r="J1181" s="255">
        <v>1</v>
      </c>
      <c r="K1181" s="255">
        <v>1</v>
      </c>
      <c r="L1181" s="255"/>
      <c r="M1181" s="256">
        <v>1.0740000000000001E-3</v>
      </c>
      <c r="N1181" s="249">
        <v>1180</v>
      </c>
    </row>
    <row r="1182" spans="1:14" x14ac:dyDescent="0.25">
      <c r="A1182" s="252" t="s">
        <v>183</v>
      </c>
      <c r="B1182" s="252" t="s">
        <v>3038</v>
      </c>
      <c r="C1182" s="253">
        <v>0</v>
      </c>
      <c r="D1182" s="252">
        <v>50592</v>
      </c>
      <c r="E1182" s="252" t="s">
        <v>3059</v>
      </c>
      <c r="F1182" s="254" t="s">
        <v>3662</v>
      </c>
      <c r="G1182" s="252" t="s">
        <v>3883</v>
      </c>
      <c r="H1182" s="252" t="s">
        <v>3884</v>
      </c>
      <c r="I1182" s="252">
        <v>5</v>
      </c>
      <c r="J1182" s="255">
        <v>1</v>
      </c>
      <c r="K1182" s="255">
        <v>1</v>
      </c>
      <c r="L1182" s="255"/>
      <c r="M1182" s="256">
        <v>8.7000000000000001E-5</v>
      </c>
      <c r="N1182" s="249">
        <v>1181</v>
      </c>
    </row>
    <row r="1183" spans="1:14" x14ac:dyDescent="0.25">
      <c r="A1183" s="252" t="s">
        <v>183</v>
      </c>
      <c r="B1183" s="252" t="s">
        <v>3038</v>
      </c>
      <c r="C1183" s="253">
        <v>0</v>
      </c>
      <c r="D1183" s="252">
        <v>50592</v>
      </c>
      <c r="E1183" s="252" t="s">
        <v>3059</v>
      </c>
      <c r="F1183" s="254" t="s">
        <v>3662</v>
      </c>
      <c r="G1183" s="252" t="s">
        <v>3885</v>
      </c>
      <c r="H1183" s="252" t="s">
        <v>3886</v>
      </c>
      <c r="I1183" s="252">
        <v>5</v>
      </c>
      <c r="J1183" s="255">
        <v>1</v>
      </c>
      <c r="K1183" s="255">
        <v>1</v>
      </c>
      <c r="L1183" s="255"/>
      <c r="M1183" s="256">
        <v>1.044E-3</v>
      </c>
      <c r="N1183" s="249">
        <v>1182</v>
      </c>
    </row>
    <row r="1184" spans="1:14" x14ac:dyDescent="0.25">
      <c r="A1184" s="252" t="s">
        <v>183</v>
      </c>
      <c r="B1184" s="252" t="s">
        <v>3038</v>
      </c>
      <c r="C1184" s="253">
        <v>0</v>
      </c>
      <c r="D1184" s="252">
        <v>50592</v>
      </c>
      <c r="E1184" s="252" t="s">
        <v>3059</v>
      </c>
      <c r="F1184" s="254" t="s">
        <v>3662</v>
      </c>
      <c r="G1184" s="252" t="s">
        <v>3887</v>
      </c>
      <c r="H1184" s="252" t="s">
        <v>3888</v>
      </c>
      <c r="I1184" s="252">
        <v>5</v>
      </c>
      <c r="J1184" s="255">
        <v>1</v>
      </c>
      <c r="K1184" s="255">
        <v>1</v>
      </c>
      <c r="L1184" s="255"/>
      <c r="M1184" s="256">
        <v>2.5920000000000001E-3</v>
      </c>
      <c r="N1184" s="249">
        <v>1183</v>
      </c>
    </row>
    <row r="1185" spans="1:14" x14ac:dyDescent="0.25">
      <c r="A1185" s="252" t="s">
        <v>183</v>
      </c>
      <c r="B1185" s="252" t="s">
        <v>3038</v>
      </c>
      <c r="C1185" s="253">
        <v>0</v>
      </c>
      <c r="D1185" s="252">
        <v>50592</v>
      </c>
      <c r="E1185" s="252" t="s">
        <v>3059</v>
      </c>
      <c r="F1185" s="254" t="s">
        <v>3662</v>
      </c>
      <c r="G1185" s="252" t="s">
        <v>3889</v>
      </c>
      <c r="H1185" s="252" t="s">
        <v>3890</v>
      </c>
      <c r="I1185" s="252">
        <v>5</v>
      </c>
      <c r="J1185" s="255">
        <v>1</v>
      </c>
      <c r="K1185" s="255">
        <v>1</v>
      </c>
      <c r="L1185" s="255"/>
      <c r="M1185" s="256">
        <v>7.4399999999999998E-4</v>
      </c>
      <c r="N1185" s="249">
        <v>1184</v>
      </c>
    </row>
    <row r="1186" spans="1:14" x14ac:dyDescent="0.25">
      <c r="A1186" s="252" t="s">
        <v>183</v>
      </c>
      <c r="B1186" s="252" t="s">
        <v>3038</v>
      </c>
      <c r="C1186" s="253">
        <v>0</v>
      </c>
      <c r="D1186" s="252">
        <v>50592</v>
      </c>
      <c r="E1186" s="252" t="s">
        <v>3059</v>
      </c>
      <c r="F1186" s="254" t="s">
        <v>3662</v>
      </c>
      <c r="G1186" s="252" t="s">
        <v>3891</v>
      </c>
      <c r="H1186" s="252" t="s">
        <v>3892</v>
      </c>
      <c r="I1186" s="252">
        <v>5</v>
      </c>
      <c r="J1186" s="255">
        <v>1</v>
      </c>
      <c r="K1186" s="255">
        <v>1</v>
      </c>
      <c r="L1186" s="255"/>
      <c r="M1186" s="256">
        <v>7.4399999999999998E-4</v>
      </c>
      <c r="N1186" s="249">
        <v>1185</v>
      </c>
    </row>
    <row r="1187" spans="1:14" x14ac:dyDescent="0.25">
      <c r="A1187" s="252" t="s">
        <v>183</v>
      </c>
      <c r="B1187" s="252" t="s">
        <v>3038</v>
      </c>
      <c r="C1187" s="253">
        <v>0</v>
      </c>
      <c r="D1187" s="252">
        <v>50592</v>
      </c>
      <c r="E1187" s="252" t="s">
        <v>3059</v>
      </c>
      <c r="F1187" s="254" t="s">
        <v>3662</v>
      </c>
      <c r="G1187" s="252" t="s">
        <v>2466</v>
      </c>
      <c r="H1187" s="252" t="s">
        <v>3893</v>
      </c>
      <c r="I1187" s="252">
        <v>5</v>
      </c>
      <c r="J1187" s="255">
        <v>1</v>
      </c>
      <c r="K1187" s="255">
        <v>1</v>
      </c>
      <c r="L1187" s="255"/>
      <c r="M1187" s="256">
        <v>1.3140000000000001E-3</v>
      </c>
      <c r="N1187" s="249">
        <v>1186</v>
      </c>
    </row>
    <row r="1188" spans="1:14" x14ac:dyDescent="0.25">
      <c r="A1188" s="252" t="s">
        <v>183</v>
      </c>
      <c r="B1188" s="252" t="s">
        <v>3038</v>
      </c>
      <c r="C1188" s="253">
        <v>0</v>
      </c>
      <c r="D1188" s="252">
        <v>50592</v>
      </c>
      <c r="E1188" s="252" t="s">
        <v>3059</v>
      </c>
      <c r="F1188" s="254" t="s">
        <v>3662</v>
      </c>
      <c r="G1188" s="252" t="s">
        <v>2467</v>
      </c>
      <c r="H1188" s="252" t="s">
        <v>3894</v>
      </c>
      <c r="I1188" s="252">
        <v>5</v>
      </c>
      <c r="J1188" s="255">
        <v>1</v>
      </c>
      <c r="K1188" s="255">
        <v>1</v>
      </c>
      <c r="L1188" s="255"/>
      <c r="M1188" s="256">
        <v>8.7000000000000001E-5</v>
      </c>
      <c r="N1188" s="249">
        <v>1187</v>
      </c>
    </row>
    <row r="1189" spans="1:14" x14ac:dyDescent="0.25">
      <c r="A1189" s="252" t="s">
        <v>183</v>
      </c>
      <c r="B1189" s="252" t="s">
        <v>3038</v>
      </c>
      <c r="C1189" s="253">
        <v>0</v>
      </c>
      <c r="D1189" s="252">
        <v>50592</v>
      </c>
      <c r="E1189" s="252" t="s">
        <v>3059</v>
      </c>
      <c r="F1189" s="254" t="s">
        <v>3662</v>
      </c>
      <c r="G1189" s="252" t="s">
        <v>2468</v>
      </c>
      <c r="H1189" s="252" t="s">
        <v>3895</v>
      </c>
      <c r="I1189" s="252">
        <v>5</v>
      </c>
      <c r="J1189" s="255">
        <v>1</v>
      </c>
      <c r="K1189" s="255">
        <v>1</v>
      </c>
      <c r="L1189" s="255"/>
      <c r="M1189" s="256">
        <v>1.0740000000000001E-3</v>
      </c>
      <c r="N1189" s="249">
        <v>1188</v>
      </c>
    </row>
    <row r="1190" spans="1:14" x14ac:dyDescent="0.25">
      <c r="A1190" s="252" t="s">
        <v>183</v>
      </c>
      <c r="B1190" s="252" t="s">
        <v>3038</v>
      </c>
      <c r="C1190" s="253">
        <v>0</v>
      </c>
      <c r="D1190" s="252">
        <v>50592</v>
      </c>
      <c r="E1190" s="252" t="s">
        <v>3059</v>
      </c>
      <c r="F1190" s="254" t="s">
        <v>3662</v>
      </c>
      <c r="G1190" s="252" t="s">
        <v>3896</v>
      </c>
      <c r="H1190" s="252" t="s">
        <v>3897</v>
      </c>
      <c r="I1190" s="252">
        <v>5</v>
      </c>
      <c r="J1190" s="255">
        <v>1</v>
      </c>
      <c r="K1190" s="255">
        <v>1</v>
      </c>
      <c r="L1190" s="255"/>
      <c r="M1190" s="256">
        <v>7.5600000000000005E-4</v>
      </c>
      <c r="N1190" s="249">
        <v>1189</v>
      </c>
    </row>
    <row r="1191" spans="1:14" x14ac:dyDescent="0.25">
      <c r="A1191" s="252" t="s">
        <v>183</v>
      </c>
      <c r="B1191" s="252" t="s">
        <v>3038</v>
      </c>
      <c r="C1191" s="253">
        <v>0</v>
      </c>
      <c r="D1191" s="252">
        <v>50592</v>
      </c>
      <c r="E1191" s="252" t="s">
        <v>3059</v>
      </c>
      <c r="F1191" s="254" t="s">
        <v>3662</v>
      </c>
      <c r="G1191" s="252" t="s">
        <v>3898</v>
      </c>
      <c r="H1191" s="252" t="s">
        <v>3899</v>
      </c>
      <c r="I1191" s="252">
        <v>5</v>
      </c>
      <c r="J1191" s="255">
        <v>1</v>
      </c>
      <c r="K1191" s="255">
        <v>1</v>
      </c>
      <c r="L1191" s="255"/>
      <c r="M1191" s="256">
        <v>8.7000000000000001E-5</v>
      </c>
      <c r="N1191" s="249">
        <v>1190</v>
      </c>
    </row>
    <row r="1192" spans="1:14" x14ac:dyDescent="0.25">
      <c r="A1192" s="252" t="s">
        <v>183</v>
      </c>
      <c r="B1192" s="252" t="s">
        <v>3038</v>
      </c>
      <c r="C1192" s="253">
        <v>0</v>
      </c>
      <c r="D1192" s="252">
        <v>50592</v>
      </c>
      <c r="E1192" s="252" t="s">
        <v>3059</v>
      </c>
      <c r="F1192" s="254" t="s">
        <v>3662</v>
      </c>
      <c r="G1192" s="252" t="s">
        <v>3900</v>
      </c>
      <c r="H1192" s="252" t="s">
        <v>3901</v>
      </c>
      <c r="I1192" s="252">
        <v>5</v>
      </c>
      <c r="J1192" s="255">
        <v>1</v>
      </c>
      <c r="K1192" s="255">
        <v>1</v>
      </c>
      <c r="L1192" s="255"/>
      <c r="M1192" s="256">
        <v>1.0740000000000001E-3</v>
      </c>
      <c r="N1192" s="249">
        <v>1191</v>
      </c>
    </row>
    <row r="1193" spans="1:14" x14ac:dyDescent="0.25">
      <c r="A1193" s="252" t="s">
        <v>183</v>
      </c>
      <c r="B1193" s="252" t="s">
        <v>3038</v>
      </c>
      <c r="C1193" s="253">
        <v>0</v>
      </c>
      <c r="D1193" s="252">
        <v>50592</v>
      </c>
      <c r="E1193" s="252" t="s">
        <v>3039</v>
      </c>
      <c r="F1193" s="254" t="s">
        <v>3902</v>
      </c>
      <c r="G1193" s="252" t="s">
        <v>2554</v>
      </c>
      <c r="H1193" s="252" t="s">
        <v>3903</v>
      </c>
      <c r="I1193" s="252">
        <v>6</v>
      </c>
      <c r="J1193" s="255">
        <v>1</v>
      </c>
      <c r="K1193" s="255">
        <v>1</v>
      </c>
      <c r="L1193" s="255"/>
      <c r="M1193" s="256">
        <v>1.3619999999999999E-3</v>
      </c>
      <c r="N1193" s="249">
        <v>1192</v>
      </c>
    </row>
    <row r="1194" spans="1:14" x14ac:dyDescent="0.25">
      <c r="A1194" s="252" t="s">
        <v>183</v>
      </c>
      <c r="B1194" s="252" t="s">
        <v>3038</v>
      </c>
      <c r="C1194" s="253">
        <v>0</v>
      </c>
      <c r="D1194" s="252">
        <v>50592</v>
      </c>
      <c r="E1194" s="252" t="s">
        <v>3039</v>
      </c>
      <c r="F1194" s="254" t="s">
        <v>3902</v>
      </c>
      <c r="G1194" s="252" t="s">
        <v>2555</v>
      </c>
      <c r="H1194" s="252" t="s">
        <v>3904</v>
      </c>
      <c r="I1194" s="252">
        <v>6</v>
      </c>
      <c r="J1194" s="255">
        <v>1</v>
      </c>
      <c r="K1194" s="255">
        <v>1</v>
      </c>
      <c r="L1194" s="255"/>
      <c r="M1194" s="256">
        <v>3.6899999999999997E-4</v>
      </c>
      <c r="N1194" s="249">
        <v>1193</v>
      </c>
    </row>
    <row r="1195" spans="1:14" x14ac:dyDescent="0.25">
      <c r="A1195" s="252" t="s">
        <v>183</v>
      </c>
      <c r="B1195" s="252" t="s">
        <v>3038</v>
      </c>
      <c r="C1195" s="253">
        <v>0</v>
      </c>
      <c r="D1195" s="252">
        <v>50592</v>
      </c>
      <c r="E1195" s="252" t="s">
        <v>3039</v>
      </c>
      <c r="F1195" s="254" t="s">
        <v>3902</v>
      </c>
      <c r="G1195" s="252" t="s">
        <v>2556</v>
      </c>
      <c r="H1195" s="252" t="s">
        <v>3905</v>
      </c>
      <c r="I1195" s="252">
        <v>6</v>
      </c>
      <c r="J1195" s="255">
        <v>1</v>
      </c>
      <c r="K1195" s="255">
        <v>1</v>
      </c>
      <c r="L1195" s="255"/>
      <c r="M1195" s="256">
        <v>1.3619999999999999E-3</v>
      </c>
      <c r="N1195" s="249">
        <v>1194</v>
      </c>
    </row>
    <row r="1196" spans="1:14" x14ac:dyDescent="0.25">
      <c r="A1196" s="252" t="s">
        <v>183</v>
      </c>
      <c r="B1196" s="252" t="s">
        <v>3038</v>
      </c>
      <c r="C1196" s="253">
        <v>0</v>
      </c>
      <c r="D1196" s="252">
        <v>50592</v>
      </c>
      <c r="E1196" s="252" t="s">
        <v>3039</v>
      </c>
      <c r="F1196" s="254" t="s">
        <v>3902</v>
      </c>
      <c r="G1196" s="252" t="s">
        <v>2557</v>
      </c>
      <c r="H1196" s="252" t="s">
        <v>3906</v>
      </c>
      <c r="I1196" s="252">
        <v>6</v>
      </c>
      <c r="J1196" s="255">
        <v>1</v>
      </c>
      <c r="K1196" s="255">
        <v>1</v>
      </c>
      <c r="L1196" s="255"/>
      <c r="M1196" s="256">
        <v>3.6899999999999997E-4</v>
      </c>
      <c r="N1196" s="249">
        <v>1195</v>
      </c>
    </row>
    <row r="1197" spans="1:14" x14ac:dyDescent="0.25">
      <c r="A1197" s="252" t="s">
        <v>183</v>
      </c>
      <c r="B1197" s="252" t="s">
        <v>3038</v>
      </c>
      <c r="C1197" s="253">
        <v>0</v>
      </c>
      <c r="D1197" s="252">
        <v>50592</v>
      </c>
      <c r="E1197" s="252" t="s">
        <v>3039</v>
      </c>
      <c r="F1197" s="254" t="s">
        <v>3902</v>
      </c>
      <c r="G1197" s="252" t="s">
        <v>2558</v>
      </c>
      <c r="H1197" s="252" t="s">
        <v>3907</v>
      </c>
      <c r="I1197" s="252">
        <v>6</v>
      </c>
      <c r="J1197" s="255">
        <v>1</v>
      </c>
      <c r="K1197" s="255">
        <v>1</v>
      </c>
      <c r="L1197" s="255"/>
      <c r="M1197" s="256">
        <v>2.9700000000000001E-4</v>
      </c>
      <c r="N1197" s="249">
        <v>1196</v>
      </c>
    </row>
    <row r="1198" spans="1:14" x14ac:dyDescent="0.25">
      <c r="A1198" s="252" t="s">
        <v>183</v>
      </c>
      <c r="B1198" s="252" t="s">
        <v>3038</v>
      </c>
      <c r="C1198" s="253">
        <v>0</v>
      </c>
      <c r="D1198" s="252">
        <v>50592</v>
      </c>
      <c r="E1198" s="252" t="s">
        <v>3039</v>
      </c>
      <c r="F1198" s="254" t="s">
        <v>3902</v>
      </c>
      <c r="G1198" s="252" t="s">
        <v>2559</v>
      </c>
      <c r="H1198" s="252" t="s">
        <v>3908</v>
      </c>
      <c r="I1198" s="252">
        <v>6</v>
      </c>
      <c r="J1198" s="255">
        <v>1</v>
      </c>
      <c r="K1198" s="255">
        <v>1</v>
      </c>
      <c r="L1198" s="255"/>
      <c r="M1198" s="256">
        <v>2.9700000000000001E-4</v>
      </c>
      <c r="N1198" s="249">
        <v>1197</v>
      </c>
    </row>
    <row r="1199" spans="1:14" x14ac:dyDescent="0.25">
      <c r="A1199" s="252" t="s">
        <v>183</v>
      </c>
      <c r="B1199" s="252" t="s">
        <v>3038</v>
      </c>
      <c r="C1199" s="253">
        <v>0</v>
      </c>
      <c r="D1199" s="252">
        <v>50592</v>
      </c>
      <c r="E1199" s="252" t="s">
        <v>3039</v>
      </c>
      <c r="F1199" s="254" t="s">
        <v>3902</v>
      </c>
      <c r="G1199" s="252" t="s">
        <v>2562</v>
      </c>
      <c r="H1199" s="252" t="s">
        <v>3909</v>
      </c>
      <c r="I1199" s="252">
        <v>6</v>
      </c>
      <c r="J1199" s="255">
        <v>1</v>
      </c>
      <c r="K1199" s="255">
        <v>1</v>
      </c>
      <c r="L1199" s="255"/>
      <c r="M1199" s="256">
        <v>2.9700000000000001E-4</v>
      </c>
      <c r="N1199" s="249">
        <v>1198</v>
      </c>
    </row>
    <row r="1200" spans="1:14" x14ac:dyDescent="0.25">
      <c r="A1200" s="252" t="s">
        <v>183</v>
      </c>
      <c r="B1200" s="252" t="s">
        <v>3038</v>
      </c>
      <c r="C1200" s="253">
        <v>0</v>
      </c>
      <c r="D1200" s="252">
        <v>50592</v>
      </c>
      <c r="E1200" s="252" t="s">
        <v>3039</v>
      </c>
      <c r="F1200" s="254" t="s">
        <v>3902</v>
      </c>
      <c r="G1200" s="252" t="s">
        <v>2563</v>
      </c>
      <c r="H1200" s="252" t="s">
        <v>3910</v>
      </c>
      <c r="I1200" s="252">
        <v>6</v>
      </c>
      <c r="J1200" s="255">
        <v>1</v>
      </c>
      <c r="K1200" s="255">
        <v>1</v>
      </c>
      <c r="L1200" s="255"/>
      <c r="M1200" s="256">
        <v>2.9700000000000001E-4</v>
      </c>
      <c r="N1200" s="249">
        <v>1199</v>
      </c>
    </row>
    <row r="1201" spans="1:14" x14ac:dyDescent="0.25">
      <c r="A1201" s="252" t="s">
        <v>183</v>
      </c>
      <c r="B1201" s="252" t="s">
        <v>3038</v>
      </c>
      <c r="C1201" s="253">
        <v>0</v>
      </c>
      <c r="D1201" s="252">
        <v>50592</v>
      </c>
      <c r="E1201" s="252" t="s">
        <v>3039</v>
      </c>
      <c r="F1201" s="254" t="s">
        <v>3902</v>
      </c>
      <c r="G1201" s="252" t="s">
        <v>2564</v>
      </c>
      <c r="H1201" s="252" t="s">
        <v>3911</v>
      </c>
      <c r="I1201" s="252">
        <v>6</v>
      </c>
      <c r="J1201" s="255">
        <v>1</v>
      </c>
      <c r="K1201" s="255">
        <v>1</v>
      </c>
      <c r="L1201" s="255"/>
      <c r="M1201" s="256">
        <v>2.9700000000000001E-4</v>
      </c>
      <c r="N1201" s="249">
        <v>1200</v>
      </c>
    </row>
    <row r="1202" spans="1:14" x14ac:dyDescent="0.25">
      <c r="A1202" s="252" t="s">
        <v>183</v>
      </c>
      <c r="B1202" s="252" t="s">
        <v>3038</v>
      </c>
      <c r="C1202" s="253">
        <v>0</v>
      </c>
      <c r="D1202" s="252">
        <v>50592</v>
      </c>
      <c r="E1202" s="252" t="s">
        <v>3039</v>
      </c>
      <c r="F1202" s="254" t="s">
        <v>3902</v>
      </c>
      <c r="G1202" s="252" t="s">
        <v>2565</v>
      </c>
      <c r="H1202" s="252" t="s">
        <v>3912</v>
      </c>
      <c r="I1202" s="252">
        <v>6</v>
      </c>
      <c r="J1202" s="255">
        <v>1</v>
      </c>
      <c r="K1202" s="255">
        <v>1</v>
      </c>
      <c r="L1202" s="255"/>
      <c r="M1202" s="256">
        <v>2.9700000000000001E-4</v>
      </c>
      <c r="N1202" s="249">
        <v>1201</v>
      </c>
    </row>
    <row r="1203" spans="1:14" x14ac:dyDescent="0.25">
      <c r="A1203" s="252" t="s">
        <v>183</v>
      </c>
      <c r="B1203" s="252" t="s">
        <v>3038</v>
      </c>
      <c r="C1203" s="253">
        <v>0</v>
      </c>
      <c r="D1203" s="252">
        <v>50592</v>
      </c>
      <c r="E1203" s="252" t="s">
        <v>3039</v>
      </c>
      <c r="F1203" s="254" t="s">
        <v>3902</v>
      </c>
      <c r="G1203" s="252" t="s">
        <v>3913</v>
      </c>
      <c r="H1203" s="252" t="s">
        <v>3914</v>
      </c>
      <c r="I1203" s="252">
        <v>6</v>
      </c>
      <c r="J1203" s="255">
        <v>1</v>
      </c>
      <c r="K1203" s="255">
        <v>1</v>
      </c>
      <c r="L1203" s="255"/>
      <c r="M1203" s="256">
        <v>2.9700000000000001E-4</v>
      </c>
      <c r="N1203" s="249">
        <v>1202</v>
      </c>
    </row>
    <row r="1204" spans="1:14" x14ac:dyDescent="0.25">
      <c r="A1204" s="252" t="s">
        <v>183</v>
      </c>
      <c r="B1204" s="252" t="s">
        <v>3038</v>
      </c>
      <c r="C1204" s="253">
        <v>0</v>
      </c>
      <c r="D1204" s="252">
        <v>50592</v>
      </c>
      <c r="E1204" s="252" t="s">
        <v>3039</v>
      </c>
      <c r="F1204" s="254" t="s">
        <v>3902</v>
      </c>
      <c r="G1204" s="252" t="s">
        <v>3915</v>
      </c>
      <c r="H1204" s="252" t="s">
        <v>3916</v>
      </c>
      <c r="I1204" s="252">
        <v>6</v>
      </c>
      <c r="J1204" s="255">
        <v>1</v>
      </c>
      <c r="K1204" s="255">
        <v>1</v>
      </c>
      <c r="L1204" s="255"/>
      <c r="M1204" s="256">
        <v>2.9700000000000001E-4</v>
      </c>
      <c r="N1204" s="249">
        <v>1203</v>
      </c>
    </row>
    <row r="1205" spans="1:14" x14ac:dyDescent="0.25">
      <c r="A1205" s="252" t="s">
        <v>183</v>
      </c>
      <c r="B1205" s="252" t="s">
        <v>3038</v>
      </c>
      <c r="C1205" s="253">
        <v>0</v>
      </c>
      <c r="D1205" s="252">
        <v>50592</v>
      </c>
      <c r="E1205" s="252" t="s">
        <v>3039</v>
      </c>
      <c r="F1205" s="254" t="s">
        <v>3902</v>
      </c>
      <c r="G1205" s="252" t="s">
        <v>3917</v>
      </c>
      <c r="H1205" s="252" t="s">
        <v>3918</v>
      </c>
      <c r="I1205" s="252">
        <v>6</v>
      </c>
      <c r="J1205" s="255">
        <v>1</v>
      </c>
      <c r="K1205" s="255">
        <v>1</v>
      </c>
      <c r="L1205" s="255"/>
      <c r="M1205" s="256">
        <v>2.9700000000000001E-4</v>
      </c>
      <c r="N1205" s="249">
        <v>1204</v>
      </c>
    </row>
    <row r="1206" spans="1:14" x14ac:dyDescent="0.25">
      <c r="A1206" s="252" t="s">
        <v>183</v>
      </c>
      <c r="B1206" s="252" t="s">
        <v>3038</v>
      </c>
      <c r="C1206" s="253">
        <v>0</v>
      </c>
      <c r="D1206" s="252">
        <v>50592</v>
      </c>
      <c r="E1206" s="252" t="s">
        <v>3039</v>
      </c>
      <c r="F1206" s="254" t="s">
        <v>3902</v>
      </c>
      <c r="G1206" s="252" t="s">
        <v>2569</v>
      </c>
      <c r="H1206" s="252" t="s">
        <v>3919</v>
      </c>
      <c r="I1206" s="252">
        <v>6</v>
      </c>
      <c r="J1206" s="255">
        <v>1</v>
      </c>
      <c r="K1206" s="255">
        <v>1</v>
      </c>
      <c r="L1206" s="255"/>
      <c r="M1206" s="256">
        <v>2.9700000000000001E-4</v>
      </c>
      <c r="N1206" s="249">
        <v>1205</v>
      </c>
    </row>
    <row r="1207" spans="1:14" x14ac:dyDescent="0.25">
      <c r="A1207" s="252" t="s">
        <v>183</v>
      </c>
      <c r="B1207" s="252" t="s">
        <v>3038</v>
      </c>
      <c r="C1207" s="253">
        <v>0</v>
      </c>
      <c r="D1207" s="252">
        <v>50592</v>
      </c>
      <c r="E1207" s="252" t="s">
        <v>3039</v>
      </c>
      <c r="F1207" s="254" t="s">
        <v>3902</v>
      </c>
      <c r="G1207" s="252" t="s">
        <v>3920</v>
      </c>
      <c r="H1207" s="252" t="s">
        <v>3921</v>
      </c>
      <c r="I1207" s="252">
        <v>6</v>
      </c>
      <c r="J1207" s="255">
        <v>1</v>
      </c>
      <c r="K1207" s="255">
        <v>1</v>
      </c>
      <c r="L1207" s="255"/>
      <c r="M1207" s="256">
        <v>2.9700000000000001E-4</v>
      </c>
      <c r="N1207" s="249">
        <v>1206</v>
      </c>
    </row>
    <row r="1208" spans="1:14" x14ac:dyDescent="0.25">
      <c r="A1208" s="252" t="s">
        <v>183</v>
      </c>
      <c r="B1208" s="252" t="s">
        <v>3038</v>
      </c>
      <c r="C1208" s="253">
        <v>0</v>
      </c>
      <c r="D1208" s="252">
        <v>50592</v>
      </c>
      <c r="E1208" s="252" t="s">
        <v>3039</v>
      </c>
      <c r="F1208" s="254" t="s">
        <v>3902</v>
      </c>
      <c r="G1208" s="252" t="s">
        <v>2570</v>
      </c>
      <c r="H1208" s="252" t="s">
        <v>3922</v>
      </c>
      <c r="I1208" s="252">
        <v>6</v>
      </c>
      <c r="J1208" s="255">
        <v>1</v>
      </c>
      <c r="K1208" s="255">
        <v>1</v>
      </c>
      <c r="L1208" s="255"/>
      <c r="M1208" s="256">
        <v>3.9420000000000002E-3</v>
      </c>
      <c r="N1208" s="249">
        <v>1207</v>
      </c>
    </row>
    <row r="1209" spans="1:14" x14ac:dyDescent="0.25">
      <c r="A1209" s="252" t="s">
        <v>183</v>
      </c>
      <c r="B1209" s="252" t="s">
        <v>3038</v>
      </c>
      <c r="C1209" s="253">
        <v>0</v>
      </c>
      <c r="D1209" s="252">
        <v>50592</v>
      </c>
      <c r="E1209" s="252" t="s">
        <v>3039</v>
      </c>
      <c r="F1209" s="254" t="s">
        <v>3902</v>
      </c>
      <c r="G1209" s="252" t="s">
        <v>2571</v>
      </c>
      <c r="H1209" s="252" t="s">
        <v>3923</v>
      </c>
      <c r="I1209" s="252">
        <v>6</v>
      </c>
      <c r="J1209" s="255">
        <v>1</v>
      </c>
      <c r="K1209" s="255">
        <v>1</v>
      </c>
      <c r="L1209" s="255"/>
      <c r="M1209" s="256">
        <v>3.9420000000000002E-3</v>
      </c>
      <c r="N1209" s="249">
        <v>1208</v>
      </c>
    </row>
    <row r="1210" spans="1:14" x14ac:dyDescent="0.25">
      <c r="A1210" s="252" t="s">
        <v>183</v>
      </c>
      <c r="B1210" s="252" t="s">
        <v>3038</v>
      </c>
      <c r="C1210" s="253">
        <v>0</v>
      </c>
      <c r="D1210" s="252">
        <v>50592</v>
      </c>
      <c r="E1210" s="252" t="s">
        <v>3039</v>
      </c>
      <c r="F1210" s="254" t="s">
        <v>3902</v>
      </c>
      <c r="G1210" s="252" t="s">
        <v>3924</v>
      </c>
      <c r="H1210" s="252" t="s">
        <v>3925</v>
      </c>
      <c r="I1210" s="252">
        <v>6</v>
      </c>
      <c r="J1210" s="255">
        <v>1</v>
      </c>
      <c r="K1210" s="255">
        <v>1</v>
      </c>
      <c r="L1210" s="255"/>
      <c r="M1210" s="256">
        <v>2.9700000000000001E-4</v>
      </c>
      <c r="N1210" s="249">
        <v>1209</v>
      </c>
    </row>
    <row r="1211" spans="1:14" x14ac:dyDescent="0.25">
      <c r="A1211" s="252" t="s">
        <v>183</v>
      </c>
      <c r="B1211" s="252" t="s">
        <v>3038</v>
      </c>
      <c r="C1211" s="253">
        <v>0</v>
      </c>
      <c r="D1211" s="252">
        <v>50592</v>
      </c>
      <c r="E1211" s="252" t="s">
        <v>3039</v>
      </c>
      <c r="F1211" s="254" t="s">
        <v>3902</v>
      </c>
      <c r="G1211" s="252" t="s">
        <v>3926</v>
      </c>
      <c r="H1211" s="252" t="s">
        <v>3927</v>
      </c>
      <c r="I1211" s="252">
        <v>6</v>
      </c>
      <c r="J1211" s="255">
        <v>1</v>
      </c>
      <c r="K1211" s="255">
        <v>1</v>
      </c>
      <c r="L1211" s="255"/>
      <c r="M1211" s="256">
        <v>2.9700000000000001E-4</v>
      </c>
      <c r="N1211" s="249">
        <v>1210</v>
      </c>
    </row>
    <row r="1212" spans="1:14" x14ac:dyDescent="0.25">
      <c r="A1212" s="252" t="s">
        <v>183</v>
      </c>
      <c r="B1212" s="252" t="s">
        <v>3038</v>
      </c>
      <c r="C1212" s="253">
        <v>0</v>
      </c>
      <c r="D1212" s="252">
        <v>50592</v>
      </c>
      <c r="E1212" s="252" t="s">
        <v>3039</v>
      </c>
      <c r="F1212" s="254" t="s">
        <v>3902</v>
      </c>
      <c r="G1212" s="252" t="s">
        <v>3928</v>
      </c>
      <c r="H1212" s="252" t="s">
        <v>3929</v>
      </c>
      <c r="I1212" s="252">
        <v>6</v>
      </c>
      <c r="J1212" s="255">
        <v>1</v>
      </c>
      <c r="K1212" s="255">
        <v>1</v>
      </c>
      <c r="L1212" s="255"/>
      <c r="M1212" s="256">
        <v>1.3619999999999999E-3</v>
      </c>
      <c r="N1212" s="249">
        <v>1211</v>
      </c>
    </row>
    <row r="1213" spans="1:14" x14ac:dyDescent="0.25">
      <c r="A1213" s="252" t="s">
        <v>183</v>
      </c>
      <c r="B1213" s="252" t="s">
        <v>3038</v>
      </c>
      <c r="C1213" s="253">
        <v>0</v>
      </c>
      <c r="D1213" s="252">
        <v>50592</v>
      </c>
      <c r="E1213" s="252" t="s">
        <v>3039</v>
      </c>
      <c r="F1213" s="254" t="s">
        <v>3902</v>
      </c>
      <c r="G1213" s="252" t="s">
        <v>3930</v>
      </c>
      <c r="H1213" s="252" t="s">
        <v>3931</v>
      </c>
      <c r="I1213" s="252">
        <v>6</v>
      </c>
      <c r="J1213" s="255">
        <v>1</v>
      </c>
      <c r="K1213" s="255">
        <v>1</v>
      </c>
      <c r="L1213" s="255"/>
      <c r="M1213" s="256">
        <v>3.6899999999999997E-4</v>
      </c>
      <c r="N1213" s="249">
        <v>1212</v>
      </c>
    </row>
    <row r="1214" spans="1:14" x14ac:dyDescent="0.25">
      <c r="A1214" s="252" t="s">
        <v>183</v>
      </c>
      <c r="B1214" s="252" t="s">
        <v>3038</v>
      </c>
      <c r="C1214" s="253">
        <v>0</v>
      </c>
      <c r="D1214" s="252">
        <v>50592</v>
      </c>
      <c r="E1214" s="252" t="s">
        <v>3039</v>
      </c>
      <c r="F1214" s="254" t="s">
        <v>3902</v>
      </c>
      <c r="G1214" s="252" t="s">
        <v>3932</v>
      </c>
      <c r="H1214" s="252" t="s">
        <v>3933</v>
      </c>
      <c r="I1214" s="252">
        <v>6</v>
      </c>
      <c r="J1214" s="255">
        <v>1</v>
      </c>
      <c r="K1214" s="255">
        <v>1</v>
      </c>
      <c r="L1214" s="255"/>
      <c r="M1214" s="256">
        <v>1.3619999999999999E-3</v>
      </c>
      <c r="N1214" s="249">
        <v>1213</v>
      </c>
    </row>
    <row r="1215" spans="1:14" x14ac:dyDescent="0.25">
      <c r="A1215" s="252" t="s">
        <v>183</v>
      </c>
      <c r="B1215" s="252" t="s">
        <v>3038</v>
      </c>
      <c r="C1215" s="253">
        <v>0</v>
      </c>
      <c r="D1215" s="252">
        <v>50592</v>
      </c>
      <c r="E1215" s="252" t="s">
        <v>3039</v>
      </c>
      <c r="F1215" s="254" t="s">
        <v>3902</v>
      </c>
      <c r="G1215" s="252" t="s">
        <v>3934</v>
      </c>
      <c r="H1215" s="252" t="s">
        <v>3935</v>
      </c>
      <c r="I1215" s="252">
        <v>6</v>
      </c>
      <c r="J1215" s="255">
        <v>1</v>
      </c>
      <c r="K1215" s="255">
        <v>1</v>
      </c>
      <c r="L1215" s="255"/>
      <c r="M1215" s="256">
        <v>3.6899999999999997E-4</v>
      </c>
      <c r="N1215" s="249">
        <v>1214</v>
      </c>
    </row>
    <row r="1216" spans="1:14" x14ac:dyDescent="0.25">
      <c r="A1216" s="252" t="s">
        <v>183</v>
      </c>
      <c r="B1216" s="252" t="s">
        <v>3038</v>
      </c>
      <c r="C1216" s="253">
        <v>0</v>
      </c>
      <c r="D1216" s="252">
        <v>50592</v>
      </c>
      <c r="E1216" s="252" t="s">
        <v>3039</v>
      </c>
      <c r="F1216" s="254" t="s">
        <v>3902</v>
      </c>
      <c r="G1216" s="252" t="s">
        <v>3936</v>
      </c>
      <c r="H1216" s="252" t="s">
        <v>3937</v>
      </c>
      <c r="I1216" s="252">
        <v>6</v>
      </c>
      <c r="J1216" s="255">
        <v>1</v>
      </c>
      <c r="K1216" s="255">
        <v>1</v>
      </c>
      <c r="L1216" s="255"/>
      <c r="M1216" s="256">
        <v>3.9420000000000002E-3</v>
      </c>
      <c r="N1216" s="249">
        <v>1215</v>
      </c>
    </row>
    <row r="1217" spans="1:14" x14ac:dyDescent="0.25">
      <c r="A1217" s="252" t="s">
        <v>183</v>
      </c>
      <c r="B1217" s="252" t="s">
        <v>3038</v>
      </c>
      <c r="C1217" s="253">
        <v>0</v>
      </c>
      <c r="D1217" s="252">
        <v>50592</v>
      </c>
      <c r="E1217" s="252" t="s">
        <v>3039</v>
      </c>
      <c r="F1217" s="254" t="s">
        <v>3902</v>
      </c>
      <c r="G1217" s="252" t="s">
        <v>3938</v>
      </c>
      <c r="H1217" s="252" t="s">
        <v>3939</v>
      </c>
      <c r="I1217" s="252">
        <v>6</v>
      </c>
      <c r="J1217" s="255">
        <v>1</v>
      </c>
      <c r="K1217" s="255">
        <v>1</v>
      </c>
      <c r="L1217" s="255"/>
      <c r="M1217" s="256">
        <v>3.9420000000000002E-3</v>
      </c>
      <c r="N1217" s="249">
        <v>1216</v>
      </c>
    </row>
    <row r="1218" spans="1:14" x14ac:dyDescent="0.25">
      <c r="A1218" s="252" t="s">
        <v>183</v>
      </c>
      <c r="B1218" s="252" t="s">
        <v>3038</v>
      </c>
      <c r="C1218" s="253">
        <v>0</v>
      </c>
      <c r="D1218" s="252">
        <v>50592</v>
      </c>
      <c r="E1218" s="252" t="s">
        <v>190</v>
      </c>
      <c r="F1218" s="254" t="s">
        <v>3902</v>
      </c>
      <c r="G1218" s="252" t="s">
        <v>3940</v>
      </c>
      <c r="H1218" s="252" t="s">
        <v>3941</v>
      </c>
      <c r="I1218" s="252">
        <v>6</v>
      </c>
      <c r="J1218" s="255">
        <v>1</v>
      </c>
      <c r="K1218" s="255">
        <v>1</v>
      </c>
      <c r="L1218" s="255"/>
      <c r="M1218" s="256">
        <v>3.8099999999999999E-4</v>
      </c>
      <c r="N1218" s="249">
        <v>1217</v>
      </c>
    </row>
    <row r="1219" spans="1:14" x14ac:dyDescent="0.25">
      <c r="A1219" s="252" t="s">
        <v>183</v>
      </c>
      <c r="B1219" s="252" t="s">
        <v>3038</v>
      </c>
      <c r="C1219" s="253">
        <v>0</v>
      </c>
      <c r="D1219" s="252">
        <v>50592</v>
      </c>
      <c r="E1219" s="252" t="s">
        <v>190</v>
      </c>
      <c r="F1219" s="254" t="s">
        <v>3902</v>
      </c>
      <c r="G1219" s="252" t="s">
        <v>3942</v>
      </c>
      <c r="H1219" s="252" t="s">
        <v>3943</v>
      </c>
      <c r="I1219" s="252">
        <v>6</v>
      </c>
      <c r="J1219" s="255">
        <v>1</v>
      </c>
      <c r="K1219" s="255">
        <v>1</v>
      </c>
      <c r="L1219" s="255"/>
      <c r="M1219" s="256">
        <v>3.8099999999999999E-4</v>
      </c>
      <c r="N1219" s="249">
        <v>1218</v>
      </c>
    </row>
    <row r="1220" spans="1:14" x14ac:dyDescent="0.25">
      <c r="A1220" s="252" t="s">
        <v>183</v>
      </c>
      <c r="B1220" s="252" t="s">
        <v>3038</v>
      </c>
      <c r="C1220" s="253">
        <v>0</v>
      </c>
      <c r="D1220" s="252">
        <v>50592</v>
      </c>
      <c r="E1220" s="252" t="s">
        <v>190</v>
      </c>
      <c r="F1220" s="254" t="s">
        <v>3902</v>
      </c>
      <c r="G1220" s="252" t="s">
        <v>3944</v>
      </c>
      <c r="H1220" s="252" t="s">
        <v>3945</v>
      </c>
      <c r="I1220" s="252">
        <v>6</v>
      </c>
      <c r="J1220" s="255">
        <v>1</v>
      </c>
      <c r="K1220" s="255">
        <v>1</v>
      </c>
      <c r="L1220" s="255"/>
      <c r="M1220" s="256">
        <v>3.8099999999999999E-4</v>
      </c>
      <c r="N1220" s="249">
        <v>1219</v>
      </c>
    </row>
    <row r="1221" spans="1:14" x14ac:dyDescent="0.25">
      <c r="A1221" s="252" t="s">
        <v>183</v>
      </c>
      <c r="B1221" s="252" t="s">
        <v>3038</v>
      </c>
      <c r="C1221" s="253">
        <v>0</v>
      </c>
      <c r="D1221" s="252">
        <v>50592</v>
      </c>
      <c r="E1221" s="252" t="s">
        <v>190</v>
      </c>
      <c r="F1221" s="254" t="s">
        <v>3902</v>
      </c>
      <c r="G1221" s="252" t="s">
        <v>3946</v>
      </c>
      <c r="H1221" s="252" t="s">
        <v>3947</v>
      </c>
      <c r="I1221" s="252">
        <v>6</v>
      </c>
      <c r="J1221" s="255">
        <v>1</v>
      </c>
      <c r="K1221" s="255">
        <v>1</v>
      </c>
      <c r="L1221" s="255"/>
      <c r="M1221" s="256">
        <v>3.8099999999999999E-4</v>
      </c>
      <c r="N1221" s="249">
        <v>1220</v>
      </c>
    </row>
    <row r="1222" spans="1:14" x14ac:dyDescent="0.25">
      <c r="A1222" s="252" t="s">
        <v>183</v>
      </c>
      <c r="B1222" s="252" t="s">
        <v>3038</v>
      </c>
      <c r="C1222" s="253">
        <v>0</v>
      </c>
      <c r="D1222" s="252">
        <v>50592</v>
      </c>
      <c r="E1222" s="252" t="s">
        <v>1764</v>
      </c>
      <c r="F1222" s="254" t="s">
        <v>3902</v>
      </c>
      <c r="G1222" s="252" t="s">
        <v>2577</v>
      </c>
      <c r="H1222" s="252" t="s">
        <v>3948</v>
      </c>
      <c r="I1222" s="252">
        <v>6</v>
      </c>
      <c r="J1222" s="255">
        <v>1</v>
      </c>
      <c r="K1222" s="255">
        <v>1</v>
      </c>
      <c r="L1222" s="255"/>
      <c r="M1222" s="256">
        <v>5.4599999999999994E-4</v>
      </c>
      <c r="N1222" s="249">
        <v>1221</v>
      </c>
    </row>
    <row r="1223" spans="1:14" x14ac:dyDescent="0.25">
      <c r="A1223" s="252" t="s">
        <v>183</v>
      </c>
      <c r="B1223" s="252" t="s">
        <v>3038</v>
      </c>
      <c r="C1223" s="253">
        <v>0</v>
      </c>
      <c r="D1223" s="252">
        <v>50592</v>
      </c>
      <c r="E1223" s="252" t="s">
        <v>1764</v>
      </c>
      <c r="F1223" s="254" t="s">
        <v>3902</v>
      </c>
      <c r="G1223" s="252" t="s">
        <v>2578</v>
      </c>
      <c r="H1223" s="252" t="s">
        <v>3949</v>
      </c>
      <c r="I1223" s="252">
        <v>6</v>
      </c>
      <c r="J1223" s="255">
        <v>1</v>
      </c>
      <c r="K1223" s="255">
        <v>1</v>
      </c>
      <c r="L1223" s="255"/>
      <c r="M1223" s="256">
        <v>8.7000000000000001E-5</v>
      </c>
      <c r="N1223" s="249">
        <v>1222</v>
      </c>
    </row>
    <row r="1224" spans="1:14" x14ac:dyDescent="0.25">
      <c r="A1224" s="252" t="s">
        <v>183</v>
      </c>
      <c r="B1224" s="252" t="s">
        <v>3038</v>
      </c>
      <c r="C1224" s="253">
        <v>0</v>
      </c>
      <c r="D1224" s="252">
        <v>50592</v>
      </c>
      <c r="E1224" s="252" t="s">
        <v>1764</v>
      </c>
      <c r="F1224" s="254" t="s">
        <v>3902</v>
      </c>
      <c r="G1224" s="252" t="s">
        <v>2579</v>
      </c>
      <c r="H1224" s="252" t="s">
        <v>3950</v>
      </c>
      <c r="I1224" s="252">
        <v>6</v>
      </c>
      <c r="J1224" s="255">
        <v>1</v>
      </c>
      <c r="K1224" s="255">
        <v>1</v>
      </c>
      <c r="L1224" s="255"/>
      <c r="M1224" s="256">
        <v>5.9099999999999995E-4</v>
      </c>
      <c r="N1224" s="249">
        <v>1223</v>
      </c>
    </row>
    <row r="1225" spans="1:14" x14ac:dyDescent="0.25">
      <c r="A1225" s="252" t="s">
        <v>183</v>
      </c>
      <c r="B1225" s="252" t="s">
        <v>3038</v>
      </c>
      <c r="C1225" s="253">
        <v>0</v>
      </c>
      <c r="D1225" s="252">
        <v>50592</v>
      </c>
      <c r="E1225" s="252" t="s">
        <v>1764</v>
      </c>
      <c r="F1225" s="254" t="s">
        <v>3902</v>
      </c>
      <c r="G1225" s="252" t="s">
        <v>3951</v>
      </c>
      <c r="H1225" s="252" t="s">
        <v>3952</v>
      </c>
      <c r="I1225" s="252">
        <v>6</v>
      </c>
      <c r="J1225" s="255">
        <v>1</v>
      </c>
      <c r="K1225" s="255">
        <v>1</v>
      </c>
      <c r="L1225" s="255"/>
      <c r="M1225" s="256">
        <v>2.8799999999999995E-4</v>
      </c>
      <c r="N1225" s="249">
        <v>1224</v>
      </c>
    </row>
    <row r="1226" spans="1:14" x14ac:dyDescent="0.25">
      <c r="A1226" s="252" t="s">
        <v>183</v>
      </c>
      <c r="B1226" s="252" t="s">
        <v>3038</v>
      </c>
      <c r="C1226" s="253">
        <v>0</v>
      </c>
      <c r="D1226" s="252">
        <v>50592</v>
      </c>
      <c r="E1226" s="252" t="s">
        <v>1764</v>
      </c>
      <c r="F1226" s="254" t="s">
        <v>3902</v>
      </c>
      <c r="G1226" s="252" t="s">
        <v>3953</v>
      </c>
      <c r="H1226" s="252" t="s">
        <v>3954</v>
      </c>
      <c r="I1226" s="252">
        <v>6</v>
      </c>
      <c r="J1226" s="255">
        <v>1</v>
      </c>
      <c r="K1226" s="255">
        <v>1</v>
      </c>
      <c r="L1226" s="255"/>
      <c r="M1226" s="256">
        <v>9.9899999999999989E-4</v>
      </c>
      <c r="N1226" s="249">
        <v>1225</v>
      </c>
    </row>
    <row r="1227" spans="1:14" x14ac:dyDescent="0.25">
      <c r="A1227" s="252" t="s">
        <v>183</v>
      </c>
      <c r="B1227" s="252" t="s">
        <v>3038</v>
      </c>
      <c r="C1227" s="253">
        <v>0</v>
      </c>
      <c r="D1227" s="252">
        <v>50592</v>
      </c>
      <c r="E1227" s="252" t="s">
        <v>1764</v>
      </c>
      <c r="F1227" s="254" t="s">
        <v>3902</v>
      </c>
      <c r="G1227" s="252" t="s">
        <v>3955</v>
      </c>
      <c r="H1227" s="252" t="s">
        <v>3956</v>
      </c>
      <c r="I1227" s="252">
        <v>6</v>
      </c>
      <c r="J1227" s="255">
        <v>1</v>
      </c>
      <c r="K1227" s="255">
        <v>1</v>
      </c>
      <c r="L1227" s="255"/>
      <c r="M1227" s="256">
        <v>8.7000000000000001E-5</v>
      </c>
      <c r="N1227" s="249">
        <v>1226</v>
      </c>
    </row>
    <row r="1228" spans="1:14" x14ac:dyDescent="0.25">
      <c r="A1228" s="252" t="s">
        <v>183</v>
      </c>
      <c r="B1228" s="252" t="s">
        <v>3038</v>
      </c>
      <c r="C1228" s="253">
        <v>0</v>
      </c>
      <c r="D1228" s="252">
        <v>50592</v>
      </c>
      <c r="E1228" s="252" t="s">
        <v>1764</v>
      </c>
      <c r="F1228" s="254" t="s">
        <v>3902</v>
      </c>
      <c r="G1228" s="252" t="s">
        <v>3957</v>
      </c>
      <c r="H1228" s="252" t="s">
        <v>3958</v>
      </c>
      <c r="I1228" s="252">
        <v>6</v>
      </c>
      <c r="J1228" s="255">
        <v>1</v>
      </c>
      <c r="K1228" s="255">
        <v>1</v>
      </c>
      <c r="L1228" s="255"/>
      <c r="M1228" s="256">
        <v>1.8059999999999997E-3</v>
      </c>
      <c r="N1228" s="249">
        <v>1227</v>
      </c>
    </row>
    <row r="1229" spans="1:14" x14ac:dyDescent="0.25">
      <c r="A1229" s="252" t="s">
        <v>183</v>
      </c>
      <c r="B1229" s="252" t="s">
        <v>3038</v>
      </c>
      <c r="C1229" s="253">
        <v>0</v>
      </c>
      <c r="D1229" s="252">
        <v>50592</v>
      </c>
      <c r="E1229" s="252" t="s">
        <v>1764</v>
      </c>
      <c r="F1229" s="254" t="s">
        <v>3902</v>
      </c>
      <c r="G1229" s="252" t="s">
        <v>3959</v>
      </c>
      <c r="H1229" s="252" t="s">
        <v>3960</v>
      </c>
      <c r="I1229" s="252">
        <v>6</v>
      </c>
      <c r="J1229" s="255">
        <v>1</v>
      </c>
      <c r="K1229" s="255">
        <v>1</v>
      </c>
      <c r="L1229" s="255"/>
      <c r="M1229" s="256">
        <v>2.8799999999999995E-4</v>
      </c>
      <c r="N1229" s="249">
        <v>1228</v>
      </c>
    </row>
    <row r="1230" spans="1:14" x14ac:dyDescent="0.25">
      <c r="A1230" s="252" t="s">
        <v>183</v>
      </c>
      <c r="B1230" s="252" t="s">
        <v>3038</v>
      </c>
      <c r="C1230" s="253">
        <v>0</v>
      </c>
      <c r="D1230" s="252">
        <v>50592</v>
      </c>
      <c r="E1230" s="252" t="s">
        <v>1764</v>
      </c>
      <c r="F1230" s="254" t="s">
        <v>3902</v>
      </c>
      <c r="G1230" s="252" t="s">
        <v>3961</v>
      </c>
      <c r="H1230" s="252" t="s">
        <v>3962</v>
      </c>
      <c r="I1230" s="252">
        <v>6</v>
      </c>
      <c r="J1230" s="255">
        <v>1</v>
      </c>
      <c r="K1230" s="255">
        <v>1</v>
      </c>
      <c r="L1230" s="255"/>
      <c r="M1230" s="256">
        <v>8.7000000000000001E-5</v>
      </c>
      <c r="N1230" s="249">
        <v>1229</v>
      </c>
    </row>
    <row r="1231" spans="1:14" x14ac:dyDescent="0.25">
      <c r="A1231" s="252" t="s">
        <v>183</v>
      </c>
      <c r="B1231" s="252" t="s">
        <v>3038</v>
      </c>
      <c r="C1231" s="253">
        <v>0</v>
      </c>
      <c r="D1231" s="252">
        <v>50592</v>
      </c>
      <c r="E1231" s="252" t="s">
        <v>1764</v>
      </c>
      <c r="F1231" s="254" t="s">
        <v>3902</v>
      </c>
      <c r="G1231" s="252" t="s">
        <v>3963</v>
      </c>
      <c r="H1231" s="252" t="s">
        <v>3964</v>
      </c>
      <c r="I1231" s="252">
        <v>6</v>
      </c>
      <c r="J1231" s="255">
        <v>1</v>
      </c>
      <c r="K1231" s="255">
        <v>1</v>
      </c>
      <c r="L1231" s="255"/>
      <c r="M1231" s="256">
        <v>1.8059999999999997E-3</v>
      </c>
      <c r="N1231" s="249">
        <v>1230</v>
      </c>
    </row>
    <row r="1232" spans="1:14" x14ac:dyDescent="0.25">
      <c r="A1232" s="252" t="s">
        <v>183</v>
      </c>
      <c r="B1232" s="252" t="s">
        <v>3038</v>
      </c>
      <c r="C1232" s="253">
        <v>0</v>
      </c>
      <c r="D1232" s="252">
        <v>50592</v>
      </c>
      <c r="E1232" s="252" t="s">
        <v>1764</v>
      </c>
      <c r="F1232" s="254" t="s">
        <v>3902</v>
      </c>
      <c r="G1232" s="252" t="s">
        <v>2580</v>
      </c>
      <c r="H1232" s="252" t="s">
        <v>3965</v>
      </c>
      <c r="I1232" s="252">
        <v>6</v>
      </c>
      <c r="J1232" s="255">
        <v>1</v>
      </c>
      <c r="K1232" s="255">
        <v>1</v>
      </c>
      <c r="L1232" s="255"/>
      <c r="M1232" s="256">
        <v>1.0499999999999999E-3</v>
      </c>
      <c r="N1232" s="249">
        <v>1231</v>
      </c>
    </row>
    <row r="1233" spans="1:14" x14ac:dyDescent="0.25">
      <c r="A1233" s="252" t="s">
        <v>183</v>
      </c>
      <c r="B1233" s="252" t="s">
        <v>3038</v>
      </c>
      <c r="C1233" s="253">
        <v>0</v>
      </c>
      <c r="D1233" s="252">
        <v>50592</v>
      </c>
      <c r="E1233" s="252" t="s">
        <v>1764</v>
      </c>
      <c r="F1233" s="254" t="s">
        <v>3902</v>
      </c>
      <c r="G1233" s="252" t="s">
        <v>2581</v>
      </c>
      <c r="H1233" s="252" t="s">
        <v>3966</v>
      </c>
      <c r="I1233" s="252">
        <v>6</v>
      </c>
      <c r="J1233" s="255">
        <v>1</v>
      </c>
      <c r="K1233" s="255">
        <v>1</v>
      </c>
      <c r="L1233" s="255"/>
      <c r="M1233" s="256">
        <v>4.4999999999999999E-4</v>
      </c>
      <c r="N1233" s="249">
        <v>1232</v>
      </c>
    </row>
    <row r="1234" spans="1:14" x14ac:dyDescent="0.25">
      <c r="A1234" s="252" t="s">
        <v>183</v>
      </c>
      <c r="B1234" s="252" t="s">
        <v>3038</v>
      </c>
      <c r="C1234" s="253">
        <v>0</v>
      </c>
      <c r="D1234" s="252">
        <v>50592</v>
      </c>
      <c r="E1234" s="252" t="s">
        <v>1764</v>
      </c>
      <c r="F1234" s="254" t="s">
        <v>3902</v>
      </c>
      <c r="G1234" s="252" t="s">
        <v>3967</v>
      </c>
      <c r="H1234" s="252" t="s">
        <v>3968</v>
      </c>
      <c r="I1234" s="252">
        <v>6</v>
      </c>
      <c r="J1234" s="255">
        <v>1</v>
      </c>
      <c r="K1234" s="255">
        <v>1</v>
      </c>
      <c r="L1234" s="255"/>
      <c r="M1234" s="256">
        <v>8.7000000000000001E-5</v>
      </c>
      <c r="N1234" s="249">
        <v>1233</v>
      </c>
    </row>
    <row r="1235" spans="1:14" x14ac:dyDescent="0.25">
      <c r="A1235" s="252" t="s">
        <v>183</v>
      </c>
      <c r="B1235" s="252" t="s">
        <v>3038</v>
      </c>
      <c r="C1235" s="253">
        <v>0</v>
      </c>
      <c r="D1235" s="252">
        <v>50592</v>
      </c>
      <c r="E1235" s="252" t="s">
        <v>1764</v>
      </c>
      <c r="F1235" s="254" t="s">
        <v>3902</v>
      </c>
      <c r="G1235" s="252" t="s">
        <v>3969</v>
      </c>
      <c r="H1235" s="252" t="s">
        <v>3970</v>
      </c>
      <c r="I1235" s="252">
        <v>6</v>
      </c>
      <c r="J1235" s="255">
        <v>1</v>
      </c>
      <c r="K1235" s="255">
        <v>1</v>
      </c>
      <c r="L1235" s="255"/>
      <c r="M1235" s="256">
        <v>1.8059999999999997E-3</v>
      </c>
      <c r="N1235" s="249">
        <v>1234</v>
      </c>
    </row>
    <row r="1236" spans="1:14" x14ac:dyDescent="0.25">
      <c r="A1236" s="252" t="s">
        <v>183</v>
      </c>
      <c r="B1236" s="252" t="s">
        <v>3038</v>
      </c>
      <c r="C1236" s="253">
        <v>0</v>
      </c>
      <c r="D1236" s="252">
        <v>50592</v>
      </c>
      <c r="E1236" s="252" t="s">
        <v>1764</v>
      </c>
      <c r="F1236" s="254" t="s">
        <v>3902</v>
      </c>
      <c r="G1236" s="252" t="s">
        <v>3971</v>
      </c>
      <c r="H1236" s="252" t="s">
        <v>3972</v>
      </c>
      <c r="I1236" s="252">
        <v>6</v>
      </c>
      <c r="J1236" s="255">
        <v>1</v>
      </c>
      <c r="K1236" s="255">
        <v>1</v>
      </c>
      <c r="L1236" s="255"/>
      <c r="M1236" s="256">
        <v>4.4999999999999999E-4</v>
      </c>
      <c r="N1236" s="249">
        <v>1235</v>
      </c>
    </row>
    <row r="1237" spans="1:14" x14ac:dyDescent="0.25">
      <c r="A1237" s="252" t="s">
        <v>183</v>
      </c>
      <c r="B1237" s="252" t="s">
        <v>3038</v>
      </c>
      <c r="C1237" s="253">
        <v>0</v>
      </c>
      <c r="D1237" s="252">
        <v>50592</v>
      </c>
      <c r="E1237" s="252" t="s">
        <v>1764</v>
      </c>
      <c r="F1237" s="254" t="s">
        <v>3902</v>
      </c>
      <c r="G1237" s="252" t="s">
        <v>3973</v>
      </c>
      <c r="H1237" s="252" t="s">
        <v>3974</v>
      </c>
      <c r="I1237" s="252">
        <v>6</v>
      </c>
      <c r="J1237" s="255">
        <v>1</v>
      </c>
      <c r="K1237" s="255">
        <v>1</v>
      </c>
      <c r="L1237" s="255"/>
      <c r="M1237" s="256">
        <v>8.7000000000000001E-5</v>
      </c>
      <c r="N1237" s="249">
        <v>1236</v>
      </c>
    </row>
    <row r="1238" spans="1:14" x14ac:dyDescent="0.25">
      <c r="A1238" s="252" t="s">
        <v>183</v>
      </c>
      <c r="B1238" s="252" t="s">
        <v>3038</v>
      </c>
      <c r="C1238" s="253">
        <v>0</v>
      </c>
      <c r="D1238" s="252">
        <v>50592</v>
      </c>
      <c r="E1238" s="252" t="s">
        <v>1764</v>
      </c>
      <c r="F1238" s="254" t="s">
        <v>3902</v>
      </c>
      <c r="G1238" s="252" t="s">
        <v>3975</v>
      </c>
      <c r="H1238" s="252" t="s">
        <v>3976</v>
      </c>
      <c r="I1238" s="252">
        <v>6</v>
      </c>
      <c r="J1238" s="255">
        <v>1</v>
      </c>
      <c r="K1238" s="255">
        <v>1</v>
      </c>
      <c r="L1238" s="255"/>
      <c r="M1238" s="256">
        <v>1.7759999999999998E-3</v>
      </c>
      <c r="N1238" s="249">
        <v>1237</v>
      </c>
    </row>
    <row r="1239" spans="1:14" x14ac:dyDescent="0.25">
      <c r="A1239" s="252" t="s">
        <v>183</v>
      </c>
      <c r="B1239" s="252" t="s">
        <v>3038</v>
      </c>
      <c r="C1239" s="253">
        <v>0</v>
      </c>
      <c r="D1239" s="252">
        <v>50592</v>
      </c>
      <c r="E1239" s="252" t="s">
        <v>1764</v>
      </c>
      <c r="F1239" s="254" t="s">
        <v>3902</v>
      </c>
      <c r="G1239" s="252" t="s">
        <v>3977</v>
      </c>
      <c r="H1239" s="252" t="s">
        <v>3978</v>
      </c>
      <c r="I1239" s="252">
        <v>6</v>
      </c>
      <c r="J1239" s="255">
        <v>1</v>
      </c>
      <c r="K1239" s="255">
        <v>1</v>
      </c>
      <c r="L1239" s="255"/>
      <c r="M1239" s="256">
        <v>6.0599999999999998E-4</v>
      </c>
      <c r="N1239" s="249">
        <v>1238</v>
      </c>
    </row>
    <row r="1240" spans="1:14" x14ac:dyDescent="0.25">
      <c r="A1240" s="252" t="s">
        <v>183</v>
      </c>
      <c r="B1240" s="252" t="s">
        <v>3038</v>
      </c>
      <c r="C1240" s="253">
        <v>0</v>
      </c>
      <c r="D1240" s="252">
        <v>50592</v>
      </c>
      <c r="E1240" s="252" t="s">
        <v>1764</v>
      </c>
      <c r="F1240" s="254" t="s">
        <v>3902</v>
      </c>
      <c r="G1240" s="252" t="s">
        <v>3979</v>
      </c>
      <c r="H1240" s="252" t="s">
        <v>3980</v>
      </c>
      <c r="I1240" s="252">
        <v>6</v>
      </c>
      <c r="J1240" s="255">
        <v>1</v>
      </c>
      <c r="K1240" s="255">
        <v>1</v>
      </c>
      <c r="L1240" s="255"/>
      <c r="M1240" s="256">
        <v>2.0999999999999998E-4</v>
      </c>
      <c r="N1240" s="249">
        <v>1239</v>
      </c>
    </row>
    <row r="1241" spans="1:14" x14ac:dyDescent="0.25">
      <c r="A1241" s="252" t="s">
        <v>183</v>
      </c>
      <c r="B1241" s="252" t="s">
        <v>3038</v>
      </c>
      <c r="C1241" s="253">
        <v>0</v>
      </c>
      <c r="D1241" s="252">
        <v>50592</v>
      </c>
      <c r="E1241" s="252" t="s">
        <v>1764</v>
      </c>
      <c r="F1241" s="254" t="s">
        <v>3902</v>
      </c>
      <c r="G1241" s="252" t="s">
        <v>2582</v>
      </c>
      <c r="H1241" s="252" t="s">
        <v>3981</v>
      </c>
      <c r="I1241" s="252">
        <v>6</v>
      </c>
      <c r="J1241" s="255">
        <v>1</v>
      </c>
      <c r="K1241" s="255">
        <v>1</v>
      </c>
      <c r="L1241" s="255"/>
      <c r="M1241" s="256">
        <v>2.052E-3</v>
      </c>
      <c r="N1241" s="249">
        <v>1240</v>
      </c>
    </row>
    <row r="1242" spans="1:14" x14ac:dyDescent="0.25">
      <c r="A1242" s="252" t="s">
        <v>183</v>
      </c>
      <c r="B1242" s="252" t="s">
        <v>3038</v>
      </c>
      <c r="C1242" s="253">
        <v>0</v>
      </c>
      <c r="D1242" s="252">
        <v>50592</v>
      </c>
      <c r="E1242" s="252" t="s">
        <v>1764</v>
      </c>
      <c r="F1242" s="254" t="s">
        <v>3902</v>
      </c>
      <c r="G1242" s="252" t="s">
        <v>2583</v>
      </c>
      <c r="H1242" s="252" t="s">
        <v>3982</v>
      </c>
      <c r="I1242" s="252">
        <v>6</v>
      </c>
      <c r="J1242" s="255">
        <v>1</v>
      </c>
      <c r="K1242" s="255">
        <v>1</v>
      </c>
      <c r="L1242" s="255"/>
      <c r="M1242" s="256">
        <v>7.6499999999999995E-4</v>
      </c>
      <c r="N1242" s="249">
        <v>1241</v>
      </c>
    </row>
    <row r="1243" spans="1:14" x14ac:dyDescent="0.25">
      <c r="A1243" s="252" t="s">
        <v>183</v>
      </c>
      <c r="B1243" s="252" t="s">
        <v>3038</v>
      </c>
      <c r="C1243" s="253">
        <v>0</v>
      </c>
      <c r="D1243" s="252">
        <v>50592</v>
      </c>
      <c r="E1243" s="252" t="s">
        <v>1764</v>
      </c>
      <c r="F1243" s="254" t="s">
        <v>3902</v>
      </c>
      <c r="G1243" s="252" t="s">
        <v>3983</v>
      </c>
      <c r="H1243" s="252" t="s">
        <v>3984</v>
      </c>
      <c r="I1243" s="252">
        <v>6</v>
      </c>
      <c r="J1243" s="255">
        <v>1</v>
      </c>
      <c r="K1243" s="255">
        <v>1</v>
      </c>
      <c r="L1243" s="255"/>
      <c r="M1243" s="256">
        <v>8.7000000000000001E-5</v>
      </c>
      <c r="N1243" s="249">
        <v>1242</v>
      </c>
    </row>
    <row r="1244" spans="1:14" x14ac:dyDescent="0.25">
      <c r="A1244" s="252" t="s">
        <v>183</v>
      </c>
      <c r="B1244" s="252" t="s">
        <v>3038</v>
      </c>
      <c r="C1244" s="253">
        <v>0</v>
      </c>
      <c r="D1244" s="252">
        <v>50592</v>
      </c>
      <c r="E1244" s="252" t="s">
        <v>1764</v>
      </c>
      <c r="F1244" s="254" t="s">
        <v>3902</v>
      </c>
      <c r="G1244" s="252" t="s">
        <v>3985</v>
      </c>
      <c r="H1244" s="252" t="s">
        <v>3986</v>
      </c>
      <c r="I1244" s="252">
        <v>6</v>
      </c>
      <c r="J1244" s="255">
        <v>1</v>
      </c>
      <c r="K1244" s="255">
        <v>1</v>
      </c>
      <c r="L1244" s="255"/>
      <c r="M1244" s="256">
        <v>1.7759999999999998E-3</v>
      </c>
      <c r="N1244" s="249">
        <v>1243</v>
      </c>
    </row>
    <row r="1245" spans="1:14" x14ac:dyDescent="0.25">
      <c r="A1245" s="252" t="s">
        <v>183</v>
      </c>
      <c r="B1245" s="252" t="s">
        <v>3038</v>
      </c>
      <c r="C1245" s="253">
        <v>0</v>
      </c>
      <c r="D1245" s="252">
        <v>50592</v>
      </c>
      <c r="E1245" s="252" t="s">
        <v>1764</v>
      </c>
      <c r="F1245" s="254" t="s">
        <v>3902</v>
      </c>
      <c r="G1245" s="252" t="s">
        <v>3987</v>
      </c>
      <c r="H1245" s="252" t="s">
        <v>3988</v>
      </c>
      <c r="I1245" s="252">
        <v>6</v>
      </c>
      <c r="J1245" s="255">
        <v>1</v>
      </c>
      <c r="K1245" s="255">
        <v>1</v>
      </c>
      <c r="L1245" s="255"/>
      <c r="M1245" s="256">
        <v>7.6499999999999995E-4</v>
      </c>
      <c r="N1245" s="249">
        <v>1244</v>
      </c>
    </row>
    <row r="1246" spans="1:14" x14ac:dyDescent="0.25">
      <c r="A1246" s="252" t="s">
        <v>183</v>
      </c>
      <c r="B1246" s="252" t="s">
        <v>3038</v>
      </c>
      <c r="C1246" s="253">
        <v>0</v>
      </c>
      <c r="D1246" s="252">
        <v>50592</v>
      </c>
      <c r="E1246" s="252" t="s">
        <v>1764</v>
      </c>
      <c r="F1246" s="254" t="s">
        <v>3902</v>
      </c>
      <c r="G1246" s="252" t="s">
        <v>3989</v>
      </c>
      <c r="H1246" s="252" t="s">
        <v>3990</v>
      </c>
      <c r="I1246" s="252">
        <v>6</v>
      </c>
      <c r="J1246" s="255">
        <v>1</v>
      </c>
      <c r="K1246" s="255">
        <v>1</v>
      </c>
      <c r="L1246" s="255"/>
      <c r="M1246" s="256">
        <v>8.7000000000000001E-5</v>
      </c>
      <c r="N1246" s="249">
        <v>1245</v>
      </c>
    </row>
    <row r="1247" spans="1:14" x14ac:dyDescent="0.25">
      <c r="A1247" s="252" t="s">
        <v>183</v>
      </c>
      <c r="B1247" s="252" t="s">
        <v>3038</v>
      </c>
      <c r="C1247" s="253">
        <v>0</v>
      </c>
      <c r="D1247" s="252">
        <v>50592</v>
      </c>
      <c r="E1247" s="252" t="s">
        <v>1764</v>
      </c>
      <c r="F1247" s="254" t="s">
        <v>3902</v>
      </c>
      <c r="G1247" s="252" t="s">
        <v>3991</v>
      </c>
      <c r="H1247" s="252" t="s">
        <v>3992</v>
      </c>
      <c r="I1247" s="252">
        <v>6</v>
      </c>
      <c r="J1247" s="255">
        <v>1</v>
      </c>
      <c r="K1247" s="255">
        <v>1</v>
      </c>
      <c r="L1247" s="255"/>
      <c r="M1247" s="256">
        <v>1.7759999999999998E-3</v>
      </c>
      <c r="N1247" s="249">
        <v>1246</v>
      </c>
    </row>
    <row r="1248" spans="1:14" x14ac:dyDescent="0.25">
      <c r="A1248" s="252" t="s">
        <v>183</v>
      </c>
      <c r="B1248" s="252" t="s">
        <v>3038</v>
      </c>
      <c r="C1248" s="253">
        <v>0</v>
      </c>
      <c r="D1248" s="252">
        <v>50592</v>
      </c>
      <c r="E1248" s="252" t="s">
        <v>1764</v>
      </c>
      <c r="F1248" s="254" t="s">
        <v>3902</v>
      </c>
      <c r="G1248" s="252" t="s">
        <v>3993</v>
      </c>
      <c r="H1248" s="252" t="s">
        <v>3994</v>
      </c>
      <c r="I1248" s="252">
        <v>6</v>
      </c>
      <c r="J1248" s="255">
        <v>1</v>
      </c>
      <c r="K1248" s="255">
        <v>1</v>
      </c>
      <c r="L1248" s="255"/>
      <c r="M1248" s="256">
        <v>6.0599999999999998E-4</v>
      </c>
      <c r="N1248" s="249">
        <v>1247</v>
      </c>
    </row>
    <row r="1249" spans="1:14" x14ac:dyDescent="0.25">
      <c r="A1249" s="252" t="s">
        <v>183</v>
      </c>
      <c r="B1249" s="252" t="s">
        <v>3038</v>
      </c>
      <c r="C1249" s="253">
        <v>0</v>
      </c>
      <c r="D1249" s="252">
        <v>50592</v>
      </c>
      <c r="E1249" s="252" t="s">
        <v>1764</v>
      </c>
      <c r="F1249" s="254" t="s">
        <v>3902</v>
      </c>
      <c r="G1249" s="252" t="s">
        <v>3995</v>
      </c>
      <c r="H1249" s="252" t="s">
        <v>3996</v>
      </c>
      <c r="I1249" s="252">
        <v>6</v>
      </c>
      <c r="J1249" s="255">
        <v>1</v>
      </c>
      <c r="K1249" s="255">
        <v>1</v>
      </c>
      <c r="L1249" s="255"/>
      <c r="M1249" s="256">
        <v>2.0999999999999998E-4</v>
      </c>
      <c r="N1249" s="249">
        <v>1248</v>
      </c>
    </row>
    <row r="1250" spans="1:14" x14ac:dyDescent="0.25">
      <c r="A1250" s="252" t="s">
        <v>183</v>
      </c>
      <c r="B1250" s="252" t="s">
        <v>3038</v>
      </c>
      <c r="C1250" s="253">
        <v>0</v>
      </c>
      <c r="D1250" s="252">
        <v>50592</v>
      </c>
      <c r="E1250" s="252" t="s">
        <v>1764</v>
      </c>
      <c r="F1250" s="254" t="s">
        <v>3902</v>
      </c>
      <c r="G1250" s="252" t="s">
        <v>3997</v>
      </c>
      <c r="H1250" s="252" t="s">
        <v>3998</v>
      </c>
      <c r="I1250" s="252">
        <v>6</v>
      </c>
      <c r="J1250" s="255">
        <v>1</v>
      </c>
      <c r="K1250" s="255">
        <v>1</v>
      </c>
      <c r="L1250" s="255"/>
      <c r="M1250" s="256">
        <v>1.2149999999999999E-3</v>
      </c>
      <c r="N1250" s="249">
        <v>1249</v>
      </c>
    </row>
    <row r="1251" spans="1:14" x14ac:dyDescent="0.25">
      <c r="A1251" s="252" t="s">
        <v>183</v>
      </c>
      <c r="B1251" s="252" t="s">
        <v>3038</v>
      </c>
      <c r="C1251" s="253">
        <v>0</v>
      </c>
      <c r="D1251" s="252">
        <v>50592</v>
      </c>
      <c r="E1251" s="252" t="s">
        <v>1764</v>
      </c>
      <c r="F1251" s="254" t="s">
        <v>3902</v>
      </c>
      <c r="G1251" s="252" t="s">
        <v>3999</v>
      </c>
      <c r="H1251" s="252" t="s">
        <v>4000</v>
      </c>
      <c r="I1251" s="252">
        <v>6</v>
      </c>
      <c r="J1251" s="255">
        <v>1</v>
      </c>
      <c r="K1251" s="255">
        <v>1</v>
      </c>
      <c r="L1251" s="255"/>
      <c r="M1251" s="256">
        <v>2.4899999999999998E-4</v>
      </c>
      <c r="N1251" s="249">
        <v>1250</v>
      </c>
    </row>
    <row r="1252" spans="1:14" x14ac:dyDescent="0.25">
      <c r="A1252" s="252" t="s">
        <v>183</v>
      </c>
      <c r="B1252" s="252" t="s">
        <v>3038</v>
      </c>
      <c r="C1252" s="253">
        <v>0</v>
      </c>
      <c r="D1252" s="252">
        <v>50592</v>
      </c>
      <c r="E1252" s="252" t="s">
        <v>1764</v>
      </c>
      <c r="F1252" s="254" t="s">
        <v>3902</v>
      </c>
      <c r="G1252" s="252" t="s">
        <v>4001</v>
      </c>
      <c r="H1252" s="252" t="s">
        <v>4002</v>
      </c>
      <c r="I1252" s="252">
        <v>6</v>
      </c>
      <c r="J1252" s="255">
        <v>1</v>
      </c>
      <c r="K1252" s="255">
        <v>1</v>
      </c>
      <c r="L1252" s="255"/>
      <c r="M1252" s="256">
        <v>4.4999999999999999E-4</v>
      </c>
      <c r="N1252" s="249">
        <v>1251</v>
      </c>
    </row>
    <row r="1253" spans="1:14" x14ac:dyDescent="0.25">
      <c r="A1253" s="252" t="s">
        <v>183</v>
      </c>
      <c r="B1253" s="252" t="s">
        <v>3038</v>
      </c>
      <c r="C1253" s="253">
        <v>0</v>
      </c>
      <c r="D1253" s="252">
        <v>50592</v>
      </c>
      <c r="E1253" s="252" t="s">
        <v>1764</v>
      </c>
      <c r="F1253" s="254" t="s">
        <v>3902</v>
      </c>
      <c r="G1253" s="252" t="s">
        <v>4003</v>
      </c>
      <c r="H1253" s="252" t="s">
        <v>4004</v>
      </c>
      <c r="I1253" s="252">
        <v>6</v>
      </c>
      <c r="J1253" s="255">
        <v>1</v>
      </c>
      <c r="K1253" s="255">
        <v>1</v>
      </c>
      <c r="L1253" s="255"/>
      <c r="M1253" s="256">
        <v>4.8000000000000001E-4</v>
      </c>
      <c r="N1253" s="249">
        <v>1252</v>
      </c>
    </row>
    <row r="1254" spans="1:14" x14ac:dyDescent="0.25">
      <c r="A1254" s="252" t="s">
        <v>183</v>
      </c>
      <c r="B1254" s="252" t="s">
        <v>3038</v>
      </c>
      <c r="C1254" s="253">
        <v>0</v>
      </c>
      <c r="D1254" s="252">
        <v>50592</v>
      </c>
      <c r="E1254" s="252" t="s">
        <v>1764</v>
      </c>
      <c r="F1254" s="254" t="s">
        <v>3902</v>
      </c>
      <c r="G1254" s="252" t="s">
        <v>4005</v>
      </c>
      <c r="H1254" s="252" t="s">
        <v>4006</v>
      </c>
      <c r="I1254" s="252">
        <v>6</v>
      </c>
      <c r="J1254" s="255">
        <v>1</v>
      </c>
      <c r="K1254" s="255">
        <v>1</v>
      </c>
      <c r="L1254" s="255"/>
      <c r="M1254" s="256">
        <v>1.3559999999999998E-3</v>
      </c>
      <c r="N1254" s="249">
        <v>1253</v>
      </c>
    </row>
    <row r="1255" spans="1:14" x14ac:dyDescent="0.25">
      <c r="A1255" s="252" t="s">
        <v>183</v>
      </c>
      <c r="B1255" s="252" t="s">
        <v>3038</v>
      </c>
      <c r="C1255" s="253">
        <v>0</v>
      </c>
      <c r="D1255" s="252">
        <v>50592</v>
      </c>
      <c r="E1255" s="252" t="s">
        <v>1764</v>
      </c>
      <c r="F1255" s="254" t="s">
        <v>3902</v>
      </c>
      <c r="G1255" s="252" t="s">
        <v>4007</v>
      </c>
      <c r="H1255" s="252" t="s">
        <v>4008</v>
      </c>
      <c r="I1255" s="252">
        <v>6</v>
      </c>
      <c r="J1255" s="255">
        <v>1</v>
      </c>
      <c r="K1255" s="255">
        <v>1</v>
      </c>
      <c r="L1255" s="255"/>
      <c r="M1255" s="256">
        <v>1.8059999999999997E-3</v>
      </c>
      <c r="N1255" s="249">
        <v>1254</v>
      </c>
    </row>
    <row r="1256" spans="1:14" x14ac:dyDescent="0.25">
      <c r="A1256" s="252" t="s">
        <v>183</v>
      </c>
      <c r="B1256" s="252" t="s">
        <v>3038</v>
      </c>
      <c r="C1256" s="253">
        <v>0</v>
      </c>
      <c r="D1256" s="252">
        <v>50592</v>
      </c>
      <c r="E1256" s="252" t="s">
        <v>1764</v>
      </c>
      <c r="F1256" s="254" t="s">
        <v>3902</v>
      </c>
      <c r="G1256" s="252" t="s">
        <v>4009</v>
      </c>
      <c r="H1256" s="252" t="s">
        <v>4010</v>
      </c>
      <c r="I1256" s="252">
        <v>6</v>
      </c>
      <c r="J1256" s="255">
        <v>1</v>
      </c>
      <c r="K1256" s="255">
        <v>1</v>
      </c>
      <c r="L1256" s="255"/>
      <c r="M1256" s="256">
        <v>8.7000000000000001E-5</v>
      </c>
      <c r="N1256" s="249">
        <v>1255</v>
      </c>
    </row>
    <row r="1257" spans="1:14" x14ac:dyDescent="0.25">
      <c r="A1257" s="252" t="s">
        <v>183</v>
      </c>
      <c r="B1257" s="252" t="s">
        <v>3038</v>
      </c>
      <c r="C1257" s="253">
        <v>0</v>
      </c>
      <c r="D1257" s="252">
        <v>50592</v>
      </c>
      <c r="E1257" s="252" t="s">
        <v>1764</v>
      </c>
      <c r="F1257" s="254" t="s">
        <v>3902</v>
      </c>
      <c r="G1257" s="252" t="s">
        <v>4011</v>
      </c>
      <c r="H1257" s="252" t="s">
        <v>4012</v>
      </c>
      <c r="I1257" s="252">
        <v>6</v>
      </c>
      <c r="J1257" s="255">
        <v>1</v>
      </c>
      <c r="K1257" s="255">
        <v>1</v>
      </c>
      <c r="L1257" s="255"/>
      <c r="M1257" s="256">
        <v>2.4899999999999998E-4</v>
      </c>
      <c r="N1257" s="249">
        <v>1256</v>
      </c>
    </row>
    <row r="1258" spans="1:14" x14ac:dyDescent="0.25">
      <c r="A1258" s="252" t="s">
        <v>183</v>
      </c>
      <c r="B1258" s="252" t="s">
        <v>3038</v>
      </c>
      <c r="C1258" s="253">
        <v>0</v>
      </c>
      <c r="D1258" s="252">
        <v>50592</v>
      </c>
      <c r="E1258" s="252" t="s">
        <v>1764</v>
      </c>
      <c r="F1258" s="254" t="s">
        <v>3902</v>
      </c>
      <c r="G1258" s="252" t="s">
        <v>4013</v>
      </c>
      <c r="H1258" s="252" t="s">
        <v>4014</v>
      </c>
      <c r="I1258" s="252">
        <v>6</v>
      </c>
      <c r="J1258" s="255">
        <v>1</v>
      </c>
      <c r="K1258" s="255">
        <v>1</v>
      </c>
      <c r="L1258" s="255"/>
      <c r="M1258" s="256">
        <v>2.4899999999999998E-4</v>
      </c>
      <c r="N1258" s="249">
        <v>1257</v>
      </c>
    </row>
    <row r="1259" spans="1:14" x14ac:dyDescent="0.25">
      <c r="A1259" s="252" t="s">
        <v>183</v>
      </c>
      <c r="B1259" s="252" t="s">
        <v>3038</v>
      </c>
      <c r="C1259" s="253">
        <v>0</v>
      </c>
      <c r="D1259" s="252">
        <v>50592</v>
      </c>
      <c r="E1259" s="252" t="s">
        <v>1764</v>
      </c>
      <c r="F1259" s="254" t="s">
        <v>3902</v>
      </c>
      <c r="G1259" s="252" t="s">
        <v>4015</v>
      </c>
      <c r="H1259" s="252" t="s">
        <v>4016</v>
      </c>
      <c r="I1259" s="252">
        <v>6</v>
      </c>
      <c r="J1259" s="255">
        <v>1</v>
      </c>
      <c r="K1259" s="255">
        <v>1</v>
      </c>
      <c r="L1259" s="255"/>
      <c r="M1259" s="256">
        <v>1.8059999999999997E-3</v>
      </c>
      <c r="N1259" s="249">
        <v>1258</v>
      </c>
    </row>
    <row r="1260" spans="1:14" x14ac:dyDescent="0.25">
      <c r="A1260" s="252" t="s">
        <v>183</v>
      </c>
      <c r="B1260" s="252" t="s">
        <v>3038</v>
      </c>
      <c r="C1260" s="253">
        <v>0</v>
      </c>
      <c r="D1260" s="252">
        <v>50592</v>
      </c>
      <c r="E1260" s="252" t="s">
        <v>1764</v>
      </c>
      <c r="F1260" s="254" t="s">
        <v>3902</v>
      </c>
      <c r="G1260" s="252" t="s">
        <v>4017</v>
      </c>
      <c r="H1260" s="252" t="s">
        <v>4018</v>
      </c>
      <c r="I1260" s="252">
        <v>6</v>
      </c>
      <c r="J1260" s="255">
        <v>1</v>
      </c>
      <c r="K1260" s="255">
        <v>1</v>
      </c>
      <c r="L1260" s="255"/>
      <c r="M1260" s="256">
        <v>8.7000000000000001E-5</v>
      </c>
      <c r="N1260" s="249">
        <v>1259</v>
      </c>
    </row>
    <row r="1261" spans="1:14" x14ac:dyDescent="0.25">
      <c r="A1261" s="252" t="s">
        <v>183</v>
      </c>
      <c r="B1261" s="252" t="s">
        <v>3038</v>
      </c>
      <c r="C1261" s="253">
        <v>0</v>
      </c>
      <c r="D1261" s="252">
        <v>50592</v>
      </c>
      <c r="E1261" s="252" t="s">
        <v>1764</v>
      </c>
      <c r="F1261" s="254" t="s">
        <v>3902</v>
      </c>
      <c r="G1261" s="252" t="s">
        <v>2584</v>
      </c>
      <c r="H1261" s="252" t="s">
        <v>4019</v>
      </c>
      <c r="I1261" s="252">
        <v>6</v>
      </c>
      <c r="J1261" s="255">
        <v>1</v>
      </c>
      <c r="K1261" s="255">
        <v>1</v>
      </c>
      <c r="L1261" s="255"/>
      <c r="M1261" s="256">
        <v>8.7900000000000001E-4</v>
      </c>
      <c r="N1261" s="249">
        <v>1260</v>
      </c>
    </row>
    <row r="1262" spans="1:14" x14ac:dyDescent="0.25">
      <c r="A1262" s="252" t="s">
        <v>183</v>
      </c>
      <c r="B1262" s="252" t="s">
        <v>3038</v>
      </c>
      <c r="C1262" s="253">
        <v>0</v>
      </c>
      <c r="D1262" s="252">
        <v>50592</v>
      </c>
      <c r="E1262" s="252" t="s">
        <v>1764</v>
      </c>
      <c r="F1262" s="254" t="s">
        <v>3902</v>
      </c>
      <c r="G1262" s="252" t="s">
        <v>4020</v>
      </c>
      <c r="H1262" s="252" t="s">
        <v>4021</v>
      </c>
      <c r="I1262" s="252">
        <v>6</v>
      </c>
      <c r="J1262" s="255">
        <v>1</v>
      </c>
      <c r="K1262" s="255">
        <v>1</v>
      </c>
      <c r="L1262" s="255"/>
      <c r="M1262" s="256">
        <v>1.8059999999999997E-3</v>
      </c>
      <c r="N1262" s="249">
        <v>1261</v>
      </c>
    </row>
    <row r="1263" spans="1:14" x14ac:dyDescent="0.25">
      <c r="A1263" s="252" t="s">
        <v>183</v>
      </c>
      <c r="B1263" s="252" t="s">
        <v>3038</v>
      </c>
      <c r="C1263" s="253">
        <v>0</v>
      </c>
      <c r="D1263" s="252">
        <v>50592</v>
      </c>
      <c r="E1263" s="252" t="s">
        <v>1764</v>
      </c>
      <c r="F1263" s="254" t="s">
        <v>3902</v>
      </c>
      <c r="G1263" s="252" t="s">
        <v>4022</v>
      </c>
      <c r="H1263" s="252" t="s">
        <v>4023</v>
      </c>
      <c r="I1263" s="252">
        <v>6</v>
      </c>
      <c r="J1263" s="255">
        <v>1</v>
      </c>
      <c r="K1263" s="255">
        <v>1</v>
      </c>
      <c r="L1263" s="255"/>
      <c r="M1263" s="256">
        <v>8.7000000000000001E-5</v>
      </c>
      <c r="N1263" s="249">
        <v>1262</v>
      </c>
    </row>
    <row r="1264" spans="1:14" x14ac:dyDescent="0.25">
      <c r="A1264" s="252" t="s">
        <v>183</v>
      </c>
      <c r="B1264" s="252" t="s">
        <v>3038</v>
      </c>
      <c r="C1264" s="253">
        <v>0</v>
      </c>
      <c r="D1264" s="252">
        <v>50592</v>
      </c>
      <c r="E1264" s="252" t="s">
        <v>1764</v>
      </c>
      <c r="F1264" s="254" t="s">
        <v>3902</v>
      </c>
      <c r="G1264" s="252" t="s">
        <v>4024</v>
      </c>
      <c r="H1264" s="252" t="s">
        <v>4025</v>
      </c>
      <c r="I1264" s="252">
        <v>6</v>
      </c>
      <c r="J1264" s="255">
        <v>1</v>
      </c>
      <c r="K1264" s="255">
        <v>1</v>
      </c>
      <c r="L1264" s="255"/>
      <c r="M1264" s="256">
        <v>4.9199999999999992E-4</v>
      </c>
      <c r="N1264" s="249">
        <v>1263</v>
      </c>
    </row>
    <row r="1265" spans="1:14" x14ac:dyDescent="0.25">
      <c r="A1265" s="252" t="s">
        <v>183</v>
      </c>
      <c r="B1265" s="252" t="s">
        <v>3038</v>
      </c>
      <c r="C1265" s="253">
        <v>0</v>
      </c>
      <c r="D1265" s="252">
        <v>50592</v>
      </c>
      <c r="E1265" s="252" t="s">
        <v>1764</v>
      </c>
      <c r="F1265" s="254" t="s">
        <v>3902</v>
      </c>
      <c r="G1265" s="252" t="s">
        <v>4026</v>
      </c>
      <c r="H1265" s="252" t="s">
        <v>4027</v>
      </c>
      <c r="I1265" s="252">
        <v>6</v>
      </c>
      <c r="J1265" s="255">
        <v>1</v>
      </c>
      <c r="K1265" s="255">
        <v>1</v>
      </c>
      <c r="L1265" s="255"/>
      <c r="M1265" s="256">
        <v>4.9199999999999992E-4</v>
      </c>
      <c r="N1265" s="249">
        <v>1264</v>
      </c>
    </row>
    <row r="1266" spans="1:14" x14ac:dyDescent="0.25">
      <c r="A1266" s="252" t="s">
        <v>183</v>
      </c>
      <c r="B1266" s="252" t="s">
        <v>3038</v>
      </c>
      <c r="C1266" s="253">
        <v>0</v>
      </c>
      <c r="D1266" s="252">
        <v>50592</v>
      </c>
      <c r="E1266" s="252" t="s">
        <v>1764</v>
      </c>
      <c r="F1266" s="254" t="s">
        <v>3902</v>
      </c>
      <c r="G1266" s="252" t="s">
        <v>4028</v>
      </c>
      <c r="H1266" s="252" t="s">
        <v>4029</v>
      </c>
      <c r="I1266" s="252">
        <v>6</v>
      </c>
      <c r="J1266" s="255">
        <v>1</v>
      </c>
      <c r="K1266" s="255">
        <v>1</v>
      </c>
      <c r="L1266" s="255"/>
      <c r="M1266" s="256">
        <v>1.8059999999999997E-3</v>
      </c>
      <c r="N1266" s="249">
        <v>1265</v>
      </c>
    </row>
    <row r="1267" spans="1:14" x14ac:dyDescent="0.25">
      <c r="A1267" s="252" t="s">
        <v>183</v>
      </c>
      <c r="B1267" s="252" t="s">
        <v>3038</v>
      </c>
      <c r="C1267" s="253">
        <v>0</v>
      </c>
      <c r="D1267" s="252">
        <v>50592</v>
      </c>
      <c r="E1267" s="252" t="s">
        <v>1764</v>
      </c>
      <c r="F1267" s="254" t="s">
        <v>3902</v>
      </c>
      <c r="G1267" s="252" t="s">
        <v>4030</v>
      </c>
      <c r="H1267" s="252" t="s">
        <v>4031</v>
      </c>
      <c r="I1267" s="252">
        <v>6</v>
      </c>
      <c r="J1267" s="255">
        <v>1</v>
      </c>
      <c r="K1267" s="255">
        <v>1</v>
      </c>
      <c r="L1267" s="255"/>
      <c r="M1267" s="256">
        <v>8.7000000000000001E-5</v>
      </c>
      <c r="N1267" s="249">
        <v>1266</v>
      </c>
    </row>
    <row r="1268" spans="1:14" x14ac:dyDescent="0.25">
      <c r="A1268" s="252" t="s">
        <v>183</v>
      </c>
      <c r="B1268" s="252" t="s">
        <v>3038</v>
      </c>
      <c r="C1268" s="253">
        <v>0</v>
      </c>
      <c r="D1268" s="252">
        <v>50592</v>
      </c>
      <c r="E1268" s="252" t="s">
        <v>1764</v>
      </c>
      <c r="F1268" s="254" t="s">
        <v>3902</v>
      </c>
      <c r="G1268" s="252" t="s">
        <v>4032</v>
      </c>
      <c r="H1268" s="252" t="s">
        <v>4033</v>
      </c>
      <c r="I1268" s="252">
        <v>6</v>
      </c>
      <c r="J1268" s="255">
        <v>1</v>
      </c>
      <c r="K1268" s="255">
        <v>1</v>
      </c>
      <c r="L1268" s="255"/>
      <c r="M1268" s="256">
        <v>1.6799999999999999E-3</v>
      </c>
      <c r="N1268" s="249">
        <v>1267</v>
      </c>
    </row>
    <row r="1269" spans="1:14" x14ac:dyDescent="0.25">
      <c r="A1269" s="252" t="s">
        <v>183</v>
      </c>
      <c r="B1269" s="252" t="s">
        <v>3038</v>
      </c>
      <c r="C1269" s="253">
        <v>0</v>
      </c>
      <c r="D1269" s="252">
        <v>50592</v>
      </c>
      <c r="E1269" s="252" t="s">
        <v>1764</v>
      </c>
      <c r="F1269" s="254" t="s">
        <v>3902</v>
      </c>
      <c r="G1269" s="252" t="s">
        <v>4034</v>
      </c>
      <c r="H1269" s="252" t="s">
        <v>4035</v>
      </c>
      <c r="I1269" s="252">
        <v>6</v>
      </c>
      <c r="J1269" s="255">
        <v>1</v>
      </c>
      <c r="K1269" s="255">
        <v>1</v>
      </c>
      <c r="L1269" s="255"/>
      <c r="M1269" s="256">
        <v>1.8059999999999997E-3</v>
      </c>
      <c r="N1269" s="249">
        <v>1268</v>
      </c>
    </row>
    <row r="1270" spans="1:14" x14ac:dyDescent="0.25">
      <c r="A1270" s="252" t="s">
        <v>183</v>
      </c>
      <c r="B1270" s="252" t="s">
        <v>3038</v>
      </c>
      <c r="C1270" s="253">
        <v>0</v>
      </c>
      <c r="D1270" s="252">
        <v>50592</v>
      </c>
      <c r="E1270" s="252" t="s">
        <v>1764</v>
      </c>
      <c r="F1270" s="254" t="s">
        <v>3902</v>
      </c>
      <c r="G1270" s="252" t="s">
        <v>4036</v>
      </c>
      <c r="H1270" s="252" t="s">
        <v>4037</v>
      </c>
      <c r="I1270" s="252">
        <v>6</v>
      </c>
      <c r="J1270" s="255">
        <v>1</v>
      </c>
      <c r="K1270" s="255">
        <v>1</v>
      </c>
      <c r="L1270" s="255"/>
      <c r="M1270" s="256">
        <v>8.7000000000000001E-5</v>
      </c>
      <c r="N1270" s="249">
        <v>1269</v>
      </c>
    </row>
    <row r="1271" spans="1:14" x14ac:dyDescent="0.25">
      <c r="A1271" s="252" t="s">
        <v>183</v>
      </c>
      <c r="B1271" s="252" t="s">
        <v>3038</v>
      </c>
      <c r="C1271" s="253">
        <v>0</v>
      </c>
      <c r="D1271" s="252">
        <v>50592</v>
      </c>
      <c r="E1271" s="252" t="s">
        <v>1764</v>
      </c>
      <c r="F1271" s="254" t="s">
        <v>3902</v>
      </c>
      <c r="G1271" s="252" t="s">
        <v>4038</v>
      </c>
      <c r="H1271" s="252" t="s">
        <v>4039</v>
      </c>
      <c r="I1271" s="252">
        <v>6</v>
      </c>
      <c r="J1271" s="255">
        <v>1</v>
      </c>
      <c r="K1271" s="255">
        <v>1</v>
      </c>
      <c r="L1271" s="255"/>
      <c r="M1271" s="256">
        <v>9.9599999999999992E-4</v>
      </c>
      <c r="N1271" s="249">
        <v>1270</v>
      </c>
    </row>
    <row r="1272" spans="1:14" x14ac:dyDescent="0.25">
      <c r="A1272" s="252" t="s">
        <v>183</v>
      </c>
      <c r="B1272" s="252" t="s">
        <v>3038</v>
      </c>
      <c r="C1272" s="253">
        <v>0</v>
      </c>
      <c r="D1272" s="252">
        <v>50592</v>
      </c>
      <c r="E1272" s="252" t="s">
        <v>1764</v>
      </c>
      <c r="F1272" s="254" t="s">
        <v>3902</v>
      </c>
      <c r="G1272" s="252" t="s">
        <v>4040</v>
      </c>
      <c r="H1272" s="252" t="s">
        <v>4041</v>
      </c>
      <c r="I1272" s="252">
        <v>6</v>
      </c>
      <c r="J1272" s="255">
        <v>1</v>
      </c>
      <c r="K1272" s="255">
        <v>1</v>
      </c>
      <c r="L1272" s="255"/>
      <c r="M1272" s="256">
        <v>9.9599999999999992E-4</v>
      </c>
      <c r="N1272" s="249">
        <v>1271</v>
      </c>
    </row>
    <row r="1273" spans="1:14" x14ac:dyDescent="0.25">
      <c r="A1273" s="252" t="s">
        <v>183</v>
      </c>
      <c r="B1273" s="252" t="s">
        <v>3038</v>
      </c>
      <c r="C1273" s="253">
        <v>0</v>
      </c>
      <c r="D1273" s="252">
        <v>50592</v>
      </c>
      <c r="E1273" s="252" t="s">
        <v>1764</v>
      </c>
      <c r="F1273" s="254" t="s">
        <v>3902</v>
      </c>
      <c r="G1273" s="252" t="s">
        <v>4042</v>
      </c>
      <c r="H1273" s="252" t="s">
        <v>4043</v>
      </c>
      <c r="I1273" s="252">
        <v>6</v>
      </c>
      <c r="J1273" s="255">
        <v>1</v>
      </c>
      <c r="K1273" s="255">
        <v>1</v>
      </c>
      <c r="L1273" s="255"/>
      <c r="M1273" s="256">
        <v>1.8059999999999997E-3</v>
      </c>
      <c r="N1273" s="249">
        <v>1272</v>
      </c>
    </row>
    <row r="1274" spans="1:14" x14ac:dyDescent="0.25">
      <c r="A1274" s="252" t="s">
        <v>183</v>
      </c>
      <c r="B1274" s="252" t="s">
        <v>3038</v>
      </c>
      <c r="C1274" s="253">
        <v>0</v>
      </c>
      <c r="D1274" s="252">
        <v>50592</v>
      </c>
      <c r="E1274" s="252" t="s">
        <v>1764</v>
      </c>
      <c r="F1274" s="254" t="s">
        <v>3902</v>
      </c>
      <c r="G1274" s="252" t="s">
        <v>4044</v>
      </c>
      <c r="H1274" s="252" t="s">
        <v>4045</v>
      </c>
      <c r="I1274" s="252">
        <v>6</v>
      </c>
      <c r="J1274" s="255">
        <v>1</v>
      </c>
      <c r="K1274" s="255">
        <v>1</v>
      </c>
      <c r="L1274" s="255"/>
      <c r="M1274" s="256">
        <v>8.7000000000000001E-5</v>
      </c>
      <c r="N1274" s="249">
        <v>1273</v>
      </c>
    </row>
    <row r="1275" spans="1:14" x14ac:dyDescent="0.25">
      <c r="A1275" s="252" t="s">
        <v>183</v>
      </c>
      <c r="B1275" s="252" t="s">
        <v>3038</v>
      </c>
      <c r="C1275" s="253">
        <v>0</v>
      </c>
      <c r="D1275" s="252">
        <v>50592</v>
      </c>
      <c r="E1275" s="252" t="s">
        <v>1764</v>
      </c>
      <c r="F1275" s="254" t="s">
        <v>3902</v>
      </c>
      <c r="G1275" s="252" t="s">
        <v>4046</v>
      </c>
      <c r="H1275" s="252" t="s">
        <v>4047</v>
      </c>
      <c r="I1275" s="252">
        <v>6</v>
      </c>
      <c r="J1275" s="255">
        <v>1</v>
      </c>
      <c r="K1275" s="255">
        <v>1</v>
      </c>
      <c r="L1275" s="255"/>
      <c r="M1275" s="256">
        <v>3.5729999999999998E-3</v>
      </c>
      <c r="N1275" s="249">
        <v>1274</v>
      </c>
    </row>
    <row r="1276" spans="1:14" x14ac:dyDescent="0.25">
      <c r="A1276" s="252" t="s">
        <v>183</v>
      </c>
      <c r="B1276" s="252" t="s">
        <v>3038</v>
      </c>
      <c r="C1276" s="253">
        <v>0</v>
      </c>
      <c r="D1276" s="252">
        <v>50592</v>
      </c>
      <c r="E1276" s="252" t="s">
        <v>1764</v>
      </c>
      <c r="F1276" s="254" t="s">
        <v>3902</v>
      </c>
      <c r="G1276" s="252" t="s">
        <v>4048</v>
      </c>
      <c r="H1276" s="252" t="s">
        <v>4049</v>
      </c>
      <c r="I1276" s="252">
        <v>6</v>
      </c>
      <c r="J1276" s="255">
        <v>1</v>
      </c>
      <c r="K1276" s="255">
        <v>1</v>
      </c>
      <c r="L1276" s="255"/>
      <c r="M1276" s="256">
        <v>8.7000000000000001E-5</v>
      </c>
      <c r="N1276" s="249">
        <v>1275</v>
      </c>
    </row>
    <row r="1277" spans="1:14" x14ac:dyDescent="0.25">
      <c r="A1277" s="252" t="s">
        <v>183</v>
      </c>
      <c r="B1277" s="252" t="s">
        <v>3038</v>
      </c>
      <c r="C1277" s="253">
        <v>0</v>
      </c>
      <c r="D1277" s="252">
        <v>50592</v>
      </c>
      <c r="E1277" s="252" t="s">
        <v>1764</v>
      </c>
      <c r="F1277" s="254" t="s">
        <v>3902</v>
      </c>
      <c r="G1277" s="252" t="s">
        <v>4050</v>
      </c>
      <c r="H1277" s="252" t="s">
        <v>4051</v>
      </c>
      <c r="I1277" s="252">
        <v>6</v>
      </c>
      <c r="J1277" s="255">
        <v>1</v>
      </c>
      <c r="K1277" s="255">
        <v>1</v>
      </c>
      <c r="L1277" s="255"/>
      <c r="M1277" s="256">
        <v>5.9099999999999995E-4</v>
      </c>
      <c r="N1277" s="249">
        <v>1276</v>
      </c>
    </row>
    <row r="1278" spans="1:14" x14ac:dyDescent="0.25">
      <c r="A1278" s="252" t="s">
        <v>183</v>
      </c>
      <c r="B1278" s="252" t="s">
        <v>3038</v>
      </c>
      <c r="C1278" s="253">
        <v>0</v>
      </c>
      <c r="D1278" s="252">
        <v>50592</v>
      </c>
      <c r="E1278" s="252" t="s">
        <v>1764</v>
      </c>
      <c r="F1278" s="254" t="s">
        <v>3902</v>
      </c>
      <c r="G1278" s="252" t="s">
        <v>4052</v>
      </c>
      <c r="H1278" s="252" t="s">
        <v>4053</v>
      </c>
      <c r="I1278" s="252">
        <v>6</v>
      </c>
      <c r="J1278" s="255">
        <v>1</v>
      </c>
      <c r="K1278" s="255">
        <v>1</v>
      </c>
      <c r="L1278" s="255"/>
      <c r="M1278" s="256">
        <v>8.5499999999999997E-4</v>
      </c>
      <c r="N1278" s="249">
        <v>1277</v>
      </c>
    </row>
    <row r="1279" spans="1:14" x14ac:dyDescent="0.25">
      <c r="A1279" s="252" t="s">
        <v>183</v>
      </c>
      <c r="B1279" s="252" t="s">
        <v>3038</v>
      </c>
      <c r="C1279" s="253">
        <v>0</v>
      </c>
      <c r="D1279" s="252">
        <v>50592</v>
      </c>
      <c r="E1279" s="252" t="s">
        <v>1764</v>
      </c>
      <c r="F1279" s="254" t="s">
        <v>3902</v>
      </c>
      <c r="G1279" s="252" t="s">
        <v>4054</v>
      </c>
      <c r="H1279" s="252" t="s">
        <v>4055</v>
      </c>
      <c r="I1279" s="252">
        <v>6</v>
      </c>
      <c r="J1279" s="255">
        <v>1</v>
      </c>
      <c r="K1279" s="255">
        <v>1</v>
      </c>
      <c r="L1279" s="255"/>
      <c r="M1279" s="256">
        <v>1.1970000000000001E-3</v>
      </c>
      <c r="N1279" s="249">
        <v>1278</v>
      </c>
    </row>
    <row r="1280" spans="1:14" x14ac:dyDescent="0.25">
      <c r="A1280" s="252" t="s">
        <v>183</v>
      </c>
      <c r="B1280" s="252" t="s">
        <v>3038</v>
      </c>
      <c r="C1280" s="253">
        <v>0</v>
      </c>
      <c r="D1280" s="252">
        <v>50592</v>
      </c>
      <c r="E1280" s="252" t="s">
        <v>1764</v>
      </c>
      <c r="F1280" s="254" t="s">
        <v>3902</v>
      </c>
      <c r="G1280" s="252" t="s">
        <v>4056</v>
      </c>
      <c r="H1280" s="252" t="s">
        <v>4057</v>
      </c>
      <c r="I1280" s="252">
        <v>6</v>
      </c>
      <c r="J1280" s="255">
        <v>1</v>
      </c>
      <c r="K1280" s="255">
        <v>1</v>
      </c>
      <c r="L1280" s="255"/>
      <c r="M1280" s="256">
        <v>8.7000000000000001E-5</v>
      </c>
      <c r="N1280" s="249">
        <v>1279</v>
      </c>
    </row>
    <row r="1281" spans="1:14" x14ac:dyDescent="0.25">
      <c r="A1281" s="252" t="s">
        <v>183</v>
      </c>
      <c r="B1281" s="252" t="s">
        <v>3038</v>
      </c>
      <c r="C1281" s="253">
        <v>0</v>
      </c>
      <c r="D1281" s="252">
        <v>50592</v>
      </c>
      <c r="E1281" s="252" t="s">
        <v>1764</v>
      </c>
      <c r="F1281" s="254" t="s">
        <v>3902</v>
      </c>
      <c r="G1281" s="252" t="s">
        <v>4058</v>
      </c>
      <c r="H1281" s="252" t="s">
        <v>4059</v>
      </c>
      <c r="I1281" s="252">
        <v>6</v>
      </c>
      <c r="J1281" s="255">
        <v>1</v>
      </c>
      <c r="K1281" s="255">
        <v>1</v>
      </c>
      <c r="L1281" s="255"/>
      <c r="M1281" s="256">
        <v>1.8059999999999997E-3</v>
      </c>
      <c r="N1281" s="249">
        <v>1280</v>
      </c>
    </row>
    <row r="1282" spans="1:14" x14ac:dyDescent="0.25">
      <c r="A1282" s="252" t="s">
        <v>183</v>
      </c>
      <c r="B1282" s="252" t="s">
        <v>3038</v>
      </c>
      <c r="C1282" s="253">
        <v>0</v>
      </c>
      <c r="D1282" s="252">
        <v>50592</v>
      </c>
      <c r="E1282" s="252" t="s">
        <v>1764</v>
      </c>
      <c r="F1282" s="254" t="s">
        <v>3902</v>
      </c>
      <c r="G1282" s="252" t="s">
        <v>4060</v>
      </c>
      <c r="H1282" s="252" t="s">
        <v>4061</v>
      </c>
      <c r="I1282" s="252">
        <v>6</v>
      </c>
      <c r="J1282" s="255">
        <v>1</v>
      </c>
      <c r="K1282" s="255">
        <v>1</v>
      </c>
      <c r="L1282" s="255"/>
      <c r="M1282" s="256">
        <v>8.5499999999999997E-4</v>
      </c>
      <c r="N1282" s="249">
        <v>1281</v>
      </c>
    </row>
    <row r="1283" spans="1:14" x14ac:dyDescent="0.25">
      <c r="A1283" s="252" t="s">
        <v>183</v>
      </c>
      <c r="B1283" s="252" t="s">
        <v>3038</v>
      </c>
      <c r="C1283" s="253">
        <v>0</v>
      </c>
      <c r="D1283" s="252">
        <v>50592</v>
      </c>
      <c r="E1283" s="252" t="s">
        <v>1764</v>
      </c>
      <c r="F1283" s="254" t="s">
        <v>3902</v>
      </c>
      <c r="G1283" s="252" t="s">
        <v>4062</v>
      </c>
      <c r="H1283" s="252" t="s">
        <v>4063</v>
      </c>
      <c r="I1283" s="252">
        <v>6</v>
      </c>
      <c r="J1283" s="255">
        <v>1</v>
      </c>
      <c r="K1283" s="255">
        <v>1</v>
      </c>
      <c r="L1283" s="255"/>
      <c r="M1283" s="256">
        <v>8.7000000000000001E-5</v>
      </c>
      <c r="N1283" s="249">
        <v>1282</v>
      </c>
    </row>
    <row r="1284" spans="1:14" x14ac:dyDescent="0.25">
      <c r="A1284" s="252" t="s">
        <v>183</v>
      </c>
      <c r="B1284" s="252" t="s">
        <v>3038</v>
      </c>
      <c r="C1284" s="253">
        <v>0</v>
      </c>
      <c r="D1284" s="252">
        <v>50592</v>
      </c>
      <c r="E1284" s="252" t="s">
        <v>1764</v>
      </c>
      <c r="F1284" s="254" t="s">
        <v>3902</v>
      </c>
      <c r="G1284" s="252" t="s">
        <v>4064</v>
      </c>
      <c r="H1284" s="252" t="s">
        <v>4065</v>
      </c>
      <c r="I1284" s="252">
        <v>6</v>
      </c>
      <c r="J1284" s="255">
        <v>1</v>
      </c>
      <c r="K1284" s="255">
        <v>1</v>
      </c>
      <c r="L1284" s="255"/>
      <c r="M1284" s="256">
        <v>1.7759999999999998E-3</v>
      </c>
      <c r="N1284" s="249">
        <v>1283</v>
      </c>
    </row>
    <row r="1285" spans="1:14" x14ac:dyDescent="0.25">
      <c r="A1285" s="252" t="s">
        <v>183</v>
      </c>
      <c r="B1285" s="252" t="s">
        <v>3038</v>
      </c>
      <c r="C1285" s="253">
        <v>0</v>
      </c>
      <c r="D1285" s="252">
        <v>50592</v>
      </c>
      <c r="E1285" s="252" t="s">
        <v>1764</v>
      </c>
      <c r="F1285" s="254" t="s">
        <v>3902</v>
      </c>
      <c r="G1285" s="252" t="s">
        <v>4066</v>
      </c>
      <c r="H1285" s="252" t="s">
        <v>4067</v>
      </c>
      <c r="I1285" s="252">
        <v>6</v>
      </c>
      <c r="J1285" s="255">
        <v>1</v>
      </c>
      <c r="K1285" s="255">
        <v>1</v>
      </c>
      <c r="L1285" s="255"/>
      <c r="M1285" s="256">
        <v>8.7000000000000001E-5</v>
      </c>
      <c r="N1285" s="249">
        <v>1284</v>
      </c>
    </row>
    <row r="1286" spans="1:14" x14ac:dyDescent="0.25">
      <c r="A1286" s="252" t="s">
        <v>183</v>
      </c>
      <c r="B1286" s="252" t="s">
        <v>3038</v>
      </c>
      <c r="C1286" s="253">
        <v>0</v>
      </c>
      <c r="D1286" s="252">
        <v>50592</v>
      </c>
      <c r="E1286" s="252" t="s">
        <v>1764</v>
      </c>
      <c r="F1286" s="254" t="s">
        <v>3902</v>
      </c>
      <c r="G1286" s="252" t="s">
        <v>4068</v>
      </c>
      <c r="H1286" s="252" t="s">
        <v>4069</v>
      </c>
      <c r="I1286" s="252">
        <v>6</v>
      </c>
      <c r="J1286" s="255">
        <v>1</v>
      </c>
      <c r="K1286" s="255">
        <v>1</v>
      </c>
      <c r="L1286" s="255"/>
      <c r="M1286" s="256">
        <v>1.7759999999999998E-3</v>
      </c>
      <c r="N1286" s="249">
        <v>1285</v>
      </c>
    </row>
    <row r="1287" spans="1:14" x14ac:dyDescent="0.25">
      <c r="A1287" s="252" t="s">
        <v>183</v>
      </c>
      <c r="B1287" s="252" t="s">
        <v>3038</v>
      </c>
      <c r="C1287" s="253">
        <v>0</v>
      </c>
      <c r="D1287" s="252">
        <v>50592</v>
      </c>
      <c r="E1287" s="252" t="s">
        <v>1764</v>
      </c>
      <c r="F1287" s="254" t="s">
        <v>3902</v>
      </c>
      <c r="G1287" s="252" t="s">
        <v>4070</v>
      </c>
      <c r="H1287" s="252" t="s">
        <v>4071</v>
      </c>
      <c r="I1287" s="252">
        <v>6</v>
      </c>
      <c r="J1287" s="255">
        <v>1</v>
      </c>
      <c r="K1287" s="255">
        <v>1</v>
      </c>
      <c r="L1287" s="255"/>
      <c r="M1287" s="256">
        <v>5.7899999999999998E-4</v>
      </c>
      <c r="N1287" s="249">
        <v>1286</v>
      </c>
    </row>
    <row r="1288" spans="1:14" x14ac:dyDescent="0.25">
      <c r="A1288" s="252" t="s">
        <v>183</v>
      </c>
      <c r="B1288" s="252" t="s">
        <v>3038</v>
      </c>
      <c r="C1288" s="253">
        <v>0</v>
      </c>
      <c r="D1288" s="252">
        <v>50592</v>
      </c>
      <c r="E1288" s="252" t="s">
        <v>1764</v>
      </c>
      <c r="F1288" s="254" t="s">
        <v>3902</v>
      </c>
      <c r="G1288" s="252" t="s">
        <v>4072</v>
      </c>
      <c r="H1288" s="252" t="s">
        <v>4073</v>
      </c>
      <c r="I1288" s="252">
        <v>6</v>
      </c>
      <c r="J1288" s="255">
        <v>1</v>
      </c>
      <c r="K1288" s="255">
        <v>1</v>
      </c>
      <c r="L1288" s="255"/>
      <c r="M1288" s="256">
        <v>8.5199999999999989E-4</v>
      </c>
      <c r="N1288" s="249">
        <v>1287</v>
      </c>
    </row>
    <row r="1289" spans="1:14" x14ac:dyDescent="0.25">
      <c r="A1289" s="252" t="s">
        <v>183</v>
      </c>
      <c r="B1289" s="252" t="s">
        <v>3038</v>
      </c>
      <c r="C1289" s="253">
        <v>0</v>
      </c>
      <c r="D1289" s="252">
        <v>50592</v>
      </c>
      <c r="E1289" s="252" t="s">
        <v>1764</v>
      </c>
      <c r="F1289" s="254" t="s">
        <v>3902</v>
      </c>
      <c r="G1289" s="252" t="s">
        <v>4074</v>
      </c>
      <c r="H1289" s="252" t="s">
        <v>4075</v>
      </c>
      <c r="I1289" s="252">
        <v>6</v>
      </c>
      <c r="J1289" s="255">
        <v>1</v>
      </c>
      <c r="K1289" s="255">
        <v>1</v>
      </c>
      <c r="L1289" s="255"/>
      <c r="M1289" s="256">
        <v>8.5199999999999989E-4</v>
      </c>
      <c r="N1289" s="249">
        <v>1288</v>
      </c>
    </row>
    <row r="1290" spans="1:14" x14ac:dyDescent="0.25">
      <c r="A1290" s="252" t="s">
        <v>183</v>
      </c>
      <c r="B1290" s="252" t="s">
        <v>3038</v>
      </c>
      <c r="C1290" s="253">
        <v>0</v>
      </c>
      <c r="D1290" s="252">
        <v>50592</v>
      </c>
      <c r="E1290" s="252" t="s">
        <v>1764</v>
      </c>
      <c r="F1290" s="254" t="s">
        <v>3902</v>
      </c>
      <c r="G1290" s="252" t="s">
        <v>4076</v>
      </c>
      <c r="H1290" s="252" t="s">
        <v>4077</v>
      </c>
      <c r="I1290" s="252">
        <v>6</v>
      </c>
      <c r="J1290" s="255">
        <v>1</v>
      </c>
      <c r="K1290" s="255">
        <v>1</v>
      </c>
      <c r="L1290" s="255"/>
      <c r="M1290" s="256">
        <v>2.1299999999999997E-4</v>
      </c>
      <c r="N1290" s="249">
        <v>1289</v>
      </c>
    </row>
    <row r="1291" spans="1:14" x14ac:dyDescent="0.25">
      <c r="A1291" s="252" t="s">
        <v>183</v>
      </c>
      <c r="B1291" s="252" t="s">
        <v>3038</v>
      </c>
      <c r="C1291" s="253">
        <v>0</v>
      </c>
      <c r="D1291" s="252">
        <v>50592</v>
      </c>
      <c r="E1291" s="252" t="s">
        <v>1764</v>
      </c>
      <c r="F1291" s="254" t="s">
        <v>3902</v>
      </c>
      <c r="G1291" s="252" t="s">
        <v>4078</v>
      </c>
      <c r="H1291" s="252" t="s">
        <v>4079</v>
      </c>
      <c r="I1291" s="252">
        <v>6</v>
      </c>
      <c r="J1291" s="255">
        <v>1</v>
      </c>
      <c r="K1291" s="255">
        <v>1</v>
      </c>
      <c r="L1291" s="255"/>
      <c r="M1291" s="256">
        <v>5.7899999999999998E-4</v>
      </c>
      <c r="N1291" s="249">
        <v>1290</v>
      </c>
    </row>
    <row r="1292" spans="1:14" x14ac:dyDescent="0.25">
      <c r="A1292" s="252" t="s">
        <v>183</v>
      </c>
      <c r="B1292" s="252" t="s">
        <v>3038</v>
      </c>
      <c r="C1292" s="253">
        <v>0</v>
      </c>
      <c r="D1292" s="252">
        <v>50592</v>
      </c>
      <c r="E1292" s="252" t="s">
        <v>1764</v>
      </c>
      <c r="F1292" s="254" t="s">
        <v>3902</v>
      </c>
      <c r="G1292" s="252" t="s">
        <v>4080</v>
      </c>
      <c r="H1292" s="252" t="s">
        <v>4081</v>
      </c>
      <c r="I1292" s="252">
        <v>6</v>
      </c>
      <c r="J1292" s="255">
        <v>1</v>
      </c>
      <c r="K1292" s="255">
        <v>1</v>
      </c>
      <c r="L1292" s="255"/>
      <c r="M1292" s="256">
        <v>8.7000000000000001E-5</v>
      </c>
      <c r="N1292" s="249">
        <v>1291</v>
      </c>
    </row>
    <row r="1293" spans="1:14" x14ac:dyDescent="0.25">
      <c r="A1293" s="252" t="s">
        <v>183</v>
      </c>
      <c r="B1293" s="252" t="s">
        <v>3038</v>
      </c>
      <c r="C1293" s="253">
        <v>0</v>
      </c>
      <c r="D1293" s="252">
        <v>50592</v>
      </c>
      <c r="E1293" s="252" t="s">
        <v>1764</v>
      </c>
      <c r="F1293" s="254" t="s">
        <v>3902</v>
      </c>
      <c r="G1293" s="252" t="s">
        <v>4082</v>
      </c>
      <c r="H1293" s="252" t="s">
        <v>4083</v>
      </c>
      <c r="I1293" s="252">
        <v>6</v>
      </c>
      <c r="J1293" s="255">
        <v>1</v>
      </c>
      <c r="K1293" s="255">
        <v>1</v>
      </c>
      <c r="L1293" s="255"/>
      <c r="M1293" s="256">
        <v>1.7759999999999998E-3</v>
      </c>
      <c r="N1293" s="249">
        <v>1292</v>
      </c>
    </row>
    <row r="1294" spans="1:14" x14ac:dyDescent="0.25">
      <c r="A1294" s="252" t="s">
        <v>183</v>
      </c>
      <c r="B1294" s="252" t="s">
        <v>3038</v>
      </c>
      <c r="C1294" s="253">
        <v>0</v>
      </c>
      <c r="D1294" s="252">
        <v>50592</v>
      </c>
      <c r="E1294" s="252" t="s">
        <v>1764</v>
      </c>
      <c r="F1294" s="254" t="s">
        <v>3902</v>
      </c>
      <c r="G1294" s="252" t="s">
        <v>4084</v>
      </c>
      <c r="H1294" s="252" t="s">
        <v>4085</v>
      </c>
      <c r="I1294" s="252">
        <v>6</v>
      </c>
      <c r="J1294" s="255">
        <v>1</v>
      </c>
      <c r="K1294" s="255">
        <v>1</v>
      </c>
      <c r="L1294" s="255"/>
      <c r="M1294" s="256">
        <v>8.7000000000000001E-5</v>
      </c>
      <c r="N1294" s="249">
        <v>1293</v>
      </c>
    </row>
    <row r="1295" spans="1:14" x14ac:dyDescent="0.25">
      <c r="A1295" s="252" t="s">
        <v>183</v>
      </c>
      <c r="B1295" s="252" t="s">
        <v>3038</v>
      </c>
      <c r="C1295" s="253">
        <v>0</v>
      </c>
      <c r="D1295" s="252">
        <v>50592</v>
      </c>
      <c r="E1295" s="252" t="s">
        <v>1764</v>
      </c>
      <c r="F1295" s="254" t="s">
        <v>3902</v>
      </c>
      <c r="G1295" s="252" t="s">
        <v>4086</v>
      </c>
      <c r="H1295" s="252" t="s">
        <v>4087</v>
      </c>
      <c r="I1295" s="252">
        <v>6</v>
      </c>
      <c r="J1295" s="255">
        <v>1</v>
      </c>
      <c r="K1295" s="255">
        <v>1</v>
      </c>
      <c r="L1295" s="255"/>
      <c r="M1295" s="256">
        <v>1.7759999999999998E-3</v>
      </c>
      <c r="N1295" s="249">
        <v>1294</v>
      </c>
    </row>
    <row r="1296" spans="1:14" x14ac:dyDescent="0.25">
      <c r="A1296" s="252" t="s">
        <v>183</v>
      </c>
      <c r="B1296" s="252" t="s">
        <v>3038</v>
      </c>
      <c r="C1296" s="253">
        <v>0</v>
      </c>
      <c r="D1296" s="252">
        <v>50592</v>
      </c>
      <c r="E1296" s="252" t="s">
        <v>1764</v>
      </c>
      <c r="F1296" s="254" t="s">
        <v>3902</v>
      </c>
      <c r="G1296" s="252" t="s">
        <v>4088</v>
      </c>
      <c r="H1296" s="252" t="s">
        <v>4089</v>
      </c>
      <c r="I1296" s="252">
        <v>6</v>
      </c>
      <c r="J1296" s="255">
        <v>1</v>
      </c>
      <c r="K1296" s="255">
        <v>1</v>
      </c>
      <c r="L1296" s="255"/>
      <c r="M1296" s="256">
        <v>1.2149999999999999E-3</v>
      </c>
      <c r="N1296" s="249">
        <v>1295</v>
      </c>
    </row>
    <row r="1297" spans="1:14" x14ac:dyDescent="0.25">
      <c r="A1297" s="252" t="s">
        <v>183</v>
      </c>
      <c r="B1297" s="252" t="s">
        <v>3038</v>
      </c>
      <c r="C1297" s="253">
        <v>0</v>
      </c>
      <c r="D1297" s="252">
        <v>50592</v>
      </c>
      <c r="E1297" s="252" t="s">
        <v>1764</v>
      </c>
      <c r="F1297" s="254" t="s">
        <v>3902</v>
      </c>
      <c r="G1297" s="252" t="s">
        <v>4090</v>
      </c>
      <c r="H1297" s="252" t="s">
        <v>4091</v>
      </c>
      <c r="I1297" s="252">
        <v>6</v>
      </c>
      <c r="J1297" s="255">
        <v>1</v>
      </c>
      <c r="K1297" s="255">
        <v>1</v>
      </c>
      <c r="L1297" s="255"/>
      <c r="M1297" s="256">
        <v>2.4299999999999999E-3</v>
      </c>
      <c r="N1297" s="249">
        <v>1296</v>
      </c>
    </row>
    <row r="1298" spans="1:14" x14ac:dyDescent="0.25">
      <c r="A1298" s="252" t="s">
        <v>183</v>
      </c>
      <c r="B1298" s="252" t="s">
        <v>3038</v>
      </c>
      <c r="C1298" s="253">
        <v>0</v>
      </c>
      <c r="D1298" s="252">
        <v>50592</v>
      </c>
      <c r="E1298" s="252" t="s">
        <v>1764</v>
      </c>
      <c r="F1298" s="254" t="s">
        <v>3902</v>
      </c>
      <c r="G1298" s="252" t="s">
        <v>4092</v>
      </c>
      <c r="H1298" s="252" t="s">
        <v>4093</v>
      </c>
      <c r="I1298" s="252">
        <v>6</v>
      </c>
      <c r="J1298" s="255">
        <v>1</v>
      </c>
      <c r="K1298" s="255">
        <v>1</v>
      </c>
      <c r="L1298" s="255"/>
      <c r="M1298" s="256">
        <v>7.6499999999999995E-4</v>
      </c>
      <c r="N1298" s="249">
        <v>1297</v>
      </c>
    </row>
    <row r="1299" spans="1:14" x14ac:dyDescent="0.25">
      <c r="A1299" s="252" t="s">
        <v>183</v>
      </c>
      <c r="B1299" s="252" t="s">
        <v>3038</v>
      </c>
      <c r="C1299" s="253">
        <v>0</v>
      </c>
      <c r="D1299" s="252">
        <v>50592</v>
      </c>
      <c r="E1299" s="252" t="s">
        <v>1764</v>
      </c>
      <c r="F1299" s="254" t="s">
        <v>3902</v>
      </c>
      <c r="G1299" s="252" t="s">
        <v>4094</v>
      </c>
      <c r="H1299" s="252" t="s">
        <v>4095</v>
      </c>
      <c r="I1299" s="252">
        <v>6</v>
      </c>
      <c r="J1299" s="255">
        <v>1</v>
      </c>
      <c r="K1299" s="255">
        <v>1</v>
      </c>
      <c r="L1299" s="255"/>
      <c r="M1299" s="256">
        <v>7.6499999999999995E-4</v>
      </c>
      <c r="N1299" s="249">
        <v>1298</v>
      </c>
    </row>
    <row r="1300" spans="1:14" x14ac:dyDescent="0.25">
      <c r="A1300" s="252" t="s">
        <v>183</v>
      </c>
      <c r="B1300" s="252" t="s">
        <v>3038</v>
      </c>
      <c r="C1300" s="253">
        <v>0</v>
      </c>
      <c r="D1300" s="252">
        <v>50592</v>
      </c>
      <c r="E1300" s="252" t="s">
        <v>1764</v>
      </c>
      <c r="F1300" s="254" t="s">
        <v>3902</v>
      </c>
      <c r="G1300" s="252" t="s">
        <v>4096</v>
      </c>
      <c r="H1300" s="252" t="s">
        <v>4097</v>
      </c>
      <c r="I1300" s="252">
        <v>6</v>
      </c>
      <c r="J1300" s="255">
        <v>1</v>
      </c>
      <c r="K1300" s="255">
        <v>1</v>
      </c>
      <c r="L1300" s="255"/>
      <c r="M1300" s="256">
        <v>2.4899999999999998E-4</v>
      </c>
      <c r="N1300" s="249">
        <v>1299</v>
      </c>
    </row>
    <row r="1301" spans="1:14" x14ac:dyDescent="0.25">
      <c r="A1301" s="252" t="s">
        <v>183</v>
      </c>
      <c r="B1301" s="252" t="s">
        <v>3038</v>
      </c>
      <c r="C1301" s="253">
        <v>0</v>
      </c>
      <c r="D1301" s="252">
        <v>50592</v>
      </c>
      <c r="E1301" s="252" t="s">
        <v>1764</v>
      </c>
      <c r="F1301" s="254" t="s">
        <v>3902</v>
      </c>
      <c r="G1301" s="252" t="s">
        <v>4098</v>
      </c>
      <c r="H1301" s="252" t="s">
        <v>4099</v>
      </c>
      <c r="I1301" s="252">
        <v>6</v>
      </c>
      <c r="J1301" s="255">
        <v>1</v>
      </c>
      <c r="K1301" s="255">
        <v>1</v>
      </c>
      <c r="L1301" s="255"/>
      <c r="M1301" s="256">
        <v>4.4999999999999999E-4</v>
      </c>
      <c r="N1301" s="249">
        <v>1300</v>
      </c>
    </row>
    <row r="1302" spans="1:14" x14ac:dyDescent="0.25">
      <c r="A1302" s="252" t="s">
        <v>183</v>
      </c>
      <c r="B1302" s="252" t="s">
        <v>3038</v>
      </c>
      <c r="C1302" s="253">
        <v>0</v>
      </c>
      <c r="D1302" s="252">
        <v>50592</v>
      </c>
      <c r="E1302" s="252" t="s">
        <v>1764</v>
      </c>
      <c r="F1302" s="254" t="s">
        <v>3902</v>
      </c>
      <c r="G1302" s="252" t="s">
        <v>4100</v>
      </c>
      <c r="H1302" s="252" t="s">
        <v>4101</v>
      </c>
      <c r="I1302" s="252">
        <v>6</v>
      </c>
      <c r="J1302" s="255">
        <v>1</v>
      </c>
      <c r="K1302" s="255">
        <v>1</v>
      </c>
      <c r="L1302" s="255"/>
      <c r="M1302" s="256">
        <v>2.0999999999999998E-4</v>
      </c>
      <c r="N1302" s="249">
        <v>1301</v>
      </c>
    </row>
    <row r="1303" spans="1:14" x14ac:dyDescent="0.25">
      <c r="A1303" s="252" t="s">
        <v>183</v>
      </c>
      <c r="B1303" s="252" t="s">
        <v>3038</v>
      </c>
      <c r="C1303" s="253">
        <v>0</v>
      </c>
      <c r="D1303" s="252">
        <v>50592</v>
      </c>
      <c r="E1303" s="252" t="s">
        <v>97</v>
      </c>
      <c r="F1303" s="254" t="s">
        <v>3902</v>
      </c>
      <c r="G1303" s="252" t="s">
        <v>4102</v>
      </c>
      <c r="H1303" s="252" t="s">
        <v>4103</v>
      </c>
      <c r="I1303" s="252">
        <v>6</v>
      </c>
      <c r="J1303" s="255">
        <v>1</v>
      </c>
      <c r="K1303" s="255">
        <v>1</v>
      </c>
      <c r="L1303" s="255"/>
      <c r="M1303" s="256">
        <v>1.2029999999999999E-3</v>
      </c>
      <c r="N1303" s="249">
        <v>1302</v>
      </c>
    </row>
    <row r="1304" spans="1:14" x14ac:dyDescent="0.25">
      <c r="A1304" s="252" t="s">
        <v>183</v>
      </c>
      <c r="B1304" s="252" t="s">
        <v>3038</v>
      </c>
      <c r="C1304" s="253">
        <v>0</v>
      </c>
      <c r="D1304" s="252">
        <v>50592</v>
      </c>
      <c r="E1304" s="252" t="s">
        <v>1764</v>
      </c>
      <c r="F1304" s="254" t="s">
        <v>3902</v>
      </c>
      <c r="G1304" s="252" t="s">
        <v>4104</v>
      </c>
      <c r="H1304" s="252" t="s">
        <v>4105</v>
      </c>
      <c r="I1304" s="252">
        <v>6</v>
      </c>
      <c r="J1304" s="255">
        <v>1</v>
      </c>
      <c r="K1304" s="255">
        <v>1</v>
      </c>
      <c r="L1304" s="255"/>
      <c r="M1304" s="256">
        <v>2.568E-3</v>
      </c>
      <c r="N1304" s="249">
        <v>1303</v>
      </c>
    </row>
    <row r="1305" spans="1:14" x14ac:dyDescent="0.25">
      <c r="A1305" s="252" t="s">
        <v>183</v>
      </c>
      <c r="B1305" s="252" t="s">
        <v>3038</v>
      </c>
      <c r="C1305" s="253">
        <v>0</v>
      </c>
      <c r="D1305" s="252">
        <v>50592</v>
      </c>
      <c r="E1305" s="252" t="s">
        <v>1764</v>
      </c>
      <c r="F1305" s="254" t="s">
        <v>3902</v>
      </c>
      <c r="G1305" s="252" t="s">
        <v>4106</v>
      </c>
      <c r="H1305" s="252" t="s">
        <v>4107</v>
      </c>
      <c r="I1305" s="252">
        <v>6</v>
      </c>
      <c r="J1305" s="255">
        <v>1</v>
      </c>
      <c r="K1305" s="255">
        <v>1</v>
      </c>
      <c r="L1305" s="255"/>
      <c r="M1305" s="256">
        <v>5.9099999999999995E-4</v>
      </c>
      <c r="N1305" s="249">
        <v>1304</v>
      </c>
    </row>
    <row r="1306" spans="1:14" x14ac:dyDescent="0.25">
      <c r="A1306" s="252" t="s">
        <v>183</v>
      </c>
      <c r="B1306" s="252" t="s">
        <v>3038</v>
      </c>
      <c r="C1306" s="253">
        <v>0</v>
      </c>
      <c r="D1306" s="252">
        <v>50592</v>
      </c>
      <c r="E1306" s="252" t="s">
        <v>1764</v>
      </c>
      <c r="F1306" s="254" t="s">
        <v>3902</v>
      </c>
      <c r="G1306" s="252" t="s">
        <v>4108</v>
      </c>
      <c r="H1306" s="252" t="s">
        <v>4109</v>
      </c>
      <c r="I1306" s="252">
        <v>6</v>
      </c>
      <c r="J1306" s="255">
        <v>1</v>
      </c>
      <c r="K1306" s="255">
        <v>1</v>
      </c>
      <c r="L1306" s="255"/>
      <c r="M1306" s="256">
        <v>8.7000000000000001E-5</v>
      </c>
      <c r="N1306" s="249">
        <v>1305</v>
      </c>
    </row>
    <row r="1307" spans="1:14" x14ac:dyDescent="0.25">
      <c r="A1307" s="252" t="s">
        <v>183</v>
      </c>
      <c r="B1307" s="252" t="s">
        <v>3038</v>
      </c>
      <c r="C1307" s="253">
        <v>0</v>
      </c>
      <c r="D1307" s="252">
        <v>50592</v>
      </c>
      <c r="E1307" s="252" t="s">
        <v>1764</v>
      </c>
      <c r="F1307" s="254" t="s">
        <v>3902</v>
      </c>
      <c r="G1307" s="252" t="s">
        <v>4110</v>
      </c>
      <c r="H1307" s="252" t="s">
        <v>4111</v>
      </c>
      <c r="I1307" s="252">
        <v>6</v>
      </c>
      <c r="J1307" s="255">
        <v>1</v>
      </c>
      <c r="K1307" s="255">
        <v>1</v>
      </c>
      <c r="L1307" s="255"/>
      <c r="M1307" s="256">
        <v>5.6399999999999994E-4</v>
      </c>
      <c r="N1307" s="249">
        <v>1306</v>
      </c>
    </row>
    <row r="1308" spans="1:14" x14ac:dyDescent="0.25">
      <c r="A1308" s="252" t="s">
        <v>183</v>
      </c>
      <c r="B1308" s="252" t="s">
        <v>3038</v>
      </c>
      <c r="C1308" s="253">
        <v>0</v>
      </c>
      <c r="D1308" s="252">
        <v>50592</v>
      </c>
      <c r="E1308" s="252" t="s">
        <v>1764</v>
      </c>
      <c r="F1308" s="254" t="s">
        <v>3902</v>
      </c>
      <c r="G1308" s="252" t="s">
        <v>4112</v>
      </c>
      <c r="H1308" s="252" t="s">
        <v>4113</v>
      </c>
      <c r="I1308" s="252">
        <v>6</v>
      </c>
      <c r="J1308" s="255">
        <v>1</v>
      </c>
      <c r="K1308" s="255">
        <v>1</v>
      </c>
      <c r="L1308" s="255"/>
      <c r="M1308" s="256">
        <v>8.7000000000000001E-5</v>
      </c>
      <c r="N1308" s="249">
        <v>1307</v>
      </c>
    </row>
    <row r="1309" spans="1:14" x14ac:dyDescent="0.25">
      <c r="A1309" s="252" t="s">
        <v>183</v>
      </c>
      <c r="B1309" s="252" t="s">
        <v>3038</v>
      </c>
      <c r="C1309" s="253">
        <v>0</v>
      </c>
      <c r="D1309" s="252">
        <v>50592</v>
      </c>
      <c r="E1309" s="252" t="s">
        <v>1764</v>
      </c>
      <c r="F1309" s="254" t="s">
        <v>3902</v>
      </c>
      <c r="G1309" s="252" t="s">
        <v>4114</v>
      </c>
      <c r="H1309" s="252" t="s">
        <v>4115</v>
      </c>
      <c r="I1309" s="252">
        <v>6</v>
      </c>
      <c r="J1309" s="255">
        <v>1</v>
      </c>
      <c r="K1309" s="255">
        <v>1</v>
      </c>
      <c r="L1309" s="255"/>
      <c r="M1309" s="256">
        <v>5.9099999999999995E-4</v>
      </c>
      <c r="N1309" s="249">
        <v>1308</v>
      </c>
    </row>
    <row r="1310" spans="1:14" x14ac:dyDescent="0.25">
      <c r="A1310" s="252" t="s">
        <v>183</v>
      </c>
      <c r="B1310" s="252" t="s">
        <v>3038</v>
      </c>
      <c r="C1310" s="253">
        <v>0</v>
      </c>
      <c r="D1310" s="252">
        <v>50592</v>
      </c>
      <c r="E1310" s="252" t="s">
        <v>1764</v>
      </c>
      <c r="F1310" s="254" t="s">
        <v>3902</v>
      </c>
      <c r="G1310" s="252" t="s">
        <v>4116</v>
      </c>
      <c r="H1310" s="252" t="s">
        <v>4117</v>
      </c>
      <c r="I1310" s="252">
        <v>6</v>
      </c>
      <c r="J1310" s="255">
        <v>1</v>
      </c>
      <c r="K1310" s="255">
        <v>1</v>
      </c>
      <c r="L1310" s="255"/>
      <c r="M1310" s="256">
        <v>8.7000000000000001E-5</v>
      </c>
      <c r="N1310" s="249">
        <v>1309</v>
      </c>
    </row>
    <row r="1311" spans="1:14" x14ac:dyDescent="0.25">
      <c r="A1311" s="252" t="s">
        <v>183</v>
      </c>
      <c r="B1311" s="252" t="s">
        <v>3038</v>
      </c>
      <c r="C1311" s="253">
        <v>0</v>
      </c>
      <c r="D1311" s="252">
        <v>50592</v>
      </c>
      <c r="E1311" s="252" t="s">
        <v>1764</v>
      </c>
      <c r="F1311" s="254" t="s">
        <v>3902</v>
      </c>
      <c r="G1311" s="252" t="s">
        <v>2585</v>
      </c>
      <c r="H1311" s="252" t="s">
        <v>4118</v>
      </c>
      <c r="I1311" s="252">
        <v>6</v>
      </c>
      <c r="J1311" s="255">
        <v>1</v>
      </c>
      <c r="K1311" s="255">
        <v>1</v>
      </c>
      <c r="L1311" s="255"/>
      <c r="M1311" s="256">
        <v>5.9099999999999995E-4</v>
      </c>
      <c r="N1311" s="249">
        <v>1310</v>
      </c>
    </row>
    <row r="1312" spans="1:14" x14ac:dyDescent="0.25">
      <c r="A1312" s="252" t="s">
        <v>183</v>
      </c>
      <c r="B1312" s="252" t="s">
        <v>3038</v>
      </c>
      <c r="C1312" s="253">
        <v>0</v>
      </c>
      <c r="D1312" s="252">
        <v>50592</v>
      </c>
      <c r="E1312" s="252" t="s">
        <v>1764</v>
      </c>
      <c r="F1312" s="254" t="s">
        <v>3902</v>
      </c>
      <c r="G1312" s="252" t="s">
        <v>4119</v>
      </c>
      <c r="H1312" s="252" t="s">
        <v>4120</v>
      </c>
      <c r="I1312" s="252">
        <v>6</v>
      </c>
      <c r="J1312" s="255">
        <v>1</v>
      </c>
      <c r="K1312" s="255">
        <v>1</v>
      </c>
      <c r="L1312" s="255"/>
      <c r="M1312" s="256">
        <v>8.7000000000000001E-5</v>
      </c>
      <c r="N1312" s="249">
        <v>1311</v>
      </c>
    </row>
    <row r="1313" spans="1:14" x14ac:dyDescent="0.25">
      <c r="A1313" s="252" t="s">
        <v>183</v>
      </c>
      <c r="B1313" s="252" t="s">
        <v>3038</v>
      </c>
      <c r="C1313" s="253">
        <v>0</v>
      </c>
      <c r="D1313" s="252">
        <v>50592</v>
      </c>
      <c r="E1313" s="252" t="s">
        <v>1764</v>
      </c>
      <c r="F1313" s="254" t="s">
        <v>3902</v>
      </c>
      <c r="G1313" s="252" t="s">
        <v>4121</v>
      </c>
      <c r="H1313" s="252" t="s">
        <v>4122</v>
      </c>
      <c r="I1313" s="252">
        <v>6</v>
      </c>
      <c r="J1313" s="255">
        <v>1</v>
      </c>
      <c r="K1313" s="255">
        <v>1</v>
      </c>
      <c r="L1313" s="255"/>
      <c r="M1313" s="256">
        <v>1.0889999999999999E-3</v>
      </c>
      <c r="N1313" s="249">
        <v>1312</v>
      </c>
    </row>
    <row r="1314" spans="1:14" x14ac:dyDescent="0.25">
      <c r="A1314" s="252" t="s">
        <v>183</v>
      </c>
      <c r="B1314" s="252" t="s">
        <v>3038</v>
      </c>
      <c r="C1314" s="253">
        <v>0</v>
      </c>
      <c r="D1314" s="252">
        <v>50592</v>
      </c>
      <c r="E1314" s="252" t="s">
        <v>1764</v>
      </c>
      <c r="F1314" s="254" t="s">
        <v>3902</v>
      </c>
      <c r="G1314" s="252" t="s">
        <v>4123</v>
      </c>
      <c r="H1314" s="252" t="s">
        <v>4124</v>
      </c>
      <c r="I1314" s="252">
        <v>6</v>
      </c>
      <c r="J1314" s="255">
        <v>1</v>
      </c>
      <c r="K1314" s="255">
        <v>1</v>
      </c>
      <c r="L1314" s="255"/>
      <c r="M1314" s="256">
        <v>5.9099999999999995E-4</v>
      </c>
      <c r="N1314" s="249">
        <v>1313</v>
      </c>
    </row>
    <row r="1315" spans="1:14" x14ac:dyDescent="0.25">
      <c r="A1315" s="252" t="s">
        <v>183</v>
      </c>
      <c r="B1315" s="252" t="s">
        <v>3038</v>
      </c>
      <c r="C1315" s="253">
        <v>0</v>
      </c>
      <c r="D1315" s="252">
        <v>50592</v>
      </c>
      <c r="E1315" s="252" t="s">
        <v>1764</v>
      </c>
      <c r="F1315" s="254" t="s">
        <v>3902</v>
      </c>
      <c r="G1315" s="252" t="s">
        <v>4125</v>
      </c>
      <c r="H1315" s="252" t="s">
        <v>4126</v>
      </c>
      <c r="I1315" s="252">
        <v>6</v>
      </c>
      <c r="J1315" s="255">
        <v>1</v>
      </c>
      <c r="K1315" s="255">
        <v>1</v>
      </c>
      <c r="L1315" s="255"/>
      <c r="M1315" s="256">
        <v>8.7000000000000001E-5</v>
      </c>
      <c r="N1315" s="249">
        <v>1314</v>
      </c>
    </row>
    <row r="1316" spans="1:14" x14ac:dyDescent="0.25">
      <c r="A1316" s="252" t="s">
        <v>183</v>
      </c>
      <c r="B1316" s="252" t="s">
        <v>3038</v>
      </c>
      <c r="C1316" s="253">
        <v>0</v>
      </c>
      <c r="D1316" s="252">
        <v>50592</v>
      </c>
      <c r="E1316" s="252" t="s">
        <v>97</v>
      </c>
      <c r="F1316" s="254" t="s">
        <v>3902</v>
      </c>
      <c r="G1316" s="252" t="s">
        <v>4127</v>
      </c>
      <c r="H1316" s="252" t="s">
        <v>4128</v>
      </c>
      <c r="I1316" s="252">
        <v>6</v>
      </c>
      <c r="J1316" s="255">
        <v>1</v>
      </c>
      <c r="K1316" s="255">
        <v>1</v>
      </c>
      <c r="L1316" s="255"/>
      <c r="M1316" s="256">
        <v>1.2029999999999999E-3</v>
      </c>
      <c r="N1316" s="249">
        <v>1315</v>
      </c>
    </row>
    <row r="1317" spans="1:14" x14ac:dyDescent="0.25">
      <c r="A1317" s="252" t="s">
        <v>74</v>
      </c>
      <c r="B1317" s="252" t="s">
        <v>203</v>
      </c>
      <c r="C1317" s="253" t="s">
        <v>214</v>
      </c>
      <c r="D1317" s="252">
        <v>61792</v>
      </c>
      <c r="E1317" s="252" t="s">
        <v>192</v>
      </c>
      <c r="F1317" s="254">
        <v>12401</v>
      </c>
      <c r="G1317" s="252" t="s">
        <v>4129</v>
      </c>
      <c r="H1317" s="252" t="s">
        <v>4130</v>
      </c>
      <c r="I1317" s="252">
        <v>3</v>
      </c>
      <c r="J1317" s="255">
        <v>1</v>
      </c>
      <c r="K1317" s="255">
        <v>1</v>
      </c>
      <c r="L1317" s="255"/>
      <c r="M1317" s="256">
        <v>7.9548879082082385E-3</v>
      </c>
      <c r="N1317" s="249">
        <v>1316</v>
      </c>
    </row>
    <row r="1318" spans="1:14" x14ac:dyDescent="0.25">
      <c r="A1318" s="252" t="s">
        <v>134</v>
      </c>
      <c r="B1318" s="252" t="s">
        <v>4131</v>
      </c>
      <c r="C1318" s="253">
        <v>0</v>
      </c>
      <c r="D1318" s="252">
        <v>39792</v>
      </c>
      <c r="E1318" s="252" t="s">
        <v>192</v>
      </c>
      <c r="F1318" s="254" t="s">
        <v>4132</v>
      </c>
      <c r="G1318" s="252" t="s">
        <v>4133</v>
      </c>
      <c r="H1318" s="252" t="s">
        <v>4134</v>
      </c>
      <c r="I1318" s="252">
        <v>5</v>
      </c>
      <c r="J1318" s="255">
        <v>1</v>
      </c>
      <c r="K1318" s="255">
        <v>1</v>
      </c>
      <c r="L1318" s="255"/>
      <c r="M1318" s="256">
        <v>8.9999999999999992E-5</v>
      </c>
      <c r="N1318" s="249">
        <v>1317</v>
      </c>
    </row>
    <row r="1319" spans="1:14" x14ac:dyDescent="0.25">
      <c r="A1319" s="252" t="s">
        <v>134</v>
      </c>
      <c r="B1319" s="252" t="s">
        <v>4131</v>
      </c>
      <c r="C1319" s="253">
        <v>0</v>
      </c>
      <c r="D1319" s="252">
        <v>39792</v>
      </c>
      <c r="E1319" s="252" t="s">
        <v>192</v>
      </c>
      <c r="F1319" s="254" t="s">
        <v>4132</v>
      </c>
      <c r="G1319" s="252" t="s">
        <v>4135</v>
      </c>
      <c r="H1319" s="252" t="s">
        <v>4136</v>
      </c>
      <c r="I1319" s="252">
        <v>5</v>
      </c>
      <c r="J1319" s="255">
        <v>1</v>
      </c>
      <c r="K1319" s="255">
        <v>1</v>
      </c>
      <c r="L1319" s="255"/>
      <c r="M1319" s="256">
        <v>8.9999999999999992E-5</v>
      </c>
      <c r="N1319" s="249">
        <v>1318</v>
      </c>
    </row>
    <row r="1320" spans="1:14" x14ac:dyDescent="0.25">
      <c r="A1320" s="252" t="s">
        <v>134</v>
      </c>
      <c r="B1320" s="252" t="s">
        <v>4131</v>
      </c>
      <c r="C1320" s="253">
        <v>0</v>
      </c>
      <c r="D1320" s="252">
        <v>39792</v>
      </c>
      <c r="E1320" s="252" t="s">
        <v>192</v>
      </c>
      <c r="F1320" s="254" t="s">
        <v>4132</v>
      </c>
      <c r="G1320" s="252" t="s">
        <v>4137</v>
      </c>
      <c r="H1320" s="252" t="s">
        <v>4138</v>
      </c>
      <c r="I1320" s="252">
        <v>5</v>
      </c>
      <c r="J1320" s="255">
        <v>1</v>
      </c>
      <c r="K1320" s="255">
        <v>1</v>
      </c>
      <c r="L1320" s="255"/>
      <c r="M1320" s="256">
        <v>1.8059999999999997E-3</v>
      </c>
      <c r="N1320" s="249">
        <v>1319</v>
      </c>
    </row>
    <row r="1321" spans="1:14" x14ac:dyDescent="0.25">
      <c r="A1321" s="252" t="s">
        <v>134</v>
      </c>
      <c r="B1321" s="252" t="s">
        <v>4131</v>
      </c>
      <c r="C1321" s="253">
        <v>0</v>
      </c>
      <c r="D1321" s="252">
        <v>39792</v>
      </c>
      <c r="E1321" s="252" t="s">
        <v>192</v>
      </c>
      <c r="F1321" s="254" t="s">
        <v>4132</v>
      </c>
      <c r="G1321" s="252" t="s">
        <v>4139</v>
      </c>
      <c r="H1321" s="252" t="s">
        <v>4140</v>
      </c>
      <c r="I1321" s="252">
        <v>5</v>
      </c>
      <c r="J1321" s="255">
        <v>1</v>
      </c>
      <c r="K1321" s="255">
        <v>1</v>
      </c>
      <c r="L1321" s="255"/>
      <c r="M1321" s="256">
        <v>1.8059999999999997E-3</v>
      </c>
      <c r="N1321" s="249">
        <v>1320</v>
      </c>
    </row>
    <row r="1322" spans="1:14" x14ac:dyDescent="0.25">
      <c r="A1322" s="252" t="s">
        <v>134</v>
      </c>
      <c r="B1322" s="252" t="s">
        <v>4131</v>
      </c>
      <c r="C1322" s="253">
        <v>0</v>
      </c>
      <c r="D1322" s="252">
        <v>39792</v>
      </c>
      <c r="E1322" s="252" t="s">
        <v>192</v>
      </c>
      <c r="F1322" s="254" t="s">
        <v>4132</v>
      </c>
      <c r="G1322" s="252" t="s">
        <v>4141</v>
      </c>
      <c r="H1322" s="252" t="s">
        <v>4142</v>
      </c>
      <c r="I1322" s="252">
        <v>5</v>
      </c>
      <c r="J1322" s="255">
        <v>1</v>
      </c>
      <c r="K1322" s="255">
        <v>1</v>
      </c>
      <c r="L1322" s="255"/>
      <c r="M1322" s="256">
        <v>1.5659999999999999E-3</v>
      </c>
      <c r="N1322" s="249">
        <v>1321</v>
      </c>
    </row>
    <row r="1323" spans="1:14" x14ac:dyDescent="0.25">
      <c r="A1323" s="252" t="s">
        <v>134</v>
      </c>
      <c r="B1323" s="252" t="s">
        <v>4131</v>
      </c>
      <c r="C1323" s="253">
        <v>0</v>
      </c>
      <c r="D1323" s="252">
        <v>39792</v>
      </c>
      <c r="E1323" s="252" t="s">
        <v>192</v>
      </c>
      <c r="F1323" s="254" t="s">
        <v>4132</v>
      </c>
      <c r="G1323" s="252" t="s">
        <v>4143</v>
      </c>
      <c r="H1323" s="252" t="s">
        <v>4144</v>
      </c>
      <c r="I1323" s="252">
        <v>5</v>
      </c>
      <c r="J1323" s="255">
        <v>1</v>
      </c>
      <c r="K1323" s="255">
        <v>1</v>
      </c>
      <c r="L1323" s="255"/>
      <c r="M1323" s="256">
        <v>9.0600000000000001E-4</v>
      </c>
      <c r="N1323" s="249">
        <v>1322</v>
      </c>
    </row>
    <row r="1324" spans="1:14" x14ac:dyDescent="0.25">
      <c r="A1324" s="252" t="s">
        <v>134</v>
      </c>
      <c r="B1324" s="252" t="s">
        <v>4131</v>
      </c>
      <c r="C1324" s="253">
        <v>0</v>
      </c>
      <c r="D1324" s="252">
        <v>39792</v>
      </c>
      <c r="E1324" s="252" t="s">
        <v>192</v>
      </c>
      <c r="F1324" s="254" t="s">
        <v>4132</v>
      </c>
      <c r="G1324" s="252" t="s">
        <v>4145</v>
      </c>
      <c r="H1324" s="252" t="s">
        <v>4146</v>
      </c>
      <c r="I1324" s="252">
        <v>5</v>
      </c>
      <c r="J1324" s="255">
        <v>1</v>
      </c>
      <c r="K1324" s="255">
        <v>1</v>
      </c>
      <c r="L1324" s="255"/>
      <c r="M1324" s="256">
        <v>9.0600000000000001E-4</v>
      </c>
      <c r="N1324" s="249">
        <v>1323</v>
      </c>
    </row>
    <row r="1325" spans="1:14" x14ac:dyDescent="0.25">
      <c r="A1325" s="252" t="s">
        <v>134</v>
      </c>
      <c r="B1325" s="252" t="s">
        <v>4131</v>
      </c>
      <c r="C1325" s="253">
        <v>0</v>
      </c>
      <c r="D1325" s="252">
        <v>39792</v>
      </c>
      <c r="E1325" s="252" t="s">
        <v>192</v>
      </c>
      <c r="F1325" s="254" t="s">
        <v>4132</v>
      </c>
      <c r="G1325" s="252" t="s">
        <v>2020</v>
      </c>
      <c r="H1325" s="252" t="s">
        <v>4147</v>
      </c>
      <c r="I1325" s="252">
        <v>5</v>
      </c>
      <c r="J1325" s="255">
        <v>1</v>
      </c>
      <c r="K1325" s="255">
        <v>1</v>
      </c>
      <c r="L1325" s="255"/>
      <c r="M1325" s="256">
        <v>8.9999999999999992E-5</v>
      </c>
      <c r="N1325" s="249">
        <v>1324</v>
      </c>
    </row>
    <row r="1326" spans="1:14" x14ac:dyDescent="0.25">
      <c r="A1326" s="252" t="s">
        <v>134</v>
      </c>
      <c r="B1326" s="252" t="s">
        <v>4131</v>
      </c>
      <c r="C1326" s="253">
        <v>0</v>
      </c>
      <c r="D1326" s="252">
        <v>39792</v>
      </c>
      <c r="E1326" s="252" t="s">
        <v>192</v>
      </c>
      <c r="F1326" s="254" t="s">
        <v>4132</v>
      </c>
      <c r="G1326" s="252" t="s">
        <v>2021</v>
      </c>
      <c r="H1326" s="252" t="s">
        <v>4148</v>
      </c>
      <c r="I1326" s="252">
        <v>5</v>
      </c>
      <c r="J1326" s="255">
        <v>1</v>
      </c>
      <c r="K1326" s="255">
        <v>1</v>
      </c>
      <c r="L1326" s="255"/>
      <c r="M1326" s="256">
        <v>8.9999999999999992E-5</v>
      </c>
      <c r="N1326" s="249">
        <v>1325</v>
      </c>
    </row>
    <row r="1327" spans="1:14" x14ac:dyDescent="0.25">
      <c r="A1327" s="252" t="s">
        <v>134</v>
      </c>
      <c r="B1327" s="252" t="s">
        <v>4131</v>
      </c>
      <c r="C1327" s="253">
        <v>0</v>
      </c>
      <c r="D1327" s="252">
        <v>39792</v>
      </c>
      <c r="E1327" s="252" t="s">
        <v>192</v>
      </c>
      <c r="F1327" s="254" t="s">
        <v>4132</v>
      </c>
      <c r="G1327" s="252" t="s">
        <v>2022</v>
      </c>
      <c r="H1327" s="252" t="s">
        <v>4149</v>
      </c>
      <c r="I1327" s="252">
        <v>5</v>
      </c>
      <c r="J1327" s="255">
        <v>1</v>
      </c>
      <c r="K1327" s="255">
        <v>1</v>
      </c>
      <c r="L1327" s="255"/>
      <c r="M1327" s="256">
        <v>1.5329999999999999E-3</v>
      </c>
      <c r="N1327" s="249">
        <v>1326</v>
      </c>
    </row>
    <row r="1328" spans="1:14" x14ac:dyDescent="0.25">
      <c r="A1328" s="252" t="s">
        <v>134</v>
      </c>
      <c r="B1328" s="252" t="s">
        <v>4131</v>
      </c>
      <c r="C1328" s="253">
        <v>0</v>
      </c>
      <c r="D1328" s="252">
        <v>39792</v>
      </c>
      <c r="E1328" s="252" t="s">
        <v>192</v>
      </c>
      <c r="F1328" s="254" t="s">
        <v>4132</v>
      </c>
      <c r="G1328" s="252" t="s">
        <v>2023</v>
      </c>
      <c r="H1328" s="252" t="s">
        <v>4150</v>
      </c>
      <c r="I1328" s="252">
        <v>5</v>
      </c>
      <c r="J1328" s="255">
        <v>1</v>
      </c>
      <c r="K1328" s="255">
        <v>1</v>
      </c>
      <c r="L1328" s="255"/>
      <c r="M1328" s="256">
        <v>1.5510000000000001E-3</v>
      </c>
      <c r="N1328" s="249">
        <v>1327</v>
      </c>
    </row>
    <row r="1329" spans="1:14" x14ac:dyDescent="0.25">
      <c r="A1329" s="252" t="s">
        <v>134</v>
      </c>
      <c r="B1329" s="252" t="s">
        <v>4131</v>
      </c>
      <c r="C1329" s="253">
        <v>0</v>
      </c>
      <c r="D1329" s="252">
        <v>39792</v>
      </c>
      <c r="E1329" s="252" t="s">
        <v>192</v>
      </c>
      <c r="F1329" s="254" t="s">
        <v>4132</v>
      </c>
      <c r="G1329" s="252" t="s">
        <v>2024</v>
      </c>
      <c r="H1329" s="252" t="s">
        <v>4151</v>
      </c>
      <c r="I1329" s="252">
        <v>5</v>
      </c>
      <c r="J1329" s="255">
        <v>1</v>
      </c>
      <c r="K1329" s="255">
        <v>1</v>
      </c>
      <c r="L1329" s="255"/>
      <c r="M1329" s="256">
        <v>1.9169999999999999E-3</v>
      </c>
      <c r="N1329" s="249">
        <v>1328</v>
      </c>
    </row>
    <row r="1330" spans="1:14" x14ac:dyDescent="0.25">
      <c r="A1330" s="252" t="s">
        <v>134</v>
      </c>
      <c r="B1330" s="252" t="s">
        <v>4131</v>
      </c>
      <c r="C1330" s="253">
        <v>0</v>
      </c>
      <c r="D1330" s="252">
        <v>39792</v>
      </c>
      <c r="E1330" s="252" t="s">
        <v>192</v>
      </c>
      <c r="F1330" s="254" t="s">
        <v>4132</v>
      </c>
      <c r="G1330" s="252" t="s">
        <v>4152</v>
      </c>
      <c r="H1330" s="252" t="s">
        <v>4153</v>
      </c>
      <c r="I1330" s="252">
        <v>5</v>
      </c>
      <c r="J1330" s="255">
        <v>1</v>
      </c>
      <c r="K1330" s="255">
        <v>1</v>
      </c>
      <c r="L1330" s="255"/>
      <c r="M1330" s="256">
        <v>1.119E-3</v>
      </c>
      <c r="N1330" s="249">
        <v>1329</v>
      </c>
    </row>
    <row r="1331" spans="1:14" x14ac:dyDescent="0.25">
      <c r="A1331" s="252" t="s">
        <v>134</v>
      </c>
      <c r="B1331" s="252" t="s">
        <v>4131</v>
      </c>
      <c r="C1331" s="253">
        <v>0</v>
      </c>
      <c r="D1331" s="252">
        <v>39792</v>
      </c>
      <c r="E1331" s="252" t="s">
        <v>192</v>
      </c>
      <c r="F1331" s="254" t="s">
        <v>4132</v>
      </c>
      <c r="G1331" s="252" t="s">
        <v>2025</v>
      </c>
      <c r="H1331" s="252" t="s">
        <v>4154</v>
      </c>
      <c r="I1331" s="252">
        <v>5</v>
      </c>
      <c r="J1331" s="255">
        <v>1</v>
      </c>
      <c r="K1331" s="255">
        <v>1</v>
      </c>
      <c r="L1331" s="255"/>
      <c r="M1331" s="256">
        <v>8.9999999999999992E-5</v>
      </c>
      <c r="N1331" s="249">
        <v>1330</v>
      </c>
    </row>
    <row r="1332" spans="1:14" x14ac:dyDescent="0.25">
      <c r="A1332" s="252" t="s">
        <v>134</v>
      </c>
      <c r="B1332" s="252" t="s">
        <v>4131</v>
      </c>
      <c r="C1332" s="253">
        <v>0</v>
      </c>
      <c r="D1332" s="252">
        <v>39792</v>
      </c>
      <c r="E1332" s="252" t="s">
        <v>192</v>
      </c>
      <c r="F1332" s="254" t="s">
        <v>4132</v>
      </c>
      <c r="G1332" s="252" t="s">
        <v>2026</v>
      </c>
      <c r="H1332" s="252" t="s">
        <v>4155</v>
      </c>
      <c r="I1332" s="252">
        <v>5</v>
      </c>
      <c r="J1332" s="255">
        <v>1</v>
      </c>
      <c r="K1332" s="255">
        <v>1</v>
      </c>
      <c r="L1332" s="255"/>
      <c r="M1332" s="256">
        <v>8.9999999999999992E-5</v>
      </c>
      <c r="N1332" s="249">
        <v>1331</v>
      </c>
    </row>
    <row r="1333" spans="1:14" x14ac:dyDescent="0.25">
      <c r="A1333" s="252" t="s">
        <v>134</v>
      </c>
      <c r="B1333" s="252" t="s">
        <v>4131</v>
      </c>
      <c r="C1333" s="253">
        <v>0</v>
      </c>
      <c r="D1333" s="252">
        <v>39792</v>
      </c>
      <c r="E1333" s="252" t="s">
        <v>192</v>
      </c>
      <c r="F1333" s="254" t="s">
        <v>4132</v>
      </c>
      <c r="G1333" s="252" t="s">
        <v>2027</v>
      </c>
      <c r="H1333" s="252" t="s">
        <v>4156</v>
      </c>
      <c r="I1333" s="252">
        <v>5</v>
      </c>
      <c r="J1333" s="255">
        <v>1</v>
      </c>
      <c r="K1333" s="255">
        <v>1</v>
      </c>
      <c r="L1333" s="255"/>
      <c r="M1333" s="256">
        <v>1.8059999999999997E-3</v>
      </c>
      <c r="N1333" s="249">
        <v>1332</v>
      </c>
    </row>
    <row r="1334" spans="1:14" x14ac:dyDescent="0.25">
      <c r="A1334" s="252" t="s">
        <v>134</v>
      </c>
      <c r="B1334" s="252" t="s">
        <v>4131</v>
      </c>
      <c r="C1334" s="253">
        <v>0</v>
      </c>
      <c r="D1334" s="252">
        <v>39792</v>
      </c>
      <c r="E1334" s="252" t="s">
        <v>192</v>
      </c>
      <c r="F1334" s="254" t="s">
        <v>4132</v>
      </c>
      <c r="G1334" s="252" t="s">
        <v>2028</v>
      </c>
      <c r="H1334" s="252" t="s">
        <v>4157</v>
      </c>
      <c r="I1334" s="252">
        <v>5</v>
      </c>
      <c r="J1334" s="255">
        <v>1</v>
      </c>
      <c r="K1334" s="255">
        <v>1</v>
      </c>
      <c r="L1334" s="255"/>
      <c r="M1334" s="256">
        <v>1.8059999999999997E-3</v>
      </c>
      <c r="N1334" s="249">
        <v>1333</v>
      </c>
    </row>
    <row r="1335" spans="1:14" x14ac:dyDescent="0.25">
      <c r="A1335" s="252" t="s">
        <v>134</v>
      </c>
      <c r="B1335" s="252" t="s">
        <v>4131</v>
      </c>
      <c r="C1335" s="253">
        <v>0</v>
      </c>
      <c r="D1335" s="252">
        <v>39792</v>
      </c>
      <c r="E1335" s="252" t="s">
        <v>192</v>
      </c>
      <c r="F1335" s="254" t="s">
        <v>4132</v>
      </c>
      <c r="G1335" s="252" t="s">
        <v>2029</v>
      </c>
      <c r="H1335" s="252" t="s">
        <v>4158</v>
      </c>
      <c r="I1335" s="252">
        <v>5</v>
      </c>
      <c r="J1335" s="255">
        <v>1</v>
      </c>
      <c r="K1335" s="255">
        <v>1</v>
      </c>
      <c r="L1335" s="255"/>
      <c r="M1335" s="256">
        <v>2.0100000000000001E-4</v>
      </c>
      <c r="N1335" s="249">
        <v>1334</v>
      </c>
    </row>
    <row r="1336" spans="1:14" x14ac:dyDescent="0.25">
      <c r="A1336" s="252" t="s">
        <v>134</v>
      </c>
      <c r="B1336" s="252" t="s">
        <v>4131</v>
      </c>
      <c r="C1336" s="253">
        <v>0</v>
      </c>
      <c r="D1336" s="252">
        <v>39792</v>
      </c>
      <c r="E1336" s="252" t="s">
        <v>192</v>
      </c>
      <c r="F1336" s="254" t="s">
        <v>4132</v>
      </c>
      <c r="G1336" s="252" t="s">
        <v>4159</v>
      </c>
      <c r="H1336" s="252" t="s">
        <v>4160</v>
      </c>
      <c r="I1336" s="252">
        <v>5</v>
      </c>
      <c r="J1336" s="255">
        <v>1</v>
      </c>
      <c r="K1336" s="255">
        <v>1</v>
      </c>
      <c r="L1336" s="255"/>
      <c r="M1336" s="256">
        <v>3.9899999999999999E-4</v>
      </c>
      <c r="N1336" s="249">
        <v>1335</v>
      </c>
    </row>
    <row r="1337" spans="1:14" x14ac:dyDescent="0.25">
      <c r="A1337" s="252" t="s">
        <v>134</v>
      </c>
      <c r="B1337" s="252" t="s">
        <v>4131</v>
      </c>
      <c r="C1337" s="253">
        <v>0</v>
      </c>
      <c r="D1337" s="252">
        <v>39792</v>
      </c>
      <c r="E1337" s="252" t="s">
        <v>192</v>
      </c>
      <c r="F1337" s="254" t="s">
        <v>4132</v>
      </c>
      <c r="G1337" s="252" t="s">
        <v>4161</v>
      </c>
      <c r="H1337" s="252" t="s">
        <v>4162</v>
      </c>
      <c r="I1337" s="252">
        <v>5</v>
      </c>
      <c r="J1337" s="255">
        <v>1</v>
      </c>
      <c r="K1337" s="255">
        <v>1</v>
      </c>
      <c r="L1337" s="255"/>
      <c r="M1337" s="256">
        <v>2.0100000000000001E-4</v>
      </c>
      <c r="N1337" s="249">
        <v>1336</v>
      </c>
    </row>
    <row r="1338" spans="1:14" x14ac:dyDescent="0.25">
      <c r="A1338" s="252" t="s">
        <v>134</v>
      </c>
      <c r="B1338" s="252" t="s">
        <v>4131</v>
      </c>
      <c r="C1338" s="253">
        <v>0</v>
      </c>
      <c r="D1338" s="252">
        <v>39792</v>
      </c>
      <c r="E1338" s="252" t="s">
        <v>192</v>
      </c>
      <c r="F1338" s="254" t="s">
        <v>4132</v>
      </c>
      <c r="G1338" s="252" t="s">
        <v>2030</v>
      </c>
      <c r="H1338" s="252" t="s">
        <v>4163</v>
      </c>
      <c r="I1338" s="252">
        <v>5</v>
      </c>
      <c r="J1338" s="255">
        <v>1</v>
      </c>
      <c r="K1338" s="255">
        <v>1</v>
      </c>
      <c r="L1338" s="255"/>
      <c r="M1338" s="256">
        <v>8.9999999999999992E-5</v>
      </c>
      <c r="N1338" s="249">
        <v>1337</v>
      </c>
    </row>
    <row r="1339" spans="1:14" x14ac:dyDescent="0.25">
      <c r="A1339" s="252" t="s">
        <v>134</v>
      </c>
      <c r="B1339" s="252" t="s">
        <v>4131</v>
      </c>
      <c r="C1339" s="253">
        <v>0</v>
      </c>
      <c r="D1339" s="252">
        <v>39792</v>
      </c>
      <c r="E1339" s="252" t="s">
        <v>192</v>
      </c>
      <c r="F1339" s="254" t="s">
        <v>4132</v>
      </c>
      <c r="G1339" s="252" t="s">
        <v>2031</v>
      </c>
      <c r="H1339" s="252" t="s">
        <v>4164</v>
      </c>
      <c r="I1339" s="252">
        <v>5</v>
      </c>
      <c r="J1339" s="255">
        <v>1</v>
      </c>
      <c r="K1339" s="255">
        <v>1</v>
      </c>
      <c r="L1339" s="255"/>
      <c r="M1339" s="256">
        <v>8.9999999999999992E-5</v>
      </c>
      <c r="N1339" s="249">
        <v>1338</v>
      </c>
    </row>
    <row r="1340" spans="1:14" x14ac:dyDescent="0.25">
      <c r="A1340" s="252" t="s">
        <v>134</v>
      </c>
      <c r="B1340" s="252" t="s">
        <v>4131</v>
      </c>
      <c r="C1340" s="253">
        <v>0</v>
      </c>
      <c r="D1340" s="252">
        <v>39792</v>
      </c>
      <c r="E1340" s="252" t="s">
        <v>192</v>
      </c>
      <c r="F1340" s="254" t="s">
        <v>4132</v>
      </c>
      <c r="G1340" s="252" t="s">
        <v>2032</v>
      </c>
      <c r="H1340" s="252" t="s">
        <v>4165</v>
      </c>
      <c r="I1340" s="252">
        <v>5</v>
      </c>
      <c r="J1340" s="255">
        <v>1</v>
      </c>
      <c r="K1340" s="255">
        <v>1</v>
      </c>
      <c r="L1340" s="255"/>
      <c r="M1340" s="256">
        <v>1.8059999999999997E-3</v>
      </c>
      <c r="N1340" s="249">
        <v>1339</v>
      </c>
    </row>
    <row r="1341" spans="1:14" x14ac:dyDescent="0.25">
      <c r="A1341" s="252" t="s">
        <v>134</v>
      </c>
      <c r="B1341" s="252" t="s">
        <v>4131</v>
      </c>
      <c r="C1341" s="253">
        <v>0</v>
      </c>
      <c r="D1341" s="252">
        <v>39792</v>
      </c>
      <c r="E1341" s="252" t="s">
        <v>192</v>
      </c>
      <c r="F1341" s="254" t="s">
        <v>4132</v>
      </c>
      <c r="G1341" s="252" t="s">
        <v>2033</v>
      </c>
      <c r="H1341" s="252" t="s">
        <v>4166</v>
      </c>
      <c r="I1341" s="252">
        <v>5</v>
      </c>
      <c r="J1341" s="255">
        <v>1</v>
      </c>
      <c r="K1341" s="255">
        <v>1</v>
      </c>
      <c r="L1341" s="255"/>
      <c r="M1341" s="256">
        <v>1.8059999999999997E-3</v>
      </c>
      <c r="N1341" s="249">
        <v>1340</v>
      </c>
    </row>
    <row r="1342" spans="1:14" x14ac:dyDescent="0.25">
      <c r="A1342" s="252" t="s">
        <v>134</v>
      </c>
      <c r="B1342" s="252" t="s">
        <v>4131</v>
      </c>
      <c r="C1342" s="253">
        <v>0</v>
      </c>
      <c r="D1342" s="252">
        <v>39792</v>
      </c>
      <c r="E1342" s="252" t="s">
        <v>192</v>
      </c>
      <c r="F1342" s="254" t="s">
        <v>4132</v>
      </c>
      <c r="G1342" s="252" t="s">
        <v>2034</v>
      </c>
      <c r="H1342" s="252" t="s">
        <v>4167</v>
      </c>
      <c r="I1342" s="252">
        <v>5</v>
      </c>
      <c r="J1342" s="255">
        <v>1</v>
      </c>
      <c r="K1342" s="255">
        <v>1</v>
      </c>
      <c r="L1342" s="255"/>
      <c r="M1342" s="256">
        <v>1.683E-3</v>
      </c>
      <c r="N1342" s="249">
        <v>1341</v>
      </c>
    </row>
    <row r="1343" spans="1:14" x14ac:dyDescent="0.25">
      <c r="A1343" s="252" t="s">
        <v>134</v>
      </c>
      <c r="B1343" s="252" t="s">
        <v>4131</v>
      </c>
      <c r="C1343" s="253">
        <v>0</v>
      </c>
      <c r="D1343" s="252">
        <v>39792</v>
      </c>
      <c r="E1343" s="252" t="s">
        <v>192</v>
      </c>
      <c r="F1343" s="254" t="s">
        <v>4132</v>
      </c>
      <c r="G1343" s="252" t="s">
        <v>4168</v>
      </c>
      <c r="H1343" s="252" t="s">
        <v>4169</v>
      </c>
      <c r="I1343" s="252">
        <v>5</v>
      </c>
      <c r="J1343" s="255">
        <v>1</v>
      </c>
      <c r="K1343" s="255">
        <v>1</v>
      </c>
      <c r="L1343" s="255"/>
      <c r="M1343" s="256">
        <v>9.7799999999999992E-4</v>
      </c>
      <c r="N1343" s="249">
        <v>1342</v>
      </c>
    </row>
    <row r="1344" spans="1:14" x14ac:dyDescent="0.25">
      <c r="A1344" s="252" t="s">
        <v>134</v>
      </c>
      <c r="B1344" s="252" t="s">
        <v>4131</v>
      </c>
      <c r="C1344" s="253">
        <v>0</v>
      </c>
      <c r="D1344" s="252">
        <v>39792</v>
      </c>
      <c r="E1344" s="252" t="s">
        <v>192</v>
      </c>
      <c r="F1344" s="254" t="s">
        <v>4132</v>
      </c>
      <c r="G1344" s="252" t="s">
        <v>4170</v>
      </c>
      <c r="H1344" s="252" t="s">
        <v>4171</v>
      </c>
      <c r="I1344" s="252">
        <v>5</v>
      </c>
      <c r="J1344" s="255">
        <v>1</v>
      </c>
      <c r="K1344" s="255">
        <v>1</v>
      </c>
      <c r="L1344" s="255"/>
      <c r="M1344" s="256">
        <v>9.7799999999999992E-4</v>
      </c>
      <c r="N1344" s="249">
        <v>1343</v>
      </c>
    </row>
    <row r="1345" spans="1:14" x14ac:dyDescent="0.25">
      <c r="A1345" s="252" t="s">
        <v>134</v>
      </c>
      <c r="B1345" s="252" t="s">
        <v>4131</v>
      </c>
      <c r="C1345" s="253">
        <v>0</v>
      </c>
      <c r="D1345" s="252">
        <v>39792</v>
      </c>
      <c r="E1345" s="252" t="s">
        <v>192</v>
      </c>
      <c r="F1345" s="254" t="s">
        <v>4132</v>
      </c>
      <c r="G1345" s="252" t="s">
        <v>2035</v>
      </c>
      <c r="H1345" s="252" t="s">
        <v>4172</v>
      </c>
      <c r="I1345" s="252">
        <v>5</v>
      </c>
      <c r="J1345" s="255">
        <v>1</v>
      </c>
      <c r="K1345" s="255">
        <v>1</v>
      </c>
      <c r="L1345" s="255"/>
      <c r="M1345" s="256">
        <v>8.9999999999999992E-5</v>
      </c>
      <c r="N1345" s="249">
        <v>1344</v>
      </c>
    </row>
    <row r="1346" spans="1:14" x14ac:dyDescent="0.25">
      <c r="A1346" s="252" t="s">
        <v>134</v>
      </c>
      <c r="B1346" s="252" t="s">
        <v>4131</v>
      </c>
      <c r="C1346" s="253">
        <v>0</v>
      </c>
      <c r="D1346" s="252">
        <v>39792</v>
      </c>
      <c r="E1346" s="252" t="s">
        <v>192</v>
      </c>
      <c r="F1346" s="254" t="s">
        <v>4132</v>
      </c>
      <c r="G1346" s="252" t="s">
        <v>2036</v>
      </c>
      <c r="H1346" s="252" t="s">
        <v>4173</v>
      </c>
      <c r="I1346" s="252">
        <v>5</v>
      </c>
      <c r="J1346" s="255">
        <v>1</v>
      </c>
      <c r="K1346" s="255">
        <v>1</v>
      </c>
      <c r="L1346" s="255"/>
      <c r="M1346" s="256">
        <v>8.9999999999999992E-5</v>
      </c>
      <c r="N1346" s="249">
        <v>1345</v>
      </c>
    </row>
    <row r="1347" spans="1:14" x14ac:dyDescent="0.25">
      <c r="A1347" s="252" t="s">
        <v>134</v>
      </c>
      <c r="B1347" s="252" t="s">
        <v>4131</v>
      </c>
      <c r="C1347" s="253">
        <v>0</v>
      </c>
      <c r="D1347" s="252">
        <v>39792</v>
      </c>
      <c r="E1347" s="252" t="s">
        <v>192</v>
      </c>
      <c r="F1347" s="254" t="s">
        <v>4132</v>
      </c>
      <c r="G1347" s="252" t="s">
        <v>2037</v>
      </c>
      <c r="H1347" s="252" t="s">
        <v>4174</v>
      </c>
      <c r="I1347" s="252">
        <v>5</v>
      </c>
      <c r="J1347" s="255">
        <v>1</v>
      </c>
      <c r="K1347" s="255">
        <v>1</v>
      </c>
      <c r="L1347" s="255"/>
      <c r="M1347" s="256">
        <v>1.8059999999999997E-3</v>
      </c>
      <c r="N1347" s="249">
        <v>1346</v>
      </c>
    </row>
    <row r="1348" spans="1:14" x14ac:dyDescent="0.25">
      <c r="A1348" s="252" t="s">
        <v>134</v>
      </c>
      <c r="B1348" s="252" t="s">
        <v>4131</v>
      </c>
      <c r="C1348" s="253">
        <v>0</v>
      </c>
      <c r="D1348" s="252">
        <v>39792</v>
      </c>
      <c r="E1348" s="252" t="s">
        <v>192</v>
      </c>
      <c r="F1348" s="254" t="s">
        <v>4132</v>
      </c>
      <c r="G1348" s="252" t="s">
        <v>2038</v>
      </c>
      <c r="H1348" s="252" t="s">
        <v>4175</v>
      </c>
      <c r="I1348" s="252">
        <v>5</v>
      </c>
      <c r="J1348" s="255">
        <v>1</v>
      </c>
      <c r="K1348" s="255">
        <v>1</v>
      </c>
      <c r="L1348" s="255"/>
      <c r="M1348" s="256">
        <v>1.8059999999999997E-3</v>
      </c>
      <c r="N1348" s="249">
        <v>1347</v>
      </c>
    </row>
    <row r="1349" spans="1:14" x14ac:dyDescent="0.25">
      <c r="A1349" s="252" t="s">
        <v>134</v>
      </c>
      <c r="B1349" s="252" t="s">
        <v>4131</v>
      </c>
      <c r="C1349" s="253">
        <v>0</v>
      </c>
      <c r="D1349" s="252">
        <v>39792</v>
      </c>
      <c r="E1349" s="252" t="s">
        <v>192</v>
      </c>
      <c r="F1349" s="254" t="s">
        <v>4132</v>
      </c>
      <c r="G1349" s="252" t="s">
        <v>2039</v>
      </c>
      <c r="H1349" s="252" t="s">
        <v>4176</v>
      </c>
      <c r="I1349" s="252">
        <v>5</v>
      </c>
      <c r="J1349" s="255">
        <v>1</v>
      </c>
      <c r="K1349" s="255">
        <v>1</v>
      </c>
      <c r="L1349" s="255"/>
      <c r="M1349" s="256">
        <v>2.0999999999999998E-4</v>
      </c>
      <c r="N1349" s="249">
        <v>1348</v>
      </c>
    </row>
    <row r="1350" spans="1:14" x14ac:dyDescent="0.25">
      <c r="A1350" s="252" t="s">
        <v>134</v>
      </c>
      <c r="B1350" s="252" t="s">
        <v>4131</v>
      </c>
      <c r="C1350" s="253">
        <v>0</v>
      </c>
      <c r="D1350" s="252">
        <v>39792</v>
      </c>
      <c r="E1350" s="252" t="s">
        <v>192</v>
      </c>
      <c r="F1350" s="254" t="s">
        <v>4132</v>
      </c>
      <c r="G1350" s="252" t="s">
        <v>4177</v>
      </c>
      <c r="H1350" s="252" t="s">
        <v>4178</v>
      </c>
      <c r="I1350" s="252">
        <v>5</v>
      </c>
      <c r="J1350" s="255">
        <v>1</v>
      </c>
      <c r="K1350" s="255">
        <v>1</v>
      </c>
      <c r="L1350" s="255"/>
      <c r="M1350" s="256">
        <v>4.17E-4</v>
      </c>
      <c r="N1350" s="249">
        <v>1349</v>
      </c>
    </row>
    <row r="1351" spans="1:14" x14ac:dyDescent="0.25">
      <c r="A1351" s="252" t="s">
        <v>134</v>
      </c>
      <c r="B1351" s="252" t="s">
        <v>4131</v>
      </c>
      <c r="C1351" s="253">
        <v>0</v>
      </c>
      <c r="D1351" s="252">
        <v>39792</v>
      </c>
      <c r="E1351" s="252" t="s">
        <v>192</v>
      </c>
      <c r="F1351" s="254" t="s">
        <v>4132</v>
      </c>
      <c r="G1351" s="252" t="s">
        <v>4179</v>
      </c>
      <c r="H1351" s="252" t="s">
        <v>4180</v>
      </c>
      <c r="I1351" s="252">
        <v>5</v>
      </c>
      <c r="J1351" s="255">
        <v>1</v>
      </c>
      <c r="K1351" s="255">
        <v>1</v>
      </c>
      <c r="L1351" s="255"/>
      <c r="M1351" s="256">
        <v>2.0999999999999998E-4</v>
      </c>
      <c r="N1351" s="249">
        <v>1350</v>
      </c>
    </row>
    <row r="1352" spans="1:14" x14ac:dyDescent="0.25">
      <c r="A1352" s="252" t="s">
        <v>134</v>
      </c>
      <c r="B1352" s="252" t="s">
        <v>4131</v>
      </c>
      <c r="C1352" s="253">
        <v>0</v>
      </c>
      <c r="D1352" s="252">
        <v>39792</v>
      </c>
      <c r="E1352" s="252" t="s">
        <v>1591</v>
      </c>
      <c r="F1352" s="254" t="s">
        <v>4132</v>
      </c>
      <c r="G1352" s="252" t="s">
        <v>2043</v>
      </c>
      <c r="H1352" s="252" t="s">
        <v>4181</v>
      </c>
      <c r="I1352" s="252">
        <v>5</v>
      </c>
      <c r="J1352" s="255">
        <v>1</v>
      </c>
      <c r="K1352" s="255">
        <v>1</v>
      </c>
      <c r="L1352" s="255"/>
      <c r="M1352" s="256">
        <v>7.9199999999999995E-4</v>
      </c>
      <c r="N1352" s="249">
        <v>1351</v>
      </c>
    </row>
    <row r="1353" spans="1:14" x14ac:dyDescent="0.25">
      <c r="A1353" s="252" t="s">
        <v>134</v>
      </c>
      <c r="B1353" s="252" t="s">
        <v>4131</v>
      </c>
      <c r="C1353" s="253">
        <v>0</v>
      </c>
      <c r="D1353" s="252">
        <v>39792</v>
      </c>
      <c r="E1353" s="252" t="s">
        <v>190</v>
      </c>
      <c r="F1353" s="254" t="s">
        <v>4132</v>
      </c>
      <c r="G1353" s="252" t="s">
        <v>2045</v>
      </c>
      <c r="H1353" s="252" t="s">
        <v>4182</v>
      </c>
      <c r="I1353" s="252">
        <v>5</v>
      </c>
      <c r="J1353" s="255">
        <v>1</v>
      </c>
      <c r="K1353" s="255">
        <v>1</v>
      </c>
      <c r="L1353" s="255"/>
      <c r="M1353" s="256">
        <v>2.4899999999999998E-4</v>
      </c>
      <c r="N1353" s="249">
        <v>1352</v>
      </c>
    </row>
    <row r="1354" spans="1:14" x14ac:dyDescent="0.25">
      <c r="A1354" s="252" t="s">
        <v>134</v>
      </c>
      <c r="B1354" s="252" t="s">
        <v>4131</v>
      </c>
      <c r="C1354" s="253">
        <v>0</v>
      </c>
      <c r="D1354" s="252">
        <v>39792</v>
      </c>
      <c r="E1354" s="252" t="s">
        <v>190</v>
      </c>
      <c r="F1354" s="254" t="s">
        <v>4132</v>
      </c>
      <c r="G1354" s="252" t="s">
        <v>2046</v>
      </c>
      <c r="H1354" s="252" t="s">
        <v>4183</v>
      </c>
      <c r="I1354" s="252">
        <v>5</v>
      </c>
      <c r="J1354" s="255">
        <v>1</v>
      </c>
      <c r="K1354" s="255">
        <v>1</v>
      </c>
      <c r="L1354" s="255"/>
      <c r="M1354" s="256">
        <v>2.4899999999999998E-4</v>
      </c>
      <c r="N1354" s="249">
        <v>1353</v>
      </c>
    </row>
    <row r="1355" spans="1:14" x14ac:dyDescent="0.25">
      <c r="A1355" s="252" t="s">
        <v>134</v>
      </c>
      <c r="B1355" s="252" t="s">
        <v>4131</v>
      </c>
      <c r="C1355" s="253">
        <v>0</v>
      </c>
      <c r="D1355" s="252">
        <v>39792</v>
      </c>
      <c r="E1355" s="252" t="s">
        <v>190</v>
      </c>
      <c r="F1355" s="254" t="s">
        <v>4132</v>
      </c>
      <c r="G1355" s="252" t="s">
        <v>2047</v>
      </c>
      <c r="H1355" s="252" t="s">
        <v>4184</v>
      </c>
      <c r="I1355" s="252">
        <v>5</v>
      </c>
      <c r="J1355" s="255">
        <v>1</v>
      </c>
      <c r="K1355" s="255">
        <v>1</v>
      </c>
      <c r="L1355" s="255"/>
      <c r="M1355" s="256">
        <v>1.5899999999999999E-4</v>
      </c>
      <c r="N1355" s="249">
        <v>1354</v>
      </c>
    </row>
    <row r="1356" spans="1:14" x14ac:dyDescent="0.25">
      <c r="A1356" s="252" t="s">
        <v>134</v>
      </c>
      <c r="B1356" s="252" t="s">
        <v>4131</v>
      </c>
      <c r="C1356" s="253">
        <v>0</v>
      </c>
      <c r="D1356" s="252">
        <v>39792</v>
      </c>
      <c r="E1356" s="252" t="s">
        <v>190</v>
      </c>
      <c r="F1356" s="254" t="s">
        <v>4132</v>
      </c>
      <c r="G1356" s="252" t="s">
        <v>4185</v>
      </c>
      <c r="H1356" s="252" t="s">
        <v>4186</v>
      </c>
      <c r="I1356" s="252">
        <v>5</v>
      </c>
      <c r="J1356" s="255">
        <v>1</v>
      </c>
      <c r="K1356" s="255">
        <v>1</v>
      </c>
      <c r="L1356" s="255"/>
      <c r="M1356" s="256">
        <v>1.5899999999999999E-4</v>
      </c>
      <c r="N1356" s="249">
        <v>1355</v>
      </c>
    </row>
    <row r="1357" spans="1:14" x14ac:dyDescent="0.25">
      <c r="A1357" s="252" t="s">
        <v>134</v>
      </c>
      <c r="B1357" s="252" t="s">
        <v>4131</v>
      </c>
      <c r="C1357" s="253">
        <v>0</v>
      </c>
      <c r="D1357" s="252">
        <v>39792</v>
      </c>
      <c r="E1357" s="252" t="s">
        <v>3039</v>
      </c>
      <c r="F1357" s="254" t="s">
        <v>4132</v>
      </c>
      <c r="G1357" s="252" t="s">
        <v>1540</v>
      </c>
      <c r="H1357" s="252" t="s">
        <v>4187</v>
      </c>
      <c r="I1357" s="252">
        <v>5</v>
      </c>
      <c r="J1357" s="255">
        <v>1</v>
      </c>
      <c r="K1357" s="255">
        <v>1</v>
      </c>
      <c r="L1357" s="255"/>
      <c r="M1357" s="256">
        <v>1.5899999999999999E-4</v>
      </c>
      <c r="N1357" s="249">
        <v>1356</v>
      </c>
    </row>
    <row r="1358" spans="1:14" x14ac:dyDescent="0.25">
      <c r="A1358" s="252" t="s">
        <v>134</v>
      </c>
      <c r="B1358" s="252" t="s">
        <v>4131</v>
      </c>
      <c r="C1358" s="253">
        <v>0</v>
      </c>
      <c r="D1358" s="252">
        <v>39792</v>
      </c>
      <c r="E1358" s="252" t="s">
        <v>3039</v>
      </c>
      <c r="F1358" s="254" t="s">
        <v>4132</v>
      </c>
      <c r="G1358" s="252" t="s">
        <v>2053</v>
      </c>
      <c r="H1358" s="252" t="s">
        <v>4188</v>
      </c>
      <c r="I1358" s="252">
        <v>5</v>
      </c>
      <c r="J1358" s="255">
        <v>1</v>
      </c>
      <c r="K1358" s="255">
        <v>1</v>
      </c>
      <c r="L1358" s="255"/>
      <c r="M1358" s="256">
        <v>1.5899999999999999E-4</v>
      </c>
      <c r="N1358" s="249">
        <v>1357</v>
      </c>
    </row>
    <row r="1359" spans="1:14" x14ac:dyDescent="0.25">
      <c r="A1359" s="252" t="s">
        <v>134</v>
      </c>
      <c r="B1359" s="252" t="s">
        <v>4131</v>
      </c>
      <c r="C1359" s="253">
        <v>0</v>
      </c>
      <c r="D1359" s="252">
        <v>39792</v>
      </c>
      <c r="E1359" s="252" t="s">
        <v>3039</v>
      </c>
      <c r="F1359" s="254" t="s">
        <v>4132</v>
      </c>
      <c r="G1359" s="252" t="s">
        <v>2054</v>
      </c>
      <c r="H1359" s="252" t="s">
        <v>4189</v>
      </c>
      <c r="I1359" s="252">
        <v>5</v>
      </c>
      <c r="J1359" s="255">
        <v>1</v>
      </c>
      <c r="K1359" s="255">
        <v>1</v>
      </c>
      <c r="L1359" s="255"/>
      <c r="M1359" s="256">
        <v>1.0589999999999998E-3</v>
      </c>
      <c r="N1359" s="249">
        <v>1358</v>
      </c>
    </row>
    <row r="1360" spans="1:14" x14ac:dyDescent="0.25">
      <c r="A1360" s="252" t="s">
        <v>134</v>
      </c>
      <c r="B1360" s="252" t="s">
        <v>4131</v>
      </c>
      <c r="C1360" s="253">
        <v>0</v>
      </c>
      <c r="D1360" s="252">
        <v>39792</v>
      </c>
      <c r="E1360" s="252" t="s">
        <v>3039</v>
      </c>
      <c r="F1360" s="254" t="s">
        <v>4132</v>
      </c>
      <c r="G1360" s="252" t="s">
        <v>2055</v>
      </c>
      <c r="H1360" s="252" t="s">
        <v>4190</v>
      </c>
      <c r="I1360" s="252">
        <v>5</v>
      </c>
      <c r="J1360" s="255">
        <v>1</v>
      </c>
      <c r="K1360" s="255">
        <v>1</v>
      </c>
      <c r="L1360" s="255"/>
      <c r="M1360" s="256">
        <v>2.04E-4</v>
      </c>
      <c r="N1360" s="249">
        <v>1359</v>
      </c>
    </row>
    <row r="1361" spans="1:14" x14ac:dyDescent="0.25">
      <c r="A1361" s="252" t="s">
        <v>134</v>
      </c>
      <c r="B1361" s="252" t="s">
        <v>4131</v>
      </c>
      <c r="C1361" s="253">
        <v>0</v>
      </c>
      <c r="D1361" s="252">
        <v>39792</v>
      </c>
      <c r="E1361" s="252" t="s">
        <v>3039</v>
      </c>
      <c r="F1361" s="254" t="s">
        <v>4132</v>
      </c>
      <c r="G1361" s="252" t="s">
        <v>3064</v>
      </c>
      <c r="H1361" s="252" t="s">
        <v>4191</v>
      </c>
      <c r="I1361" s="252">
        <v>5</v>
      </c>
      <c r="J1361" s="255">
        <v>1</v>
      </c>
      <c r="K1361" s="255">
        <v>1</v>
      </c>
      <c r="L1361" s="255"/>
      <c r="M1361" s="256">
        <v>1.0589999999999998E-3</v>
      </c>
      <c r="N1361" s="249">
        <v>1360</v>
      </c>
    </row>
    <row r="1362" spans="1:14" x14ac:dyDescent="0.25">
      <c r="A1362" s="252" t="s">
        <v>134</v>
      </c>
      <c r="B1362" s="252" t="s">
        <v>4131</v>
      </c>
      <c r="C1362" s="253">
        <v>0</v>
      </c>
      <c r="D1362" s="252">
        <v>39792</v>
      </c>
      <c r="E1362" s="252" t="s">
        <v>3039</v>
      </c>
      <c r="F1362" s="254" t="s">
        <v>4132</v>
      </c>
      <c r="G1362" s="252" t="s">
        <v>3066</v>
      </c>
      <c r="H1362" s="252" t="s">
        <v>4192</v>
      </c>
      <c r="I1362" s="252">
        <v>5</v>
      </c>
      <c r="J1362" s="255">
        <v>1</v>
      </c>
      <c r="K1362" s="255">
        <v>1</v>
      </c>
      <c r="L1362" s="255"/>
      <c r="M1362" s="256">
        <v>2.04E-4</v>
      </c>
      <c r="N1362" s="249">
        <v>1361</v>
      </c>
    </row>
    <row r="1363" spans="1:14" x14ac:dyDescent="0.25">
      <c r="A1363" s="252" t="s">
        <v>134</v>
      </c>
      <c r="B1363" s="252" t="s">
        <v>4131</v>
      </c>
      <c r="C1363" s="253">
        <v>0</v>
      </c>
      <c r="D1363" s="252">
        <v>39792</v>
      </c>
      <c r="E1363" s="252" t="s">
        <v>3039</v>
      </c>
      <c r="F1363" s="254" t="s">
        <v>4132</v>
      </c>
      <c r="G1363" s="252" t="s">
        <v>2057</v>
      </c>
      <c r="H1363" s="252" t="s">
        <v>4193</v>
      </c>
      <c r="I1363" s="252">
        <v>5</v>
      </c>
      <c r="J1363" s="255">
        <v>1</v>
      </c>
      <c r="K1363" s="255">
        <v>1</v>
      </c>
      <c r="L1363" s="255"/>
      <c r="M1363" s="256">
        <v>1.6200000000000001E-4</v>
      </c>
      <c r="N1363" s="249">
        <v>1362</v>
      </c>
    </row>
    <row r="1364" spans="1:14" x14ac:dyDescent="0.25">
      <c r="A1364" s="252" t="s">
        <v>134</v>
      </c>
      <c r="B1364" s="252" t="s">
        <v>4131</v>
      </c>
      <c r="C1364" s="253">
        <v>0</v>
      </c>
      <c r="D1364" s="252">
        <v>39792</v>
      </c>
      <c r="E1364" s="252" t="s">
        <v>3039</v>
      </c>
      <c r="F1364" s="254" t="s">
        <v>4132</v>
      </c>
      <c r="G1364" s="252" t="s">
        <v>3073</v>
      </c>
      <c r="H1364" s="252" t="s">
        <v>4194</v>
      </c>
      <c r="I1364" s="252">
        <v>5</v>
      </c>
      <c r="J1364" s="255">
        <v>1</v>
      </c>
      <c r="K1364" s="255">
        <v>1</v>
      </c>
      <c r="L1364" s="255"/>
      <c r="M1364" s="256">
        <v>1.6200000000000001E-4</v>
      </c>
      <c r="N1364" s="249">
        <v>1363</v>
      </c>
    </row>
    <row r="1365" spans="1:14" x14ac:dyDescent="0.25">
      <c r="A1365" s="252" t="s">
        <v>134</v>
      </c>
      <c r="B1365" s="252" t="s">
        <v>4131</v>
      </c>
      <c r="C1365" s="253">
        <v>0</v>
      </c>
      <c r="D1365" s="252">
        <v>39792</v>
      </c>
      <c r="E1365" s="252" t="s">
        <v>3039</v>
      </c>
      <c r="F1365" s="254" t="s">
        <v>4132</v>
      </c>
      <c r="G1365" s="252" t="s">
        <v>3075</v>
      </c>
      <c r="H1365" s="252" t="s">
        <v>4195</v>
      </c>
      <c r="I1365" s="252">
        <v>5</v>
      </c>
      <c r="J1365" s="255">
        <v>1</v>
      </c>
      <c r="K1365" s="255">
        <v>1</v>
      </c>
      <c r="L1365" s="255"/>
      <c r="M1365" s="256">
        <v>1.0589999999999998E-3</v>
      </c>
      <c r="N1365" s="249">
        <v>1364</v>
      </c>
    </row>
    <row r="1366" spans="1:14" x14ac:dyDescent="0.25">
      <c r="A1366" s="252" t="s">
        <v>134</v>
      </c>
      <c r="B1366" s="252" t="s">
        <v>4131</v>
      </c>
      <c r="C1366" s="253">
        <v>0</v>
      </c>
      <c r="D1366" s="252">
        <v>39792</v>
      </c>
      <c r="E1366" s="252" t="s">
        <v>3039</v>
      </c>
      <c r="F1366" s="254" t="s">
        <v>4132</v>
      </c>
      <c r="G1366" s="252" t="s">
        <v>3077</v>
      </c>
      <c r="H1366" s="252" t="s">
        <v>4196</v>
      </c>
      <c r="I1366" s="252">
        <v>5</v>
      </c>
      <c r="J1366" s="255">
        <v>1</v>
      </c>
      <c r="K1366" s="255">
        <v>1</v>
      </c>
      <c r="L1366" s="255"/>
      <c r="M1366" s="256">
        <v>2.04E-4</v>
      </c>
      <c r="N1366" s="249">
        <v>1365</v>
      </c>
    </row>
    <row r="1367" spans="1:14" x14ac:dyDescent="0.25">
      <c r="A1367" s="252" t="s">
        <v>134</v>
      </c>
      <c r="B1367" s="252" t="s">
        <v>4131</v>
      </c>
      <c r="C1367" s="253">
        <v>0</v>
      </c>
      <c r="D1367" s="252">
        <v>39792</v>
      </c>
      <c r="E1367" s="252" t="s">
        <v>3039</v>
      </c>
      <c r="F1367" s="254" t="s">
        <v>4132</v>
      </c>
      <c r="G1367" s="252" t="s">
        <v>4197</v>
      </c>
      <c r="H1367" s="252" t="s">
        <v>4198</v>
      </c>
      <c r="I1367" s="252">
        <v>5</v>
      </c>
      <c r="J1367" s="255">
        <v>1</v>
      </c>
      <c r="K1367" s="255">
        <v>1</v>
      </c>
      <c r="L1367" s="255"/>
      <c r="M1367" s="256">
        <v>1.0589999999999998E-3</v>
      </c>
      <c r="N1367" s="249">
        <v>1366</v>
      </c>
    </row>
    <row r="1368" spans="1:14" x14ac:dyDescent="0.25">
      <c r="A1368" s="252" t="s">
        <v>134</v>
      </c>
      <c r="B1368" s="252" t="s">
        <v>4131</v>
      </c>
      <c r="C1368" s="253">
        <v>0</v>
      </c>
      <c r="D1368" s="252">
        <v>39792</v>
      </c>
      <c r="E1368" s="252" t="s">
        <v>3039</v>
      </c>
      <c r="F1368" s="254" t="s">
        <v>4132</v>
      </c>
      <c r="G1368" s="252" t="s">
        <v>3079</v>
      </c>
      <c r="H1368" s="252" t="s">
        <v>4199</v>
      </c>
      <c r="I1368" s="252">
        <v>5</v>
      </c>
      <c r="J1368" s="255">
        <v>1</v>
      </c>
      <c r="K1368" s="255">
        <v>1</v>
      </c>
      <c r="L1368" s="255"/>
      <c r="M1368" s="256">
        <v>2.04E-4</v>
      </c>
      <c r="N1368" s="249">
        <v>1367</v>
      </c>
    </row>
    <row r="1369" spans="1:14" x14ac:dyDescent="0.25">
      <c r="A1369" s="252" t="s">
        <v>134</v>
      </c>
      <c r="B1369" s="252" t="s">
        <v>4131</v>
      </c>
      <c r="C1369" s="253">
        <v>0</v>
      </c>
      <c r="D1369" s="252">
        <v>39792</v>
      </c>
      <c r="E1369" s="252" t="s">
        <v>190</v>
      </c>
      <c r="F1369" s="254" t="s">
        <v>4132</v>
      </c>
      <c r="G1369" s="252" t="s">
        <v>2059</v>
      </c>
      <c r="H1369" s="252" t="s">
        <v>4200</v>
      </c>
      <c r="I1369" s="252">
        <v>5</v>
      </c>
      <c r="J1369" s="255">
        <v>1</v>
      </c>
      <c r="K1369" s="255">
        <v>1</v>
      </c>
      <c r="L1369" s="255"/>
      <c r="M1369" s="256">
        <v>1.5899999999999999E-4</v>
      </c>
      <c r="N1369" s="249">
        <v>1368</v>
      </c>
    </row>
    <row r="1370" spans="1:14" x14ac:dyDescent="0.25">
      <c r="A1370" s="252" t="s">
        <v>134</v>
      </c>
      <c r="B1370" s="252" t="s">
        <v>4131</v>
      </c>
      <c r="C1370" s="253">
        <v>0</v>
      </c>
      <c r="D1370" s="252">
        <v>39792</v>
      </c>
      <c r="E1370" s="252" t="s">
        <v>190</v>
      </c>
      <c r="F1370" s="254" t="s">
        <v>4132</v>
      </c>
      <c r="G1370" s="252" t="s">
        <v>3082</v>
      </c>
      <c r="H1370" s="252" t="s">
        <v>4201</v>
      </c>
      <c r="I1370" s="252">
        <v>5</v>
      </c>
      <c r="J1370" s="255">
        <v>1</v>
      </c>
      <c r="K1370" s="255">
        <v>1</v>
      </c>
      <c r="L1370" s="255"/>
      <c r="M1370" s="256">
        <v>1.5899999999999999E-4</v>
      </c>
      <c r="N1370" s="249">
        <v>1369</v>
      </c>
    </row>
    <row r="1371" spans="1:14" x14ac:dyDescent="0.25">
      <c r="A1371" s="252" t="s">
        <v>134</v>
      </c>
      <c r="B1371" s="252" t="s">
        <v>4131</v>
      </c>
      <c r="C1371" s="253">
        <v>0</v>
      </c>
      <c r="D1371" s="252">
        <v>39792</v>
      </c>
      <c r="E1371" s="252" t="s">
        <v>190</v>
      </c>
      <c r="F1371" s="254" t="s">
        <v>4132</v>
      </c>
      <c r="G1371" s="252" t="s">
        <v>3092</v>
      </c>
      <c r="H1371" s="252" t="s">
        <v>4202</v>
      </c>
      <c r="I1371" s="252">
        <v>5</v>
      </c>
      <c r="J1371" s="255">
        <v>1</v>
      </c>
      <c r="K1371" s="255">
        <v>1</v>
      </c>
      <c r="L1371" s="255"/>
      <c r="M1371" s="256">
        <v>1.5899999999999999E-4</v>
      </c>
      <c r="N1371" s="249">
        <v>1370</v>
      </c>
    </row>
    <row r="1372" spans="1:14" x14ac:dyDescent="0.25">
      <c r="A1372" s="252" t="s">
        <v>134</v>
      </c>
      <c r="B1372" s="252" t="s">
        <v>4131</v>
      </c>
      <c r="C1372" s="253">
        <v>0</v>
      </c>
      <c r="D1372" s="252">
        <v>39792</v>
      </c>
      <c r="E1372" s="252" t="s">
        <v>190</v>
      </c>
      <c r="F1372" s="254" t="s">
        <v>4132</v>
      </c>
      <c r="G1372" s="252" t="s">
        <v>3094</v>
      </c>
      <c r="H1372" s="252" t="s">
        <v>4203</v>
      </c>
      <c r="I1372" s="252">
        <v>5</v>
      </c>
      <c r="J1372" s="255">
        <v>1</v>
      </c>
      <c r="K1372" s="255">
        <v>1</v>
      </c>
      <c r="L1372" s="255"/>
      <c r="M1372" s="256">
        <v>1.5899999999999999E-4</v>
      </c>
      <c r="N1372" s="249">
        <v>1371</v>
      </c>
    </row>
    <row r="1373" spans="1:14" x14ac:dyDescent="0.25">
      <c r="A1373" s="252" t="s">
        <v>134</v>
      </c>
      <c r="B1373" s="252" t="s">
        <v>4131</v>
      </c>
      <c r="C1373" s="253">
        <v>0</v>
      </c>
      <c r="D1373" s="252">
        <v>39792</v>
      </c>
      <c r="E1373" s="252" t="s">
        <v>1591</v>
      </c>
      <c r="F1373" s="254" t="s">
        <v>4132</v>
      </c>
      <c r="G1373" s="252" t="s">
        <v>1541</v>
      </c>
      <c r="H1373" s="252" t="s">
        <v>4204</v>
      </c>
      <c r="I1373" s="252">
        <v>5</v>
      </c>
      <c r="J1373" s="255">
        <v>1</v>
      </c>
      <c r="K1373" s="255">
        <v>1</v>
      </c>
      <c r="L1373" s="255"/>
      <c r="M1373" s="256">
        <v>7.9199999999999995E-4</v>
      </c>
      <c r="N1373" s="249">
        <v>1372</v>
      </c>
    </row>
    <row r="1374" spans="1:14" x14ac:dyDescent="0.25">
      <c r="A1374" s="252" t="s">
        <v>134</v>
      </c>
      <c r="B1374" s="252" t="s">
        <v>4131</v>
      </c>
      <c r="C1374" s="253">
        <v>0</v>
      </c>
      <c r="D1374" s="252">
        <v>39792</v>
      </c>
      <c r="E1374" s="252" t="s">
        <v>190</v>
      </c>
      <c r="F1374" s="254" t="s">
        <v>4132</v>
      </c>
      <c r="G1374" s="252" t="s">
        <v>4205</v>
      </c>
      <c r="H1374" s="252" t="s">
        <v>4206</v>
      </c>
      <c r="I1374" s="252">
        <v>5</v>
      </c>
      <c r="J1374" s="255">
        <v>1</v>
      </c>
      <c r="K1374" s="255">
        <v>1</v>
      </c>
      <c r="L1374" s="255"/>
      <c r="M1374" s="256">
        <v>2.4899999999999998E-4</v>
      </c>
      <c r="N1374" s="249">
        <v>1373</v>
      </c>
    </row>
    <row r="1375" spans="1:14" x14ac:dyDescent="0.25">
      <c r="A1375" s="252" t="s">
        <v>134</v>
      </c>
      <c r="B1375" s="252" t="s">
        <v>4131</v>
      </c>
      <c r="C1375" s="253">
        <v>0</v>
      </c>
      <c r="D1375" s="252">
        <v>39792</v>
      </c>
      <c r="E1375" s="252" t="s">
        <v>190</v>
      </c>
      <c r="F1375" s="254" t="s">
        <v>4132</v>
      </c>
      <c r="G1375" s="252" t="s">
        <v>4207</v>
      </c>
      <c r="H1375" s="252" t="s">
        <v>4208</v>
      </c>
      <c r="I1375" s="252">
        <v>5</v>
      </c>
      <c r="J1375" s="255">
        <v>1</v>
      </c>
      <c r="K1375" s="255">
        <v>1</v>
      </c>
      <c r="L1375" s="255"/>
      <c r="M1375" s="256">
        <v>2.4899999999999998E-4</v>
      </c>
      <c r="N1375" s="249">
        <v>1374</v>
      </c>
    </row>
    <row r="1376" spans="1:14" x14ac:dyDescent="0.25">
      <c r="A1376" s="252" t="s">
        <v>134</v>
      </c>
      <c r="B1376" s="252" t="s">
        <v>4131</v>
      </c>
      <c r="C1376" s="253">
        <v>0</v>
      </c>
      <c r="D1376" s="252">
        <v>39792</v>
      </c>
      <c r="E1376" s="252" t="s">
        <v>190</v>
      </c>
      <c r="F1376" s="254" t="s">
        <v>4132</v>
      </c>
      <c r="G1376" s="252" t="s">
        <v>4209</v>
      </c>
      <c r="H1376" s="252" t="s">
        <v>4210</v>
      </c>
      <c r="I1376" s="252">
        <v>5</v>
      </c>
      <c r="J1376" s="255">
        <v>1</v>
      </c>
      <c r="K1376" s="255">
        <v>1</v>
      </c>
      <c r="L1376" s="255"/>
      <c r="M1376" s="256">
        <v>1.5899999999999999E-4</v>
      </c>
      <c r="N1376" s="249">
        <v>1375</v>
      </c>
    </row>
    <row r="1377" spans="1:14" x14ac:dyDescent="0.25">
      <c r="A1377" s="252" t="s">
        <v>134</v>
      </c>
      <c r="B1377" s="252" t="s">
        <v>4131</v>
      </c>
      <c r="C1377" s="253">
        <v>0</v>
      </c>
      <c r="D1377" s="252">
        <v>39792</v>
      </c>
      <c r="E1377" s="252" t="s">
        <v>190</v>
      </c>
      <c r="F1377" s="254" t="s">
        <v>4132</v>
      </c>
      <c r="G1377" s="252" t="s">
        <v>4211</v>
      </c>
      <c r="H1377" s="252" t="s">
        <v>4212</v>
      </c>
      <c r="I1377" s="252">
        <v>5</v>
      </c>
      <c r="J1377" s="255">
        <v>1</v>
      </c>
      <c r="K1377" s="255">
        <v>1</v>
      </c>
      <c r="L1377" s="255"/>
      <c r="M1377" s="256">
        <v>1.5899999999999999E-4</v>
      </c>
      <c r="N1377" s="249">
        <v>1376</v>
      </c>
    </row>
    <row r="1378" spans="1:14" x14ac:dyDescent="0.25">
      <c r="A1378" s="252" t="s">
        <v>134</v>
      </c>
      <c r="B1378" s="252" t="s">
        <v>4131</v>
      </c>
      <c r="C1378" s="253">
        <v>0</v>
      </c>
      <c r="D1378" s="252">
        <v>39792</v>
      </c>
      <c r="E1378" s="252" t="s">
        <v>1591</v>
      </c>
      <c r="F1378" s="254" t="s">
        <v>4132</v>
      </c>
      <c r="G1378" s="252" t="s">
        <v>1542</v>
      </c>
      <c r="H1378" s="252" t="s">
        <v>4213</v>
      </c>
      <c r="I1378" s="252">
        <v>5</v>
      </c>
      <c r="J1378" s="255">
        <v>1</v>
      </c>
      <c r="K1378" s="255">
        <v>1</v>
      </c>
      <c r="L1378" s="255"/>
      <c r="M1378" s="256">
        <v>7.9199999999999995E-4</v>
      </c>
      <c r="N1378" s="249">
        <v>1377</v>
      </c>
    </row>
    <row r="1379" spans="1:14" x14ac:dyDescent="0.25">
      <c r="A1379" s="252" t="s">
        <v>134</v>
      </c>
      <c r="B1379" s="252" t="s">
        <v>4131</v>
      </c>
      <c r="C1379" s="253">
        <v>0</v>
      </c>
      <c r="D1379" s="252">
        <v>39792</v>
      </c>
      <c r="E1379" s="252" t="s">
        <v>190</v>
      </c>
      <c r="F1379" s="254" t="s">
        <v>4132</v>
      </c>
      <c r="G1379" s="252" t="s">
        <v>4214</v>
      </c>
      <c r="H1379" s="252" t="s">
        <v>4215</v>
      </c>
      <c r="I1379" s="252">
        <v>5</v>
      </c>
      <c r="J1379" s="255">
        <v>1</v>
      </c>
      <c r="K1379" s="255">
        <v>1</v>
      </c>
      <c r="L1379" s="255"/>
      <c r="M1379" s="256">
        <v>2.4899999999999998E-4</v>
      </c>
      <c r="N1379" s="249">
        <v>1378</v>
      </c>
    </row>
    <row r="1380" spans="1:14" x14ac:dyDescent="0.25">
      <c r="A1380" s="252" t="s">
        <v>134</v>
      </c>
      <c r="B1380" s="252" t="s">
        <v>4131</v>
      </c>
      <c r="C1380" s="253">
        <v>0</v>
      </c>
      <c r="D1380" s="252">
        <v>39792</v>
      </c>
      <c r="E1380" s="252" t="s">
        <v>190</v>
      </c>
      <c r="F1380" s="254" t="s">
        <v>4132</v>
      </c>
      <c r="G1380" s="252" t="s">
        <v>4216</v>
      </c>
      <c r="H1380" s="252" t="s">
        <v>4217</v>
      </c>
      <c r="I1380" s="252">
        <v>5</v>
      </c>
      <c r="J1380" s="255">
        <v>1</v>
      </c>
      <c r="K1380" s="255">
        <v>1</v>
      </c>
      <c r="L1380" s="255"/>
      <c r="M1380" s="256">
        <v>2.4899999999999998E-4</v>
      </c>
      <c r="N1380" s="249">
        <v>1379</v>
      </c>
    </row>
    <row r="1381" spans="1:14" x14ac:dyDescent="0.25">
      <c r="A1381" s="252" t="s">
        <v>134</v>
      </c>
      <c r="B1381" s="252" t="s">
        <v>4131</v>
      </c>
      <c r="C1381" s="253">
        <v>0</v>
      </c>
      <c r="D1381" s="252">
        <v>39792</v>
      </c>
      <c r="E1381" s="252" t="s">
        <v>190</v>
      </c>
      <c r="F1381" s="254" t="s">
        <v>4132</v>
      </c>
      <c r="G1381" s="252" t="s">
        <v>4218</v>
      </c>
      <c r="H1381" s="252" t="s">
        <v>4219</v>
      </c>
      <c r="I1381" s="252">
        <v>5</v>
      </c>
      <c r="J1381" s="255">
        <v>1</v>
      </c>
      <c r="K1381" s="255">
        <v>1</v>
      </c>
      <c r="L1381" s="255"/>
      <c r="M1381" s="256">
        <v>1.5899999999999999E-4</v>
      </c>
      <c r="N1381" s="249">
        <v>1380</v>
      </c>
    </row>
    <row r="1382" spans="1:14" x14ac:dyDescent="0.25">
      <c r="A1382" s="252" t="s">
        <v>134</v>
      </c>
      <c r="B1382" s="252" t="s">
        <v>4131</v>
      </c>
      <c r="C1382" s="253">
        <v>0</v>
      </c>
      <c r="D1382" s="252">
        <v>39792</v>
      </c>
      <c r="E1382" s="252" t="s">
        <v>190</v>
      </c>
      <c r="F1382" s="254" t="s">
        <v>4132</v>
      </c>
      <c r="G1382" s="252" t="s">
        <v>4220</v>
      </c>
      <c r="H1382" s="252" t="s">
        <v>4221</v>
      </c>
      <c r="I1382" s="252">
        <v>5</v>
      </c>
      <c r="J1382" s="255">
        <v>1</v>
      </c>
      <c r="K1382" s="255">
        <v>1</v>
      </c>
      <c r="L1382" s="255"/>
      <c r="M1382" s="256">
        <v>1.5899999999999999E-4</v>
      </c>
      <c r="N1382" s="249">
        <v>1381</v>
      </c>
    </row>
    <row r="1383" spans="1:14" x14ac:dyDescent="0.25">
      <c r="A1383" s="252" t="s">
        <v>134</v>
      </c>
      <c r="B1383" s="252" t="s">
        <v>4131</v>
      </c>
      <c r="C1383" s="253">
        <v>0</v>
      </c>
      <c r="D1383" s="252">
        <v>39792</v>
      </c>
      <c r="E1383" s="252" t="s">
        <v>1591</v>
      </c>
      <c r="F1383" s="254" t="s">
        <v>4132</v>
      </c>
      <c r="G1383" s="252" t="s">
        <v>4222</v>
      </c>
      <c r="H1383" s="252" t="s">
        <v>4223</v>
      </c>
      <c r="I1383" s="252">
        <v>5</v>
      </c>
      <c r="J1383" s="255">
        <v>1</v>
      </c>
      <c r="K1383" s="255">
        <v>1</v>
      </c>
      <c r="L1383" s="255"/>
      <c r="M1383" s="256">
        <v>7.9199999999999995E-4</v>
      </c>
      <c r="N1383" s="249">
        <v>1382</v>
      </c>
    </row>
    <row r="1384" spans="1:14" x14ac:dyDescent="0.25">
      <c r="A1384" s="252" t="s">
        <v>134</v>
      </c>
      <c r="B1384" s="252" t="s">
        <v>4131</v>
      </c>
      <c r="C1384" s="253">
        <v>0</v>
      </c>
      <c r="D1384" s="252">
        <v>39792</v>
      </c>
      <c r="E1384" s="252" t="s">
        <v>190</v>
      </c>
      <c r="F1384" s="254" t="s">
        <v>4132</v>
      </c>
      <c r="G1384" s="252" t="s">
        <v>4224</v>
      </c>
      <c r="H1384" s="252" t="s">
        <v>4225</v>
      </c>
      <c r="I1384" s="252">
        <v>5</v>
      </c>
      <c r="J1384" s="255">
        <v>1</v>
      </c>
      <c r="K1384" s="255">
        <v>1</v>
      </c>
      <c r="L1384" s="255"/>
      <c r="M1384" s="256">
        <v>2.4899999999999998E-4</v>
      </c>
      <c r="N1384" s="249">
        <v>1383</v>
      </c>
    </row>
    <row r="1385" spans="1:14" x14ac:dyDescent="0.25">
      <c r="A1385" s="252" t="s">
        <v>134</v>
      </c>
      <c r="B1385" s="252" t="s">
        <v>4131</v>
      </c>
      <c r="C1385" s="253">
        <v>0</v>
      </c>
      <c r="D1385" s="252">
        <v>39792</v>
      </c>
      <c r="E1385" s="252" t="s">
        <v>190</v>
      </c>
      <c r="F1385" s="254" t="s">
        <v>4132</v>
      </c>
      <c r="G1385" s="252" t="s">
        <v>4226</v>
      </c>
      <c r="H1385" s="252" t="s">
        <v>4227</v>
      </c>
      <c r="I1385" s="252">
        <v>5</v>
      </c>
      <c r="J1385" s="255">
        <v>1</v>
      </c>
      <c r="K1385" s="255">
        <v>1</v>
      </c>
      <c r="L1385" s="255"/>
      <c r="M1385" s="256">
        <v>2.4899999999999998E-4</v>
      </c>
      <c r="N1385" s="249">
        <v>1384</v>
      </c>
    </row>
    <row r="1386" spans="1:14" x14ac:dyDescent="0.25">
      <c r="A1386" s="252" t="s">
        <v>134</v>
      </c>
      <c r="B1386" s="252" t="s">
        <v>4131</v>
      </c>
      <c r="C1386" s="253">
        <v>0</v>
      </c>
      <c r="D1386" s="252">
        <v>39792</v>
      </c>
      <c r="E1386" s="252" t="s">
        <v>190</v>
      </c>
      <c r="F1386" s="254" t="s">
        <v>4132</v>
      </c>
      <c r="G1386" s="252" t="s">
        <v>4228</v>
      </c>
      <c r="H1386" s="252" t="s">
        <v>4229</v>
      </c>
      <c r="I1386" s="252">
        <v>5</v>
      </c>
      <c r="J1386" s="255">
        <v>1</v>
      </c>
      <c r="K1386" s="255">
        <v>1</v>
      </c>
      <c r="L1386" s="255"/>
      <c r="M1386" s="256">
        <v>1.5899999999999999E-4</v>
      </c>
      <c r="N1386" s="249">
        <v>1385</v>
      </c>
    </row>
    <row r="1387" spans="1:14" x14ac:dyDescent="0.25">
      <c r="A1387" s="252" t="s">
        <v>134</v>
      </c>
      <c r="B1387" s="252" t="s">
        <v>4131</v>
      </c>
      <c r="C1387" s="253">
        <v>0</v>
      </c>
      <c r="D1387" s="252">
        <v>39792</v>
      </c>
      <c r="E1387" s="252" t="s">
        <v>190</v>
      </c>
      <c r="F1387" s="254" t="s">
        <v>4132</v>
      </c>
      <c r="G1387" s="252" t="s">
        <v>4230</v>
      </c>
      <c r="H1387" s="252" t="s">
        <v>4231</v>
      </c>
      <c r="I1387" s="252">
        <v>5</v>
      </c>
      <c r="J1387" s="255">
        <v>1</v>
      </c>
      <c r="K1387" s="255">
        <v>1</v>
      </c>
      <c r="L1387" s="255"/>
      <c r="M1387" s="256">
        <v>1.5899999999999999E-4</v>
      </c>
      <c r="N1387" s="249">
        <v>1386</v>
      </c>
    </row>
    <row r="1388" spans="1:14" x14ac:dyDescent="0.25">
      <c r="A1388" s="252" t="s">
        <v>134</v>
      </c>
      <c r="B1388" s="252" t="s">
        <v>4131</v>
      </c>
      <c r="C1388" s="253">
        <v>0</v>
      </c>
      <c r="D1388" s="252">
        <v>39792</v>
      </c>
      <c r="E1388" s="252" t="s">
        <v>192</v>
      </c>
      <c r="F1388" s="254" t="s">
        <v>4232</v>
      </c>
      <c r="G1388" s="252" t="s">
        <v>1545</v>
      </c>
      <c r="H1388" s="252" t="s">
        <v>4233</v>
      </c>
      <c r="I1388" s="252">
        <v>5</v>
      </c>
      <c r="J1388" s="255">
        <v>1</v>
      </c>
      <c r="K1388" s="255">
        <v>1</v>
      </c>
      <c r="L1388" s="255"/>
      <c r="M1388" s="256">
        <v>1.8059999999999997E-3</v>
      </c>
      <c r="N1388" s="249">
        <v>1387</v>
      </c>
    </row>
    <row r="1389" spans="1:14" x14ac:dyDescent="0.25">
      <c r="A1389" s="252" t="s">
        <v>134</v>
      </c>
      <c r="B1389" s="252" t="s">
        <v>4131</v>
      </c>
      <c r="C1389" s="253">
        <v>0</v>
      </c>
      <c r="D1389" s="252">
        <v>39792</v>
      </c>
      <c r="E1389" s="252" t="s">
        <v>192</v>
      </c>
      <c r="F1389" s="254" t="s">
        <v>4232</v>
      </c>
      <c r="G1389" s="252" t="s">
        <v>1546</v>
      </c>
      <c r="H1389" s="252" t="s">
        <v>4234</v>
      </c>
      <c r="I1389" s="252">
        <v>5</v>
      </c>
      <c r="J1389" s="255">
        <v>1</v>
      </c>
      <c r="K1389" s="255">
        <v>1</v>
      </c>
      <c r="L1389" s="255"/>
      <c r="M1389" s="256">
        <v>1.8059999999999997E-3</v>
      </c>
      <c r="N1389" s="249">
        <v>1388</v>
      </c>
    </row>
    <row r="1390" spans="1:14" x14ac:dyDescent="0.25">
      <c r="A1390" s="252" t="s">
        <v>134</v>
      </c>
      <c r="B1390" s="252" t="s">
        <v>4131</v>
      </c>
      <c r="C1390" s="253">
        <v>0</v>
      </c>
      <c r="D1390" s="252">
        <v>39792</v>
      </c>
      <c r="E1390" s="252" t="s">
        <v>192</v>
      </c>
      <c r="F1390" s="254" t="s">
        <v>4232</v>
      </c>
      <c r="G1390" s="252" t="s">
        <v>1547</v>
      </c>
      <c r="H1390" s="252" t="s">
        <v>4235</v>
      </c>
      <c r="I1390" s="252">
        <v>5</v>
      </c>
      <c r="J1390" s="255">
        <v>1</v>
      </c>
      <c r="K1390" s="255">
        <v>1</v>
      </c>
      <c r="L1390" s="255"/>
      <c r="M1390" s="256">
        <v>1.98E-3</v>
      </c>
      <c r="N1390" s="249">
        <v>1389</v>
      </c>
    </row>
    <row r="1391" spans="1:14" x14ac:dyDescent="0.25">
      <c r="A1391" s="252" t="s">
        <v>134</v>
      </c>
      <c r="B1391" s="252" t="s">
        <v>4131</v>
      </c>
      <c r="C1391" s="253">
        <v>0</v>
      </c>
      <c r="D1391" s="252">
        <v>39792</v>
      </c>
      <c r="E1391" s="252" t="s">
        <v>192</v>
      </c>
      <c r="F1391" s="254" t="s">
        <v>4232</v>
      </c>
      <c r="G1391" s="252" t="s">
        <v>1548</v>
      </c>
      <c r="H1391" s="252" t="s">
        <v>4236</v>
      </c>
      <c r="I1391" s="252">
        <v>5</v>
      </c>
      <c r="J1391" s="255">
        <v>1</v>
      </c>
      <c r="K1391" s="255">
        <v>1</v>
      </c>
      <c r="L1391" s="255"/>
      <c r="M1391" s="256">
        <v>1.158E-3</v>
      </c>
      <c r="N1391" s="249">
        <v>1390</v>
      </c>
    </row>
    <row r="1392" spans="1:14" x14ac:dyDescent="0.25">
      <c r="A1392" s="252" t="s">
        <v>134</v>
      </c>
      <c r="B1392" s="252" t="s">
        <v>4131</v>
      </c>
      <c r="C1392" s="253">
        <v>0</v>
      </c>
      <c r="D1392" s="252">
        <v>39792</v>
      </c>
      <c r="E1392" s="252" t="s">
        <v>192</v>
      </c>
      <c r="F1392" s="254" t="s">
        <v>4232</v>
      </c>
      <c r="G1392" s="252" t="s">
        <v>1549</v>
      </c>
      <c r="H1392" s="252" t="s">
        <v>4237</v>
      </c>
      <c r="I1392" s="252">
        <v>5</v>
      </c>
      <c r="J1392" s="255">
        <v>1</v>
      </c>
      <c r="K1392" s="255">
        <v>1</v>
      </c>
      <c r="L1392" s="255"/>
      <c r="M1392" s="256">
        <v>1.158E-3</v>
      </c>
      <c r="N1392" s="249">
        <v>1391</v>
      </c>
    </row>
    <row r="1393" spans="1:14" x14ac:dyDescent="0.25">
      <c r="A1393" s="252" t="s">
        <v>134</v>
      </c>
      <c r="B1393" s="252" t="s">
        <v>4131</v>
      </c>
      <c r="C1393" s="253">
        <v>0</v>
      </c>
      <c r="D1393" s="252">
        <v>39792</v>
      </c>
      <c r="E1393" s="252" t="s">
        <v>192</v>
      </c>
      <c r="F1393" s="254" t="s">
        <v>4232</v>
      </c>
      <c r="G1393" s="252" t="s">
        <v>1550</v>
      </c>
      <c r="H1393" s="252" t="s">
        <v>4238</v>
      </c>
      <c r="I1393" s="252">
        <v>5</v>
      </c>
      <c r="J1393" s="255">
        <v>1</v>
      </c>
      <c r="K1393" s="255">
        <v>1</v>
      </c>
      <c r="L1393" s="255"/>
      <c r="M1393" s="256">
        <v>8.9999999999999992E-5</v>
      </c>
      <c r="N1393" s="249">
        <v>1392</v>
      </c>
    </row>
    <row r="1394" spans="1:14" x14ac:dyDescent="0.25">
      <c r="A1394" s="252" t="s">
        <v>134</v>
      </c>
      <c r="B1394" s="252" t="s">
        <v>4131</v>
      </c>
      <c r="C1394" s="253">
        <v>0</v>
      </c>
      <c r="D1394" s="252">
        <v>39792</v>
      </c>
      <c r="E1394" s="252" t="s">
        <v>192</v>
      </c>
      <c r="F1394" s="254" t="s">
        <v>4232</v>
      </c>
      <c r="G1394" s="252" t="s">
        <v>4239</v>
      </c>
      <c r="H1394" s="252" t="s">
        <v>4240</v>
      </c>
      <c r="I1394" s="252">
        <v>5</v>
      </c>
      <c r="J1394" s="255">
        <v>1</v>
      </c>
      <c r="K1394" s="255">
        <v>1</v>
      </c>
      <c r="L1394" s="255"/>
      <c r="M1394" s="256">
        <v>8.9999999999999992E-5</v>
      </c>
      <c r="N1394" s="249">
        <v>1393</v>
      </c>
    </row>
    <row r="1395" spans="1:14" x14ac:dyDescent="0.25">
      <c r="A1395" s="252" t="s">
        <v>134</v>
      </c>
      <c r="B1395" s="252" t="s">
        <v>4131</v>
      </c>
      <c r="C1395" s="253">
        <v>0</v>
      </c>
      <c r="D1395" s="252">
        <v>39792</v>
      </c>
      <c r="E1395" s="252" t="s">
        <v>192</v>
      </c>
      <c r="F1395" s="254" t="s">
        <v>4232</v>
      </c>
      <c r="G1395" s="252" t="s">
        <v>1551</v>
      </c>
      <c r="H1395" s="252" t="s">
        <v>4241</v>
      </c>
      <c r="I1395" s="252">
        <v>5</v>
      </c>
      <c r="J1395" s="255">
        <v>1</v>
      </c>
      <c r="K1395" s="255">
        <v>1</v>
      </c>
      <c r="L1395" s="255"/>
      <c r="M1395" s="256">
        <v>1.8059999999999997E-3</v>
      </c>
      <c r="N1395" s="249">
        <v>1394</v>
      </c>
    </row>
    <row r="1396" spans="1:14" x14ac:dyDescent="0.25">
      <c r="A1396" s="252" t="s">
        <v>134</v>
      </c>
      <c r="B1396" s="252" t="s">
        <v>4131</v>
      </c>
      <c r="C1396" s="253">
        <v>0</v>
      </c>
      <c r="D1396" s="252">
        <v>39792</v>
      </c>
      <c r="E1396" s="252" t="s">
        <v>192</v>
      </c>
      <c r="F1396" s="254" t="s">
        <v>4232</v>
      </c>
      <c r="G1396" s="252" t="s">
        <v>1552</v>
      </c>
      <c r="H1396" s="252" t="s">
        <v>4242</v>
      </c>
      <c r="I1396" s="252">
        <v>5</v>
      </c>
      <c r="J1396" s="255">
        <v>1</v>
      </c>
      <c r="K1396" s="255">
        <v>1</v>
      </c>
      <c r="L1396" s="255"/>
      <c r="M1396" s="256">
        <v>1.8059999999999997E-3</v>
      </c>
      <c r="N1396" s="249">
        <v>1395</v>
      </c>
    </row>
    <row r="1397" spans="1:14" x14ac:dyDescent="0.25">
      <c r="A1397" s="252" t="s">
        <v>134</v>
      </c>
      <c r="B1397" s="252" t="s">
        <v>4131</v>
      </c>
      <c r="C1397" s="253">
        <v>0</v>
      </c>
      <c r="D1397" s="252">
        <v>39792</v>
      </c>
      <c r="E1397" s="252" t="s">
        <v>192</v>
      </c>
      <c r="F1397" s="254" t="s">
        <v>4232</v>
      </c>
      <c r="G1397" s="252" t="s">
        <v>1553</v>
      </c>
      <c r="H1397" s="252" t="s">
        <v>4243</v>
      </c>
      <c r="I1397" s="252">
        <v>5</v>
      </c>
      <c r="J1397" s="255">
        <v>1</v>
      </c>
      <c r="K1397" s="255">
        <v>1</v>
      </c>
      <c r="L1397" s="255"/>
      <c r="M1397" s="256">
        <v>1.98E-3</v>
      </c>
      <c r="N1397" s="249">
        <v>1396</v>
      </c>
    </row>
    <row r="1398" spans="1:14" x14ac:dyDescent="0.25">
      <c r="A1398" s="252" t="s">
        <v>134</v>
      </c>
      <c r="B1398" s="252" t="s">
        <v>4131</v>
      </c>
      <c r="C1398" s="253">
        <v>0</v>
      </c>
      <c r="D1398" s="252">
        <v>39792</v>
      </c>
      <c r="E1398" s="252" t="s">
        <v>192</v>
      </c>
      <c r="F1398" s="254" t="s">
        <v>4232</v>
      </c>
      <c r="G1398" s="252" t="s">
        <v>3133</v>
      </c>
      <c r="H1398" s="252" t="s">
        <v>4244</v>
      </c>
      <c r="I1398" s="252">
        <v>5</v>
      </c>
      <c r="J1398" s="255">
        <v>1</v>
      </c>
      <c r="K1398" s="255">
        <v>1</v>
      </c>
      <c r="L1398" s="255"/>
      <c r="M1398" s="256">
        <v>1.158E-3</v>
      </c>
      <c r="N1398" s="249">
        <v>1397</v>
      </c>
    </row>
    <row r="1399" spans="1:14" x14ac:dyDescent="0.25">
      <c r="A1399" s="252" t="s">
        <v>134</v>
      </c>
      <c r="B1399" s="252" t="s">
        <v>4131</v>
      </c>
      <c r="C1399" s="253">
        <v>0</v>
      </c>
      <c r="D1399" s="252">
        <v>39792</v>
      </c>
      <c r="E1399" s="252" t="s">
        <v>192</v>
      </c>
      <c r="F1399" s="254" t="s">
        <v>4232</v>
      </c>
      <c r="G1399" s="252" t="s">
        <v>3135</v>
      </c>
      <c r="H1399" s="252" t="s">
        <v>4245</v>
      </c>
      <c r="I1399" s="252">
        <v>5</v>
      </c>
      <c r="J1399" s="255">
        <v>1</v>
      </c>
      <c r="K1399" s="255">
        <v>1</v>
      </c>
      <c r="L1399" s="255"/>
      <c r="M1399" s="256">
        <v>1.158E-3</v>
      </c>
      <c r="N1399" s="249">
        <v>1398</v>
      </c>
    </row>
    <row r="1400" spans="1:14" x14ac:dyDescent="0.25">
      <c r="A1400" s="252" t="s">
        <v>134</v>
      </c>
      <c r="B1400" s="252" t="s">
        <v>4131</v>
      </c>
      <c r="C1400" s="253">
        <v>0</v>
      </c>
      <c r="D1400" s="252">
        <v>39792</v>
      </c>
      <c r="E1400" s="252" t="s">
        <v>192</v>
      </c>
      <c r="F1400" s="254" t="s">
        <v>4232</v>
      </c>
      <c r="G1400" s="252" t="s">
        <v>4246</v>
      </c>
      <c r="H1400" s="252" t="s">
        <v>4247</v>
      </c>
      <c r="I1400" s="252">
        <v>5</v>
      </c>
      <c r="J1400" s="255">
        <v>1</v>
      </c>
      <c r="K1400" s="255">
        <v>1</v>
      </c>
      <c r="L1400" s="255"/>
      <c r="M1400" s="256">
        <v>8.9999999999999992E-5</v>
      </c>
      <c r="N1400" s="249">
        <v>1399</v>
      </c>
    </row>
    <row r="1401" spans="1:14" x14ac:dyDescent="0.25">
      <c r="A1401" s="252" t="s">
        <v>134</v>
      </c>
      <c r="B1401" s="252" t="s">
        <v>4131</v>
      </c>
      <c r="C1401" s="253">
        <v>0</v>
      </c>
      <c r="D1401" s="252">
        <v>39792</v>
      </c>
      <c r="E1401" s="252" t="s">
        <v>192</v>
      </c>
      <c r="F1401" s="254" t="s">
        <v>4232</v>
      </c>
      <c r="G1401" s="252" t="s">
        <v>4248</v>
      </c>
      <c r="H1401" s="252" t="s">
        <v>4249</v>
      </c>
      <c r="I1401" s="252">
        <v>5</v>
      </c>
      <c r="J1401" s="255">
        <v>1</v>
      </c>
      <c r="K1401" s="255">
        <v>1</v>
      </c>
      <c r="L1401" s="255"/>
      <c r="M1401" s="256">
        <v>8.9999999999999992E-5</v>
      </c>
      <c r="N1401" s="249">
        <v>1400</v>
      </c>
    </row>
    <row r="1402" spans="1:14" x14ac:dyDescent="0.25">
      <c r="A1402" s="252" t="s">
        <v>134</v>
      </c>
      <c r="B1402" s="252" t="s">
        <v>4131</v>
      </c>
      <c r="C1402" s="253">
        <v>0</v>
      </c>
      <c r="D1402" s="252">
        <v>39792</v>
      </c>
      <c r="E1402" s="252" t="s">
        <v>1591</v>
      </c>
      <c r="F1402" s="254" t="s">
        <v>4232</v>
      </c>
      <c r="G1402" s="252" t="s">
        <v>4250</v>
      </c>
      <c r="H1402" s="252" t="s">
        <v>4251</v>
      </c>
      <c r="I1402" s="252">
        <v>5</v>
      </c>
      <c r="J1402" s="255">
        <v>1</v>
      </c>
      <c r="K1402" s="255">
        <v>1</v>
      </c>
      <c r="L1402" s="255"/>
      <c r="M1402" s="256">
        <v>7.9199999999999995E-4</v>
      </c>
      <c r="N1402" s="249">
        <v>1401</v>
      </c>
    </row>
    <row r="1403" spans="1:14" x14ac:dyDescent="0.25">
      <c r="A1403" s="252" t="s">
        <v>134</v>
      </c>
      <c r="B1403" s="252" t="s">
        <v>4131</v>
      </c>
      <c r="C1403" s="253">
        <v>0</v>
      </c>
      <c r="D1403" s="252">
        <v>39792</v>
      </c>
      <c r="E1403" s="252" t="s">
        <v>190</v>
      </c>
      <c r="F1403" s="254" t="s">
        <v>4232</v>
      </c>
      <c r="G1403" s="252" t="s">
        <v>2150</v>
      </c>
      <c r="H1403" s="252" t="s">
        <v>4252</v>
      </c>
      <c r="I1403" s="252">
        <v>5</v>
      </c>
      <c r="J1403" s="255">
        <v>1</v>
      </c>
      <c r="K1403" s="255">
        <v>1</v>
      </c>
      <c r="L1403" s="255"/>
      <c r="M1403" s="256">
        <v>2.4899999999999998E-4</v>
      </c>
      <c r="N1403" s="249">
        <v>1402</v>
      </c>
    </row>
    <row r="1404" spans="1:14" x14ac:dyDescent="0.25">
      <c r="A1404" s="252" t="s">
        <v>134</v>
      </c>
      <c r="B1404" s="252" t="s">
        <v>4131</v>
      </c>
      <c r="C1404" s="253">
        <v>0</v>
      </c>
      <c r="D1404" s="252">
        <v>39792</v>
      </c>
      <c r="E1404" s="252" t="s">
        <v>190</v>
      </c>
      <c r="F1404" s="254" t="s">
        <v>4232</v>
      </c>
      <c r="G1404" s="252" t="s">
        <v>3139</v>
      </c>
      <c r="H1404" s="252" t="s">
        <v>4253</v>
      </c>
      <c r="I1404" s="252">
        <v>5</v>
      </c>
      <c r="J1404" s="255">
        <v>1</v>
      </c>
      <c r="K1404" s="255">
        <v>1</v>
      </c>
      <c r="L1404" s="255"/>
      <c r="M1404" s="256">
        <v>2.4899999999999998E-4</v>
      </c>
      <c r="N1404" s="249">
        <v>1403</v>
      </c>
    </row>
    <row r="1405" spans="1:14" x14ac:dyDescent="0.25">
      <c r="A1405" s="252" t="s">
        <v>134</v>
      </c>
      <c r="B1405" s="252" t="s">
        <v>4131</v>
      </c>
      <c r="C1405" s="253">
        <v>0</v>
      </c>
      <c r="D1405" s="252">
        <v>39792</v>
      </c>
      <c r="E1405" s="252" t="s">
        <v>1591</v>
      </c>
      <c r="F1405" s="254" t="s">
        <v>4232</v>
      </c>
      <c r="G1405" s="252" t="s">
        <v>4254</v>
      </c>
      <c r="H1405" s="252" t="s">
        <v>4255</v>
      </c>
      <c r="I1405" s="252">
        <v>5</v>
      </c>
      <c r="J1405" s="255">
        <v>1</v>
      </c>
      <c r="K1405" s="255">
        <v>1</v>
      </c>
      <c r="L1405" s="255"/>
      <c r="M1405" s="256">
        <v>7.9199999999999995E-4</v>
      </c>
      <c r="N1405" s="249">
        <v>1404</v>
      </c>
    </row>
    <row r="1406" spans="1:14" x14ac:dyDescent="0.25">
      <c r="A1406" s="252" t="s">
        <v>134</v>
      </c>
      <c r="B1406" s="252" t="s">
        <v>4131</v>
      </c>
      <c r="C1406" s="253">
        <v>0</v>
      </c>
      <c r="D1406" s="252">
        <v>39792</v>
      </c>
      <c r="E1406" s="252" t="s">
        <v>190</v>
      </c>
      <c r="F1406" s="254" t="s">
        <v>4232</v>
      </c>
      <c r="G1406" s="252" t="s">
        <v>2152</v>
      </c>
      <c r="H1406" s="252" t="s">
        <v>4256</v>
      </c>
      <c r="I1406" s="252">
        <v>5</v>
      </c>
      <c r="J1406" s="255">
        <v>1</v>
      </c>
      <c r="K1406" s="255">
        <v>1</v>
      </c>
      <c r="L1406" s="255"/>
      <c r="M1406" s="256">
        <v>2.4899999999999998E-4</v>
      </c>
      <c r="N1406" s="249">
        <v>1405</v>
      </c>
    </row>
    <row r="1407" spans="1:14" x14ac:dyDescent="0.25">
      <c r="A1407" s="252" t="s">
        <v>134</v>
      </c>
      <c r="B1407" s="252" t="s">
        <v>4131</v>
      </c>
      <c r="C1407" s="253">
        <v>0</v>
      </c>
      <c r="D1407" s="252">
        <v>39792</v>
      </c>
      <c r="E1407" s="252" t="s">
        <v>190</v>
      </c>
      <c r="F1407" s="254" t="s">
        <v>4232</v>
      </c>
      <c r="G1407" s="252" t="s">
        <v>4257</v>
      </c>
      <c r="H1407" s="252" t="s">
        <v>4258</v>
      </c>
      <c r="I1407" s="252">
        <v>5</v>
      </c>
      <c r="J1407" s="255">
        <v>1</v>
      </c>
      <c r="K1407" s="255">
        <v>1</v>
      </c>
      <c r="L1407" s="255"/>
      <c r="M1407" s="256">
        <v>2.4899999999999998E-4</v>
      </c>
      <c r="N1407" s="249">
        <v>1406</v>
      </c>
    </row>
    <row r="1408" spans="1:14" x14ac:dyDescent="0.25">
      <c r="A1408" s="252" t="s">
        <v>134</v>
      </c>
      <c r="B1408" s="252" t="s">
        <v>4131</v>
      </c>
      <c r="C1408" s="253">
        <v>0</v>
      </c>
      <c r="D1408" s="252">
        <v>39792</v>
      </c>
      <c r="E1408" s="252" t="s">
        <v>3039</v>
      </c>
      <c r="F1408" s="254" t="s">
        <v>4232</v>
      </c>
      <c r="G1408" s="252" t="s">
        <v>1561</v>
      </c>
      <c r="H1408" s="252" t="s">
        <v>4259</v>
      </c>
      <c r="I1408" s="252">
        <v>5</v>
      </c>
      <c r="J1408" s="255">
        <v>1</v>
      </c>
      <c r="K1408" s="255">
        <v>1</v>
      </c>
      <c r="L1408" s="255"/>
      <c r="M1408" s="256">
        <v>1.6200000000000001E-4</v>
      </c>
      <c r="N1408" s="249">
        <v>1407</v>
      </c>
    </row>
    <row r="1409" spans="1:14" x14ac:dyDescent="0.25">
      <c r="A1409" s="252" t="s">
        <v>134</v>
      </c>
      <c r="B1409" s="252" t="s">
        <v>4131</v>
      </c>
      <c r="C1409" s="253">
        <v>0</v>
      </c>
      <c r="D1409" s="252">
        <v>39792</v>
      </c>
      <c r="E1409" s="252" t="s">
        <v>3039</v>
      </c>
      <c r="F1409" s="254" t="s">
        <v>4232</v>
      </c>
      <c r="G1409" s="252" t="s">
        <v>1562</v>
      </c>
      <c r="H1409" s="252" t="s">
        <v>4260</v>
      </c>
      <c r="I1409" s="252">
        <v>5</v>
      </c>
      <c r="J1409" s="255">
        <v>1</v>
      </c>
      <c r="K1409" s="255">
        <v>1</v>
      </c>
      <c r="L1409" s="255"/>
      <c r="M1409" s="256">
        <v>1.6200000000000001E-4</v>
      </c>
      <c r="N1409" s="249">
        <v>1408</v>
      </c>
    </row>
    <row r="1410" spans="1:14" x14ac:dyDescent="0.25">
      <c r="A1410" s="252" t="s">
        <v>134</v>
      </c>
      <c r="B1410" s="252" t="s">
        <v>4131</v>
      </c>
      <c r="C1410" s="253">
        <v>0</v>
      </c>
      <c r="D1410" s="252">
        <v>39792</v>
      </c>
      <c r="E1410" s="252" t="s">
        <v>3039</v>
      </c>
      <c r="F1410" s="254" t="s">
        <v>4232</v>
      </c>
      <c r="G1410" s="252" t="s">
        <v>1567</v>
      </c>
      <c r="H1410" s="252" t="s">
        <v>4261</v>
      </c>
      <c r="I1410" s="252">
        <v>5</v>
      </c>
      <c r="J1410" s="255">
        <v>1</v>
      </c>
      <c r="K1410" s="255">
        <v>1</v>
      </c>
      <c r="L1410" s="255"/>
      <c r="M1410" s="256">
        <v>1.5899999999999999E-4</v>
      </c>
      <c r="N1410" s="249">
        <v>1409</v>
      </c>
    </row>
    <row r="1411" spans="1:14" x14ac:dyDescent="0.25">
      <c r="A1411" s="252" t="s">
        <v>134</v>
      </c>
      <c r="B1411" s="252" t="s">
        <v>4131</v>
      </c>
      <c r="C1411" s="253">
        <v>0</v>
      </c>
      <c r="D1411" s="252">
        <v>39792</v>
      </c>
      <c r="E1411" s="252" t="s">
        <v>3039</v>
      </c>
      <c r="F1411" s="254" t="s">
        <v>4232</v>
      </c>
      <c r="G1411" s="252" t="s">
        <v>1568</v>
      </c>
      <c r="H1411" s="252" t="s">
        <v>4262</v>
      </c>
      <c r="I1411" s="252">
        <v>5</v>
      </c>
      <c r="J1411" s="255">
        <v>1</v>
      </c>
      <c r="K1411" s="255">
        <v>1</v>
      </c>
      <c r="L1411" s="255"/>
      <c r="M1411" s="256">
        <v>1.5899999999999999E-4</v>
      </c>
      <c r="N1411" s="249">
        <v>1410</v>
      </c>
    </row>
    <row r="1412" spans="1:14" x14ac:dyDescent="0.25">
      <c r="A1412" s="252" t="s">
        <v>134</v>
      </c>
      <c r="B1412" s="252" t="s">
        <v>4131</v>
      </c>
      <c r="C1412" s="253">
        <v>0</v>
      </c>
      <c r="D1412" s="252">
        <v>39792</v>
      </c>
      <c r="E1412" s="252" t="s">
        <v>3039</v>
      </c>
      <c r="F1412" s="254" t="s">
        <v>4232</v>
      </c>
      <c r="G1412" s="252" t="s">
        <v>1569</v>
      </c>
      <c r="H1412" s="252" t="s">
        <v>4263</v>
      </c>
      <c r="I1412" s="252">
        <v>5</v>
      </c>
      <c r="J1412" s="255">
        <v>1</v>
      </c>
      <c r="K1412" s="255">
        <v>1</v>
      </c>
      <c r="L1412" s="255"/>
      <c r="M1412" s="256">
        <v>1.5899999999999999E-4</v>
      </c>
      <c r="N1412" s="249">
        <v>1411</v>
      </c>
    </row>
    <row r="1413" spans="1:14" x14ac:dyDescent="0.25">
      <c r="A1413" s="252" t="s">
        <v>134</v>
      </c>
      <c r="B1413" s="252" t="s">
        <v>4131</v>
      </c>
      <c r="C1413" s="253">
        <v>0</v>
      </c>
      <c r="D1413" s="252">
        <v>39792</v>
      </c>
      <c r="E1413" s="252" t="s">
        <v>3039</v>
      </c>
      <c r="F1413" s="254" t="s">
        <v>4232</v>
      </c>
      <c r="G1413" s="252" t="s">
        <v>4264</v>
      </c>
      <c r="H1413" s="252" t="s">
        <v>4265</v>
      </c>
      <c r="I1413" s="252">
        <v>5</v>
      </c>
      <c r="J1413" s="255">
        <v>1</v>
      </c>
      <c r="K1413" s="255">
        <v>1</v>
      </c>
      <c r="L1413" s="255"/>
      <c r="M1413" s="256">
        <v>1.5899999999999999E-4</v>
      </c>
      <c r="N1413" s="249">
        <v>1412</v>
      </c>
    </row>
    <row r="1414" spans="1:14" x14ac:dyDescent="0.25">
      <c r="A1414" s="252" t="s">
        <v>134</v>
      </c>
      <c r="B1414" s="252" t="s">
        <v>4131</v>
      </c>
      <c r="C1414" s="253">
        <v>0</v>
      </c>
      <c r="D1414" s="252">
        <v>39792</v>
      </c>
      <c r="E1414" s="252" t="s">
        <v>3039</v>
      </c>
      <c r="F1414" s="254" t="s">
        <v>4232</v>
      </c>
      <c r="G1414" s="252" t="s">
        <v>1571</v>
      </c>
      <c r="H1414" s="252" t="s">
        <v>4266</v>
      </c>
      <c r="I1414" s="252">
        <v>5</v>
      </c>
      <c r="J1414" s="255">
        <v>1</v>
      </c>
      <c r="K1414" s="255">
        <v>1</v>
      </c>
      <c r="L1414" s="255"/>
      <c r="M1414" s="256">
        <v>1.5899999999999999E-4</v>
      </c>
      <c r="N1414" s="249">
        <v>1413</v>
      </c>
    </row>
    <row r="1415" spans="1:14" x14ac:dyDescent="0.25">
      <c r="A1415" s="252" t="s">
        <v>134</v>
      </c>
      <c r="B1415" s="252" t="s">
        <v>4131</v>
      </c>
      <c r="C1415" s="253">
        <v>0</v>
      </c>
      <c r="D1415" s="252">
        <v>39792</v>
      </c>
      <c r="E1415" s="252" t="s">
        <v>3039</v>
      </c>
      <c r="F1415" s="254" t="s">
        <v>4232</v>
      </c>
      <c r="G1415" s="252" t="s">
        <v>3159</v>
      </c>
      <c r="H1415" s="252" t="s">
        <v>4267</v>
      </c>
      <c r="I1415" s="252">
        <v>5</v>
      </c>
      <c r="J1415" s="255">
        <v>1</v>
      </c>
      <c r="K1415" s="255">
        <v>1</v>
      </c>
      <c r="L1415" s="255"/>
      <c r="M1415" s="256">
        <v>1.5899999999999999E-4</v>
      </c>
      <c r="N1415" s="249">
        <v>1414</v>
      </c>
    </row>
    <row r="1416" spans="1:14" x14ac:dyDescent="0.25">
      <c r="A1416" s="252" t="s">
        <v>134</v>
      </c>
      <c r="B1416" s="252" t="s">
        <v>4131</v>
      </c>
      <c r="C1416" s="253">
        <v>0</v>
      </c>
      <c r="D1416" s="252">
        <v>39792</v>
      </c>
      <c r="E1416" s="252" t="s">
        <v>3039</v>
      </c>
      <c r="F1416" s="254" t="s">
        <v>4232</v>
      </c>
      <c r="G1416" s="252" t="s">
        <v>1572</v>
      </c>
      <c r="H1416" s="252" t="s">
        <v>4268</v>
      </c>
      <c r="I1416" s="252">
        <v>5</v>
      </c>
      <c r="J1416" s="255">
        <v>1</v>
      </c>
      <c r="K1416" s="255">
        <v>1</v>
      </c>
      <c r="L1416" s="255"/>
      <c r="M1416" s="256">
        <v>1.5899999999999999E-4</v>
      </c>
      <c r="N1416" s="249">
        <v>1415</v>
      </c>
    </row>
    <row r="1417" spans="1:14" x14ac:dyDescent="0.25">
      <c r="A1417" s="252" t="s">
        <v>134</v>
      </c>
      <c r="B1417" s="252" t="s">
        <v>4131</v>
      </c>
      <c r="C1417" s="253">
        <v>0</v>
      </c>
      <c r="D1417" s="252">
        <v>39792</v>
      </c>
      <c r="E1417" s="252" t="s">
        <v>3039</v>
      </c>
      <c r="F1417" s="254" t="s">
        <v>4232</v>
      </c>
      <c r="G1417" s="252" t="s">
        <v>3162</v>
      </c>
      <c r="H1417" s="252" t="s">
        <v>4269</v>
      </c>
      <c r="I1417" s="252">
        <v>5</v>
      </c>
      <c r="J1417" s="255">
        <v>1</v>
      </c>
      <c r="K1417" s="255">
        <v>1</v>
      </c>
      <c r="L1417" s="255"/>
      <c r="M1417" s="256">
        <v>1.5899999999999999E-4</v>
      </c>
      <c r="N1417" s="249">
        <v>1416</v>
      </c>
    </row>
    <row r="1418" spans="1:14" x14ac:dyDescent="0.25">
      <c r="A1418" s="252" t="s">
        <v>134</v>
      </c>
      <c r="B1418" s="252" t="s">
        <v>4131</v>
      </c>
      <c r="C1418" s="253">
        <v>0</v>
      </c>
      <c r="D1418" s="252">
        <v>39792</v>
      </c>
      <c r="E1418" s="252" t="s">
        <v>3039</v>
      </c>
      <c r="F1418" s="254" t="s">
        <v>4232</v>
      </c>
      <c r="G1418" s="252" t="s">
        <v>2158</v>
      </c>
      <c r="H1418" s="252" t="s">
        <v>4270</v>
      </c>
      <c r="I1418" s="252">
        <v>5</v>
      </c>
      <c r="J1418" s="255">
        <v>1</v>
      </c>
      <c r="K1418" s="255">
        <v>1</v>
      </c>
      <c r="L1418" s="255"/>
      <c r="M1418" s="256">
        <v>1.6200000000000001E-4</v>
      </c>
      <c r="N1418" s="249">
        <v>1417</v>
      </c>
    </row>
    <row r="1419" spans="1:14" x14ac:dyDescent="0.25">
      <c r="A1419" s="252" t="s">
        <v>134</v>
      </c>
      <c r="B1419" s="252" t="s">
        <v>4131</v>
      </c>
      <c r="C1419" s="253">
        <v>0</v>
      </c>
      <c r="D1419" s="252">
        <v>39792</v>
      </c>
      <c r="E1419" s="252" t="s">
        <v>3039</v>
      </c>
      <c r="F1419" s="254" t="s">
        <v>4232</v>
      </c>
      <c r="G1419" s="252" t="s">
        <v>3165</v>
      </c>
      <c r="H1419" s="252" t="s">
        <v>4271</v>
      </c>
      <c r="I1419" s="252">
        <v>5</v>
      </c>
      <c r="J1419" s="255">
        <v>1</v>
      </c>
      <c r="K1419" s="255">
        <v>1</v>
      </c>
      <c r="L1419" s="255"/>
      <c r="M1419" s="256">
        <v>1.0589999999999998E-3</v>
      </c>
      <c r="N1419" s="249">
        <v>1418</v>
      </c>
    </row>
    <row r="1420" spans="1:14" x14ac:dyDescent="0.25">
      <c r="A1420" s="252" t="s">
        <v>134</v>
      </c>
      <c r="B1420" s="252" t="s">
        <v>4131</v>
      </c>
      <c r="C1420" s="253">
        <v>0</v>
      </c>
      <c r="D1420" s="252">
        <v>39792</v>
      </c>
      <c r="E1420" s="252" t="s">
        <v>3039</v>
      </c>
      <c r="F1420" s="254" t="s">
        <v>4232</v>
      </c>
      <c r="G1420" s="252" t="s">
        <v>4272</v>
      </c>
      <c r="H1420" s="252" t="s">
        <v>4273</v>
      </c>
      <c r="I1420" s="252">
        <v>5</v>
      </c>
      <c r="J1420" s="255">
        <v>1</v>
      </c>
      <c r="K1420" s="255">
        <v>1</v>
      </c>
      <c r="L1420" s="255"/>
      <c r="M1420" s="256">
        <v>2.04E-4</v>
      </c>
      <c r="N1420" s="249">
        <v>1419</v>
      </c>
    </row>
    <row r="1421" spans="1:14" x14ac:dyDescent="0.25">
      <c r="A1421" s="252" t="s">
        <v>134</v>
      </c>
      <c r="B1421" s="252" t="s">
        <v>4131</v>
      </c>
      <c r="C1421" s="253">
        <v>0</v>
      </c>
      <c r="D1421" s="252">
        <v>39792</v>
      </c>
      <c r="E1421" s="252" t="s">
        <v>3039</v>
      </c>
      <c r="F1421" s="254" t="s">
        <v>4232</v>
      </c>
      <c r="G1421" s="252" t="s">
        <v>4274</v>
      </c>
      <c r="H1421" s="252" t="s">
        <v>4275</v>
      </c>
      <c r="I1421" s="252">
        <v>5</v>
      </c>
      <c r="J1421" s="255">
        <v>1</v>
      </c>
      <c r="K1421" s="255">
        <v>1</v>
      </c>
      <c r="L1421" s="255"/>
      <c r="M1421" s="256">
        <v>1.0589999999999998E-3</v>
      </c>
      <c r="N1421" s="249">
        <v>1420</v>
      </c>
    </row>
    <row r="1422" spans="1:14" x14ac:dyDescent="0.25">
      <c r="A1422" s="252" t="s">
        <v>134</v>
      </c>
      <c r="B1422" s="252" t="s">
        <v>4131</v>
      </c>
      <c r="C1422" s="253">
        <v>0</v>
      </c>
      <c r="D1422" s="252">
        <v>39792</v>
      </c>
      <c r="E1422" s="252" t="s">
        <v>3039</v>
      </c>
      <c r="F1422" s="254" t="s">
        <v>4232</v>
      </c>
      <c r="G1422" s="252" t="s">
        <v>4276</v>
      </c>
      <c r="H1422" s="252" t="s">
        <v>4277</v>
      </c>
      <c r="I1422" s="252">
        <v>5</v>
      </c>
      <c r="J1422" s="255">
        <v>1</v>
      </c>
      <c r="K1422" s="255">
        <v>1</v>
      </c>
      <c r="L1422" s="255"/>
      <c r="M1422" s="256">
        <v>2.04E-4</v>
      </c>
      <c r="N1422" s="249">
        <v>1421</v>
      </c>
    </row>
    <row r="1423" spans="1:14" x14ac:dyDescent="0.25">
      <c r="A1423" s="252" t="s">
        <v>134</v>
      </c>
      <c r="B1423" s="252" t="s">
        <v>4131</v>
      </c>
      <c r="C1423" s="253">
        <v>0</v>
      </c>
      <c r="D1423" s="252">
        <v>39792</v>
      </c>
      <c r="E1423" s="252" t="s">
        <v>3039</v>
      </c>
      <c r="F1423" s="254" t="s">
        <v>4232</v>
      </c>
      <c r="G1423" s="252" t="s">
        <v>1574</v>
      </c>
      <c r="H1423" s="252" t="s">
        <v>4278</v>
      </c>
      <c r="I1423" s="252">
        <v>5</v>
      </c>
      <c r="J1423" s="255">
        <v>1</v>
      </c>
      <c r="K1423" s="255">
        <v>1</v>
      </c>
      <c r="L1423" s="255"/>
      <c r="M1423" s="256">
        <v>1.6200000000000001E-4</v>
      </c>
      <c r="N1423" s="249">
        <v>1422</v>
      </c>
    </row>
    <row r="1424" spans="1:14" x14ac:dyDescent="0.25">
      <c r="A1424" s="252" t="s">
        <v>134</v>
      </c>
      <c r="B1424" s="252" t="s">
        <v>4131</v>
      </c>
      <c r="C1424" s="253">
        <v>0</v>
      </c>
      <c r="D1424" s="252">
        <v>39792</v>
      </c>
      <c r="E1424" s="252" t="s">
        <v>3039</v>
      </c>
      <c r="F1424" s="254" t="s">
        <v>4232</v>
      </c>
      <c r="G1424" s="252" t="s">
        <v>2159</v>
      </c>
      <c r="H1424" s="252" t="s">
        <v>4279</v>
      </c>
      <c r="I1424" s="252">
        <v>5</v>
      </c>
      <c r="J1424" s="255">
        <v>1</v>
      </c>
      <c r="K1424" s="255">
        <v>1</v>
      </c>
      <c r="L1424" s="255"/>
      <c r="M1424" s="256">
        <v>1.0589999999999998E-3</v>
      </c>
      <c r="N1424" s="249">
        <v>1423</v>
      </c>
    </row>
    <row r="1425" spans="1:14" x14ac:dyDescent="0.25">
      <c r="A1425" s="252" t="s">
        <v>134</v>
      </c>
      <c r="B1425" s="252" t="s">
        <v>4131</v>
      </c>
      <c r="C1425" s="253">
        <v>0</v>
      </c>
      <c r="D1425" s="252">
        <v>39792</v>
      </c>
      <c r="E1425" s="252" t="s">
        <v>3039</v>
      </c>
      <c r="F1425" s="254" t="s">
        <v>4232</v>
      </c>
      <c r="G1425" s="252" t="s">
        <v>4280</v>
      </c>
      <c r="H1425" s="252" t="s">
        <v>4281</v>
      </c>
      <c r="I1425" s="252">
        <v>5</v>
      </c>
      <c r="J1425" s="255">
        <v>1</v>
      </c>
      <c r="K1425" s="255">
        <v>1</v>
      </c>
      <c r="L1425" s="255"/>
      <c r="M1425" s="256">
        <v>2.04E-4</v>
      </c>
      <c r="N1425" s="249">
        <v>1424</v>
      </c>
    </row>
    <row r="1426" spans="1:14" x14ac:dyDescent="0.25">
      <c r="A1426" s="252" t="s">
        <v>134</v>
      </c>
      <c r="B1426" s="252" t="s">
        <v>4131</v>
      </c>
      <c r="C1426" s="253">
        <v>0</v>
      </c>
      <c r="D1426" s="252">
        <v>39792</v>
      </c>
      <c r="E1426" s="252" t="s">
        <v>3039</v>
      </c>
      <c r="F1426" s="254" t="s">
        <v>4232</v>
      </c>
      <c r="G1426" s="252" t="s">
        <v>4282</v>
      </c>
      <c r="H1426" s="252" t="s">
        <v>4283</v>
      </c>
      <c r="I1426" s="252">
        <v>5</v>
      </c>
      <c r="J1426" s="255">
        <v>1</v>
      </c>
      <c r="K1426" s="255">
        <v>1</v>
      </c>
      <c r="L1426" s="255"/>
      <c r="M1426" s="256">
        <v>1.0589999999999998E-3</v>
      </c>
      <c r="N1426" s="249">
        <v>1425</v>
      </c>
    </row>
    <row r="1427" spans="1:14" x14ac:dyDescent="0.25">
      <c r="A1427" s="252" t="s">
        <v>134</v>
      </c>
      <c r="B1427" s="252" t="s">
        <v>4131</v>
      </c>
      <c r="C1427" s="253">
        <v>0</v>
      </c>
      <c r="D1427" s="252">
        <v>39792</v>
      </c>
      <c r="E1427" s="252" t="s">
        <v>3039</v>
      </c>
      <c r="F1427" s="254" t="s">
        <v>4232</v>
      </c>
      <c r="G1427" s="252" t="s">
        <v>4284</v>
      </c>
      <c r="H1427" s="252" t="s">
        <v>4285</v>
      </c>
      <c r="I1427" s="252">
        <v>5</v>
      </c>
      <c r="J1427" s="255">
        <v>1</v>
      </c>
      <c r="K1427" s="255">
        <v>1</v>
      </c>
      <c r="L1427" s="255"/>
      <c r="M1427" s="256">
        <v>2.04E-4</v>
      </c>
      <c r="N1427" s="249">
        <v>1426</v>
      </c>
    </row>
    <row r="1428" spans="1:14" x14ac:dyDescent="0.25">
      <c r="A1428" s="252" t="s">
        <v>134</v>
      </c>
      <c r="B1428" s="252" t="s">
        <v>4131</v>
      </c>
      <c r="C1428" s="253">
        <v>0</v>
      </c>
      <c r="D1428" s="252">
        <v>39792</v>
      </c>
      <c r="E1428" s="252" t="s">
        <v>3039</v>
      </c>
      <c r="F1428" s="254" t="s">
        <v>4232</v>
      </c>
      <c r="G1428" s="252" t="s">
        <v>2160</v>
      </c>
      <c r="H1428" s="252" t="s">
        <v>4286</v>
      </c>
      <c r="I1428" s="252">
        <v>5</v>
      </c>
      <c r="J1428" s="255">
        <v>1</v>
      </c>
      <c r="K1428" s="255">
        <v>1</v>
      </c>
      <c r="L1428" s="255"/>
      <c r="M1428" s="256">
        <v>1.6200000000000001E-4</v>
      </c>
      <c r="N1428" s="249">
        <v>1427</v>
      </c>
    </row>
    <row r="1429" spans="1:14" x14ac:dyDescent="0.25">
      <c r="A1429" s="252" t="s">
        <v>134</v>
      </c>
      <c r="B1429" s="252" t="s">
        <v>4131</v>
      </c>
      <c r="C1429" s="253">
        <v>0</v>
      </c>
      <c r="D1429" s="252">
        <v>39792</v>
      </c>
      <c r="E1429" s="252" t="s">
        <v>3039</v>
      </c>
      <c r="F1429" s="254" t="s">
        <v>4232</v>
      </c>
      <c r="G1429" s="252" t="s">
        <v>2161</v>
      </c>
      <c r="H1429" s="252" t="s">
        <v>4287</v>
      </c>
      <c r="I1429" s="252">
        <v>5</v>
      </c>
      <c r="J1429" s="255">
        <v>1</v>
      </c>
      <c r="K1429" s="255">
        <v>1</v>
      </c>
      <c r="L1429" s="255"/>
      <c r="M1429" s="256">
        <v>1.6200000000000001E-4</v>
      </c>
      <c r="N1429" s="249">
        <v>1428</v>
      </c>
    </row>
    <row r="1430" spans="1:14" x14ac:dyDescent="0.25">
      <c r="A1430" s="252" t="s">
        <v>134</v>
      </c>
      <c r="B1430" s="252" t="s">
        <v>4131</v>
      </c>
      <c r="C1430" s="253">
        <v>0</v>
      </c>
      <c r="D1430" s="252">
        <v>39792</v>
      </c>
      <c r="E1430" s="252" t="s">
        <v>1591</v>
      </c>
      <c r="F1430" s="254" t="s">
        <v>4232</v>
      </c>
      <c r="G1430" s="252" t="s">
        <v>1576</v>
      </c>
      <c r="H1430" s="252" t="s">
        <v>4288</v>
      </c>
      <c r="I1430" s="252">
        <v>5</v>
      </c>
      <c r="J1430" s="255">
        <v>1</v>
      </c>
      <c r="K1430" s="255">
        <v>1</v>
      </c>
      <c r="L1430" s="255"/>
      <c r="M1430" s="256">
        <v>7.9199999999999995E-4</v>
      </c>
      <c r="N1430" s="249">
        <v>1429</v>
      </c>
    </row>
    <row r="1431" spans="1:14" x14ac:dyDescent="0.25">
      <c r="A1431" s="252" t="s">
        <v>134</v>
      </c>
      <c r="B1431" s="252" t="s">
        <v>4131</v>
      </c>
      <c r="C1431" s="253">
        <v>0</v>
      </c>
      <c r="D1431" s="252">
        <v>39792</v>
      </c>
      <c r="E1431" s="252" t="s">
        <v>3039</v>
      </c>
      <c r="F1431" s="254" t="s">
        <v>4232</v>
      </c>
      <c r="G1431" s="252" t="s">
        <v>1580</v>
      </c>
      <c r="H1431" s="252" t="s">
        <v>4289</v>
      </c>
      <c r="I1431" s="252">
        <v>5</v>
      </c>
      <c r="J1431" s="255">
        <v>1</v>
      </c>
      <c r="K1431" s="255">
        <v>1</v>
      </c>
      <c r="L1431" s="255"/>
      <c r="M1431" s="256">
        <v>1.6200000000000001E-4</v>
      </c>
      <c r="N1431" s="249">
        <v>1430</v>
      </c>
    </row>
    <row r="1432" spans="1:14" x14ac:dyDescent="0.25">
      <c r="A1432" s="252" t="s">
        <v>134</v>
      </c>
      <c r="B1432" s="252" t="s">
        <v>4131</v>
      </c>
      <c r="C1432" s="253">
        <v>0</v>
      </c>
      <c r="D1432" s="252">
        <v>39792</v>
      </c>
      <c r="E1432" s="252" t="s">
        <v>3039</v>
      </c>
      <c r="F1432" s="254" t="s">
        <v>4232</v>
      </c>
      <c r="G1432" s="252" t="s">
        <v>2163</v>
      </c>
      <c r="H1432" s="252" t="s">
        <v>4290</v>
      </c>
      <c r="I1432" s="252">
        <v>5</v>
      </c>
      <c r="J1432" s="255">
        <v>1</v>
      </c>
      <c r="K1432" s="255">
        <v>1</v>
      </c>
      <c r="L1432" s="255"/>
      <c r="M1432" s="256">
        <v>1.6200000000000001E-4</v>
      </c>
      <c r="N1432" s="249">
        <v>1431</v>
      </c>
    </row>
    <row r="1433" spans="1:14" x14ac:dyDescent="0.25">
      <c r="A1433" s="252" t="s">
        <v>134</v>
      </c>
      <c r="B1433" s="252" t="s">
        <v>4131</v>
      </c>
      <c r="C1433" s="253">
        <v>0</v>
      </c>
      <c r="D1433" s="252">
        <v>39792</v>
      </c>
      <c r="E1433" s="252" t="s">
        <v>1591</v>
      </c>
      <c r="F1433" s="254" t="s">
        <v>4232</v>
      </c>
      <c r="G1433" s="252" t="s">
        <v>1584</v>
      </c>
      <c r="H1433" s="252" t="s">
        <v>4291</v>
      </c>
      <c r="I1433" s="252">
        <v>5</v>
      </c>
      <c r="J1433" s="255">
        <v>1</v>
      </c>
      <c r="K1433" s="255">
        <v>1</v>
      </c>
      <c r="L1433" s="255"/>
      <c r="M1433" s="256">
        <v>7.9199999999999995E-4</v>
      </c>
      <c r="N1433" s="249">
        <v>1432</v>
      </c>
    </row>
    <row r="1434" spans="1:14" x14ac:dyDescent="0.25">
      <c r="A1434" s="252" t="s">
        <v>134</v>
      </c>
      <c r="B1434" s="252" t="s">
        <v>4131</v>
      </c>
      <c r="C1434" s="253">
        <v>0</v>
      </c>
      <c r="D1434" s="252">
        <v>39792</v>
      </c>
      <c r="E1434" s="252" t="s">
        <v>3039</v>
      </c>
      <c r="F1434" s="254" t="s">
        <v>4232</v>
      </c>
      <c r="G1434" s="252" t="s">
        <v>2212</v>
      </c>
      <c r="H1434" s="252" t="s">
        <v>4292</v>
      </c>
      <c r="I1434" s="252">
        <v>5</v>
      </c>
      <c r="J1434" s="255">
        <v>1</v>
      </c>
      <c r="K1434" s="255">
        <v>1</v>
      </c>
      <c r="L1434" s="255"/>
      <c r="M1434" s="256">
        <v>1.6200000000000001E-4</v>
      </c>
      <c r="N1434" s="249">
        <v>1433</v>
      </c>
    </row>
    <row r="1435" spans="1:14" x14ac:dyDescent="0.25">
      <c r="A1435" s="252" t="s">
        <v>134</v>
      </c>
      <c r="B1435" s="252" t="s">
        <v>4131</v>
      </c>
      <c r="C1435" s="253">
        <v>0</v>
      </c>
      <c r="D1435" s="252">
        <v>39792</v>
      </c>
      <c r="E1435" s="252" t="s">
        <v>3039</v>
      </c>
      <c r="F1435" s="254" t="s">
        <v>4232</v>
      </c>
      <c r="G1435" s="252" t="s">
        <v>2214</v>
      </c>
      <c r="H1435" s="252" t="s">
        <v>4293</v>
      </c>
      <c r="I1435" s="252">
        <v>5</v>
      </c>
      <c r="J1435" s="255">
        <v>1</v>
      </c>
      <c r="K1435" s="255">
        <v>1</v>
      </c>
      <c r="L1435" s="255"/>
      <c r="M1435" s="256">
        <v>1.6200000000000001E-4</v>
      </c>
      <c r="N1435" s="249">
        <v>1434</v>
      </c>
    </row>
    <row r="1436" spans="1:14" x14ac:dyDescent="0.25">
      <c r="A1436" s="252" t="s">
        <v>134</v>
      </c>
      <c r="B1436" s="252" t="s">
        <v>4131</v>
      </c>
      <c r="C1436" s="253">
        <v>0</v>
      </c>
      <c r="D1436" s="252">
        <v>39792</v>
      </c>
      <c r="E1436" s="252" t="s">
        <v>3039</v>
      </c>
      <c r="F1436" s="254" t="s">
        <v>4232</v>
      </c>
      <c r="G1436" s="252" t="s">
        <v>1588</v>
      </c>
      <c r="H1436" s="252" t="s">
        <v>4294</v>
      </c>
      <c r="I1436" s="252">
        <v>5</v>
      </c>
      <c r="J1436" s="255">
        <v>1</v>
      </c>
      <c r="K1436" s="255">
        <v>1</v>
      </c>
      <c r="L1436" s="255"/>
      <c r="M1436" s="256">
        <v>1.6200000000000001E-4</v>
      </c>
      <c r="N1436" s="249">
        <v>1435</v>
      </c>
    </row>
    <row r="1437" spans="1:14" x14ac:dyDescent="0.25">
      <c r="A1437" s="252" t="s">
        <v>134</v>
      </c>
      <c r="B1437" s="252" t="s">
        <v>4131</v>
      </c>
      <c r="C1437" s="253">
        <v>0</v>
      </c>
      <c r="D1437" s="252">
        <v>39792</v>
      </c>
      <c r="E1437" s="252" t="s">
        <v>1591</v>
      </c>
      <c r="F1437" s="254" t="s">
        <v>4295</v>
      </c>
      <c r="G1437" s="252" t="s">
        <v>2327</v>
      </c>
      <c r="H1437" s="252" t="s">
        <v>4296</v>
      </c>
      <c r="I1437" s="252">
        <v>5</v>
      </c>
      <c r="J1437" s="255">
        <v>1</v>
      </c>
      <c r="K1437" s="255">
        <v>1</v>
      </c>
      <c r="L1437" s="255"/>
      <c r="M1437" s="256">
        <v>7.9199999999999995E-4</v>
      </c>
      <c r="N1437" s="249">
        <v>1436</v>
      </c>
    </row>
    <row r="1438" spans="1:14" x14ac:dyDescent="0.25">
      <c r="A1438" s="252" t="s">
        <v>134</v>
      </c>
      <c r="B1438" s="252" t="s">
        <v>4131</v>
      </c>
      <c r="C1438" s="253">
        <v>0</v>
      </c>
      <c r="D1438" s="252">
        <v>39792</v>
      </c>
      <c r="E1438" s="252" t="s">
        <v>190</v>
      </c>
      <c r="F1438" s="254" t="s">
        <v>4295</v>
      </c>
      <c r="G1438" s="252" t="s">
        <v>2329</v>
      </c>
      <c r="H1438" s="252" t="s">
        <v>4297</v>
      </c>
      <c r="I1438" s="252">
        <v>5</v>
      </c>
      <c r="J1438" s="255">
        <v>1</v>
      </c>
      <c r="K1438" s="255">
        <v>1</v>
      </c>
      <c r="L1438" s="255"/>
      <c r="M1438" s="256">
        <v>2.4899999999999998E-4</v>
      </c>
      <c r="N1438" s="249">
        <v>1437</v>
      </c>
    </row>
    <row r="1439" spans="1:14" x14ac:dyDescent="0.25">
      <c r="A1439" s="252" t="s">
        <v>134</v>
      </c>
      <c r="B1439" s="252" t="s">
        <v>4131</v>
      </c>
      <c r="C1439" s="253">
        <v>0</v>
      </c>
      <c r="D1439" s="252">
        <v>39792</v>
      </c>
      <c r="E1439" s="252" t="s">
        <v>190</v>
      </c>
      <c r="F1439" s="254" t="s">
        <v>4295</v>
      </c>
      <c r="G1439" s="252" t="s">
        <v>2330</v>
      </c>
      <c r="H1439" s="252" t="s">
        <v>4298</v>
      </c>
      <c r="I1439" s="252">
        <v>5</v>
      </c>
      <c r="J1439" s="255">
        <v>1</v>
      </c>
      <c r="K1439" s="255">
        <v>1</v>
      </c>
      <c r="L1439" s="255"/>
      <c r="M1439" s="256">
        <v>2.4899999999999998E-4</v>
      </c>
      <c r="N1439" s="249">
        <v>1438</v>
      </c>
    </row>
    <row r="1440" spans="1:14" x14ac:dyDescent="0.25">
      <c r="A1440" s="252" t="s">
        <v>134</v>
      </c>
      <c r="B1440" s="252" t="s">
        <v>4131</v>
      </c>
      <c r="C1440" s="253">
        <v>0</v>
      </c>
      <c r="D1440" s="252">
        <v>39792</v>
      </c>
      <c r="E1440" s="252" t="s">
        <v>1591</v>
      </c>
      <c r="F1440" s="254" t="s">
        <v>4295</v>
      </c>
      <c r="G1440" s="252" t="s">
        <v>4299</v>
      </c>
      <c r="H1440" s="252" t="s">
        <v>4300</v>
      </c>
      <c r="I1440" s="252">
        <v>5</v>
      </c>
      <c r="J1440" s="255">
        <v>1</v>
      </c>
      <c r="K1440" s="255">
        <v>1</v>
      </c>
      <c r="L1440" s="255"/>
      <c r="M1440" s="256">
        <v>7.9199999999999995E-4</v>
      </c>
      <c r="N1440" s="249">
        <v>1439</v>
      </c>
    </row>
    <row r="1441" spans="1:14" x14ac:dyDescent="0.25">
      <c r="A1441" s="252" t="s">
        <v>134</v>
      </c>
      <c r="B1441" s="252" t="s">
        <v>4131</v>
      </c>
      <c r="C1441" s="253">
        <v>0</v>
      </c>
      <c r="D1441" s="252">
        <v>39792</v>
      </c>
      <c r="E1441" s="252" t="s">
        <v>190</v>
      </c>
      <c r="F1441" s="254" t="s">
        <v>4295</v>
      </c>
      <c r="G1441" s="252" t="s">
        <v>4301</v>
      </c>
      <c r="H1441" s="252" t="s">
        <v>4302</v>
      </c>
      <c r="I1441" s="252">
        <v>5</v>
      </c>
      <c r="J1441" s="255">
        <v>1</v>
      </c>
      <c r="K1441" s="255">
        <v>1</v>
      </c>
      <c r="L1441" s="255"/>
      <c r="M1441" s="256">
        <v>2.4899999999999998E-4</v>
      </c>
      <c r="N1441" s="249">
        <v>1440</v>
      </c>
    </row>
    <row r="1442" spans="1:14" x14ac:dyDescent="0.25">
      <c r="A1442" s="252" t="s">
        <v>134</v>
      </c>
      <c r="B1442" s="252" t="s">
        <v>4131</v>
      </c>
      <c r="C1442" s="253">
        <v>0</v>
      </c>
      <c r="D1442" s="252">
        <v>39792</v>
      </c>
      <c r="E1442" s="252" t="s">
        <v>190</v>
      </c>
      <c r="F1442" s="254" t="s">
        <v>4295</v>
      </c>
      <c r="G1442" s="252" t="s">
        <v>4303</v>
      </c>
      <c r="H1442" s="252" t="s">
        <v>4304</v>
      </c>
      <c r="I1442" s="252">
        <v>5</v>
      </c>
      <c r="J1442" s="255">
        <v>1</v>
      </c>
      <c r="K1442" s="255">
        <v>1</v>
      </c>
      <c r="L1442" s="255"/>
      <c r="M1442" s="256">
        <v>2.4899999999999998E-4</v>
      </c>
      <c r="N1442" s="249">
        <v>1441</v>
      </c>
    </row>
    <row r="1443" spans="1:14" x14ac:dyDescent="0.25">
      <c r="A1443" s="252" t="s">
        <v>134</v>
      </c>
      <c r="B1443" s="252" t="s">
        <v>4131</v>
      </c>
      <c r="C1443" s="253">
        <v>0</v>
      </c>
      <c r="D1443" s="252">
        <v>39792</v>
      </c>
      <c r="E1443" s="252" t="s">
        <v>1591</v>
      </c>
      <c r="F1443" s="254" t="s">
        <v>4295</v>
      </c>
      <c r="G1443" s="252" t="s">
        <v>4305</v>
      </c>
      <c r="H1443" s="252" t="s">
        <v>4306</v>
      </c>
      <c r="I1443" s="252">
        <v>5</v>
      </c>
      <c r="J1443" s="255">
        <v>1</v>
      </c>
      <c r="K1443" s="255">
        <v>1</v>
      </c>
      <c r="L1443" s="255"/>
      <c r="M1443" s="256">
        <v>7.9199999999999995E-4</v>
      </c>
      <c r="N1443" s="249">
        <v>1442</v>
      </c>
    </row>
    <row r="1444" spans="1:14" x14ac:dyDescent="0.25">
      <c r="A1444" s="252" t="s">
        <v>134</v>
      </c>
      <c r="B1444" s="252" t="s">
        <v>4131</v>
      </c>
      <c r="C1444" s="253">
        <v>0</v>
      </c>
      <c r="D1444" s="252">
        <v>39792</v>
      </c>
      <c r="E1444" s="252" t="s">
        <v>190</v>
      </c>
      <c r="F1444" s="254" t="s">
        <v>4295</v>
      </c>
      <c r="G1444" s="252" t="s">
        <v>2331</v>
      </c>
      <c r="H1444" s="252" t="s">
        <v>4307</v>
      </c>
      <c r="I1444" s="252">
        <v>5</v>
      </c>
      <c r="J1444" s="255">
        <v>1</v>
      </c>
      <c r="K1444" s="255">
        <v>1</v>
      </c>
      <c r="L1444" s="255"/>
      <c r="M1444" s="256">
        <v>2.4899999999999998E-4</v>
      </c>
      <c r="N1444" s="249">
        <v>1443</v>
      </c>
    </row>
    <row r="1445" spans="1:14" x14ac:dyDescent="0.25">
      <c r="A1445" s="252" t="s">
        <v>134</v>
      </c>
      <c r="B1445" s="252" t="s">
        <v>4131</v>
      </c>
      <c r="C1445" s="253">
        <v>0</v>
      </c>
      <c r="D1445" s="252">
        <v>39792</v>
      </c>
      <c r="E1445" s="252" t="s">
        <v>190</v>
      </c>
      <c r="F1445" s="254" t="s">
        <v>4295</v>
      </c>
      <c r="G1445" s="252" t="s">
        <v>4308</v>
      </c>
      <c r="H1445" s="252" t="s">
        <v>4309</v>
      </c>
      <c r="I1445" s="252">
        <v>5</v>
      </c>
      <c r="J1445" s="255">
        <v>1</v>
      </c>
      <c r="K1445" s="255">
        <v>1</v>
      </c>
      <c r="L1445" s="255"/>
      <c r="M1445" s="256">
        <v>2.4899999999999998E-4</v>
      </c>
      <c r="N1445" s="249">
        <v>1444</v>
      </c>
    </row>
    <row r="1446" spans="1:14" x14ac:dyDescent="0.25">
      <c r="A1446" s="252" t="s">
        <v>134</v>
      </c>
      <c r="B1446" s="252" t="s">
        <v>4131</v>
      </c>
      <c r="C1446" s="253">
        <v>0</v>
      </c>
      <c r="D1446" s="252">
        <v>39792</v>
      </c>
      <c r="E1446" s="252" t="s">
        <v>1591</v>
      </c>
      <c r="F1446" s="254" t="s">
        <v>4295</v>
      </c>
      <c r="G1446" s="252" t="s">
        <v>4310</v>
      </c>
      <c r="H1446" s="252" t="s">
        <v>4311</v>
      </c>
      <c r="I1446" s="252">
        <v>5</v>
      </c>
      <c r="J1446" s="255">
        <v>1</v>
      </c>
      <c r="K1446" s="255">
        <v>1</v>
      </c>
      <c r="L1446" s="255"/>
      <c r="M1446" s="256">
        <v>7.9199999999999995E-4</v>
      </c>
      <c r="N1446" s="249">
        <v>1445</v>
      </c>
    </row>
    <row r="1447" spans="1:14" x14ac:dyDescent="0.25">
      <c r="A1447" s="252" t="s">
        <v>134</v>
      </c>
      <c r="B1447" s="252" t="s">
        <v>4131</v>
      </c>
      <c r="C1447" s="253">
        <v>0</v>
      </c>
      <c r="D1447" s="252">
        <v>39792</v>
      </c>
      <c r="E1447" s="252" t="s">
        <v>190</v>
      </c>
      <c r="F1447" s="254" t="s">
        <v>4295</v>
      </c>
      <c r="G1447" s="252" t="s">
        <v>2333</v>
      </c>
      <c r="H1447" s="252" t="s">
        <v>4312</v>
      </c>
      <c r="I1447" s="252">
        <v>5</v>
      </c>
      <c r="J1447" s="255">
        <v>1</v>
      </c>
      <c r="K1447" s="255">
        <v>1</v>
      </c>
      <c r="L1447" s="255"/>
      <c r="M1447" s="256">
        <v>2.4899999999999998E-4</v>
      </c>
      <c r="N1447" s="249">
        <v>1446</v>
      </c>
    </row>
    <row r="1448" spans="1:14" x14ac:dyDescent="0.25">
      <c r="A1448" s="252" t="s">
        <v>134</v>
      </c>
      <c r="B1448" s="252" t="s">
        <v>4131</v>
      </c>
      <c r="C1448" s="253">
        <v>0</v>
      </c>
      <c r="D1448" s="252">
        <v>39792</v>
      </c>
      <c r="E1448" s="252" t="s">
        <v>190</v>
      </c>
      <c r="F1448" s="254" t="s">
        <v>4295</v>
      </c>
      <c r="G1448" s="252" t="s">
        <v>4313</v>
      </c>
      <c r="H1448" s="252" t="s">
        <v>4314</v>
      </c>
      <c r="I1448" s="252">
        <v>5</v>
      </c>
      <c r="J1448" s="255">
        <v>1</v>
      </c>
      <c r="K1448" s="255">
        <v>1</v>
      </c>
      <c r="L1448" s="255"/>
      <c r="M1448" s="256">
        <v>2.4899999999999998E-4</v>
      </c>
      <c r="N1448" s="249">
        <v>1447</v>
      </c>
    </row>
    <row r="1449" spans="1:14" x14ac:dyDescent="0.25">
      <c r="A1449" s="252" t="s">
        <v>134</v>
      </c>
      <c r="B1449" s="252" t="s">
        <v>4131</v>
      </c>
      <c r="C1449" s="253">
        <v>0</v>
      </c>
      <c r="D1449" s="252">
        <v>39792</v>
      </c>
      <c r="E1449" s="252" t="s">
        <v>3039</v>
      </c>
      <c r="F1449" s="254" t="s">
        <v>4295</v>
      </c>
      <c r="G1449" s="252" t="s">
        <v>2345</v>
      </c>
      <c r="H1449" s="252" t="s">
        <v>4315</v>
      </c>
      <c r="I1449" s="252">
        <v>5</v>
      </c>
      <c r="J1449" s="255">
        <v>1</v>
      </c>
      <c r="K1449" s="255">
        <v>1</v>
      </c>
      <c r="L1449" s="255"/>
      <c r="M1449" s="256">
        <v>1.6200000000000001E-4</v>
      </c>
      <c r="N1449" s="249">
        <v>1448</v>
      </c>
    </row>
    <row r="1450" spans="1:14" x14ac:dyDescent="0.25">
      <c r="A1450" s="252" t="s">
        <v>134</v>
      </c>
      <c r="B1450" s="252" t="s">
        <v>4131</v>
      </c>
      <c r="C1450" s="253">
        <v>0</v>
      </c>
      <c r="D1450" s="252">
        <v>39792</v>
      </c>
      <c r="E1450" s="252" t="s">
        <v>3039</v>
      </c>
      <c r="F1450" s="254" t="s">
        <v>4295</v>
      </c>
      <c r="G1450" s="252" t="s">
        <v>4316</v>
      </c>
      <c r="H1450" s="252" t="s">
        <v>4317</v>
      </c>
      <c r="I1450" s="252">
        <v>5</v>
      </c>
      <c r="J1450" s="255">
        <v>1</v>
      </c>
      <c r="K1450" s="255">
        <v>1</v>
      </c>
      <c r="L1450" s="255"/>
      <c r="M1450" s="256">
        <v>1.0589999999999998E-3</v>
      </c>
      <c r="N1450" s="249">
        <v>1449</v>
      </c>
    </row>
    <row r="1451" spans="1:14" x14ac:dyDescent="0.25">
      <c r="A1451" s="252" t="s">
        <v>134</v>
      </c>
      <c r="B1451" s="252" t="s">
        <v>4131</v>
      </c>
      <c r="C1451" s="253">
        <v>0</v>
      </c>
      <c r="D1451" s="252">
        <v>39792</v>
      </c>
      <c r="E1451" s="252" t="s">
        <v>3039</v>
      </c>
      <c r="F1451" s="254" t="s">
        <v>4295</v>
      </c>
      <c r="G1451" s="252" t="s">
        <v>4318</v>
      </c>
      <c r="H1451" s="252" t="s">
        <v>4319</v>
      </c>
      <c r="I1451" s="252">
        <v>5</v>
      </c>
      <c r="J1451" s="255">
        <v>1</v>
      </c>
      <c r="K1451" s="255">
        <v>1</v>
      </c>
      <c r="L1451" s="255"/>
      <c r="M1451" s="256">
        <v>2.04E-4</v>
      </c>
      <c r="N1451" s="249">
        <v>1450</v>
      </c>
    </row>
    <row r="1452" spans="1:14" x14ac:dyDescent="0.25">
      <c r="A1452" s="252" t="s">
        <v>134</v>
      </c>
      <c r="B1452" s="252" t="s">
        <v>4131</v>
      </c>
      <c r="C1452" s="253">
        <v>0</v>
      </c>
      <c r="D1452" s="252">
        <v>39792</v>
      </c>
      <c r="E1452" s="252" t="s">
        <v>3039</v>
      </c>
      <c r="F1452" s="254" t="s">
        <v>4295</v>
      </c>
      <c r="G1452" s="252" t="s">
        <v>4320</v>
      </c>
      <c r="H1452" s="252" t="s">
        <v>4321</v>
      </c>
      <c r="I1452" s="252">
        <v>5</v>
      </c>
      <c r="J1452" s="255">
        <v>1</v>
      </c>
      <c r="K1452" s="255">
        <v>1</v>
      </c>
      <c r="L1452" s="255"/>
      <c r="M1452" s="256">
        <v>1.0589999999999998E-3</v>
      </c>
      <c r="N1452" s="249">
        <v>1451</v>
      </c>
    </row>
    <row r="1453" spans="1:14" x14ac:dyDescent="0.25">
      <c r="A1453" s="252" t="s">
        <v>134</v>
      </c>
      <c r="B1453" s="252" t="s">
        <v>4131</v>
      </c>
      <c r="C1453" s="253">
        <v>0</v>
      </c>
      <c r="D1453" s="252">
        <v>39792</v>
      </c>
      <c r="E1453" s="252" t="s">
        <v>3039</v>
      </c>
      <c r="F1453" s="254" t="s">
        <v>4295</v>
      </c>
      <c r="G1453" s="252" t="s">
        <v>4322</v>
      </c>
      <c r="H1453" s="252" t="s">
        <v>4323</v>
      </c>
      <c r="I1453" s="252">
        <v>5</v>
      </c>
      <c r="J1453" s="255">
        <v>1</v>
      </c>
      <c r="K1453" s="255">
        <v>1</v>
      </c>
      <c r="L1453" s="255"/>
      <c r="M1453" s="256">
        <v>2.04E-4</v>
      </c>
      <c r="N1453" s="249">
        <v>1452</v>
      </c>
    </row>
    <row r="1454" spans="1:14" x14ac:dyDescent="0.25">
      <c r="A1454" s="252" t="s">
        <v>134</v>
      </c>
      <c r="B1454" s="252" t="s">
        <v>4131</v>
      </c>
      <c r="C1454" s="253">
        <v>0</v>
      </c>
      <c r="D1454" s="252">
        <v>39792</v>
      </c>
      <c r="E1454" s="252" t="s">
        <v>3039</v>
      </c>
      <c r="F1454" s="254" t="s">
        <v>4295</v>
      </c>
      <c r="G1454" s="252" t="s">
        <v>3457</v>
      </c>
      <c r="H1454" s="252" t="s">
        <v>4324</v>
      </c>
      <c r="I1454" s="252">
        <v>5</v>
      </c>
      <c r="J1454" s="255">
        <v>1</v>
      </c>
      <c r="K1454" s="255">
        <v>1</v>
      </c>
      <c r="L1454" s="255"/>
      <c r="M1454" s="256">
        <v>1.6200000000000001E-4</v>
      </c>
      <c r="N1454" s="249">
        <v>1453</v>
      </c>
    </row>
    <row r="1455" spans="1:14" x14ac:dyDescent="0.25">
      <c r="A1455" s="252" t="s">
        <v>134</v>
      </c>
      <c r="B1455" s="252" t="s">
        <v>4131</v>
      </c>
      <c r="C1455" s="253">
        <v>0</v>
      </c>
      <c r="D1455" s="252">
        <v>39792</v>
      </c>
      <c r="E1455" s="252" t="s">
        <v>3039</v>
      </c>
      <c r="F1455" s="254" t="s">
        <v>4295</v>
      </c>
      <c r="G1455" s="252" t="s">
        <v>4325</v>
      </c>
      <c r="H1455" s="252" t="s">
        <v>4326</v>
      </c>
      <c r="I1455" s="252">
        <v>5</v>
      </c>
      <c r="J1455" s="255">
        <v>1</v>
      </c>
      <c r="K1455" s="255">
        <v>1</v>
      </c>
      <c r="L1455" s="255"/>
      <c r="M1455" s="256">
        <v>1.0589999999999998E-3</v>
      </c>
      <c r="N1455" s="249">
        <v>1454</v>
      </c>
    </row>
    <row r="1456" spans="1:14" x14ac:dyDescent="0.25">
      <c r="A1456" s="252" t="s">
        <v>134</v>
      </c>
      <c r="B1456" s="252" t="s">
        <v>4131</v>
      </c>
      <c r="C1456" s="253">
        <v>0</v>
      </c>
      <c r="D1456" s="252">
        <v>39792</v>
      </c>
      <c r="E1456" s="252" t="s">
        <v>3039</v>
      </c>
      <c r="F1456" s="254" t="s">
        <v>4295</v>
      </c>
      <c r="G1456" s="252" t="s">
        <v>4327</v>
      </c>
      <c r="H1456" s="252" t="s">
        <v>4328</v>
      </c>
      <c r="I1456" s="252">
        <v>5</v>
      </c>
      <c r="J1456" s="255">
        <v>1</v>
      </c>
      <c r="K1456" s="255">
        <v>1</v>
      </c>
      <c r="L1456" s="255"/>
      <c r="M1456" s="256">
        <v>2.04E-4</v>
      </c>
      <c r="N1456" s="249">
        <v>1455</v>
      </c>
    </row>
    <row r="1457" spans="1:14" x14ac:dyDescent="0.25">
      <c r="A1457" s="252" t="s">
        <v>134</v>
      </c>
      <c r="B1457" s="252" t="s">
        <v>4131</v>
      </c>
      <c r="C1457" s="253">
        <v>0</v>
      </c>
      <c r="D1457" s="252">
        <v>39792</v>
      </c>
      <c r="E1457" s="252" t="s">
        <v>3039</v>
      </c>
      <c r="F1457" s="254" t="s">
        <v>4295</v>
      </c>
      <c r="G1457" s="252" t="s">
        <v>4329</v>
      </c>
      <c r="H1457" s="252" t="s">
        <v>4330</v>
      </c>
      <c r="I1457" s="252">
        <v>5</v>
      </c>
      <c r="J1457" s="255">
        <v>1</v>
      </c>
      <c r="K1457" s="255">
        <v>1</v>
      </c>
      <c r="L1457" s="255"/>
      <c r="M1457" s="256">
        <v>1.0589999999999998E-3</v>
      </c>
      <c r="N1457" s="249">
        <v>1456</v>
      </c>
    </row>
    <row r="1458" spans="1:14" x14ac:dyDescent="0.25">
      <c r="A1458" s="252" t="s">
        <v>134</v>
      </c>
      <c r="B1458" s="252" t="s">
        <v>4131</v>
      </c>
      <c r="C1458" s="253">
        <v>0</v>
      </c>
      <c r="D1458" s="252">
        <v>39792</v>
      </c>
      <c r="E1458" s="252" t="s">
        <v>3039</v>
      </c>
      <c r="F1458" s="254" t="s">
        <v>4295</v>
      </c>
      <c r="G1458" s="252" t="s">
        <v>4331</v>
      </c>
      <c r="H1458" s="252" t="s">
        <v>4332</v>
      </c>
      <c r="I1458" s="252">
        <v>5</v>
      </c>
      <c r="J1458" s="255">
        <v>1</v>
      </c>
      <c r="K1458" s="255">
        <v>1</v>
      </c>
      <c r="L1458" s="255"/>
      <c r="M1458" s="256">
        <v>2.04E-4</v>
      </c>
      <c r="N1458" s="249">
        <v>1457</v>
      </c>
    </row>
    <row r="1459" spans="1:14" x14ac:dyDescent="0.25">
      <c r="A1459" s="252" t="s">
        <v>134</v>
      </c>
      <c r="B1459" s="252" t="s">
        <v>4131</v>
      </c>
      <c r="C1459" s="253">
        <v>0</v>
      </c>
      <c r="D1459" s="252">
        <v>39792</v>
      </c>
      <c r="E1459" s="252" t="s">
        <v>3039</v>
      </c>
      <c r="F1459" s="254" t="s">
        <v>4295</v>
      </c>
      <c r="G1459" s="252" t="s">
        <v>2346</v>
      </c>
      <c r="H1459" s="252" t="s">
        <v>4333</v>
      </c>
      <c r="I1459" s="252">
        <v>5</v>
      </c>
      <c r="J1459" s="255">
        <v>1</v>
      </c>
      <c r="K1459" s="255">
        <v>1</v>
      </c>
      <c r="L1459" s="255"/>
      <c r="M1459" s="256">
        <v>1.5899999999999999E-4</v>
      </c>
      <c r="N1459" s="249">
        <v>1458</v>
      </c>
    </row>
    <row r="1460" spans="1:14" x14ac:dyDescent="0.25">
      <c r="A1460" s="252" t="s">
        <v>134</v>
      </c>
      <c r="B1460" s="252" t="s">
        <v>4131</v>
      </c>
      <c r="C1460" s="253">
        <v>0</v>
      </c>
      <c r="D1460" s="252">
        <v>39792</v>
      </c>
      <c r="E1460" s="252" t="s">
        <v>3039</v>
      </c>
      <c r="F1460" s="254" t="s">
        <v>4295</v>
      </c>
      <c r="G1460" s="252" t="s">
        <v>3460</v>
      </c>
      <c r="H1460" s="252" t="s">
        <v>4334</v>
      </c>
      <c r="I1460" s="252">
        <v>5</v>
      </c>
      <c r="J1460" s="255">
        <v>1</v>
      </c>
      <c r="K1460" s="255">
        <v>1</v>
      </c>
      <c r="L1460" s="255"/>
      <c r="M1460" s="256">
        <v>1.5899999999999999E-4</v>
      </c>
      <c r="N1460" s="249">
        <v>1459</v>
      </c>
    </row>
    <row r="1461" spans="1:14" x14ac:dyDescent="0.25">
      <c r="A1461" s="252" t="s">
        <v>134</v>
      </c>
      <c r="B1461" s="252" t="s">
        <v>4131</v>
      </c>
      <c r="C1461" s="253">
        <v>0</v>
      </c>
      <c r="D1461" s="252">
        <v>39792</v>
      </c>
      <c r="E1461" s="252" t="s">
        <v>3039</v>
      </c>
      <c r="F1461" s="254" t="s">
        <v>4295</v>
      </c>
      <c r="G1461" s="252" t="s">
        <v>3462</v>
      </c>
      <c r="H1461" s="252" t="s">
        <v>4335</v>
      </c>
      <c r="I1461" s="252">
        <v>5</v>
      </c>
      <c r="J1461" s="255">
        <v>1</v>
      </c>
      <c r="K1461" s="255">
        <v>1</v>
      </c>
      <c r="L1461" s="255"/>
      <c r="M1461" s="256">
        <v>1.5899999999999999E-4</v>
      </c>
      <c r="N1461" s="249">
        <v>1460</v>
      </c>
    </row>
    <row r="1462" spans="1:14" x14ac:dyDescent="0.25">
      <c r="A1462" s="252" t="s">
        <v>134</v>
      </c>
      <c r="B1462" s="252" t="s">
        <v>4131</v>
      </c>
      <c r="C1462" s="253">
        <v>0</v>
      </c>
      <c r="D1462" s="252">
        <v>39792</v>
      </c>
      <c r="E1462" s="252" t="s">
        <v>3039</v>
      </c>
      <c r="F1462" s="254" t="s">
        <v>4295</v>
      </c>
      <c r="G1462" s="252" t="s">
        <v>3464</v>
      </c>
      <c r="H1462" s="252" t="s">
        <v>4336</v>
      </c>
      <c r="I1462" s="252">
        <v>5</v>
      </c>
      <c r="J1462" s="255">
        <v>1</v>
      </c>
      <c r="K1462" s="255">
        <v>1</v>
      </c>
      <c r="L1462" s="255"/>
      <c r="M1462" s="256">
        <v>1.5899999999999999E-4</v>
      </c>
      <c r="N1462" s="249">
        <v>1461</v>
      </c>
    </row>
    <row r="1463" spans="1:14" x14ac:dyDescent="0.25">
      <c r="A1463" s="252" t="s">
        <v>134</v>
      </c>
      <c r="B1463" s="252" t="s">
        <v>4131</v>
      </c>
      <c r="C1463" s="253">
        <v>0</v>
      </c>
      <c r="D1463" s="252">
        <v>39792</v>
      </c>
      <c r="E1463" s="252" t="s">
        <v>3039</v>
      </c>
      <c r="F1463" s="254" t="s">
        <v>4295</v>
      </c>
      <c r="G1463" s="252" t="s">
        <v>3469</v>
      </c>
      <c r="H1463" s="252" t="s">
        <v>4337</v>
      </c>
      <c r="I1463" s="252">
        <v>5</v>
      </c>
      <c r="J1463" s="255">
        <v>1</v>
      </c>
      <c r="K1463" s="255">
        <v>1</v>
      </c>
      <c r="L1463" s="255"/>
      <c r="M1463" s="256">
        <v>1.6200000000000001E-4</v>
      </c>
      <c r="N1463" s="249">
        <v>1462</v>
      </c>
    </row>
    <row r="1464" spans="1:14" x14ac:dyDescent="0.25">
      <c r="A1464" s="252" t="s">
        <v>134</v>
      </c>
      <c r="B1464" s="252" t="s">
        <v>4131</v>
      </c>
      <c r="C1464" s="253">
        <v>0</v>
      </c>
      <c r="D1464" s="252">
        <v>39792</v>
      </c>
      <c r="E1464" s="252" t="s">
        <v>3039</v>
      </c>
      <c r="F1464" s="254" t="s">
        <v>4295</v>
      </c>
      <c r="G1464" s="252" t="s">
        <v>3471</v>
      </c>
      <c r="H1464" s="252" t="s">
        <v>4338</v>
      </c>
      <c r="I1464" s="252">
        <v>5</v>
      </c>
      <c r="J1464" s="255">
        <v>1</v>
      </c>
      <c r="K1464" s="255">
        <v>1</v>
      </c>
      <c r="L1464" s="255"/>
      <c r="M1464" s="256">
        <v>1.6200000000000001E-4</v>
      </c>
      <c r="N1464" s="249">
        <v>1463</v>
      </c>
    </row>
    <row r="1465" spans="1:14" x14ac:dyDescent="0.25">
      <c r="A1465" s="252" t="s">
        <v>134</v>
      </c>
      <c r="B1465" s="252" t="s">
        <v>4131</v>
      </c>
      <c r="C1465" s="253">
        <v>0</v>
      </c>
      <c r="D1465" s="252">
        <v>39792</v>
      </c>
      <c r="E1465" s="252" t="s">
        <v>3039</v>
      </c>
      <c r="F1465" s="254" t="s">
        <v>4295</v>
      </c>
      <c r="G1465" s="252" t="s">
        <v>3485</v>
      </c>
      <c r="H1465" s="252" t="s">
        <v>4339</v>
      </c>
      <c r="I1465" s="252">
        <v>5</v>
      </c>
      <c r="J1465" s="255">
        <v>1</v>
      </c>
      <c r="K1465" s="255">
        <v>1</v>
      </c>
      <c r="L1465" s="255"/>
      <c r="M1465" s="256">
        <v>1.6200000000000001E-4</v>
      </c>
      <c r="N1465" s="249">
        <v>1464</v>
      </c>
    </row>
    <row r="1466" spans="1:14" x14ac:dyDescent="0.25">
      <c r="A1466" s="252" t="s">
        <v>134</v>
      </c>
      <c r="B1466" s="252" t="s">
        <v>4131</v>
      </c>
      <c r="C1466" s="253">
        <v>0</v>
      </c>
      <c r="D1466" s="252">
        <v>39792</v>
      </c>
      <c r="E1466" s="252" t="s">
        <v>3039</v>
      </c>
      <c r="F1466" s="254" t="s">
        <v>4295</v>
      </c>
      <c r="G1466" s="252" t="s">
        <v>3487</v>
      </c>
      <c r="H1466" s="252" t="s">
        <v>4340</v>
      </c>
      <c r="I1466" s="252">
        <v>5</v>
      </c>
      <c r="J1466" s="255">
        <v>1</v>
      </c>
      <c r="K1466" s="255">
        <v>1</v>
      </c>
      <c r="L1466" s="255"/>
      <c r="M1466" s="256">
        <v>1.6200000000000001E-4</v>
      </c>
      <c r="N1466" s="249">
        <v>1465</v>
      </c>
    </row>
    <row r="1467" spans="1:14" x14ac:dyDescent="0.25">
      <c r="A1467" s="252" t="s">
        <v>134</v>
      </c>
      <c r="B1467" s="252" t="s">
        <v>4131</v>
      </c>
      <c r="C1467" s="253">
        <v>0</v>
      </c>
      <c r="D1467" s="252">
        <v>39792</v>
      </c>
      <c r="E1467" s="252" t="s">
        <v>3039</v>
      </c>
      <c r="F1467" s="254" t="s">
        <v>4295</v>
      </c>
      <c r="G1467" s="252" t="s">
        <v>3489</v>
      </c>
      <c r="H1467" s="252" t="s">
        <v>4341</v>
      </c>
      <c r="I1467" s="252">
        <v>5</v>
      </c>
      <c r="J1467" s="255">
        <v>1</v>
      </c>
      <c r="K1467" s="255">
        <v>1</v>
      </c>
      <c r="L1467" s="255"/>
      <c r="M1467" s="256">
        <v>1.5899999999999999E-4</v>
      </c>
      <c r="N1467" s="249">
        <v>1466</v>
      </c>
    </row>
    <row r="1468" spans="1:14" x14ac:dyDescent="0.25">
      <c r="A1468" s="252" t="s">
        <v>134</v>
      </c>
      <c r="B1468" s="252" t="s">
        <v>4131</v>
      </c>
      <c r="C1468" s="253">
        <v>0</v>
      </c>
      <c r="D1468" s="252">
        <v>39792</v>
      </c>
      <c r="E1468" s="252" t="s">
        <v>3039</v>
      </c>
      <c r="F1468" s="254" t="s">
        <v>4295</v>
      </c>
      <c r="G1468" s="252" t="s">
        <v>3491</v>
      </c>
      <c r="H1468" s="252" t="s">
        <v>4342</v>
      </c>
      <c r="I1468" s="252">
        <v>5</v>
      </c>
      <c r="J1468" s="255">
        <v>1</v>
      </c>
      <c r="K1468" s="255">
        <v>1</v>
      </c>
      <c r="L1468" s="255"/>
      <c r="M1468" s="256">
        <v>1.5899999999999999E-4</v>
      </c>
      <c r="N1468" s="249">
        <v>1467</v>
      </c>
    </row>
    <row r="1469" spans="1:14" x14ac:dyDescent="0.25">
      <c r="A1469" s="252" t="s">
        <v>134</v>
      </c>
      <c r="B1469" s="252" t="s">
        <v>4131</v>
      </c>
      <c r="C1469" s="253">
        <v>0</v>
      </c>
      <c r="D1469" s="252">
        <v>39792</v>
      </c>
      <c r="E1469" s="252" t="s">
        <v>3039</v>
      </c>
      <c r="F1469" s="254" t="s">
        <v>4295</v>
      </c>
      <c r="G1469" s="252" t="s">
        <v>2348</v>
      </c>
      <c r="H1469" s="252" t="s">
        <v>4343</v>
      </c>
      <c r="I1469" s="252">
        <v>5</v>
      </c>
      <c r="J1469" s="255">
        <v>1</v>
      </c>
      <c r="K1469" s="255">
        <v>1</v>
      </c>
      <c r="L1469" s="255"/>
      <c r="M1469" s="256">
        <v>1.5899999999999999E-4</v>
      </c>
      <c r="N1469" s="249">
        <v>1468</v>
      </c>
    </row>
    <row r="1470" spans="1:14" x14ac:dyDescent="0.25">
      <c r="A1470" s="252" t="s">
        <v>134</v>
      </c>
      <c r="B1470" s="252" t="s">
        <v>4131</v>
      </c>
      <c r="C1470" s="253">
        <v>0</v>
      </c>
      <c r="D1470" s="252">
        <v>39792</v>
      </c>
      <c r="E1470" s="252" t="s">
        <v>3039</v>
      </c>
      <c r="F1470" s="254" t="s">
        <v>4295</v>
      </c>
      <c r="G1470" s="252" t="s">
        <v>3494</v>
      </c>
      <c r="H1470" s="252" t="s">
        <v>4344</v>
      </c>
      <c r="I1470" s="252">
        <v>5</v>
      </c>
      <c r="J1470" s="255">
        <v>1</v>
      </c>
      <c r="K1470" s="255">
        <v>1</v>
      </c>
      <c r="L1470" s="255"/>
      <c r="M1470" s="256">
        <v>1.5899999999999999E-4</v>
      </c>
      <c r="N1470" s="249">
        <v>1469</v>
      </c>
    </row>
    <row r="1471" spans="1:14" x14ac:dyDescent="0.25">
      <c r="A1471" s="252" t="s">
        <v>134</v>
      </c>
      <c r="B1471" s="252" t="s">
        <v>4131</v>
      </c>
      <c r="C1471" s="253">
        <v>0</v>
      </c>
      <c r="D1471" s="252">
        <v>39792</v>
      </c>
      <c r="E1471" s="252" t="s">
        <v>3039</v>
      </c>
      <c r="F1471" s="254" t="s">
        <v>4295</v>
      </c>
      <c r="G1471" s="252" t="s">
        <v>2349</v>
      </c>
      <c r="H1471" s="252" t="s">
        <v>4345</v>
      </c>
      <c r="I1471" s="252">
        <v>5</v>
      </c>
      <c r="J1471" s="255">
        <v>1</v>
      </c>
      <c r="K1471" s="255">
        <v>1</v>
      </c>
      <c r="L1471" s="255"/>
      <c r="M1471" s="256">
        <v>1.6200000000000001E-4</v>
      </c>
      <c r="N1471" s="249">
        <v>1470</v>
      </c>
    </row>
    <row r="1472" spans="1:14" x14ac:dyDescent="0.25">
      <c r="A1472" s="252" t="s">
        <v>134</v>
      </c>
      <c r="B1472" s="252" t="s">
        <v>4131</v>
      </c>
      <c r="C1472" s="253">
        <v>0</v>
      </c>
      <c r="D1472" s="252">
        <v>39792</v>
      </c>
      <c r="E1472" s="252" t="s">
        <v>3039</v>
      </c>
      <c r="F1472" s="254" t="s">
        <v>4295</v>
      </c>
      <c r="G1472" s="252" t="s">
        <v>2351</v>
      </c>
      <c r="H1472" s="252" t="s">
        <v>4346</v>
      </c>
      <c r="I1472" s="252">
        <v>5</v>
      </c>
      <c r="J1472" s="255">
        <v>1</v>
      </c>
      <c r="K1472" s="255">
        <v>1</v>
      </c>
      <c r="L1472" s="255"/>
      <c r="M1472" s="256">
        <v>1.6200000000000001E-4</v>
      </c>
      <c r="N1472" s="249">
        <v>1471</v>
      </c>
    </row>
    <row r="1473" spans="1:14" x14ac:dyDescent="0.25">
      <c r="A1473" s="252" t="s">
        <v>134</v>
      </c>
      <c r="B1473" s="252" t="s">
        <v>4131</v>
      </c>
      <c r="C1473" s="253">
        <v>0</v>
      </c>
      <c r="D1473" s="252">
        <v>39792</v>
      </c>
      <c r="E1473" s="252" t="s">
        <v>3039</v>
      </c>
      <c r="F1473" s="254" t="s">
        <v>4295</v>
      </c>
      <c r="G1473" s="252" t="s">
        <v>3512</v>
      </c>
      <c r="H1473" s="252" t="s">
        <v>4347</v>
      </c>
      <c r="I1473" s="252">
        <v>5</v>
      </c>
      <c r="J1473" s="255">
        <v>1</v>
      </c>
      <c r="K1473" s="255">
        <v>1</v>
      </c>
      <c r="L1473" s="255"/>
      <c r="M1473" s="256">
        <v>1.6200000000000001E-4</v>
      </c>
      <c r="N1473" s="249">
        <v>1472</v>
      </c>
    </row>
    <row r="1474" spans="1:14" x14ac:dyDescent="0.25">
      <c r="A1474" s="252" t="s">
        <v>134</v>
      </c>
      <c r="B1474" s="252" t="s">
        <v>4131</v>
      </c>
      <c r="C1474" s="253">
        <v>0</v>
      </c>
      <c r="D1474" s="252">
        <v>39792</v>
      </c>
      <c r="E1474" s="252" t="s">
        <v>192</v>
      </c>
      <c r="F1474" s="254" t="s">
        <v>4295</v>
      </c>
      <c r="G1474" s="252" t="s">
        <v>3524</v>
      </c>
      <c r="H1474" s="252" t="s">
        <v>4348</v>
      </c>
      <c r="I1474" s="252">
        <v>5</v>
      </c>
      <c r="J1474" s="255">
        <v>1</v>
      </c>
      <c r="K1474" s="255">
        <v>1</v>
      </c>
      <c r="L1474" s="255"/>
      <c r="M1474" s="256">
        <v>8.9999999999999992E-5</v>
      </c>
      <c r="N1474" s="249">
        <v>1473</v>
      </c>
    </row>
    <row r="1475" spans="1:14" x14ac:dyDescent="0.25">
      <c r="A1475" s="252" t="s">
        <v>134</v>
      </c>
      <c r="B1475" s="252" t="s">
        <v>4131</v>
      </c>
      <c r="C1475" s="253">
        <v>0</v>
      </c>
      <c r="D1475" s="252">
        <v>39792</v>
      </c>
      <c r="E1475" s="252" t="s">
        <v>192</v>
      </c>
      <c r="F1475" s="254" t="s">
        <v>4295</v>
      </c>
      <c r="G1475" s="252" t="s">
        <v>3526</v>
      </c>
      <c r="H1475" s="252" t="s">
        <v>4349</v>
      </c>
      <c r="I1475" s="252">
        <v>5</v>
      </c>
      <c r="J1475" s="255">
        <v>1</v>
      </c>
      <c r="K1475" s="255">
        <v>1</v>
      </c>
      <c r="L1475" s="255"/>
      <c r="M1475" s="256">
        <v>1.8059999999999997E-3</v>
      </c>
      <c r="N1475" s="249">
        <v>1474</v>
      </c>
    </row>
    <row r="1476" spans="1:14" x14ac:dyDescent="0.25">
      <c r="A1476" s="252" t="s">
        <v>134</v>
      </c>
      <c r="B1476" s="252" t="s">
        <v>4131</v>
      </c>
      <c r="C1476" s="253">
        <v>0</v>
      </c>
      <c r="D1476" s="252">
        <v>39792</v>
      </c>
      <c r="E1476" s="252" t="s">
        <v>192</v>
      </c>
      <c r="F1476" s="254" t="s">
        <v>4295</v>
      </c>
      <c r="G1476" s="252" t="s">
        <v>3528</v>
      </c>
      <c r="H1476" s="252" t="s">
        <v>4350</v>
      </c>
      <c r="I1476" s="252">
        <v>5</v>
      </c>
      <c r="J1476" s="255">
        <v>1</v>
      </c>
      <c r="K1476" s="255">
        <v>1</v>
      </c>
      <c r="L1476" s="255"/>
      <c r="M1476" s="256">
        <v>8.9999999999999992E-5</v>
      </c>
      <c r="N1476" s="249">
        <v>1475</v>
      </c>
    </row>
    <row r="1477" spans="1:14" x14ac:dyDescent="0.25">
      <c r="A1477" s="252" t="s">
        <v>134</v>
      </c>
      <c r="B1477" s="252" t="s">
        <v>4131</v>
      </c>
      <c r="C1477" s="253">
        <v>0</v>
      </c>
      <c r="D1477" s="252">
        <v>39792</v>
      </c>
      <c r="E1477" s="252" t="s">
        <v>192</v>
      </c>
      <c r="F1477" s="254" t="s">
        <v>4295</v>
      </c>
      <c r="G1477" s="252" t="s">
        <v>3530</v>
      </c>
      <c r="H1477" s="252" t="s">
        <v>4351</v>
      </c>
      <c r="I1477" s="252">
        <v>5</v>
      </c>
      <c r="J1477" s="255">
        <v>1</v>
      </c>
      <c r="K1477" s="255">
        <v>1</v>
      </c>
      <c r="L1477" s="255"/>
      <c r="M1477" s="256">
        <v>1.8059999999999997E-3</v>
      </c>
      <c r="N1477" s="249">
        <v>1476</v>
      </c>
    </row>
    <row r="1478" spans="1:14" x14ac:dyDescent="0.25">
      <c r="A1478" s="252" t="s">
        <v>134</v>
      </c>
      <c r="B1478" s="252" t="s">
        <v>4131</v>
      </c>
      <c r="C1478" s="253">
        <v>0</v>
      </c>
      <c r="D1478" s="252">
        <v>39792</v>
      </c>
      <c r="E1478" s="252" t="s">
        <v>192</v>
      </c>
      <c r="F1478" s="254" t="s">
        <v>4295</v>
      </c>
      <c r="G1478" s="252" t="s">
        <v>3532</v>
      </c>
      <c r="H1478" s="252" t="s">
        <v>4352</v>
      </c>
      <c r="I1478" s="252">
        <v>5</v>
      </c>
      <c r="J1478" s="255">
        <v>1</v>
      </c>
      <c r="K1478" s="255">
        <v>1</v>
      </c>
      <c r="L1478" s="255"/>
      <c r="M1478" s="256">
        <v>1.5659999999999999E-3</v>
      </c>
      <c r="N1478" s="249">
        <v>1477</v>
      </c>
    </row>
    <row r="1479" spans="1:14" x14ac:dyDescent="0.25">
      <c r="A1479" s="252" t="s">
        <v>134</v>
      </c>
      <c r="B1479" s="252" t="s">
        <v>4131</v>
      </c>
      <c r="C1479" s="253">
        <v>0</v>
      </c>
      <c r="D1479" s="252">
        <v>39792</v>
      </c>
      <c r="E1479" s="252" t="s">
        <v>192</v>
      </c>
      <c r="F1479" s="254" t="s">
        <v>4295</v>
      </c>
      <c r="G1479" s="252" t="s">
        <v>3534</v>
      </c>
      <c r="H1479" s="252" t="s">
        <v>4353</v>
      </c>
      <c r="I1479" s="252">
        <v>5</v>
      </c>
      <c r="J1479" s="255">
        <v>1</v>
      </c>
      <c r="K1479" s="255">
        <v>1</v>
      </c>
      <c r="L1479" s="255"/>
      <c r="M1479" s="256">
        <v>9.0600000000000001E-4</v>
      </c>
      <c r="N1479" s="249">
        <v>1478</v>
      </c>
    </row>
    <row r="1480" spans="1:14" x14ac:dyDescent="0.25">
      <c r="A1480" s="252" t="s">
        <v>134</v>
      </c>
      <c r="B1480" s="252" t="s">
        <v>4131</v>
      </c>
      <c r="C1480" s="253">
        <v>0</v>
      </c>
      <c r="D1480" s="252">
        <v>39792</v>
      </c>
      <c r="E1480" s="252" t="s">
        <v>192</v>
      </c>
      <c r="F1480" s="254" t="s">
        <v>4295</v>
      </c>
      <c r="G1480" s="252" t="s">
        <v>3536</v>
      </c>
      <c r="H1480" s="252" t="s">
        <v>4354</v>
      </c>
      <c r="I1480" s="252">
        <v>5</v>
      </c>
      <c r="J1480" s="255">
        <v>1</v>
      </c>
      <c r="K1480" s="255">
        <v>1</v>
      </c>
      <c r="L1480" s="255"/>
      <c r="M1480" s="256">
        <v>9.0600000000000001E-4</v>
      </c>
      <c r="N1480" s="249">
        <v>1479</v>
      </c>
    </row>
    <row r="1481" spans="1:14" x14ac:dyDescent="0.25">
      <c r="A1481" s="252" t="s">
        <v>134</v>
      </c>
      <c r="B1481" s="252" t="s">
        <v>4131</v>
      </c>
      <c r="C1481" s="253">
        <v>0</v>
      </c>
      <c r="D1481" s="252">
        <v>39792</v>
      </c>
      <c r="E1481" s="252" t="s">
        <v>192</v>
      </c>
      <c r="F1481" s="254" t="s">
        <v>4295</v>
      </c>
      <c r="G1481" s="252" t="s">
        <v>2353</v>
      </c>
      <c r="H1481" s="252" t="s">
        <v>4355</v>
      </c>
      <c r="I1481" s="252">
        <v>5</v>
      </c>
      <c r="J1481" s="255">
        <v>1</v>
      </c>
      <c r="K1481" s="255">
        <v>1</v>
      </c>
      <c r="L1481" s="255"/>
      <c r="M1481" s="256">
        <v>8.9999999999999992E-5</v>
      </c>
      <c r="N1481" s="249">
        <v>1480</v>
      </c>
    </row>
    <row r="1482" spans="1:14" x14ac:dyDescent="0.25">
      <c r="A1482" s="252" t="s">
        <v>134</v>
      </c>
      <c r="B1482" s="252" t="s">
        <v>4131</v>
      </c>
      <c r="C1482" s="253">
        <v>0</v>
      </c>
      <c r="D1482" s="252">
        <v>39792</v>
      </c>
      <c r="E1482" s="252" t="s">
        <v>192</v>
      </c>
      <c r="F1482" s="254" t="s">
        <v>4295</v>
      </c>
      <c r="G1482" s="252" t="s">
        <v>2354</v>
      </c>
      <c r="H1482" s="252" t="s">
        <v>4356</v>
      </c>
      <c r="I1482" s="252">
        <v>5</v>
      </c>
      <c r="J1482" s="255">
        <v>1</v>
      </c>
      <c r="K1482" s="255">
        <v>1</v>
      </c>
      <c r="L1482" s="255"/>
      <c r="M1482" s="256">
        <v>1.8059999999999997E-3</v>
      </c>
      <c r="N1482" s="249">
        <v>1481</v>
      </c>
    </row>
    <row r="1483" spans="1:14" x14ac:dyDescent="0.25">
      <c r="A1483" s="252" t="s">
        <v>134</v>
      </c>
      <c r="B1483" s="252" t="s">
        <v>4131</v>
      </c>
      <c r="C1483" s="253">
        <v>0</v>
      </c>
      <c r="D1483" s="252">
        <v>39792</v>
      </c>
      <c r="E1483" s="252" t="s">
        <v>192</v>
      </c>
      <c r="F1483" s="254" t="s">
        <v>4295</v>
      </c>
      <c r="G1483" s="252" t="s">
        <v>3541</v>
      </c>
      <c r="H1483" s="252" t="s">
        <v>4357</v>
      </c>
      <c r="I1483" s="252">
        <v>5</v>
      </c>
      <c r="J1483" s="255">
        <v>1</v>
      </c>
      <c r="K1483" s="255">
        <v>1</v>
      </c>
      <c r="L1483" s="255"/>
      <c r="M1483" s="256">
        <v>8.9999999999999992E-5</v>
      </c>
      <c r="N1483" s="249">
        <v>1482</v>
      </c>
    </row>
    <row r="1484" spans="1:14" x14ac:dyDescent="0.25">
      <c r="A1484" s="252" t="s">
        <v>134</v>
      </c>
      <c r="B1484" s="252" t="s">
        <v>4131</v>
      </c>
      <c r="C1484" s="253">
        <v>0</v>
      </c>
      <c r="D1484" s="252">
        <v>39792</v>
      </c>
      <c r="E1484" s="252" t="s">
        <v>192</v>
      </c>
      <c r="F1484" s="254" t="s">
        <v>4295</v>
      </c>
      <c r="G1484" s="252" t="s">
        <v>3543</v>
      </c>
      <c r="H1484" s="252" t="s">
        <v>4358</v>
      </c>
      <c r="I1484" s="252">
        <v>5</v>
      </c>
      <c r="J1484" s="255">
        <v>1</v>
      </c>
      <c r="K1484" s="255">
        <v>1</v>
      </c>
      <c r="L1484" s="255"/>
      <c r="M1484" s="256">
        <v>1.8059999999999997E-3</v>
      </c>
      <c r="N1484" s="249">
        <v>1483</v>
      </c>
    </row>
    <row r="1485" spans="1:14" x14ac:dyDescent="0.25">
      <c r="A1485" s="252" t="s">
        <v>134</v>
      </c>
      <c r="B1485" s="252" t="s">
        <v>4131</v>
      </c>
      <c r="C1485" s="253">
        <v>0</v>
      </c>
      <c r="D1485" s="252">
        <v>39792</v>
      </c>
      <c r="E1485" s="252" t="s">
        <v>192</v>
      </c>
      <c r="F1485" s="254" t="s">
        <v>4295</v>
      </c>
      <c r="G1485" s="252" t="s">
        <v>3545</v>
      </c>
      <c r="H1485" s="252" t="s">
        <v>4359</v>
      </c>
      <c r="I1485" s="252">
        <v>5</v>
      </c>
      <c r="J1485" s="255">
        <v>1</v>
      </c>
      <c r="K1485" s="255">
        <v>1</v>
      </c>
      <c r="L1485" s="255"/>
      <c r="M1485" s="256">
        <v>1.5659999999999999E-3</v>
      </c>
      <c r="N1485" s="249">
        <v>1484</v>
      </c>
    </row>
    <row r="1486" spans="1:14" x14ac:dyDescent="0.25">
      <c r="A1486" s="252" t="s">
        <v>134</v>
      </c>
      <c r="B1486" s="252" t="s">
        <v>4131</v>
      </c>
      <c r="C1486" s="253">
        <v>0</v>
      </c>
      <c r="D1486" s="252">
        <v>39792</v>
      </c>
      <c r="E1486" s="252" t="s">
        <v>192</v>
      </c>
      <c r="F1486" s="254" t="s">
        <v>4295</v>
      </c>
      <c r="G1486" s="252" t="s">
        <v>3547</v>
      </c>
      <c r="H1486" s="252" t="s">
        <v>4360</v>
      </c>
      <c r="I1486" s="252">
        <v>5</v>
      </c>
      <c r="J1486" s="255">
        <v>1</v>
      </c>
      <c r="K1486" s="255">
        <v>1</v>
      </c>
      <c r="L1486" s="255"/>
      <c r="M1486" s="256">
        <v>9.0600000000000001E-4</v>
      </c>
      <c r="N1486" s="249">
        <v>1485</v>
      </c>
    </row>
    <row r="1487" spans="1:14" x14ac:dyDescent="0.25">
      <c r="A1487" s="252" t="s">
        <v>134</v>
      </c>
      <c r="B1487" s="252" t="s">
        <v>4131</v>
      </c>
      <c r="C1487" s="253">
        <v>0</v>
      </c>
      <c r="D1487" s="252">
        <v>39792</v>
      </c>
      <c r="E1487" s="252" t="s">
        <v>192</v>
      </c>
      <c r="F1487" s="254" t="s">
        <v>4295</v>
      </c>
      <c r="G1487" s="252" t="s">
        <v>3549</v>
      </c>
      <c r="H1487" s="252" t="s">
        <v>4361</v>
      </c>
      <c r="I1487" s="252">
        <v>5</v>
      </c>
      <c r="J1487" s="255">
        <v>1</v>
      </c>
      <c r="K1487" s="255">
        <v>1</v>
      </c>
      <c r="L1487" s="255"/>
      <c r="M1487" s="256">
        <v>9.0600000000000001E-4</v>
      </c>
      <c r="N1487" s="249">
        <v>1486</v>
      </c>
    </row>
    <row r="1488" spans="1:14" x14ac:dyDescent="0.25">
      <c r="A1488" s="252" t="s">
        <v>134</v>
      </c>
      <c r="B1488" s="252" t="s">
        <v>4131</v>
      </c>
      <c r="C1488" s="253">
        <v>0</v>
      </c>
      <c r="D1488" s="252">
        <v>39792</v>
      </c>
      <c r="E1488" s="252" t="s">
        <v>192</v>
      </c>
      <c r="F1488" s="254" t="s">
        <v>4362</v>
      </c>
      <c r="G1488" s="252" t="s">
        <v>2400</v>
      </c>
      <c r="H1488" s="252" t="s">
        <v>4363</v>
      </c>
      <c r="I1488" s="252">
        <v>5</v>
      </c>
      <c r="J1488" s="255">
        <v>1</v>
      </c>
      <c r="K1488" s="255">
        <v>1</v>
      </c>
      <c r="L1488" s="255"/>
      <c r="M1488" s="256">
        <v>1.8059999999999997E-3</v>
      </c>
      <c r="N1488" s="249">
        <v>1487</v>
      </c>
    </row>
    <row r="1489" spans="1:14" x14ac:dyDescent="0.25">
      <c r="A1489" s="252" t="s">
        <v>134</v>
      </c>
      <c r="B1489" s="252" t="s">
        <v>4131</v>
      </c>
      <c r="C1489" s="253">
        <v>0</v>
      </c>
      <c r="D1489" s="252">
        <v>39792</v>
      </c>
      <c r="E1489" s="252" t="s">
        <v>192</v>
      </c>
      <c r="F1489" s="254" t="s">
        <v>4362</v>
      </c>
      <c r="G1489" s="252" t="s">
        <v>2401</v>
      </c>
      <c r="H1489" s="252" t="s">
        <v>4364</v>
      </c>
      <c r="I1489" s="252">
        <v>5</v>
      </c>
      <c r="J1489" s="255">
        <v>1</v>
      </c>
      <c r="K1489" s="255">
        <v>1</v>
      </c>
      <c r="L1489" s="255"/>
      <c r="M1489" s="256">
        <v>1.8059999999999997E-3</v>
      </c>
      <c r="N1489" s="249">
        <v>1488</v>
      </c>
    </row>
    <row r="1490" spans="1:14" x14ac:dyDescent="0.25">
      <c r="A1490" s="252" t="s">
        <v>134</v>
      </c>
      <c r="B1490" s="252" t="s">
        <v>4131</v>
      </c>
      <c r="C1490" s="253">
        <v>0</v>
      </c>
      <c r="D1490" s="252">
        <v>39792</v>
      </c>
      <c r="E1490" s="252" t="s">
        <v>192</v>
      </c>
      <c r="F1490" s="254" t="s">
        <v>4362</v>
      </c>
      <c r="G1490" s="252" t="s">
        <v>2402</v>
      </c>
      <c r="H1490" s="252" t="s">
        <v>4365</v>
      </c>
      <c r="I1490" s="252">
        <v>5</v>
      </c>
      <c r="J1490" s="255">
        <v>1</v>
      </c>
      <c r="K1490" s="255">
        <v>1</v>
      </c>
      <c r="L1490" s="255"/>
      <c r="M1490" s="256">
        <v>1.2960000000000001E-3</v>
      </c>
      <c r="N1490" s="249">
        <v>1489</v>
      </c>
    </row>
    <row r="1491" spans="1:14" x14ac:dyDescent="0.25">
      <c r="A1491" s="252" t="s">
        <v>134</v>
      </c>
      <c r="B1491" s="252" t="s">
        <v>4131</v>
      </c>
      <c r="C1491" s="253">
        <v>0</v>
      </c>
      <c r="D1491" s="252">
        <v>39792</v>
      </c>
      <c r="E1491" s="252" t="s">
        <v>192</v>
      </c>
      <c r="F1491" s="254" t="s">
        <v>4362</v>
      </c>
      <c r="G1491" s="252" t="s">
        <v>2404</v>
      </c>
      <c r="H1491" s="252" t="s">
        <v>4366</v>
      </c>
      <c r="I1491" s="252">
        <v>5</v>
      </c>
      <c r="J1491" s="255">
        <v>1</v>
      </c>
      <c r="K1491" s="255">
        <v>1</v>
      </c>
      <c r="L1491" s="255"/>
      <c r="M1491" s="256">
        <v>7.4399999999999998E-4</v>
      </c>
      <c r="N1491" s="249">
        <v>1490</v>
      </c>
    </row>
    <row r="1492" spans="1:14" x14ac:dyDescent="0.25">
      <c r="A1492" s="252" t="s">
        <v>134</v>
      </c>
      <c r="B1492" s="252" t="s">
        <v>4131</v>
      </c>
      <c r="C1492" s="253">
        <v>0</v>
      </c>
      <c r="D1492" s="252">
        <v>39792</v>
      </c>
      <c r="E1492" s="252" t="s">
        <v>192</v>
      </c>
      <c r="F1492" s="254" t="s">
        <v>4362</v>
      </c>
      <c r="G1492" s="252" t="s">
        <v>4367</v>
      </c>
      <c r="H1492" s="252" t="s">
        <v>4368</v>
      </c>
      <c r="I1492" s="252">
        <v>5</v>
      </c>
      <c r="J1492" s="255">
        <v>1</v>
      </c>
      <c r="K1492" s="255">
        <v>1</v>
      </c>
      <c r="L1492" s="255"/>
      <c r="M1492" s="256">
        <v>7.4399999999999998E-4</v>
      </c>
      <c r="N1492" s="249">
        <v>1491</v>
      </c>
    </row>
    <row r="1493" spans="1:14" x14ac:dyDescent="0.25">
      <c r="A1493" s="252" t="s">
        <v>134</v>
      </c>
      <c r="B1493" s="252" t="s">
        <v>4131</v>
      </c>
      <c r="C1493" s="253">
        <v>0</v>
      </c>
      <c r="D1493" s="252">
        <v>39792</v>
      </c>
      <c r="E1493" s="252" t="s">
        <v>192</v>
      </c>
      <c r="F1493" s="254" t="s">
        <v>4362</v>
      </c>
      <c r="G1493" s="252" t="s">
        <v>4369</v>
      </c>
      <c r="H1493" s="252" t="s">
        <v>4370</v>
      </c>
      <c r="I1493" s="252">
        <v>5</v>
      </c>
      <c r="J1493" s="255">
        <v>1</v>
      </c>
      <c r="K1493" s="255">
        <v>1</v>
      </c>
      <c r="L1493" s="255"/>
      <c r="M1493" s="256">
        <v>8.9999999999999992E-5</v>
      </c>
      <c r="N1493" s="249">
        <v>1492</v>
      </c>
    </row>
    <row r="1494" spans="1:14" x14ac:dyDescent="0.25">
      <c r="A1494" s="252" t="s">
        <v>134</v>
      </c>
      <c r="B1494" s="252" t="s">
        <v>4131</v>
      </c>
      <c r="C1494" s="253">
        <v>0</v>
      </c>
      <c r="D1494" s="252">
        <v>39792</v>
      </c>
      <c r="E1494" s="252" t="s">
        <v>192</v>
      </c>
      <c r="F1494" s="254" t="s">
        <v>4362</v>
      </c>
      <c r="G1494" s="252" t="s">
        <v>4371</v>
      </c>
      <c r="H1494" s="252" t="s">
        <v>4372</v>
      </c>
      <c r="I1494" s="252">
        <v>5</v>
      </c>
      <c r="J1494" s="255">
        <v>1</v>
      </c>
      <c r="K1494" s="255">
        <v>1</v>
      </c>
      <c r="L1494" s="255"/>
      <c r="M1494" s="256">
        <v>8.9999999999999992E-5</v>
      </c>
      <c r="N1494" s="249">
        <v>1493</v>
      </c>
    </row>
    <row r="1495" spans="1:14" x14ac:dyDescent="0.25">
      <c r="A1495" s="252" t="s">
        <v>134</v>
      </c>
      <c r="B1495" s="252" t="s">
        <v>4131</v>
      </c>
      <c r="C1495" s="253">
        <v>0</v>
      </c>
      <c r="D1495" s="252">
        <v>39792</v>
      </c>
      <c r="E1495" s="252" t="s">
        <v>192</v>
      </c>
      <c r="F1495" s="254" t="s">
        <v>4362</v>
      </c>
      <c r="G1495" s="252" t="s">
        <v>4373</v>
      </c>
      <c r="H1495" s="252" t="s">
        <v>4374</v>
      </c>
      <c r="I1495" s="252">
        <v>5</v>
      </c>
      <c r="J1495" s="255">
        <v>1</v>
      </c>
      <c r="K1495" s="255">
        <v>1</v>
      </c>
      <c r="L1495" s="255"/>
      <c r="M1495" s="256">
        <v>8.9999999999999992E-5</v>
      </c>
      <c r="N1495" s="249">
        <v>1494</v>
      </c>
    </row>
    <row r="1496" spans="1:14" x14ac:dyDescent="0.25">
      <c r="A1496" s="252" t="s">
        <v>134</v>
      </c>
      <c r="B1496" s="252" t="s">
        <v>4131</v>
      </c>
      <c r="C1496" s="253">
        <v>0</v>
      </c>
      <c r="D1496" s="252">
        <v>39792</v>
      </c>
      <c r="E1496" s="252" t="s">
        <v>192</v>
      </c>
      <c r="F1496" s="254" t="s">
        <v>4362</v>
      </c>
      <c r="G1496" s="252" t="s">
        <v>2405</v>
      </c>
      <c r="H1496" s="252" t="s">
        <v>4375</v>
      </c>
      <c r="I1496" s="252">
        <v>5</v>
      </c>
      <c r="J1496" s="255">
        <v>1</v>
      </c>
      <c r="K1496" s="255">
        <v>1</v>
      </c>
      <c r="L1496" s="255"/>
      <c r="M1496" s="256">
        <v>1.4549999999999997E-3</v>
      </c>
      <c r="N1496" s="249">
        <v>1495</v>
      </c>
    </row>
    <row r="1497" spans="1:14" x14ac:dyDescent="0.25">
      <c r="A1497" s="252" t="s">
        <v>134</v>
      </c>
      <c r="B1497" s="252" t="s">
        <v>4131</v>
      </c>
      <c r="C1497" s="253">
        <v>0</v>
      </c>
      <c r="D1497" s="252">
        <v>39792</v>
      </c>
      <c r="E1497" s="252" t="s">
        <v>192</v>
      </c>
      <c r="F1497" s="254" t="s">
        <v>4362</v>
      </c>
      <c r="G1497" s="252" t="s">
        <v>2406</v>
      </c>
      <c r="H1497" s="252" t="s">
        <v>4376</v>
      </c>
      <c r="I1497" s="252">
        <v>5</v>
      </c>
      <c r="J1497" s="255">
        <v>1</v>
      </c>
      <c r="K1497" s="255">
        <v>1</v>
      </c>
      <c r="L1497" s="255"/>
      <c r="M1497" s="256">
        <v>8.9999999999999992E-5</v>
      </c>
      <c r="N1497" s="249">
        <v>1496</v>
      </c>
    </row>
    <row r="1498" spans="1:14" x14ac:dyDescent="0.25">
      <c r="A1498" s="252" t="s">
        <v>134</v>
      </c>
      <c r="B1498" s="252" t="s">
        <v>4131</v>
      </c>
      <c r="C1498" s="253">
        <v>0</v>
      </c>
      <c r="D1498" s="252">
        <v>39792</v>
      </c>
      <c r="E1498" s="252" t="s">
        <v>192</v>
      </c>
      <c r="F1498" s="254" t="s">
        <v>4362</v>
      </c>
      <c r="G1498" s="252" t="s">
        <v>2407</v>
      </c>
      <c r="H1498" s="252" t="s">
        <v>4377</v>
      </c>
      <c r="I1498" s="252">
        <v>5</v>
      </c>
      <c r="J1498" s="255">
        <v>1</v>
      </c>
      <c r="K1498" s="255">
        <v>1</v>
      </c>
      <c r="L1498" s="255"/>
      <c r="M1498" s="256">
        <v>1.4549999999999997E-3</v>
      </c>
      <c r="N1498" s="249">
        <v>1497</v>
      </c>
    </row>
    <row r="1499" spans="1:14" x14ac:dyDescent="0.25">
      <c r="A1499" s="252" t="s">
        <v>134</v>
      </c>
      <c r="B1499" s="252" t="s">
        <v>4131</v>
      </c>
      <c r="C1499" s="253">
        <v>0</v>
      </c>
      <c r="D1499" s="252">
        <v>39792</v>
      </c>
      <c r="E1499" s="252" t="s">
        <v>192</v>
      </c>
      <c r="F1499" s="254" t="s">
        <v>4362</v>
      </c>
      <c r="G1499" s="252" t="s">
        <v>2408</v>
      </c>
      <c r="H1499" s="252" t="s">
        <v>4378</v>
      </c>
      <c r="I1499" s="252">
        <v>5</v>
      </c>
      <c r="J1499" s="255">
        <v>1</v>
      </c>
      <c r="K1499" s="255">
        <v>1</v>
      </c>
      <c r="L1499" s="255"/>
      <c r="M1499" s="256">
        <v>3.5999999999999997E-4</v>
      </c>
      <c r="N1499" s="249">
        <v>1498</v>
      </c>
    </row>
    <row r="1500" spans="1:14" x14ac:dyDescent="0.25">
      <c r="A1500" s="252" t="s">
        <v>134</v>
      </c>
      <c r="B1500" s="252" t="s">
        <v>4131</v>
      </c>
      <c r="C1500" s="253">
        <v>0</v>
      </c>
      <c r="D1500" s="252">
        <v>39792</v>
      </c>
      <c r="E1500" s="252" t="s">
        <v>192</v>
      </c>
      <c r="F1500" s="254" t="s">
        <v>4362</v>
      </c>
      <c r="G1500" s="252" t="s">
        <v>3669</v>
      </c>
      <c r="H1500" s="252" t="s">
        <v>4379</v>
      </c>
      <c r="I1500" s="252">
        <v>5</v>
      </c>
      <c r="J1500" s="255">
        <v>1</v>
      </c>
      <c r="K1500" s="255">
        <v>1</v>
      </c>
      <c r="L1500" s="255"/>
      <c r="M1500" s="256">
        <v>1.7699999999999997E-4</v>
      </c>
      <c r="N1500" s="249">
        <v>1499</v>
      </c>
    </row>
    <row r="1501" spans="1:14" x14ac:dyDescent="0.25">
      <c r="A1501" s="252" t="s">
        <v>134</v>
      </c>
      <c r="B1501" s="252" t="s">
        <v>4131</v>
      </c>
      <c r="C1501" s="253">
        <v>0</v>
      </c>
      <c r="D1501" s="252">
        <v>39792</v>
      </c>
      <c r="E1501" s="252" t="s">
        <v>192</v>
      </c>
      <c r="F1501" s="254" t="s">
        <v>4362</v>
      </c>
      <c r="G1501" s="252" t="s">
        <v>3671</v>
      </c>
      <c r="H1501" s="252" t="s">
        <v>4380</v>
      </c>
      <c r="I1501" s="252">
        <v>5</v>
      </c>
      <c r="J1501" s="255">
        <v>1</v>
      </c>
      <c r="K1501" s="255">
        <v>1</v>
      </c>
      <c r="L1501" s="255"/>
      <c r="M1501" s="256">
        <v>1.7699999999999997E-4</v>
      </c>
      <c r="N1501" s="249">
        <v>1500</v>
      </c>
    </row>
    <row r="1502" spans="1:14" x14ac:dyDescent="0.25">
      <c r="A1502" s="252" t="s">
        <v>134</v>
      </c>
      <c r="B1502" s="252" t="s">
        <v>4131</v>
      </c>
      <c r="C1502" s="253">
        <v>0</v>
      </c>
      <c r="D1502" s="252">
        <v>39792</v>
      </c>
      <c r="E1502" s="252" t="s">
        <v>192</v>
      </c>
      <c r="F1502" s="254" t="s">
        <v>4362</v>
      </c>
      <c r="G1502" s="252" t="s">
        <v>4381</v>
      </c>
      <c r="H1502" s="252" t="s">
        <v>4382</v>
      </c>
      <c r="I1502" s="252">
        <v>5</v>
      </c>
      <c r="J1502" s="255">
        <v>1</v>
      </c>
      <c r="K1502" s="255">
        <v>1</v>
      </c>
      <c r="L1502" s="255"/>
      <c r="M1502" s="256">
        <v>8.9999999999999992E-5</v>
      </c>
      <c r="N1502" s="249">
        <v>1501</v>
      </c>
    </row>
    <row r="1503" spans="1:14" x14ac:dyDescent="0.25">
      <c r="A1503" s="252" t="s">
        <v>134</v>
      </c>
      <c r="B1503" s="252" t="s">
        <v>4131</v>
      </c>
      <c r="C1503" s="253">
        <v>0</v>
      </c>
      <c r="D1503" s="252">
        <v>39792</v>
      </c>
      <c r="E1503" s="252" t="s">
        <v>192</v>
      </c>
      <c r="F1503" s="254" t="s">
        <v>4362</v>
      </c>
      <c r="G1503" s="252" t="s">
        <v>2409</v>
      </c>
      <c r="H1503" s="252" t="s">
        <v>4383</v>
      </c>
      <c r="I1503" s="252">
        <v>5</v>
      </c>
      <c r="J1503" s="255">
        <v>1</v>
      </c>
      <c r="K1503" s="255">
        <v>1</v>
      </c>
      <c r="L1503" s="255"/>
      <c r="M1503" s="256">
        <v>1.7759999999999998E-3</v>
      </c>
      <c r="N1503" s="249">
        <v>1502</v>
      </c>
    </row>
    <row r="1504" spans="1:14" x14ac:dyDescent="0.25">
      <c r="A1504" s="252" t="s">
        <v>134</v>
      </c>
      <c r="B1504" s="252" t="s">
        <v>4131</v>
      </c>
      <c r="C1504" s="253">
        <v>0</v>
      </c>
      <c r="D1504" s="252">
        <v>39792</v>
      </c>
      <c r="E1504" s="252" t="s">
        <v>192</v>
      </c>
      <c r="F1504" s="254" t="s">
        <v>4362</v>
      </c>
      <c r="G1504" s="252" t="s">
        <v>2410</v>
      </c>
      <c r="H1504" s="252" t="s">
        <v>4384</v>
      </c>
      <c r="I1504" s="252">
        <v>5</v>
      </c>
      <c r="J1504" s="255">
        <v>1</v>
      </c>
      <c r="K1504" s="255">
        <v>1</v>
      </c>
      <c r="L1504" s="255"/>
      <c r="M1504" s="256">
        <v>8.9999999999999992E-5</v>
      </c>
      <c r="N1504" s="249">
        <v>1503</v>
      </c>
    </row>
    <row r="1505" spans="1:14" x14ac:dyDescent="0.25">
      <c r="A1505" s="252" t="s">
        <v>134</v>
      </c>
      <c r="B1505" s="252" t="s">
        <v>4131</v>
      </c>
      <c r="C1505" s="253">
        <v>0</v>
      </c>
      <c r="D1505" s="252">
        <v>39792</v>
      </c>
      <c r="E1505" s="252" t="s">
        <v>192</v>
      </c>
      <c r="F1505" s="254" t="s">
        <v>4362</v>
      </c>
      <c r="G1505" s="252" t="s">
        <v>2411</v>
      </c>
      <c r="H1505" s="252" t="s">
        <v>4385</v>
      </c>
      <c r="I1505" s="252">
        <v>5</v>
      </c>
      <c r="J1505" s="255">
        <v>1</v>
      </c>
      <c r="K1505" s="255">
        <v>1</v>
      </c>
      <c r="L1505" s="255"/>
      <c r="M1505" s="256">
        <v>1.7759999999999998E-3</v>
      </c>
      <c r="N1505" s="249">
        <v>1504</v>
      </c>
    </row>
    <row r="1506" spans="1:14" x14ac:dyDescent="0.25">
      <c r="A1506" s="252" t="s">
        <v>134</v>
      </c>
      <c r="B1506" s="252" t="s">
        <v>4131</v>
      </c>
      <c r="C1506" s="253">
        <v>0</v>
      </c>
      <c r="D1506" s="252">
        <v>39792</v>
      </c>
      <c r="E1506" s="252" t="s">
        <v>192</v>
      </c>
      <c r="F1506" s="254" t="s">
        <v>4362</v>
      </c>
      <c r="G1506" s="252" t="s">
        <v>2412</v>
      </c>
      <c r="H1506" s="252" t="s">
        <v>4386</v>
      </c>
      <c r="I1506" s="252">
        <v>5</v>
      </c>
      <c r="J1506" s="255">
        <v>1</v>
      </c>
      <c r="K1506" s="255">
        <v>1</v>
      </c>
      <c r="L1506" s="255"/>
      <c r="M1506" s="256">
        <v>8.9999999999999992E-5</v>
      </c>
      <c r="N1506" s="249">
        <v>1505</v>
      </c>
    </row>
    <row r="1507" spans="1:14" x14ac:dyDescent="0.25">
      <c r="A1507" s="252" t="s">
        <v>134</v>
      </c>
      <c r="B1507" s="252" t="s">
        <v>4131</v>
      </c>
      <c r="C1507" s="253">
        <v>0</v>
      </c>
      <c r="D1507" s="252">
        <v>39792</v>
      </c>
      <c r="E1507" s="252" t="s">
        <v>192</v>
      </c>
      <c r="F1507" s="254" t="s">
        <v>4362</v>
      </c>
      <c r="G1507" s="252" t="s">
        <v>3677</v>
      </c>
      <c r="H1507" s="252" t="s">
        <v>4387</v>
      </c>
      <c r="I1507" s="252">
        <v>5</v>
      </c>
      <c r="J1507" s="255">
        <v>1</v>
      </c>
      <c r="K1507" s="255">
        <v>1</v>
      </c>
      <c r="L1507" s="255"/>
      <c r="M1507" s="256">
        <v>1.7759999999999998E-3</v>
      </c>
      <c r="N1507" s="249">
        <v>1506</v>
      </c>
    </row>
    <row r="1508" spans="1:14" x14ac:dyDescent="0.25">
      <c r="A1508" s="252" t="s">
        <v>134</v>
      </c>
      <c r="B1508" s="252" t="s">
        <v>4131</v>
      </c>
      <c r="C1508" s="253">
        <v>0</v>
      </c>
      <c r="D1508" s="252">
        <v>39792</v>
      </c>
      <c r="E1508" s="252" t="s">
        <v>192</v>
      </c>
      <c r="F1508" s="254" t="s">
        <v>4362</v>
      </c>
      <c r="G1508" s="252" t="s">
        <v>3679</v>
      </c>
      <c r="H1508" s="252" t="s">
        <v>4388</v>
      </c>
      <c r="I1508" s="252">
        <v>5</v>
      </c>
      <c r="J1508" s="255">
        <v>1</v>
      </c>
      <c r="K1508" s="255">
        <v>1</v>
      </c>
      <c r="L1508" s="255"/>
      <c r="M1508" s="256">
        <v>8.8199999999999997E-4</v>
      </c>
      <c r="N1508" s="249">
        <v>1507</v>
      </c>
    </row>
    <row r="1509" spans="1:14" x14ac:dyDescent="0.25">
      <c r="A1509" s="252" t="s">
        <v>134</v>
      </c>
      <c r="B1509" s="252" t="s">
        <v>4131</v>
      </c>
      <c r="C1509" s="253">
        <v>0</v>
      </c>
      <c r="D1509" s="252">
        <v>39792</v>
      </c>
      <c r="E1509" s="252" t="s">
        <v>192</v>
      </c>
      <c r="F1509" s="254" t="s">
        <v>4362</v>
      </c>
      <c r="G1509" s="252" t="s">
        <v>4389</v>
      </c>
      <c r="H1509" s="252" t="s">
        <v>4390</v>
      </c>
      <c r="I1509" s="252">
        <v>5</v>
      </c>
      <c r="J1509" s="255">
        <v>1</v>
      </c>
      <c r="K1509" s="255">
        <v>1</v>
      </c>
      <c r="L1509" s="255"/>
      <c r="M1509" s="256">
        <v>8.8199999999999997E-4</v>
      </c>
      <c r="N1509" s="249">
        <v>1508</v>
      </c>
    </row>
    <row r="1510" spans="1:14" x14ac:dyDescent="0.25">
      <c r="A1510" s="252" t="s">
        <v>134</v>
      </c>
      <c r="B1510" s="252" t="s">
        <v>4131</v>
      </c>
      <c r="C1510" s="253">
        <v>0</v>
      </c>
      <c r="D1510" s="252">
        <v>39792</v>
      </c>
      <c r="E1510" s="252" t="s">
        <v>192</v>
      </c>
      <c r="F1510" s="254" t="s">
        <v>4362</v>
      </c>
      <c r="G1510" s="252" t="s">
        <v>4391</v>
      </c>
      <c r="H1510" s="252" t="s">
        <v>4392</v>
      </c>
      <c r="I1510" s="252">
        <v>5</v>
      </c>
      <c r="J1510" s="255">
        <v>1</v>
      </c>
      <c r="K1510" s="255">
        <v>1</v>
      </c>
      <c r="L1510" s="255"/>
      <c r="M1510" s="256">
        <v>2.4899999999999998E-4</v>
      </c>
      <c r="N1510" s="249">
        <v>1509</v>
      </c>
    </row>
    <row r="1511" spans="1:14" x14ac:dyDescent="0.25">
      <c r="A1511" s="252" t="s">
        <v>134</v>
      </c>
      <c r="B1511" s="252" t="s">
        <v>4131</v>
      </c>
      <c r="C1511" s="253">
        <v>0</v>
      </c>
      <c r="D1511" s="252">
        <v>39792</v>
      </c>
      <c r="E1511" s="252" t="s">
        <v>192</v>
      </c>
      <c r="F1511" s="254" t="s">
        <v>4362</v>
      </c>
      <c r="G1511" s="252" t="s">
        <v>4393</v>
      </c>
      <c r="H1511" s="252" t="s">
        <v>4394</v>
      </c>
      <c r="I1511" s="252">
        <v>5</v>
      </c>
      <c r="J1511" s="255">
        <v>1</v>
      </c>
      <c r="K1511" s="255">
        <v>1</v>
      </c>
      <c r="L1511" s="255"/>
      <c r="M1511" s="256">
        <v>2.9099999999999997E-4</v>
      </c>
      <c r="N1511" s="249">
        <v>1510</v>
      </c>
    </row>
    <row r="1512" spans="1:14" x14ac:dyDescent="0.25">
      <c r="A1512" s="252" t="s">
        <v>134</v>
      </c>
      <c r="B1512" s="252" t="s">
        <v>4131</v>
      </c>
      <c r="C1512" s="253">
        <v>0</v>
      </c>
      <c r="D1512" s="252">
        <v>39792</v>
      </c>
      <c r="E1512" s="252" t="s">
        <v>192</v>
      </c>
      <c r="F1512" s="254" t="s">
        <v>4362</v>
      </c>
      <c r="G1512" s="252" t="s">
        <v>4395</v>
      </c>
      <c r="H1512" s="252" t="s">
        <v>4396</v>
      </c>
      <c r="I1512" s="252">
        <v>5</v>
      </c>
      <c r="J1512" s="255">
        <v>1</v>
      </c>
      <c r="K1512" s="255">
        <v>1</v>
      </c>
      <c r="L1512" s="255"/>
      <c r="M1512" s="256">
        <v>4.0079999999999994E-3</v>
      </c>
      <c r="N1512" s="249">
        <v>1511</v>
      </c>
    </row>
    <row r="1513" spans="1:14" x14ac:dyDescent="0.25">
      <c r="A1513" s="252" t="s">
        <v>134</v>
      </c>
      <c r="B1513" s="252" t="s">
        <v>4131</v>
      </c>
      <c r="C1513" s="253">
        <v>0</v>
      </c>
      <c r="D1513" s="252">
        <v>39792</v>
      </c>
      <c r="E1513" s="252" t="s">
        <v>192</v>
      </c>
      <c r="F1513" s="254" t="s">
        <v>4362</v>
      </c>
      <c r="G1513" s="252" t="s">
        <v>4397</v>
      </c>
      <c r="H1513" s="252" t="s">
        <v>4398</v>
      </c>
      <c r="I1513" s="252">
        <v>5</v>
      </c>
      <c r="J1513" s="255">
        <v>1</v>
      </c>
      <c r="K1513" s="255">
        <v>1</v>
      </c>
      <c r="L1513" s="255"/>
      <c r="M1513" s="256">
        <v>1.2149999999999999E-3</v>
      </c>
      <c r="N1513" s="249">
        <v>1512</v>
      </c>
    </row>
    <row r="1514" spans="1:14" x14ac:dyDescent="0.25">
      <c r="A1514" s="252" t="s">
        <v>134</v>
      </c>
      <c r="B1514" s="252" t="s">
        <v>4131</v>
      </c>
      <c r="C1514" s="253">
        <v>0</v>
      </c>
      <c r="D1514" s="252">
        <v>39792</v>
      </c>
      <c r="E1514" s="252" t="s">
        <v>192</v>
      </c>
      <c r="F1514" s="254" t="s">
        <v>4362</v>
      </c>
      <c r="G1514" s="252" t="s">
        <v>4399</v>
      </c>
      <c r="H1514" s="252" t="s">
        <v>4400</v>
      </c>
      <c r="I1514" s="252">
        <v>5</v>
      </c>
      <c r="J1514" s="255">
        <v>1</v>
      </c>
      <c r="K1514" s="255">
        <v>1</v>
      </c>
      <c r="L1514" s="255"/>
      <c r="M1514" s="256">
        <v>1.2149999999999999E-3</v>
      </c>
      <c r="N1514" s="249">
        <v>1513</v>
      </c>
    </row>
    <row r="1515" spans="1:14" x14ac:dyDescent="0.25">
      <c r="A1515" s="252" t="s">
        <v>134</v>
      </c>
      <c r="B1515" s="252" t="s">
        <v>4131</v>
      </c>
      <c r="C1515" s="253">
        <v>0</v>
      </c>
      <c r="D1515" s="252">
        <v>39792</v>
      </c>
      <c r="E1515" s="252" t="s">
        <v>192</v>
      </c>
      <c r="F1515" s="254" t="s">
        <v>4362</v>
      </c>
      <c r="G1515" s="252" t="s">
        <v>4401</v>
      </c>
      <c r="H1515" s="252" t="s">
        <v>4402</v>
      </c>
      <c r="I1515" s="252">
        <v>5</v>
      </c>
      <c r="J1515" s="255">
        <v>1</v>
      </c>
      <c r="K1515" s="255">
        <v>1</v>
      </c>
      <c r="L1515" s="255"/>
      <c r="M1515" s="256">
        <v>4.4999999999999999E-4</v>
      </c>
      <c r="N1515" s="249">
        <v>1514</v>
      </c>
    </row>
    <row r="1516" spans="1:14" x14ac:dyDescent="0.25">
      <c r="A1516" s="252" t="s">
        <v>134</v>
      </c>
      <c r="B1516" s="252" t="s">
        <v>4131</v>
      </c>
      <c r="C1516" s="253">
        <v>0</v>
      </c>
      <c r="D1516" s="252">
        <v>39792</v>
      </c>
      <c r="E1516" s="252" t="s">
        <v>192</v>
      </c>
      <c r="F1516" s="254" t="s">
        <v>4362</v>
      </c>
      <c r="G1516" s="252" t="s">
        <v>4403</v>
      </c>
      <c r="H1516" s="252" t="s">
        <v>4404</v>
      </c>
      <c r="I1516" s="252">
        <v>5</v>
      </c>
      <c r="J1516" s="255">
        <v>1</v>
      </c>
      <c r="K1516" s="255">
        <v>1</v>
      </c>
      <c r="L1516" s="255"/>
      <c r="M1516" s="256">
        <v>8.8199999999999997E-4</v>
      </c>
      <c r="N1516" s="249">
        <v>1515</v>
      </c>
    </row>
    <row r="1517" spans="1:14" x14ac:dyDescent="0.25">
      <c r="A1517" s="252" t="s">
        <v>134</v>
      </c>
      <c r="B1517" s="252" t="s">
        <v>4131</v>
      </c>
      <c r="C1517" s="253">
        <v>0</v>
      </c>
      <c r="D1517" s="252">
        <v>39792</v>
      </c>
      <c r="E1517" s="252" t="s">
        <v>192</v>
      </c>
      <c r="F1517" s="254" t="s">
        <v>4362</v>
      </c>
      <c r="G1517" s="252" t="s">
        <v>4405</v>
      </c>
      <c r="H1517" s="252" t="s">
        <v>4406</v>
      </c>
      <c r="I1517" s="252">
        <v>5</v>
      </c>
      <c r="J1517" s="255">
        <v>1</v>
      </c>
      <c r="K1517" s="255">
        <v>1</v>
      </c>
      <c r="L1517" s="255"/>
      <c r="M1517" s="256">
        <v>8.8199999999999997E-4</v>
      </c>
      <c r="N1517" s="249">
        <v>1516</v>
      </c>
    </row>
    <row r="1518" spans="1:14" x14ac:dyDescent="0.25">
      <c r="A1518" s="252" t="s">
        <v>134</v>
      </c>
      <c r="B1518" s="252" t="s">
        <v>4131</v>
      </c>
      <c r="C1518" s="253">
        <v>0</v>
      </c>
      <c r="D1518" s="252">
        <v>39792</v>
      </c>
      <c r="E1518" s="252" t="s">
        <v>192</v>
      </c>
      <c r="F1518" s="254" t="s">
        <v>4362</v>
      </c>
      <c r="G1518" s="252" t="s">
        <v>4407</v>
      </c>
      <c r="H1518" s="252" t="s">
        <v>4408</v>
      </c>
      <c r="I1518" s="252">
        <v>5</v>
      </c>
      <c r="J1518" s="255">
        <v>1</v>
      </c>
      <c r="K1518" s="255">
        <v>1</v>
      </c>
      <c r="L1518" s="255"/>
      <c r="M1518" s="256">
        <v>4.4999999999999999E-4</v>
      </c>
      <c r="N1518" s="249">
        <v>1517</v>
      </c>
    </row>
    <row r="1519" spans="1:14" x14ac:dyDescent="0.25">
      <c r="A1519" s="252" t="s">
        <v>134</v>
      </c>
      <c r="B1519" s="252" t="s">
        <v>4131</v>
      </c>
      <c r="C1519" s="253">
        <v>0</v>
      </c>
      <c r="D1519" s="252">
        <v>39792</v>
      </c>
      <c r="E1519" s="252" t="s">
        <v>192</v>
      </c>
      <c r="F1519" s="254" t="s">
        <v>4362</v>
      </c>
      <c r="G1519" s="252" t="s">
        <v>4409</v>
      </c>
      <c r="H1519" s="252" t="s">
        <v>4410</v>
      </c>
      <c r="I1519" s="252">
        <v>5</v>
      </c>
      <c r="J1519" s="255">
        <v>1</v>
      </c>
      <c r="K1519" s="255">
        <v>1</v>
      </c>
      <c r="L1519" s="255"/>
      <c r="M1519" s="256">
        <v>8.9999999999999992E-5</v>
      </c>
      <c r="N1519" s="249">
        <v>1518</v>
      </c>
    </row>
    <row r="1520" spans="1:14" x14ac:dyDescent="0.25">
      <c r="A1520" s="252" t="s">
        <v>134</v>
      </c>
      <c r="B1520" s="252" t="s">
        <v>4131</v>
      </c>
      <c r="C1520" s="253">
        <v>0</v>
      </c>
      <c r="D1520" s="252">
        <v>39792</v>
      </c>
      <c r="E1520" s="252" t="s">
        <v>192</v>
      </c>
      <c r="F1520" s="254" t="s">
        <v>4362</v>
      </c>
      <c r="G1520" s="252" t="s">
        <v>2413</v>
      </c>
      <c r="H1520" s="252" t="s">
        <v>4411</v>
      </c>
      <c r="I1520" s="252">
        <v>5</v>
      </c>
      <c r="J1520" s="255">
        <v>1</v>
      </c>
      <c r="K1520" s="255">
        <v>1</v>
      </c>
      <c r="L1520" s="255"/>
      <c r="M1520" s="256">
        <v>1.8059999999999997E-3</v>
      </c>
      <c r="N1520" s="249">
        <v>1519</v>
      </c>
    </row>
    <row r="1521" spans="1:14" x14ac:dyDescent="0.25">
      <c r="A1521" s="252" t="s">
        <v>134</v>
      </c>
      <c r="B1521" s="252" t="s">
        <v>4131</v>
      </c>
      <c r="C1521" s="253">
        <v>0</v>
      </c>
      <c r="D1521" s="252">
        <v>39792</v>
      </c>
      <c r="E1521" s="252" t="s">
        <v>192</v>
      </c>
      <c r="F1521" s="254" t="s">
        <v>4362</v>
      </c>
      <c r="G1521" s="252" t="s">
        <v>2414</v>
      </c>
      <c r="H1521" s="252" t="s">
        <v>4412</v>
      </c>
      <c r="I1521" s="252">
        <v>5</v>
      </c>
      <c r="J1521" s="255">
        <v>1</v>
      </c>
      <c r="K1521" s="255">
        <v>1</v>
      </c>
      <c r="L1521" s="255"/>
      <c r="M1521" s="256">
        <v>8.9999999999999992E-5</v>
      </c>
      <c r="N1521" s="249">
        <v>1520</v>
      </c>
    </row>
    <row r="1522" spans="1:14" x14ac:dyDescent="0.25">
      <c r="A1522" s="252" t="s">
        <v>134</v>
      </c>
      <c r="B1522" s="252" t="s">
        <v>4131</v>
      </c>
      <c r="C1522" s="253">
        <v>0</v>
      </c>
      <c r="D1522" s="252">
        <v>39792</v>
      </c>
      <c r="E1522" s="252" t="s">
        <v>192</v>
      </c>
      <c r="F1522" s="254" t="s">
        <v>4362</v>
      </c>
      <c r="G1522" s="252" t="s">
        <v>3683</v>
      </c>
      <c r="H1522" s="252" t="s">
        <v>4413</v>
      </c>
      <c r="I1522" s="252">
        <v>5</v>
      </c>
      <c r="J1522" s="255">
        <v>1</v>
      </c>
      <c r="K1522" s="255">
        <v>1</v>
      </c>
      <c r="L1522" s="255"/>
      <c r="M1522" s="256">
        <v>1.7759999999999998E-3</v>
      </c>
      <c r="N1522" s="249">
        <v>1521</v>
      </c>
    </row>
    <row r="1523" spans="1:14" x14ac:dyDescent="0.25">
      <c r="A1523" s="252" t="s">
        <v>134</v>
      </c>
      <c r="B1523" s="252" t="s">
        <v>4131</v>
      </c>
      <c r="C1523" s="253">
        <v>0</v>
      </c>
      <c r="D1523" s="252">
        <v>39792</v>
      </c>
      <c r="E1523" s="252" t="s">
        <v>192</v>
      </c>
      <c r="F1523" s="254" t="s">
        <v>4362</v>
      </c>
      <c r="G1523" s="252" t="s">
        <v>3685</v>
      </c>
      <c r="H1523" s="252" t="s">
        <v>4414</v>
      </c>
      <c r="I1523" s="252">
        <v>5</v>
      </c>
      <c r="J1523" s="255">
        <v>1</v>
      </c>
      <c r="K1523" s="255">
        <v>1</v>
      </c>
      <c r="L1523" s="255"/>
      <c r="M1523" s="256">
        <v>1.74E-4</v>
      </c>
      <c r="N1523" s="249">
        <v>1522</v>
      </c>
    </row>
    <row r="1524" spans="1:14" x14ac:dyDescent="0.25">
      <c r="A1524" s="252" t="s">
        <v>134</v>
      </c>
      <c r="B1524" s="252" t="s">
        <v>4131</v>
      </c>
      <c r="C1524" s="253">
        <v>0</v>
      </c>
      <c r="D1524" s="252">
        <v>39792</v>
      </c>
      <c r="E1524" s="252" t="s">
        <v>192</v>
      </c>
      <c r="F1524" s="254" t="s">
        <v>4362</v>
      </c>
      <c r="G1524" s="252" t="s">
        <v>4415</v>
      </c>
      <c r="H1524" s="252" t="s">
        <v>4416</v>
      </c>
      <c r="I1524" s="252">
        <v>5</v>
      </c>
      <c r="J1524" s="255">
        <v>1</v>
      </c>
      <c r="K1524" s="255">
        <v>1</v>
      </c>
      <c r="L1524" s="255"/>
      <c r="M1524" s="256">
        <v>1.74E-4</v>
      </c>
      <c r="N1524" s="249">
        <v>1523</v>
      </c>
    </row>
    <row r="1525" spans="1:14" x14ac:dyDescent="0.25">
      <c r="A1525" s="252" t="s">
        <v>134</v>
      </c>
      <c r="B1525" s="252" t="s">
        <v>4131</v>
      </c>
      <c r="C1525" s="253">
        <v>0</v>
      </c>
      <c r="D1525" s="252">
        <v>39792</v>
      </c>
      <c r="E1525" s="252" t="s">
        <v>192</v>
      </c>
      <c r="F1525" s="254" t="s">
        <v>4362</v>
      </c>
      <c r="G1525" s="252" t="s">
        <v>4417</v>
      </c>
      <c r="H1525" s="252" t="s">
        <v>4418</v>
      </c>
      <c r="I1525" s="252">
        <v>5</v>
      </c>
      <c r="J1525" s="255">
        <v>1</v>
      </c>
      <c r="K1525" s="255">
        <v>1</v>
      </c>
      <c r="L1525" s="255"/>
      <c r="M1525" s="256">
        <v>2.4899999999999998E-4</v>
      </c>
      <c r="N1525" s="249">
        <v>1524</v>
      </c>
    </row>
    <row r="1526" spans="1:14" x14ac:dyDescent="0.25">
      <c r="A1526" s="252" t="s">
        <v>134</v>
      </c>
      <c r="B1526" s="252" t="s">
        <v>4131</v>
      </c>
      <c r="C1526" s="253">
        <v>0</v>
      </c>
      <c r="D1526" s="252">
        <v>39792</v>
      </c>
      <c r="E1526" s="252" t="s">
        <v>192</v>
      </c>
      <c r="F1526" s="254" t="s">
        <v>4362</v>
      </c>
      <c r="G1526" s="252" t="s">
        <v>4419</v>
      </c>
      <c r="H1526" s="252" t="s">
        <v>4420</v>
      </c>
      <c r="I1526" s="252">
        <v>5</v>
      </c>
      <c r="J1526" s="255">
        <v>1</v>
      </c>
      <c r="K1526" s="255">
        <v>1</v>
      </c>
      <c r="L1526" s="255"/>
      <c r="M1526" s="256">
        <v>1.4159999999999997E-3</v>
      </c>
      <c r="N1526" s="249">
        <v>1525</v>
      </c>
    </row>
    <row r="1527" spans="1:14" x14ac:dyDescent="0.25">
      <c r="A1527" s="252" t="s">
        <v>134</v>
      </c>
      <c r="B1527" s="252" t="s">
        <v>4131</v>
      </c>
      <c r="C1527" s="253">
        <v>0</v>
      </c>
      <c r="D1527" s="252">
        <v>39792</v>
      </c>
      <c r="E1527" s="252" t="s">
        <v>192</v>
      </c>
      <c r="F1527" s="254" t="s">
        <v>4362</v>
      </c>
      <c r="G1527" s="252" t="s">
        <v>4421</v>
      </c>
      <c r="H1527" s="252" t="s">
        <v>4422</v>
      </c>
      <c r="I1527" s="252">
        <v>5</v>
      </c>
      <c r="J1527" s="255">
        <v>1</v>
      </c>
      <c r="K1527" s="255">
        <v>1</v>
      </c>
      <c r="L1527" s="255"/>
      <c r="M1527" s="256">
        <v>8.7300000000000008E-4</v>
      </c>
      <c r="N1527" s="249">
        <v>1526</v>
      </c>
    </row>
    <row r="1528" spans="1:14" x14ac:dyDescent="0.25">
      <c r="A1528" s="252" t="s">
        <v>134</v>
      </c>
      <c r="B1528" s="252" t="s">
        <v>4131</v>
      </c>
      <c r="C1528" s="253">
        <v>0</v>
      </c>
      <c r="D1528" s="252">
        <v>39792</v>
      </c>
      <c r="E1528" s="252" t="s">
        <v>1591</v>
      </c>
      <c r="F1528" s="254" t="s">
        <v>4362</v>
      </c>
      <c r="G1528" s="252" t="s">
        <v>4423</v>
      </c>
      <c r="H1528" s="252" t="s">
        <v>4424</v>
      </c>
      <c r="I1528" s="252">
        <v>5</v>
      </c>
      <c r="J1528" s="255">
        <v>1</v>
      </c>
      <c r="K1528" s="255">
        <v>1</v>
      </c>
      <c r="L1528" s="255"/>
      <c r="M1528" s="256">
        <v>7.9199999999999995E-4</v>
      </c>
      <c r="N1528" s="249">
        <v>1527</v>
      </c>
    </row>
    <row r="1529" spans="1:14" x14ac:dyDescent="0.25">
      <c r="A1529" s="252" t="s">
        <v>134</v>
      </c>
      <c r="B1529" s="252" t="s">
        <v>4131</v>
      </c>
      <c r="C1529" s="253">
        <v>0</v>
      </c>
      <c r="D1529" s="252">
        <v>39792</v>
      </c>
      <c r="E1529" s="252" t="s">
        <v>1591</v>
      </c>
      <c r="F1529" s="254" t="s">
        <v>4362</v>
      </c>
      <c r="G1529" s="252" t="s">
        <v>2416</v>
      </c>
      <c r="H1529" s="252" t="s">
        <v>4425</v>
      </c>
      <c r="I1529" s="252">
        <v>5</v>
      </c>
      <c r="J1529" s="255">
        <v>1</v>
      </c>
      <c r="K1529" s="255">
        <v>1</v>
      </c>
      <c r="L1529" s="255"/>
      <c r="M1529" s="256">
        <v>1.5899999999999999E-4</v>
      </c>
      <c r="N1529" s="249">
        <v>1528</v>
      </c>
    </row>
    <row r="1530" spans="1:14" x14ac:dyDescent="0.25">
      <c r="A1530" s="252" t="s">
        <v>134</v>
      </c>
      <c r="B1530" s="252" t="s">
        <v>4131</v>
      </c>
      <c r="C1530" s="253">
        <v>0</v>
      </c>
      <c r="D1530" s="252">
        <v>39792</v>
      </c>
      <c r="E1530" s="252" t="s">
        <v>1591</v>
      </c>
      <c r="F1530" s="254" t="s">
        <v>4362</v>
      </c>
      <c r="G1530" s="252" t="s">
        <v>4426</v>
      </c>
      <c r="H1530" s="252" t="s">
        <v>4427</v>
      </c>
      <c r="I1530" s="252">
        <v>5</v>
      </c>
      <c r="J1530" s="255">
        <v>1</v>
      </c>
      <c r="K1530" s="255">
        <v>1</v>
      </c>
      <c r="L1530" s="255"/>
      <c r="M1530" s="256">
        <v>1.5899999999999999E-4</v>
      </c>
      <c r="N1530" s="249">
        <v>1529</v>
      </c>
    </row>
    <row r="1531" spans="1:14" x14ac:dyDescent="0.25">
      <c r="A1531" s="252" t="s">
        <v>134</v>
      </c>
      <c r="B1531" s="252" t="s">
        <v>4131</v>
      </c>
      <c r="C1531" s="253">
        <v>0</v>
      </c>
      <c r="D1531" s="252">
        <v>39792</v>
      </c>
      <c r="E1531" s="252" t="s">
        <v>1591</v>
      </c>
      <c r="F1531" s="254" t="s">
        <v>4362</v>
      </c>
      <c r="G1531" s="252" t="s">
        <v>4428</v>
      </c>
      <c r="H1531" s="252" t="s">
        <v>4429</v>
      </c>
      <c r="I1531" s="252">
        <v>5</v>
      </c>
      <c r="J1531" s="255">
        <v>1</v>
      </c>
      <c r="K1531" s="255">
        <v>1</v>
      </c>
      <c r="L1531" s="255"/>
      <c r="M1531" s="256">
        <v>7.9199999999999995E-4</v>
      </c>
      <c r="N1531" s="249">
        <v>1530</v>
      </c>
    </row>
    <row r="1532" spans="1:14" x14ac:dyDescent="0.25">
      <c r="A1532" s="252" t="s">
        <v>134</v>
      </c>
      <c r="B1532" s="252" t="s">
        <v>4131</v>
      </c>
      <c r="C1532" s="253">
        <v>0</v>
      </c>
      <c r="D1532" s="252">
        <v>39792</v>
      </c>
      <c r="E1532" s="252" t="s">
        <v>1591</v>
      </c>
      <c r="F1532" s="254" t="s">
        <v>4362</v>
      </c>
      <c r="G1532" s="252" t="s">
        <v>4430</v>
      </c>
      <c r="H1532" s="252" t="s">
        <v>4431</v>
      </c>
      <c r="I1532" s="252">
        <v>5</v>
      </c>
      <c r="J1532" s="255">
        <v>1</v>
      </c>
      <c r="K1532" s="255">
        <v>1</v>
      </c>
      <c r="L1532" s="255"/>
      <c r="M1532" s="256">
        <v>7.9199999999999995E-4</v>
      </c>
      <c r="N1532" s="249">
        <v>1531</v>
      </c>
    </row>
    <row r="1533" spans="1:14" x14ac:dyDescent="0.25">
      <c r="A1533" s="252" t="s">
        <v>134</v>
      </c>
      <c r="B1533" s="252" t="s">
        <v>4131</v>
      </c>
      <c r="C1533" s="253">
        <v>0</v>
      </c>
      <c r="D1533" s="252">
        <v>39792</v>
      </c>
      <c r="E1533" s="252" t="s">
        <v>1591</v>
      </c>
      <c r="F1533" s="254" t="s">
        <v>4362</v>
      </c>
      <c r="G1533" s="252" t="s">
        <v>4432</v>
      </c>
      <c r="H1533" s="252" t="s">
        <v>4433</v>
      </c>
      <c r="I1533" s="252">
        <v>5</v>
      </c>
      <c r="J1533" s="255">
        <v>1</v>
      </c>
      <c r="K1533" s="255">
        <v>1</v>
      </c>
      <c r="L1533" s="255"/>
      <c r="M1533" s="256">
        <v>7.9199999999999995E-4</v>
      </c>
      <c r="N1533" s="249">
        <v>1532</v>
      </c>
    </row>
    <row r="1534" spans="1:14" x14ac:dyDescent="0.25">
      <c r="A1534" s="252" t="s">
        <v>134</v>
      </c>
      <c r="B1534" s="252" t="s">
        <v>4131</v>
      </c>
      <c r="C1534" s="253">
        <v>0</v>
      </c>
      <c r="D1534" s="252">
        <v>39792</v>
      </c>
      <c r="E1534" s="252" t="s">
        <v>1591</v>
      </c>
      <c r="F1534" s="254" t="s">
        <v>4362</v>
      </c>
      <c r="G1534" s="252" t="s">
        <v>4434</v>
      </c>
      <c r="H1534" s="252" t="s">
        <v>4435</v>
      </c>
      <c r="I1534" s="252">
        <v>5</v>
      </c>
      <c r="J1534" s="255">
        <v>1</v>
      </c>
      <c r="K1534" s="255">
        <v>1</v>
      </c>
      <c r="L1534" s="255"/>
      <c r="M1534" s="256">
        <v>7.9199999999999995E-4</v>
      </c>
      <c r="N1534" s="249">
        <v>1533</v>
      </c>
    </row>
    <row r="1535" spans="1:14" x14ac:dyDescent="0.25">
      <c r="A1535" s="252" t="s">
        <v>134</v>
      </c>
      <c r="B1535" s="252" t="s">
        <v>4131</v>
      </c>
      <c r="C1535" s="253">
        <v>0</v>
      </c>
      <c r="D1535" s="252">
        <v>39792</v>
      </c>
      <c r="E1535" s="252" t="s">
        <v>190</v>
      </c>
      <c r="F1535" s="254" t="s">
        <v>4362</v>
      </c>
      <c r="G1535" s="252" t="s">
        <v>2422</v>
      </c>
      <c r="H1535" s="252" t="s">
        <v>4436</v>
      </c>
      <c r="I1535" s="252">
        <v>5</v>
      </c>
      <c r="J1535" s="255">
        <v>1</v>
      </c>
      <c r="K1535" s="255">
        <v>1</v>
      </c>
      <c r="L1535" s="255"/>
      <c r="M1535" s="256">
        <v>1.5899999999999999E-4</v>
      </c>
      <c r="N1535" s="249">
        <v>1534</v>
      </c>
    </row>
    <row r="1536" spans="1:14" x14ac:dyDescent="0.25">
      <c r="A1536" s="252" t="s">
        <v>134</v>
      </c>
      <c r="B1536" s="252" t="s">
        <v>4131</v>
      </c>
      <c r="C1536" s="253">
        <v>0</v>
      </c>
      <c r="D1536" s="252">
        <v>39792</v>
      </c>
      <c r="E1536" s="252" t="s">
        <v>190</v>
      </c>
      <c r="F1536" s="254" t="s">
        <v>4362</v>
      </c>
      <c r="G1536" s="252" t="s">
        <v>2423</v>
      </c>
      <c r="H1536" s="252" t="s">
        <v>4437</v>
      </c>
      <c r="I1536" s="252">
        <v>5</v>
      </c>
      <c r="J1536" s="255">
        <v>1</v>
      </c>
      <c r="K1536" s="255">
        <v>1</v>
      </c>
      <c r="L1536" s="255"/>
      <c r="M1536" s="256">
        <v>1.5899999999999999E-4</v>
      </c>
      <c r="N1536" s="249">
        <v>1535</v>
      </c>
    </row>
    <row r="1537" spans="1:14" x14ac:dyDescent="0.25">
      <c r="A1537" s="252" t="s">
        <v>134</v>
      </c>
      <c r="B1537" s="252" t="s">
        <v>4131</v>
      </c>
      <c r="C1537" s="253">
        <v>0</v>
      </c>
      <c r="D1537" s="252">
        <v>39792</v>
      </c>
      <c r="E1537" s="252" t="s">
        <v>190</v>
      </c>
      <c r="F1537" s="254" t="s">
        <v>4362</v>
      </c>
      <c r="G1537" s="252" t="s">
        <v>2424</v>
      </c>
      <c r="H1537" s="252" t="s">
        <v>4438</v>
      </c>
      <c r="I1537" s="252">
        <v>5</v>
      </c>
      <c r="J1537" s="255">
        <v>1</v>
      </c>
      <c r="K1537" s="255">
        <v>1</v>
      </c>
      <c r="L1537" s="255"/>
      <c r="M1537" s="256">
        <v>2.4899999999999998E-4</v>
      </c>
      <c r="N1537" s="249">
        <v>1536</v>
      </c>
    </row>
    <row r="1538" spans="1:14" x14ac:dyDescent="0.25">
      <c r="A1538" s="252" t="s">
        <v>134</v>
      </c>
      <c r="B1538" s="252" t="s">
        <v>4131</v>
      </c>
      <c r="C1538" s="253">
        <v>0</v>
      </c>
      <c r="D1538" s="252">
        <v>39792</v>
      </c>
      <c r="E1538" s="252" t="s">
        <v>190</v>
      </c>
      <c r="F1538" s="254" t="s">
        <v>4362</v>
      </c>
      <c r="G1538" s="252" t="s">
        <v>4439</v>
      </c>
      <c r="H1538" s="252" t="s">
        <v>4440</v>
      </c>
      <c r="I1538" s="252">
        <v>5</v>
      </c>
      <c r="J1538" s="255">
        <v>1</v>
      </c>
      <c r="K1538" s="255">
        <v>1</v>
      </c>
      <c r="L1538" s="255"/>
      <c r="M1538" s="256">
        <v>2.4899999999999998E-4</v>
      </c>
      <c r="N1538" s="249">
        <v>1537</v>
      </c>
    </row>
    <row r="1539" spans="1:14" x14ac:dyDescent="0.25">
      <c r="A1539" s="252" t="s">
        <v>134</v>
      </c>
      <c r="B1539" s="252" t="s">
        <v>4131</v>
      </c>
      <c r="C1539" s="253">
        <v>0</v>
      </c>
      <c r="D1539" s="252">
        <v>39792</v>
      </c>
      <c r="E1539" s="252" t="s">
        <v>190</v>
      </c>
      <c r="F1539" s="254" t="s">
        <v>4362</v>
      </c>
      <c r="G1539" s="252" t="s">
        <v>2431</v>
      </c>
      <c r="H1539" s="252" t="s">
        <v>4441</v>
      </c>
      <c r="I1539" s="252">
        <v>5</v>
      </c>
      <c r="J1539" s="255">
        <v>1</v>
      </c>
      <c r="K1539" s="255">
        <v>1</v>
      </c>
      <c r="L1539" s="255"/>
      <c r="M1539" s="256">
        <v>1.5899999999999999E-4</v>
      </c>
      <c r="N1539" s="249">
        <v>1538</v>
      </c>
    </row>
    <row r="1540" spans="1:14" x14ac:dyDescent="0.25">
      <c r="A1540" s="252" t="s">
        <v>134</v>
      </c>
      <c r="B1540" s="252" t="s">
        <v>4131</v>
      </c>
      <c r="C1540" s="253">
        <v>0</v>
      </c>
      <c r="D1540" s="252">
        <v>39792</v>
      </c>
      <c r="E1540" s="252" t="s">
        <v>190</v>
      </c>
      <c r="F1540" s="254" t="s">
        <v>4362</v>
      </c>
      <c r="G1540" s="252" t="s">
        <v>2432</v>
      </c>
      <c r="H1540" s="252" t="s">
        <v>4442</v>
      </c>
      <c r="I1540" s="252">
        <v>5</v>
      </c>
      <c r="J1540" s="255">
        <v>1</v>
      </c>
      <c r="K1540" s="255">
        <v>1</v>
      </c>
      <c r="L1540" s="255"/>
      <c r="M1540" s="256">
        <v>1.5899999999999999E-4</v>
      </c>
      <c r="N1540" s="249">
        <v>1539</v>
      </c>
    </row>
    <row r="1541" spans="1:14" x14ac:dyDescent="0.25">
      <c r="A1541" s="252" t="s">
        <v>134</v>
      </c>
      <c r="B1541" s="252" t="s">
        <v>4131</v>
      </c>
      <c r="C1541" s="253">
        <v>0</v>
      </c>
      <c r="D1541" s="252">
        <v>39792</v>
      </c>
      <c r="E1541" s="252" t="s">
        <v>190</v>
      </c>
      <c r="F1541" s="254" t="s">
        <v>4362</v>
      </c>
      <c r="G1541" s="252" t="s">
        <v>2433</v>
      </c>
      <c r="H1541" s="252" t="s">
        <v>4443</v>
      </c>
      <c r="I1541" s="252">
        <v>5</v>
      </c>
      <c r="J1541" s="255">
        <v>1</v>
      </c>
      <c r="K1541" s="255">
        <v>1</v>
      </c>
      <c r="L1541" s="255"/>
      <c r="M1541" s="256">
        <v>1.5899999999999999E-4</v>
      </c>
      <c r="N1541" s="249">
        <v>1540</v>
      </c>
    </row>
    <row r="1542" spans="1:14" x14ac:dyDescent="0.25">
      <c r="A1542" s="252" t="s">
        <v>134</v>
      </c>
      <c r="B1542" s="252" t="s">
        <v>4131</v>
      </c>
      <c r="C1542" s="253">
        <v>0</v>
      </c>
      <c r="D1542" s="252">
        <v>39792</v>
      </c>
      <c r="E1542" s="252" t="s">
        <v>190</v>
      </c>
      <c r="F1542" s="254" t="s">
        <v>4362</v>
      </c>
      <c r="G1542" s="252" t="s">
        <v>2434</v>
      </c>
      <c r="H1542" s="252" t="s">
        <v>4444</v>
      </c>
      <c r="I1542" s="252">
        <v>5</v>
      </c>
      <c r="J1542" s="255">
        <v>1</v>
      </c>
      <c r="K1542" s="255">
        <v>1</v>
      </c>
      <c r="L1542" s="255"/>
      <c r="M1542" s="256">
        <v>1.5899999999999999E-4</v>
      </c>
      <c r="N1542" s="249">
        <v>1541</v>
      </c>
    </row>
    <row r="1543" spans="1:14" x14ac:dyDescent="0.25">
      <c r="A1543" s="252" t="s">
        <v>134</v>
      </c>
      <c r="B1543" s="252" t="s">
        <v>4131</v>
      </c>
      <c r="C1543" s="253">
        <v>0</v>
      </c>
      <c r="D1543" s="252">
        <v>39792</v>
      </c>
      <c r="E1543" s="252" t="s">
        <v>3039</v>
      </c>
      <c r="F1543" s="254" t="s">
        <v>4362</v>
      </c>
      <c r="G1543" s="252" t="s">
        <v>2435</v>
      </c>
      <c r="H1543" s="252" t="s">
        <v>4445</v>
      </c>
      <c r="I1543" s="252">
        <v>5</v>
      </c>
      <c r="J1543" s="255">
        <v>1</v>
      </c>
      <c r="K1543" s="255">
        <v>1</v>
      </c>
      <c r="L1543" s="255"/>
      <c r="M1543" s="256">
        <v>1.5899999999999999E-4</v>
      </c>
      <c r="N1543" s="249">
        <v>1542</v>
      </c>
    </row>
    <row r="1544" spans="1:14" x14ac:dyDescent="0.25">
      <c r="A1544" s="252" t="s">
        <v>134</v>
      </c>
      <c r="B1544" s="252" t="s">
        <v>4131</v>
      </c>
      <c r="C1544" s="253">
        <v>0</v>
      </c>
      <c r="D1544" s="252">
        <v>39792</v>
      </c>
      <c r="E1544" s="252" t="s">
        <v>3039</v>
      </c>
      <c r="F1544" s="254" t="s">
        <v>4362</v>
      </c>
      <c r="G1544" s="252" t="s">
        <v>2436</v>
      </c>
      <c r="H1544" s="252" t="s">
        <v>4446</v>
      </c>
      <c r="I1544" s="252">
        <v>5</v>
      </c>
      <c r="J1544" s="255">
        <v>1</v>
      </c>
      <c r="K1544" s="255">
        <v>1</v>
      </c>
      <c r="L1544" s="255"/>
      <c r="M1544" s="256">
        <v>1.5899999999999999E-4</v>
      </c>
      <c r="N1544" s="249">
        <v>1543</v>
      </c>
    </row>
    <row r="1545" spans="1:14" x14ac:dyDescent="0.25">
      <c r="A1545" s="252" t="s">
        <v>134</v>
      </c>
      <c r="B1545" s="252" t="s">
        <v>4131</v>
      </c>
      <c r="C1545" s="253">
        <v>0</v>
      </c>
      <c r="D1545" s="252">
        <v>39792</v>
      </c>
      <c r="E1545" s="252" t="s">
        <v>3039</v>
      </c>
      <c r="F1545" s="254" t="s">
        <v>4362</v>
      </c>
      <c r="G1545" s="252" t="s">
        <v>4447</v>
      </c>
      <c r="H1545" s="252" t="s">
        <v>4448</v>
      </c>
      <c r="I1545" s="252">
        <v>5</v>
      </c>
      <c r="J1545" s="255">
        <v>1</v>
      </c>
      <c r="K1545" s="255">
        <v>1</v>
      </c>
      <c r="L1545" s="255"/>
      <c r="M1545" s="256">
        <v>1.0589999999999998E-3</v>
      </c>
      <c r="N1545" s="249">
        <v>1544</v>
      </c>
    </row>
    <row r="1546" spans="1:14" x14ac:dyDescent="0.25">
      <c r="A1546" s="252" t="s">
        <v>134</v>
      </c>
      <c r="B1546" s="252" t="s">
        <v>4131</v>
      </c>
      <c r="C1546" s="253">
        <v>0</v>
      </c>
      <c r="D1546" s="252">
        <v>39792</v>
      </c>
      <c r="E1546" s="252" t="s">
        <v>3039</v>
      </c>
      <c r="F1546" s="254" t="s">
        <v>4362</v>
      </c>
      <c r="G1546" s="252" t="s">
        <v>4449</v>
      </c>
      <c r="H1546" s="252" t="s">
        <v>4450</v>
      </c>
      <c r="I1546" s="252">
        <v>5</v>
      </c>
      <c r="J1546" s="255">
        <v>1</v>
      </c>
      <c r="K1546" s="255">
        <v>1</v>
      </c>
      <c r="L1546" s="255"/>
      <c r="M1546" s="256">
        <v>1.0589999999999998E-3</v>
      </c>
      <c r="N1546" s="249">
        <v>1545</v>
      </c>
    </row>
    <row r="1547" spans="1:14" x14ac:dyDescent="0.25">
      <c r="A1547" s="252" t="s">
        <v>134</v>
      </c>
      <c r="B1547" s="252" t="s">
        <v>4131</v>
      </c>
      <c r="C1547" s="253">
        <v>0</v>
      </c>
      <c r="D1547" s="252">
        <v>39792</v>
      </c>
      <c r="E1547" s="252" t="s">
        <v>3039</v>
      </c>
      <c r="F1547" s="254" t="s">
        <v>4362</v>
      </c>
      <c r="G1547" s="252" t="s">
        <v>4451</v>
      </c>
      <c r="H1547" s="252" t="s">
        <v>4452</v>
      </c>
      <c r="I1547" s="252">
        <v>5</v>
      </c>
      <c r="J1547" s="255">
        <v>1</v>
      </c>
      <c r="K1547" s="255">
        <v>1</v>
      </c>
      <c r="L1547" s="255"/>
      <c r="M1547" s="256">
        <v>2.04E-4</v>
      </c>
      <c r="N1547" s="249">
        <v>1546</v>
      </c>
    </row>
    <row r="1548" spans="1:14" x14ac:dyDescent="0.25">
      <c r="A1548" s="252" t="s">
        <v>134</v>
      </c>
      <c r="B1548" s="252" t="s">
        <v>4131</v>
      </c>
      <c r="C1548" s="253">
        <v>0</v>
      </c>
      <c r="D1548" s="252">
        <v>39792</v>
      </c>
      <c r="E1548" s="252" t="s">
        <v>3039</v>
      </c>
      <c r="F1548" s="254" t="s">
        <v>4362</v>
      </c>
      <c r="G1548" s="252" t="s">
        <v>4453</v>
      </c>
      <c r="H1548" s="252" t="s">
        <v>4454</v>
      </c>
      <c r="I1548" s="252">
        <v>5</v>
      </c>
      <c r="J1548" s="255">
        <v>1</v>
      </c>
      <c r="K1548" s="255">
        <v>1</v>
      </c>
      <c r="L1548" s="255"/>
      <c r="M1548" s="256">
        <v>2.04E-4</v>
      </c>
      <c r="N1548" s="249">
        <v>1547</v>
      </c>
    </row>
    <row r="1549" spans="1:14" x14ac:dyDescent="0.25">
      <c r="A1549" s="252" t="s">
        <v>134</v>
      </c>
      <c r="B1549" s="252" t="s">
        <v>4131</v>
      </c>
      <c r="C1549" s="253">
        <v>0</v>
      </c>
      <c r="D1549" s="252">
        <v>39792</v>
      </c>
      <c r="E1549" s="252" t="s">
        <v>3039</v>
      </c>
      <c r="F1549" s="254" t="s">
        <v>4362</v>
      </c>
      <c r="G1549" s="252" t="s">
        <v>2437</v>
      </c>
      <c r="H1549" s="252" t="s">
        <v>4455</v>
      </c>
      <c r="I1549" s="252">
        <v>5</v>
      </c>
      <c r="J1549" s="255">
        <v>1</v>
      </c>
      <c r="K1549" s="255">
        <v>1</v>
      </c>
      <c r="L1549" s="255"/>
      <c r="M1549" s="256">
        <v>1.6200000000000001E-4</v>
      </c>
      <c r="N1549" s="249">
        <v>1548</v>
      </c>
    </row>
    <row r="1550" spans="1:14" x14ac:dyDescent="0.25">
      <c r="A1550" s="252" t="s">
        <v>134</v>
      </c>
      <c r="B1550" s="252" t="s">
        <v>4131</v>
      </c>
      <c r="C1550" s="253">
        <v>0</v>
      </c>
      <c r="D1550" s="252">
        <v>39792</v>
      </c>
      <c r="E1550" s="252" t="s">
        <v>3039</v>
      </c>
      <c r="F1550" s="254" t="s">
        <v>4362</v>
      </c>
      <c r="G1550" s="252" t="s">
        <v>2438</v>
      </c>
      <c r="H1550" s="252" t="s">
        <v>4456</v>
      </c>
      <c r="I1550" s="252">
        <v>5</v>
      </c>
      <c r="J1550" s="255">
        <v>1</v>
      </c>
      <c r="K1550" s="255">
        <v>1</v>
      </c>
      <c r="L1550" s="255"/>
      <c r="M1550" s="256">
        <v>1.6200000000000001E-4</v>
      </c>
      <c r="N1550" s="249">
        <v>1549</v>
      </c>
    </row>
    <row r="1551" spans="1:14" x14ac:dyDescent="0.25">
      <c r="A1551" s="252" t="s">
        <v>134</v>
      </c>
      <c r="B1551" s="252" t="s">
        <v>4131</v>
      </c>
      <c r="C1551" s="253">
        <v>0</v>
      </c>
      <c r="D1551" s="252">
        <v>39792</v>
      </c>
      <c r="E1551" s="252" t="s">
        <v>3039</v>
      </c>
      <c r="F1551" s="254" t="s">
        <v>4362</v>
      </c>
      <c r="G1551" s="252" t="s">
        <v>2444</v>
      </c>
      <c r="H1551" s="252" t="s">
        <v>4457</v>
      </c>
      <c r="I1551" s="252">
        <v>5</v>
      </c>
      <c r="J1551" s="255">
        <v>1</v>
      </c>
      <c r="K1551" s="255">
        <v>1</v>
      </c>
      <c r="L1551" s="255"/>
      <c r="M1551" s="256">
        <v>1.5899999999999999E-4</v>
      </c>
      <c r="N1551" s="249">
        <v>1550</v>
      </c>
    </row>
    <row r="1552" spans="1:14" x14ac:dyDescent="0.25">
      <c r="A1552" s="252" t="s">
        <v>134</v>
      </c>
      <c r="B1552" s="252" t="s">
        <v>4131</v>
      </c>
      <c r="C1552" s="253">
        <v>0</v>
      </c>
      <c r="D1552" s="252">
        <v>39792</v>
      </c>
      <c r="E1552" s="252" t="s">
        <v>3039</v>
      </c>
      <c r="F1552" s="254" t="s">
        <v>4362</v>
      </c>
      <c r="G1552" s="252" t="s">
        <v>2445</v>
      </c>
      <c r="H1552" s="252" t="s">
        <v>4458</v>
      </c>
      <c r="I1552" s="252">
        <v>5</v>
      </c>
      <c r="J1552" s="255">
        <v>1</v>
      </c>
      <c r="K1552" s="255">
        <v>1</v>
      </c>
      <c r="L1552" s="255"/>
      <c r="M1552" s="256">
        <v>1.5899999999999999E-4</v>
      </c>
      <c r="N1552" s="249">
        <v>1551</v>
      </c>
    </row>
    <row r="1553" spans="1:14" x14ac:dyDescent="0.25">
      <c r="A1553" s="252" t="s">
        <v>134</v>
      </c>
      <c r="B1553" s="252" t="s">
        <v>4131</v>
      </c>
      <c r="C1553" s="253">
        <v>0</v>
      </c>
      <c r="D1553" s="252">
        <v>39792</v>
      </c>
      <c r="E1553" s="252" t="s">
        <v>3039</v>
      </c>
      <c r="F1553" s="254" t="s">
        <v>4362</v>
      </c>
      <c r="G1553" s="252" t="s">
        <v>2446</v>
      </c>
      <c r="H1553" s="252" t="s">
        <v>4459</v>
      </c>
      <c r="I1553" s="252">
        <v>5</v>
      </c>
      <c r="J1553" s="255">
        <v>1</v>
      </c>
      <c r="K1553" s="255">
        <v>1</v>
      </c>
      <c r="L1553" s="255"/>
      <c r="M1553" s="256">
        <v>1.6200000000000001E-4</v>
      </c>
      <c r="N1553" s="249">
        <v>1552</v>
      </c>
    </row>
    <row r="1554" spans="1:14" x14ac:dyDescent="0.25">
      <c r="A1554" s="252" t="s">
        <v>134</v>
      </c>
      <c r="B1554" s="252" t="s">
        <v>4131</v>
      </c>
      <c r="C1554" s="253">
        <v>0</v>
      </c>
      <c r="D1554" s="252">
        <v>39792</v>
      </c>
      <c r="E1554" s="252" t="s">
        <v>192</v>
      </c>
      <c r="F1554" s="254" t="s">
        <v>4460</v>
      </c>
      <c r="G1554" s="252" t="s">
        <v>2553</v>
      </c>
      <c r="H1554" s="252" t="s">
        <v>4461</v>
      </c>
      <c r="I1554" s="252">
        <v>5</v>
      </c>
      <c r="J1554" s="255">
        <v>1</v>
      </c>
      <c r="K1554" s="255">
        <v>1</v>
      </c>
      <c r="L1554" s="255"/>
      <c r="M1554" s="256">
        <v>8.9999999999999992E-5</v>
      </c>
      <c r="N1554" s="249">
        <v>1553</v>
      </c>
    </row>
    <row r="1555" spans="1:14" x14ac:dyDescent="0.25">
      <c r="A1555" s="252" t="s">
        <v>134</v>
      </c>
      <c r="B1555" s="252" t="s">
        <v>4131</v>
      </c>
      <c r="C1555" s="253">
        <v>0</v>
      </c>
      <c r="D1555" s="252">
        <v>39792</v>
      </c>
      <c r="E1555" s="252" t="s">
        <v>192</v>
      </c>
      <c r="F1555" s="254" t="s">
        <v>4460</v>
      </c>
      <c r="G1555" s="252" t="s">
        <v>2554</v>
      </c>
      <c r="H1555" s="252" t="s">
        <v>4462</v>
      </c>
      <c r="I1555" s="252">
        <v>5</v>
      </c>
      <c r="J1555" s="255">
        <v>1</v>
      </c>
      <c r="K1555" s="255">
        <v>1</v>
      </c>
      <c r="L1555" s="255"/>
      <c r="M1555" s="256">
        <v>8.9999999999999992E-5</v>
      </c>
      <c r="N1555" s="249">
        <v>1554</v>
      </c>
    </row>
    <row r="1556" spans="1:14" x14ac:dyDescent="0.25">
      <c r="A1556" s="252" t="s">
        <v>134</v>
      </c>
      <c r="B1556" s="252" t="s">
        <v>4131</v>
      </c>
      <c r="C1556" s="253">
        <v>0</v>
      </c>
      <c r="D1556" s="252">
        <v>39792</v>
      </c>
      <c r="E1556" s="252" t="s">
        <v>192</v>
      </c>
      <c r="F1556" s="254" t="s">
        <v>4460</v>
      </c>
      <c r="G1556" s="252" t="s">
        <v>2555</v>
      </c>
      <c r="H1556" s="252" t="s">
        <v>4463</v>
      </c>
      <c r="I1556" s="252">
        <v>5</v>
      </c>
      <c r="J1556" s="255">
        <v>1</v>
      </c>
      <c r="K1556" s="255">
        <v>1</v>
      </c>
      <c r="L1556" s="255"/>
      <c r="M1556" s="256">
        <v>1.8059999999999997E-3</v>
      </c>
      <c r="N1556" s="249">
        <v>1555</v>
      </c>
    </row>
    <row r="1557" spans="1:14" x14ac:dyDescent="0.25">
      <c r="A1557" s="252" t="s">
        <v>134</v>
      </c>
      <c r="B1557" s="252" t="s">
        <v>4131</v>
      </c>
      <c r="C1557" s="253">
        <v>0</v>
      </c>
      <c r="D1557" s="252">
        <v>39792</v>
      </c>
      <c r="E1557" s="252" t="s">
        <v>192</v>
      </c>
      <c r="F1557" s="254" t="s">
        <v>4460</v>
      </c>
      <c r="G1557" s="252" t="s">
        <v>2556</v>
      </c>
      <c r="H1557" s="252" t="s">
        <v>4464</v>
      </c>
      <c r="I1557" s="252">
        <v>5</v>
      </c>
      <c r="J1557" s="255">
        <v>1</v>
      </c>
      <c r="K1557" s="255">
        <v>1</v>
      </c>
      <c r="L1557" s="255"/>
      <c r="M1557" s="256">
        <v>1.8059999999999997E-3</v>
      </c>
      <c r="N1557" s="249">
        <v>1556</v>
      </c>
    </row>
    <row r="1558" spans="1:14" x14ac:dyDescent="0.25">
      <c r="A1558" s="252" t="s">
        <v>134</v>
      </c>
      <c r="B1558" s="252" t="s">
        <v>4131</v>
      </c>
      <c r="C1558" s="253">
        <v>0</v>
      </c>
      <c r="D1558" s="252">
        <v>39792</v>
      </c>
      <c r="E1558" s="252" t="s">
        <v>192</v>
      </c>
      <c r="F1558" s="254" t="s">
        <v>4460</v>
      </c>
      <c r="G1558" s="252" t="s">
        <v>2557</v>
      </c>
      <c r="H1558" s="252" t="s">
        <v>4465</v>
      </c>
      <c r="I1558" s="252">
        <v>5</v>
      </c>
      <c r="J1558" s="255">
        <v>1</v>
      </c>
      <c r="K1558" s="255">
        <v>1</v>
      </c>
      <c r="L1558" s="255"/>
      <c r="M1558" s="256">
        <v>2.1599999999999996E-4</v>
      </c>
      <c r="N1558" s="249">
        <v>1557</v>
      </c>
    </row>
    <row r="1559" spans="1:14" x14ac:dyDescent="0.25">
      <c r="A1559" s="252" t="s">
        <v>134</v>
      </c>
      <c r="B1559" s="252" t="s">
        <v>4131</v>
      </c>
      <c r="C1559" s="253">
        <v>0</v>
      </c>
      <c r="D1559" s="252">
        <v>39792</v>
      </c>
      <c r="E1559" s="252" t="s">
        <v>192</v>
      </c>
      <c r="F1559" s="254" t="s">
        <v>4460</v>
      </c>
      <c r="G1559" s="252" t="s">
        <v>4466</v>
      </c>
      <c r="H1559" s="252" t="s">
        <v>4467</v>
      </c>
      <c r="I1559" s="252">
        <v>5</v>
      </c>
      <c r="J1559" s="255">
        <v>1</v>
      </c>
      <c r="K1559" s="255">
        <v>1</v>
      </c>
      <c r="L1559" s="255"/>
      <c r="M1559" s="256">
        <v>4.2299999999999998E-4</v>
      </c>
      <c r="N1559" s="249">
        <v>1558</v>
      </c>
    </row>
    <row r="1560" spans="1:14" x14ac:dyDescent="0.25">
      <c r="A1560" s="252" t="s">
        <v>134</v>
      </c>
      <c r="B1560" s="252" t="s">
        <v>4131</v>
      </c>
      <c r="C1560" s="253">
        <v>0</v>
      </c>
      <c r="D1560" s="252">
        <v>39792</v>
      </c>
      <c r="E1560" s="252" t="s">
        <v>192</v>
      </c>
      <c r="F1560" s="254" t="s">
        <v>4460</v>
      </c>
      <c r="G1560" s="252" t="s">
        <v>4468</v>
      </c>
      <c r="H1560" s="252" t="s">
        <v>4469</v>
      </c>
      <c r="I1560" s="252">
        <v>5</v>
      </c>
      <c r="J1560" s="255">
        <v>1</v>
      </c>
      <c r="K1560" s="255">
        <v>1</v>
      </c>
      <c r="L1560" s="255"/>
      <c r="M1560" s="256">
        <v>2.1599999999999996E-4</v>
      </c>
      <c r="N1560" s="249">
        <v>1559</v>
      </c>
    </row>
    <row r="1561" spans="1:14" x14ac:dyDescent="0.25">
      <c r="A1561" s="252" t="s">
        <v>134</v>
      </c>
      <c r="B1561" s="252" t="s">
        <v>4131</v>
      </c>
      <c r="C1561" s="253">
        <v>0</v>
      </c>
      <c r="D1561" s="252">
        <v>39792</v>
      </c>
      <c r="E1561" s="252" t="s">
        <v>192</v>
      </c>
      <c r="F1561" s="254" t="s">
        <v>4460</v>
      </c>
      <c r="G1561" s="252" t="s">
        <v>4470</v>
      </c>
      <c r="H1561" s="252" t="s">
        <v>4471</v>
      </c>
      <c r="I1561" s="252">
        <v>5</v>
      </c>
      <c r="J1561" s="255">
        <v>1</v>
      </c>
      <c r="K1561" s="255">
        <v>1</v>
      </c>
      <c r="L1561" s="255"/>
      <c r="M1561" s="256">
        <v>8.9999999999999992E-5</v>
      </c>
      <c r="N1561" s="249">
        <v>1560</v>
      </c>
    </row>
    <row r="1562" spans="1:14" x14ac:dyDescent="0.25">
      <c r="A1562" s="252" t="s">
        <v>134</v>
      </c>
      <c r="B1562" s="252" t="s">
        <v>4131</v>
      </c>
      <c r="C1562" s="253">
        <v>0</v>
      </c>
      <c r="D1562" s="252">
        <v>39792</v>
      </c>
      <c r="E1562" s="252" t="s">
        <v>192</v>
      </c>
      <c r="F1562" s="254" t="s">
        <v>4460</v>
      </c>
      <c r="G1562" s="252" t="s">
        <v>2558</v>
      </c>
      <c r="H1562" s="252" t="s">
        <v>4472</v>
      </c>
      <c r="I1562" s="252">
        <v>5</v>
      </c>
      <c r="J1562" s="255">
        <v>1</v>
      </c>
      <c r="K1562" s="255">
        <v>1</v>
      </c>
      <c r="L1562" s="255"/>
      <c r="M1562" s="256">
        <v>1.8059999999999997E-3</v>
      </c>
      <c r="N1562" s="249">
        <v>1561</v>
      </c>
    </row>
    <row r="1563" spans="1:14" x14ac:dyDescent="0.25">
      <c r="A1563" s="252" t="s">
        <v>134</v>
      </c>
      <c r="B1563" s="252" t="s">
        <v>4131</v>
      </c>
      <c r="C1563" s="253">
        <v>0</v>
      </c>
      <c r="D1563" s="252">
        <v>39792</v>
      </c>
      <c r="E1563" s="252" t="s">
        <v>192</v>
      </c>
      <c r="F1563" s="254" t="s">
        <v>4460</v>
      </c>
      <c r="G1563" s="252" t="s">
        <v>2559</v>
      </c>
      <c r="H1563" s="252" t="s">
        <v>4473</v>
      </c>
      <c r="I1563" s="252">
        <v>5</v>
      </c>
      <c r="J1563" s="255">
        <v>1</v>
      </c>
      <c r="K1563" s="255">
        <v>1</v>
      </c>
      <c r="L1563" s="255"/>
      <c r="M1563" s="256">
        <v>8.9999999999999992E-5</v>
      </c>
      <c r="N1563" s="249">
        <v>1562</v>
      </c>
    </row>
    <row r="1564" spans="1:14" x14ac:dyDescent="0.25">
      <c r="A1564" s="252" t="s">
        <v>134</v>
      </c>
      <c r="B1564" s="252" t="s">
        <v>4131</v>
      </c>
      <c r="C1564" s="253">
        <v>0</v>
      </c>
      <c r="D1564" s="252">
        <v>39792</v>
      </c>
      <c r="E1564" s="252" t="s">
        <v>192</v>
      </c>
      <c r="F1564" s="254" t="s">
        <v>4460</v>
      </c>
      <c r="G1564" s="252" t="s">
        <v>2560</v>
      </c>
      <c r="H1564" s="252" t="s">
        <v>4474</v>
      </c>
      <c r="I1564" s="252">
        <v>5</v>
      </c>
      <c r="J1564" s="255">
        <v>1</v>
      </c>
      <c r="K1564" s="255">
        <v>1</v>
      </c>
      <c r="L1564" s="255"/>
      <c r="M1564" s="256">
        <v>1.8059999999999997E-3</v>
      </c>
      <c r="N1564" s="249">
        <v>1563</v>
      </c>
    </row>
    <row r="1565" spans="1:14" x14ac:dyDescent="0.25">
      <c r="A1565" s="252" t="s">
        <v>134</v>
      </c>
      <c r="B1565" s="252" t="s">
        <v>4131</v>
      </c>
      <c r="C1565" s="253">
        <v>0</v>
      </c>
      <c r="D1565" s="252">
        <v>39792</v>
      </c>
      <c r="E1565" s="252" t="s">
        <v>192</v>
      </c>
      <c r="F1565" s="254" t="s">
        <v>4460</v>
      </c>
      <c r="G1565" s="252" t="s">
        <v>2561</v>
      </c>
      <c r="H1565" s="252" t="s">
        <v>4475</v>
      </c>
      <c r="I1565" s="252">
        <v>5</v>
      </c>
      <c r="J1565" s="255">
        <v>1</v>
      </c>
      <c r="K1565" s="255">
        <v>1</v>
      </c>
      <c r="L1565" s="255"/>
      <c r="M1565" s="256">
        <v>1.2149999999999999E-3</v>
      </c>
      <c r="N1565" s="249">
        <v>1564</v>
      </c>
    </row>
    <row r="1566" spans="1:14" x14ac:dyDescent="0.25">
      <c r="A1566" s="252" t="s">
        <v>134</v>
      </c>
      <c r="B1566" s="252" t="s">
        <v>4131</v>
      </c>
      <c r="C1566" s="253">
        <v>0</v>
      </c>
      <c r="D1566" s="252">
        <v>39792</v>
      </c>
      <c r="E1566" s="252" t="s">
        <v>192</v>
      </c>
      <c r="F1566" s="254" t="s">
        <v>4460</v>
      </c>
      <c r="G1566" s="252" t="s">
        <v>4476</v>
      </c>
      <c r="H1566" s="252" t="s">
        <v>4477</v>
      </c>
      <c r="I1566" s="252">
        <v>5</v>
      </c>
      <c r="J1566" s="255">
        <v>1</v>
      </c>
      <c r="K1566" s="255">
        <v>1</v>
      </c>
      <c r="L1566" s="255"/>
      <c r="M1566" s="256">
        <v>4.4999999999999999E-4</v>
      </c>
      <c r="N1566" s="249">
        <v>1565</v>
      </c>
    </row>
    <row r="1567" spans="1:14" x14ac:dyDescent="0.25">
      <c r="A1567" s="252" t="s">
        <v>134</v>
      </c>
      <c r="B1567" s="252" t="s">
        <v>4131</v>
      </c>
      <c r="C1567" s="253">
        <v>0</v>
      </c>
      <c r="D1567" s="252">
        <v>39792</v>
      </c>
      <c r="E1567" s="252" t="s">
        <v>192</v>
      </c>
      <c r="F1567" s="254" t="s">
        <v>4460</v>
      </c>
      <c r="G1567" s="252" t="s">
        <v>4478</v>
      </c>
      <c r="H1567" s="252" t="s">
        <v>4479</v>
      </c>
      <c r="I1567" s="252">
        <v>5</v>
      </c>
      <c r="J1567" s="255">
        <v>1</v>
      </c>
      <c r="K1567" s="255">
        <v>1</v>
      </c>
      <c r="L1567" s="255"/>
      <c r="M1567" s="256">
        <v>9.8999999999999994E-5</v>
      </c>
      <c r="N1567" s="249">
        <v>1566</v>
      </c>
    </row>
    <row r="1568" spans="1:14" x14ac:dyDescent="0.25">
      <c r="A1568" s="252" t="s">
        <v>134</v>
      </c>
      <c r="B1568" s="252" t="s">
        <v>4131</v>
      </c>
      <c r="C1568" s="253">
        <v>0</v>
      </c>
      <c r="D1568" s="252">
        <v>39792</v>
      </c>
      <c r="E1568" s="252" t="s">
        <v>192</v>
      </c>
      <c r="F1568" s="254" t="s">
        <v>4460</v>
      </c>
      <c r="G1568" s="252" t="s">
        <v>4480</v>
      </c>
      <c r="H1568" s="252" t="s">
        <v>4481</v>
      </c>
      <c r="I1568" s="252">
        <v>5</v>
      </c>
      <c r="J1568" s="255">
        <v>1</v>
      </c>
      <c r="K1568" s="255">
        <v>1</v>
      </c>
      <c r="L1568" s="255"/>
      <c r="M1568" s="256">
        <v>2.4899999999999998E-4</v>
      </c>
      <c r="N1568" s="249">
        <v>1567</v>
      </c>
    </row>
    <row r="1569" spans="1:14" x14ac:dyDescent="0.25">
      <c r="A1569" s="252" t="s">
        <v>134</v>
      </c>
      <c r="B1569" s="252" t="s">
        <v>4131</v>
      </c>
      <c r="C1569" s="253">
        <v>0</v>
      </c>
      <c r="D1569" s="252">
        <v>39792</v>
      </c>
      <c r="E1569" s="252" t="s">
        <v>192</v>
      </c>
      <c r="F1569" s="254" t="s">
        <v>4460</v>
      </c>
      <c r="G1569" s="252" t="s">
        <v>4482</v>
      </c>
      <c r="H1569" s="252" t="s">
        <v>4483</v>
      </c>
      <c r="I1569" s="252">
        <v>5</v>
      </c>
      <c r="J1569" s="255">
        <v>1</v>
      </c>
      <c r="K1569" s="255">
        <v>1</v>
      </c>
      <c r="L1569" s="255"/>
      <c r="M1569" s="256">
        <v>9.8999999999999994E-5</v>
      </c>
      <c r="N1569" s="249">
        <v>1568</v>
      </c>
    </row>
    <row r="1570" spans="1:14" x14ac:dyDescent="0.25">
      <c r="A1570" s="252" t="s">
        <v>134</v>
      </c>
      <c r="B1570" s="252" t="s">
        <v>4131</v>
      </c>
      <c r="C1570" s="253">
        <v>0</v>
      </c>
      <c r="D1570" s="252">
        <v>39792</v>
      </c>
      <c r="E1570" s="252" t="s">
        <v>192</v>
      </c>
      <c r="F1570" s="254" t="s">
        <v>4460</v>
      </c>
      <c r="G1570" s="252" t="s">
        <v>4484</v>
      </c>
      <c r="H1570" s="252" t="s">
        <v>4485</v>
      </c>
      <c r="I1570" s="252">
        <v>5</v>
      </c>
      <c r="J1570" s="255">
        <v>1</v>
      </c>
      <c r="K1570" s="255">
        <v>1</v>
      </c>
      <c r="L1570" s="255"/>
      <c r="M1570" s="256">
        <v>7.139999999999999E-4</v>
      </c>
      <c r="N1570" s="249">
        <v>1569</v>
      </c>
    </row>
    <row r="1571" spans="1:14" x14ac:dyDescent="0.25">
      <c r="A1571" s="252" t="s">
        <v>134</v>
      </c>
      <c r="B1571" s="252" t="s">
        <v>4131</v>
      </c>
      <c r="C1571" s="253">
        <v>0</v>
      </c>
      <c r="D1571" s="252">
        <v>39792</v>
      </c>
      <c r="E1571" s="252" t="s">
        <v>192</v>
      </c>
      <c r="F1571" s="254" t="s">
        <v>4460</v>
      </c>
      <c r="G1571" s="252" t="s">
        <v>4486</v>
      </c>
      <c r="H1571" s="252" t="s">
        <v>4487</v>
      </c>
      <c r="I1571" s="252">
        <v>5</v>
      </c>
      <c r="J1571" s="255">
        <v>1</v>
      </c>
      <c r="K1571" s="255">
        <v>1</v>
      </c>
      <c r="L1571" s="255"/>
      <c r="M1571" s="256">
        <v>8.9999999999999992E-5</v>
      </c>
      <c r="N1571" s="249">
        <v>1570</v>
      </c>
    </row>
    <row r="1572" spans="1:14" x14ac:dyDescent="0.25">
      <c r="A1572" s="252" t="s">
        <v>134</v>
      </c>
      <c r="B1572" s="252" t="s">
        <v>4131</v>
      </c>
      <c r="C1572" s="253">
        <v>0</v>
      </c>
      <c r="D1572" s="252">
        <v>39792</v>
      </c>
      <c r="E1572" s="252" t="s">
        <v>192</v>
      </c>
      <c r="F1572" s="254" t="s">
        <v>4460</v>
      </c>
      <c r="G1572" s="252" t="s">
        <v>2566</v>
      </c>
      <c r="H1572" s="252" t="s">
        <v>4488</v>
      </c>
      <c r="I1572" s="252">
        <v>5</v>
      </c>
      <c r="J1572" s="255">
        <v>1</v>
      </c>
      <c r="K1572" s="255">
        <v>1</v>
      </c>
      <c r="L1572" s="255"/>
      <c r="M1572" s="256">
        <v>1.7759999999999998E-3</v>
      </c>
      <c r="N1572" s="249">
        <v>1571</v>
      </c>
    </row>
    <row r="1573" spans="1:14" x14ac:dyDescent="0.25">
      <c r="A1573" s="252" t="s">
        <v>134</v>
      </c>
      <c r="B1573" s="252" t="s">
        <v>4131</v>
      </c>
      <c r="C1573" s="253">
        <v>0</v>
      </c>
      <c r="D1573" s="252">
        <v>39792</v>
      </c>
      <c r="E1573" s="252" t="s">
        <v>192</v>
      </c>
      <c r="F1573" s="254" t="s">
        <v>4460</v>
      </c>
      <c r="G1573" s="252" t="s">
        <v>2567</v>
      </c>
      <c r="H1573" s="252" t="s">
        <v>4489</v>
      </c>
      <c r="I1573" s="252">
        <v>5</v>
      </c>
      <c r="J1573" s="255">
        <v>1</v>
      </c>
      <c r="K1573" s="255">
        <v>1</v>
      </c>
      <c r="L1573" s="255"/>
      <c r="M1573" s="256">
        <v>8.9999999999999992E-5</v>
      </c>
      <c r="N1573" s="249">
        <v>1572</v>
      </c>
    </row>
    <row r="1574" spans="1:14" x14ac:dyDescent="0.25">
      <c r="A1574" s="252" t="s">
        <v>134</v>
      </c>
      <c r="B1574" s="252" t="s">
        <v>4131</v>
      </c>
      <c r="C1574" s="253">
        <v>0</v>
      </c>
      <c r="D1574" s="252">
        <v>39792</v>
      </c>
      <c r="E1574" s="252" t="s">
        <v>192</v>
      </c>
      <c r="F1574" s="254" t="s">
        <v>4460</v>
      </c>
      <c r="G1574" s="252" t="s">
        <v>2568</v>
      </c>
      <c r="H1574" s="252" t="s">
        <v>4490</v>
      </c>
      <c r="I1574" s="252">
        <v>5</v>
      </c>
      <c r="J1574" s="255">
        <v>1</v>
      </c>
      <c r="K1574" s="255">
        <v>1</v>
      </c>
      <c r="L1574" s="255"/>
      <c r="M1574" s="256">
        <v>1.7759999999999998E-3</v>
      </c>
      <c r="N1574" s="249">
        <v>1573</v>
      </c>
    </row>
    <row r="1575" spans="1:14" x14ac:dyDescent="0.25">
      <c r="A1575" s="252" t="s">
        <v>134</v>
      </c>
      <c r="B1575" s="252" t="s">
        <v>4131</v>
      </c>
      <c r="C1575" s="253">
        <v>0</v>
      </c>
      <c r="D1575" s="252">
        <v>39792</v>
      </c>
      <c r="E1575" s="252" t="s">
        <v>192</v>
      </c>
      <c r="F1575" s="254" t="s">
        <v>4460</v>
      </c>
      <c r="G1575" s="252" t="s">
        <v>4491</v>
      </c>
      <c r="H1575" s="252" t="s">
        <v>4492</v>
      </c>
      <c r="I1575" s="252">
        <v>5</v>
      </c>
      <c r="J1575" s="255">
        <v>1</v>
      </c>
      <c r="K1575" s="255">
        <v>1</v>
      </c>
      <c r="L1575" s="255"/>
      <c r="M1575" s="256">
        <v>2.4960000000000004E-3</v>
      </c>
      <c r="N1575" s="249">
        <v>1574</v>
      </c>
    </row>
    <row r="1576" spans="1:14" x14ac:dyDescent="0.25">
      <c r="A1576" s="252" t="s">
        <v>134</v>
      </c>
      <c r="B1576" s="252" t="s">
        <v>4131</v>
      </c>
      <c r="C1576" s="253">
        <v>0</v>
      </c>
      <c r="D1576" s="252">
        <v>39792</v>
      </c>
      <c r="E1576" s="252" t="s">
        <v>192</v>
      </c>
      <c r="F1576" s="254" t="s">
        <v>4460</v>
      </c>
      <c r="G1576" s="252" t="s">
        <v>4493</v>
      </c>
      <c r="H1576" s="252" t="s">
        <v>4494</v>
      </c>
      <c r="I1576" s="252">
        <v>5</v>
      </c>
      <c r="J1576" s="255">
        <v>1</v>
      </c>
      <c r="K1576" s="255">
        <v>1</v>
      </c>
      <c r="L1576" s="255"/>
      <c r="M1576" s="256">
        <v>1.2149999999999999E-3</v>
      </c>
      <c r="N1576" s="249">
        <v>1575</v>
      </c>
    </row>
    <row r="1577" spans="1:14" x14ac:dyDescent="0.25">
      <c r="A1577" s="252" t="s">
        <v>134</v>
      </c>
      <c r="B1577" s="252" t="s">
        <v>4131</v>
      </c>
      <c r="C1577" s="253">
        <v>0</v>
      </c>
      <c r="D1577" s="252">
        <v>39792</v>
      </c>
      <c r="E1577" s="252" t="s">
        <v>192</v>
      </c>
      <c r="F1577" s="254" t="s">
        <v>4460</v>
      </c>
      <c r="G1577" s="252" t="s">
        <v>4495</v>
      </c>
      <c r="H1577" s="252" t="s">
        <v>4496</v>
      </c>
      <c r="I1577" s="252">
        <v>5</v>
      </c>
      <c r="J1577" s="255">
        <v>1</v>
      </c>
      <c r="K1577" s="255">
        <v>1</v>
      </c>
      <c r="L1577" s="255"/>
      <c r="M1577" s="256">
        <v>4.4999999999999999E-4</v>
      </c>
      <c r="N1577" s="249">
        <v>1576</v>
      </c>
    </row>
    <row r="1578" spans="1:14" x14ac:dyDescent="0.25">
      <c r="A1578" s="252" t="s">
        <v>134</v>
      </c>
      <c r="B1578" s="252" t="s">
        <v>4131</v>
      </c>
      <c r="C1578" s="253">
        <v>0</v>
      </c>
      <c r="D1578" s="252">
        <v>39792</v>
      </c>
      <c r="E1578" s="252" t="s">
        <v>192</v>
      </c>
      <c r="F1578" s="254" t="s">
        <v>4460</v>
      </c>
      <c r="G1578" s="252" t="s">
        <v>4497</v>
      </c>
      <c r="H1578" s="252" t="s">
        <v>4498</v>
      </c>
      <c r="I1578" s="252">
        <v>5</v>
      </c>
      <c r="J1578" s="255">
        <v>1</v>
      </c>
      <c r="K1578" s="255">
        <v>1</v>
      </c>
      <c r="L1578" s="255"/>
      <c r="M1578" s="256">
        <v>4.4999999999999999E-4</v>
      </c>
      <c r="N1578" s="249">
        <v>1577</v>
      </c>
    </row>
    <row r="1579" spans="1:14" x14ac:dyDescent="0.25">
      <c r="A1579" s="252" t="s">
        <v>134</v>
      </c>
      <c r="B1579" s="252" t="s">
        <v>4131</v>
      </c>
      <c r="C1579" s="253">
        <v>0</v>
      </c>
      <c r="D1579" s="252">
        <v>39792</v>
      </c>
      <c r="E1579" s="252" t="s">
        <v>192</v>
      </c>
      <c r="F1579" s="254" t="s">
        <v>4460</v>
      </c>
      <c r="G1579" s="252" t="s">
        <v>4499</v>
      </c>
      <c r="H1579" s="252" t="s">
        <v>4500</v>
      </c>
      <c r="I1579" s="252">
        <v>5</v>
      </c>
      <c r="J1579" s="255">
        <v>1</v>
      </c>
      <c r="K1579" s="255">
        <v>1</v>
      </c>
      <c r="L1579" s="255"/>
      <c r="M1579" s="256">
        <v>1.2149999999999999E-3</v>
      </c>
      <c r="N1579" s="249">
        <v>1578</v>
      </c>
    </row>
    <row r="1580" spans="1:14" x14ac:dyDescent="0.25">
      <c r="A1580" s="252" t="s">
        <v>134</v>
      </c>
      <c r="B1580" s="252" t="s">
        <v>4131</v>
      </c>
      <c r="C1580" s="253">
        <v>0</v>
      </c>
      <c r="D1580" s="252">
        <v>39792</v>
      </c>
      <c r="E1580" s="252" t="s">
        <v>192</v>
      </c>
      <c r="F1580" s="254" t="s">
        <v>4460</v>
      </c>
      <c r="G1580" s="252" t="s">
        <v>4501</v>
      </c>
      <c r="H1580" s="252" t="s">
        <v>4502</v>
      </c>
      <c r="I1580" s="252">
        <v>5</v>
      </c>
      <c r="J1580" s="255">
        <v>1</v>
      </c>
      <c r="K1580" s="255">
        <v>1</v>
      </c>
      <c r="L1580" s="255"/>
      <c r="M1580" s="256">
        <v>2.4899999999999998E-4</v>
      </c>
      <c r="N1580" s="249">
        <v>1579</v>
      </c>
    </row>
    <row r="1581" spans="1:14" x14ac:dyDescent="0.25">
      <c r="A1581" s="252" t="s">
        <v>134</v>
      </c>
      <c r="B1581" s="252" t="s">
        <v>4131</v>
      </c>
      <c r="C1581" s="253">
        <v>0</v>
      </c>
      <c r="D1581" s="252">
        <v>39792</v>
      </c>
      <c r="E1581" s="252" t="s">
        <v>192</v>
      </c>
      <c r="F1581" s="254" t="s">
        <v>4460</v>
      </c>
      <c r="G1581" s="252" t="s">
        <v>4503</v>
      </c>
      <c r="H1581" s="252" t="s">
        <v>4504</v>
      </c>
      <c r="I1581" s="252">
        <v>5</v>
      </c>
      <c r="J1581" s="255">
        <v>1</v>
      </c>
      <c r="K1581" s="255">
        <v>1</v>
      </c>
      <c r="L1581" s="255"/>
      <c r="M1581" s="256">
        <v>8.9099999999999997E-4</v>
      </c>
      <c r="N1581" s="249">
        <v>1580</v>
      </c>
    </row>
    <row r="1582" spans="1:14" x14ac:dyDescent="0.25">
      <c r="A1582" s="252" t="s">
        <v>134</v>
      </c>
      <c r="B1582" s="252" t="s">
        <v>4131</v>
      </c>
      <c r="C1582" s="253">
        <v>0</v>
      </c>
      <c r="D1582" s="252">
        <v>39792</v>
      </c>
      <c r="E1582" s="252" t="s">
        <v>192</v>
      </c>
      <c r="F1582" s="254" t="s">
        <v>4460</v>
      </c>
      <c r="G1582" s="252" t="s">
        <v>4505</v>
      </c>
      <c r="H1582" s="252" t="s">
        <v>4506</v>
      </c>
      <c r="I1582" s="252">
        <v>5</v>
      </c>
      <c r="J1582" s="255">
        <v>1</v>
      </c>
      <c r="K1582" s="255">
        <v>1</v>
      </c>
      <c r="L1582" s="255"/>
      <c r="M1582" s="256">
        <v>2.4899999999999998E-4</v>
      </c>
      <c r="N1582" s="249">
        <v>1581</v>
      </c>
    </row>
    <row r="1583" spans="1:14" x14ac:dyDescent="0.25">
      <c r="A1583" s="252" t="s">
        <v>134</v>
      </c>
      <c r="B1583" s="252" t="s">
        <v>4131</v>
      </c>
      <c r="C1583" s="253">
        <v>0</v>
      </c>
      <c r="D1583" s="252">
        <v>39792</v>
      </c>
      <c r="E1583" s="252" t="s">
        <v>192</v>
      </c>
      <c r="F1583" s="254" t="s">
        <v>4460</v>
      </c>
      <c r="G1583" s="252" t="s">
        <v>4507</v>
      </c>
      <c r="H1583" s="252" t="s">
        <v>4508</v>
      </c>
      <c r="I1583" s="252">
        <v>5</v>
      </c>
      <c r="J1583" s="255">
        <v>1</v>
      </c>
      <c r="K1583" s="255">
        <v>1</v>
      </c>
      <c r="L1583" s="255"/>
      <c r="M1583" s="256">
        <v>8.9099999999999997E-4</v>
      </c>
      <c r="N1583" s="249">
        <v>1582</v>
      </c>
    </row>
    <row r="1584" spans="1:14" x14ac:dyDescent="0.25">
      <c r="A1584" s="252" t="s">
        <v>134</v>
      </c>
      <c r="B1584" s="252" t="s">
        <v>4131</v>
      </c>
      <c r="C1584" s="253">
        <v>0</v>
      </c>
      <c r="D1584" s="252">
        <v>39792</v>
      </c>
      <c r="E1584" s="252" t="s">
        <v>192</v>
      </c>
      <c r="F1584" s="254" t="s">
        <v>4460</v>
      </c>
      <c r="G1584" s="252" t="s">
        <v>4509</v>
      </c>
      <c r="H1584" s="252" t="s">
        <v>4510</v>
      </c>
      <c r="I1584" s="252">
        <v>5</v>
      </c>
      <c r="J1584" s="255">
        <v>1</v>
      </c>
      <c r="K1584" s="255">
        <v>1</v>
      </c>
      <c r="L1584" s="255"/>
      <c r="M1584" s="256">
        <v>8.9999999999999992E-5</v>
      </c>
      <c r="N1584" s="249">
        <v>1583</v>
      </c>
    </row>
    <row r="1585" spans="1:14" x14ac:dyDescent="0.25">
      <c r="A1585" s="252" t="s">
        <v>134</v>
      </c>
      <c r="B1585" s="252" t="s">
        <v>4131</v>
      </c>
      <c r="C1585" s="253">
        <v>0</v>
      </c>
      <c r="D1585" s="252">
        <v>39792</v>
      </c>
      <c r="E1585" s="252" t="s">
        <v>192</v>
      </c>
      <c r="F1585" s="254" t="s">
        <v>4460</v>
      </c>
      <c r="G1585" s="252" t="s">
        <v>3917</v>
      </c>
      <c r="H1585" s="252" t="s">
        <v>4511</v>
      </c>
      <c r="I1585" s="252">
        <v>5</v>
      </c>
      <c r="J1585" s="255">
        <v>1</v>
      </c>
      <c r="K1585" s="255">
        <v>1</v>
      </c>
      <c r="L1585" s="255"/>
      <c r="M1585" s="256">
        <v>8.9999999999999992E-5</v>
      </c>
      <c r="N1585" s="249">
        <v>1584</v>
      </c>
    </row>
    <row r="1586" spans="1:14" x14ac:dyDescent="0.25">
      <c r="A1586" s="252" t="s">
        <v>134</v>
      </c>
      <c r="B1586" s="252" t="s">
        <v>4131</v>
      </c>
      <c r="C1586" s="253">
        <v>0</v>
      </c>
      <c r="D1586" s="252">
        <v>39792</v>
      </c>
      <c r="E1586" s="252" t="s">
        <v>192</v>
      </c>
      <c r="F1586" s="254" t="s">
        <v>4460</v>
      </c>
      <c r="G1586" s="252" t="s">
        <v>4512</v>
      </c>
      <c r="H1586" s="252" t="s">
        <v>4513</v>
      </c>
      <c r="I1586" s="252">
        <v>5</v>
      </c>
      <c r="J1586" s="255">
        <v>1</v>
      </c>
      <c r="K1586" s="255">
        <v>1</v>
      </c>
      <c r="L1586" s="255"/>
      <c r="M1586" s="256">
        <v>1.8059999999999997E-3</v>
      </c>
      <c r="N1586" s="249">
        <v>1585</v>
      </c>
    </row>
    <row r="1587" spans="1:14" x14ac:dyDescent="0.25">
      <c r="A1587" s="252" t="s">
        <v>134</v>
      </c>
      <c r="B1587" s="252" t="s">
        <v>4131</v>
      </c>
      <c r="C1587" s="253">
        <v>0</v>
      </c>
      <c r="D1587" s="252">
        <v>39792</v>
      </c>
      <c r="E1587" s="252" t="s">
        <v>192</v>
      </c>
      <c r="F1587" s="254" t="s">
        <v>4460</v>
      </c>
      <c r="G1587" s="252" t="s">
        <v>4514</v>
      </c>
      <c r="H1587" s="252" t="s">
        <v>4515</v>
      </c>
      <c r="I1587" s="252">
        <v>5</v>
      </c>
      <c r="J1587" s="255">
        <v>1</v>
      </c>
      <c r="K1587" s="255">
        <v>1</v>
      </c>
      <c r="L1587" s="255"/>
      <c r="M1587" s="256">
        <v>1.8059999999999997E-3</v>
      </c>
      <c r="N1587" s="249">
        <v>1586</v>
      </c>
    </row>
    <row r="1588" spans="1:14" x14ac:dyDescent="0.25">
      <c r="A1588" s="252" t="s">
        <v>134</v>
      </c>
      <c r="B1588" s="252" t="s">
        <v>4131</v>
      </c>
      <c r="C1588" s="253">
        <v>0</v>
      </c>
      <c r="D1588" s="252">
        <v>39792</v>
      </c>
      <c r="E1588" s="252" t="s">
        <v>192</v>
      </c>
      <c r="F1588" s="254" t="s">
        <v>4460</v>
      </c>
      <c r="G1588" s="252" t="s">
        <v>4516</v>
      </c>
      <c r="H1588" s="252" t="s">
        <v>4517</v>
      </c>
      <c r="I1588" s="252">
        <v>5</v>
      </c>
      <c r="J1588" s="255">
        <v>1</v>
      </c>
      <c r="K1588" s="255">
        <v>1</v>
      </c>
      <c r="L1588" s="255"/>
      <c r="M1588" s="256">
        <v>2.1599999999999996E-4</v>
      </c>
      <c r="N1588" s="249">
        <v>1587</v>
      </c>
    </row>
    <row r="1589" spans="1:14" x14ac:dyDescent="0.25">
      <c r="A1589" s="252" t="s">
        <v>134</v>
      </c>
      <c r="B1589" s="252" t="s">
        <v>4131</v>
      </c>
      <c r="C1589" s="253">
        <v>0</v>
      </c>
      <c r="D1589" s="252">
        <v>39792</v>
      </c>
      <c r="E1589" s="252" t="s">
        <v>192</v>
      </c>
      <c r="F1589" s="254" t="s">
        <v>4460</v>
      </c>
      <c r="G1589" s="252" t="s">
        <v>4518</v>
      </c>
      <c r="H1589" s="252" t="s">
        <v>4519</v>
      </c>
      <c r="I1589" s="252">
        <v>5</v>
      </c>
      <c r="J1589" s="255">
        <v>1</v>
      </c>
      <c r="K1589" s="255">
        <v>1</v>
      </c>
      <c r="L1589" s="255"/>
      <c r="M1589" s="256">
        <v>4.2299999999999998E-4</v>
      </c>
      <c r="N1589" s="249">
        <v>1588</v>
      </c>
    </row>
    <row r="1590" spans="1:14" x14ac:dyDescent="0.25">
      <c r="A1590" s="252" t="s">
        <v>134</v>
      </c>
      <c r="B1590" s="252" t="s">
        <v>4131</v>
      </c>
      <c r="C1590" s="253">
        <v>0</v>
      </c>
      <c r="D1590" s="252">
        <v>39792</v>
      </c>
      <c r="E1590" s="252" t="s">
        <v>192</v>
      </c>
      <c r="F1590" s="254" t="s">
        <v>4460</v>
      </c>
      <c r="G1590" s="252" t="s">
        <v>4520</v>
      </c>
      <c r="H1590" s="252" t="s">
        <v>4521</v>
      </c>
      <c r="I1590" s="252">
        <v>5</v>
      </c>
      <c r="J1590" s="255">
        <v>1</v>
      </c>
      <c r="K1590" s="255">
        <v>1</v>
      </c>
      <c r="L1590" s="255"/>
      <c r="M1590" s="256">
        <v>2.1599999999999996E-4</v>
      </c>
      <c r="N1590" s="249">
        <v>1589</v>
      </c>
    </row>
    <row r="1591" spans="1:14" x14ac:dyDescent="0.25">
      <c r="A1591" s="252" t="s">
        <v>134</v>
      </c>
      <c r="B1591" s="252" t="s">
        <v>4131</v>
      </c>
      <c r="C1591" s="253">
        <v>0</v>
      </c>
      <c r="D1591" s="252">
        <v>39792</v>
      </c>
      <c r="E1591" s="252" t="s">
        <v>1591</v>
      </c>
      <c r="F1591" s="254" t="s">
        <v>4460</v>
      </c>
      <c r="G1591" s="252" t="s">
        <v>4522</v>
      </c>
      <c r="H1591" s="252" t="s">
        <v>4523</v>
      </c>
      <c r="I1591" s="252">
        <v>5</v>
      </c>
      <c r="J1591" s="255">
        <v>1</v>
      </c>
      <c r="K1591" s="255">
        <v>1</v>
      </c>
      <c r="L1591" s="255"/>
      <c r="M1591" s="256">
        <v>7.9199999999999995E-4</v>
      </c>
      <c r="N1591" s="249">
        <v>1590</v>
      </c>
    </row>
    <row r="1592" spans="1:14" x14ac:dyDescent="0.25">
      <c r="A1592" s="252" t="s">
        <v>134</v>
      </c>
      <c r="B1592" s="252" t="s">
        <v>4131</v>
      </c>
      <c r="C1592" s="253">
        <v>0</v>
      </c>
      <c r="D1592" s="252">
        <v>39792</v>
      </c>
      <c r="E1592" s="252" t="s">
        <v>190</v>
      </c>
      <c r="F1592" s="254" t="s">
        <v>4460</v>
      </c>
      <c r="G1592" s="252" t="s">
        <v>4524</v>
      </c>
      <c r="H1592" s="252" t="s">
        <v>4525</v>
      </c>
      <c r="I1592" s="252">
        <v>5</v>
      </c>
      <c r="J1592" s="255">
        <v>1</v>
      </c>
      <c r="K1592" s="255">
        <v>1</v>
      </c>
      <c r="L1592" s="255"/>
      <c r="M1592" s="256">
        <v>2.4899999999999998E-4</v>
      </c>
      <c r="N1592" s="249">
        <v>1591</v>
      </c>
    </row>
    <row r="1593" spans="1:14" x14ac:dyDescent="0.25">
      <c r="A1593" s="252" t="s">
        <v>134</v>
      </c>
      <c r="B1593" s="252" t="s">
        <v>4131</v>
      </c>
      <c r="C1593" s="253">
        <v>0</v>
      </c>
      <c r="D1593" s="252">
        <v>39792</v>
      </c>
      <c r="E1593" s="252" t="s">
        <v>190</v>
      </c>
      <c r="F1593" s="254" t="s">
        <v>4460</v>
      </c>
      <c r="G1593" s="252" t="s">
        <v>4526</v>
      </c>
      <c r="H1593" s="252" t="s">
        <v>4527</v>
      </c>
      <c r="I1593" s="252">
        <v>5</v>
      </c>
      <c r="J1593" s="255">
        <v>1</v>
      </c>
      <c r="K1593" s="255">
        <v>1</v>
      </c>
      <c r="L1593" s="255"/>
      <c r="M1593" s="256">
        <v>2.4899999999999998E-4</v>
      </c>
      <c r="N1593" s="249">
        <v>1592</v>
      </c>
    </row>
    <row r="1594" spans="1:14" x14ac:dyDescent="0.25">
      <c r="A1594" s="252" t="s">
        <v>134</v>
      </c>
      <c r="B1594" s="252" t="s">
        <v>4131</v>
      </c>
      <c r="C1594" s="253">
        <v>0</v>
      </c>
      <c r="D1594" s="252">
        <v>39792</v>
      </c>
      <c r="E1594" s="252" t="s">
        <v>1591</v>
      </c>
      <c r="F1594" s="254" t="s">
        <v>4460</v>
      </c>
      <c r="G1594" s="252" t="s">
        <v>4528</v>
      </c>
      <c r="H1594" s="252" t="s">
        <v>4529</v>
      </c>
      <c r="I1594" s="252">
        <v>5</v>
      </c>
      <c r="J1594" s="255">
        <v>1</v>
      </c>
      <c r="K1594" s="255">
        <v>1</v>
      </c>
      <c r="L1594" s="255"/>
      <c r="M1594" s="256">
        <v>7.9199999999999995E-4</v>
      </c>
      <c r="N1594" s="249">
        <v>1593</v>
      </c>
    </row>
    <row r="1595" spans="1:14" x14ac:dyDescent="0.25">
      <c r="A1595" s="252" t="s">
        <v>134</v>
      </c>
      <c r="B1595" s="252" t="s">
        <v>4131</v>
      </c>
      <c r="C1595" s="253">
        <v>0</v>
      </c>
      <c r="D1595" s="252">
        <v>39792</v>
      </c>
      <c r="E1595" s="252" t="s">
        <v>190</v>
      </c>
      <c r="F1595" s="254" t="s">
        <v>4460</v>
      </c>
      <c r="G1595" s="252" t="s">
        <v>2571</v>
      </c>
      <c r="H1595" s="252" t="s">
        <v>4530</v>
      </c>
      <c r="I1595" s="252">
        <v>5</v>
      </c>
      <c r="J1595" s="255">
        <v>1</v>
      </c>
      <c r="K1595" s="255">
        <v>1</v>
      </c>
      <c r="L1595" s="255"/>
      <c r="M1595" s="256">
        <v>2.4899999999999998E-4</v>
      </c>
      <c r="N1595" s="249">
        <v>1594</v>
      </c>
    </row>
    <row r="1596" spans="1:14" x14ac:dyDescent="0.25">
      <c r="A1596" s="252" t="s">
        <v>134</v>
      </c>
      <c r="B1596" s="252" t="s">
        <v>4131</v>
      </c>
      <c r="C1596" s="253">
        <v>0</v>
      </c>
      <c r="D1596" s="252">
        <v>39792</v>
      </c>
      <c r="E1596" s="252" t="s">
        <v>190</v>
      </c>
      <c r="F1596" s="254" t="s">
        <v>4460</v>
      </c>
      <c r="G1596" s="252" t="s">
        <v>2572</v>
      </c>
      <c r="H1596" s="252" t="s">
        <v>4531</v>
      </c>
      <c r="I1596" s="252">
        <v>5</v>
      </c>
      <c r="J1596" s="255">
        <v>1</v>
      </c>
      <c r="K1596" s="255">
        <v>1</v>
      </c>
      <c r="L1596" s="255"/>
      <c r="M1596" s="256">
        <v>2.4899999999999998E-4</v>
      </c>
      <c r="N1596" s="249">
        <v>1595</v>
      </c>
    </row>
    <row r="1597" spans="1:14" x14ac:dyDescent="0.25">
      <c r="A1597" s="252" t="s">
        <v>134</v>
      </c>
      <c r="B1597" s="252" t="s">
        <v>4131</v>
      </c>
      <c r="C1597" s="253">
        <v>0</v>
      </c>
      <c r="D1597" s="252">
        <v>39792</v>
      </c>
      <c r="E1597" s="252" t="s">
        <v>1591</v>
      </c>
      <c r="F1597" s="254" t="s">
        <v>4460</v>
      </c>
      <c r="G1597" s="252" t="s">
        <v>4532</v>
      </c>
      <c r="H1597" s="252" t="s">
        <v>4533</v>
      </c>
      <c r="I1597" s="252">
        <v>5</v>
      </c>
      <c r="J1597" s="255">
        <v>1</v>
      </c>
      <c r="K1597" s="255">
        <v>1</v>
      </c>
      <c r="L1597" s="255"/>
      <c r="M1597" s="256">
        <v>7.9199999999999995E-4</v>
      </c>
      <c r="N1597" s="249">
        <v>1596</v>
      </c>
    </row>
    <row r="1598" spans="1:14" x14ac:dyDescent="0.25">
      <c r="A1598" s="252" t="s">
        <v>134</v>
      </c>
      <c r="B1598" s="252" t="s">
        <v>4131</v>
      </c>
      <c r="C1598" s="253">
        <v>0</v>
      </c>
      <c r="D1598" s="252">
        <v>39792</v>
      </c>
      <c r="E1598" s="252" t="s">
        <v>190</v>
      </c>
      <c r="F1598" s="254" t="s">
        <v>4460</v>
      </c>
      <c r="G1598" s="252" t="s">
        <v>3926</v>
      </c>
      <c r="H1598" s="252" t="s">
        <v>4534</v>
      </c>
      <c r="I1598" s="252">
        <v>5</v>
      </c>
      <c r="J1598" s="255">
        <v>1</v>
      </c>
      <c r="K1598" s="255">
        <v>1</v>
      </c>
      <c r="L1598" s="255"/>
      <c r="M1598" s="256">
        <v>2.4899999999999998E-4</v>
      </c>
      <c r="N1598" s="249">
        <v>1597</v>
      </c>
    </row>
    <row r="1599" spans="1:14" x14ac:dyDescent="0.25">
      <c r="A1599" s="252" t="s">
        <v>134</v>
      </c>
      <c r="B1599" s="252" t="s">
        <v>4131</v>
      </c>
      <c r="C1599" s="253">
        <v>0</v>
      </c>
      <c r="D1599" s="252">
        <v>39792</v>
      </c>
      <c r="E1599" s="252" t="s">
        <v>190</v>
      </c>
      <c r="F1599" s="254" t="s">
        <v>4460</v>
      </c>
      <c r="G1599" s="252" t="s">
        <v>4535</v>
      </c>
      <c r="H1599" s="252" t="s">
        <v>4536</v>
      </c>
      <c r="I1599" s="252">
        <v>5</v>
      </c>
      <c r="J1599" s="255">
        <v>1</v>
      </c>
      <c r="K1599" s="255">
        <v>1</v>
      </c>
      <c r="L1599" s="255"/>
      <c r="M1599" s="256">
        <v>2.4899999999999998E-4</v>
      </c>
      <c r="N1599" s="249">
        <v>1598</v>
      </c>
    </row>
    <row r="1600" spans="1:14" x14ac:dyDescent="0.25">
      <c r="A1600" s="252" t="s">
        <v>134</v>
      </c>
      <c r="B1600" s="252" t="s">
        <v>4131</v>
      </c>
      <c r="C1600" s="253">
        <v>0</v>
      </c>
      <c r="D1600" s="252">
        <v>39792</v>
      </c>
      <c r="E1600" s="252" t="s">
        <v>1591</v>
      </c>
      <c r="F1600" s="254" t="s">
        <v>4460</v>
      </c>
      <c r="G1600" s="252" t="s">
        <v>4537</v>
      </c>
      <c r="H1600" s="252" t="s">
        <v>4538</v>
      </c>
      <c r="I1600" s="252">
        <v>5</v>
      </c>
      <c r="J1600" s="255">
        <v>1</v>
      </c>
      <c r="K1600" s="255">
        <v>1</v>
      </c>
      <c r="L1600" s="255"/>
      <c r="M1600" s="256">
        <v>7.9199999999999995E-4</v>
      </c>
      <c r="N1600" s="249">
        <v>1599</v>
      </c>
    </row>
    <row r="1601" spans="1:14" x14ac:dyDescent="0.25">
      <c r="A1601" s="252" t="s">
        <v>134</v>
      </c>
      <c r="B1601" s="252" t="s">
        <v>4131</v>
      </c>
      <c r="C1601" s="253">
        <v>0</v>
      </c>
      <c r="D1601" s="252">
        <v>39792</v>
      </c>
      <c r="E1601" s="252" t="s">
        <v>190</v>
      </c>
      <c r="F1601" s="254" t="s">
        <v>4460</v>
      </c>
      <c r="G1601" s="252" t="s">
        <v>3930</v>
      </c>
      <c r="H1601" s="252" t="s">
        <v>4539</v>
      </c>
      <c r="I1601" s="252">
        <v>5</v>
      </c>
      <c r="J1601" s="255">
        <v>1</v>
      </c>
      <c r="K1601" s="255">
        <v>1</v>
      </c>
      <c r="L1601" s="255"/>
      <c r="M1601" s="256">
        <v>2.4899999999999998E-4</v>
      </c>
      <c r="N1601" s="249">
        <v>1600</v>
      </c>
    </row>
    <row r="1602" spans="1:14" x14ac:dyDescent="0.25">
      <c r="A1602" s="252" t="s">
        <v>134</v>
      </c>
      <c r="B1602" s="252" t="s">
        <v>4131</v>
      </c>
      <c r="C1602" s="253">
        <v>0</v>
      </c>
      <c r="D1602" s="252">
        <v>39792</v>
      </c>
      <c r="E1602" s="252" t="s">
        <v>190</v>
      </c>
      <c r="F1602" s="254" t="s">
        <v>4460</v>
      </c>
      <c r="G1602" s="252" t="s">
        <v>3932</v>
      </c>
      <c r="H1602" s="252" t="s">
        <v>4540</v>
      </c>
      <c r="I1602" s="252">
        <v>5</v>
      </c>
      <c r="J1602" s="255">
        <v>1</v>
      </c>
      <c r="K1602" s="255">
        <v>1</v>
      </c>
      <c r="L1602" s="255"/>
      <c r="M1602" s="256">
        <v>2.4899999999999998E-4</v>
      </c>
      <c r="N1602" s="249">
        <v>1601</v>
      </c>
    </row>
    <row r="1603" spans="1:14" x14ac:dyDescent="0.25">
      <c r="A1603" s="252" t="s">
        <v>134</v>
      </c>
      <c r="B1603" s="252" t="s">
        <v>4131</v>
      </c>
      <c r="C1603" s="253">
        <v>0</v>
      </c>
      <c r="D1603" s="252">
        <v>39792</v>
      </c>
      <c r="E1603" s="252" t="s">
        <v>1591</v>
      </c>
      <c r="F1603" s="254" t="s">
        <v>4460</v>
      </c>
      <c r="G1603" s="252" t="s">
        <v>2573</v>
      </c>
      <c r="H1603" s="252" t="s">
        <v>4541</v>
      </c>
      <c r="I1603" s="252">
        <v>5</v>
      </c>
      <c r="J1603" s="255">
        <v>1</v>
      </c>
      <c r="K1603" s="255">
        <v>1</v>
      </c>
      <c r="L1603" s="255"/>
      <c r="M1603" s="256">
        <v>7.9199999999999995E-4</v>
      </c>
      <c r="N1603" s="249">
        <v>1602</v>
      </c>
    </row>
    <row r="1604" spans="1:14" x14ac:dyDescent="0.25">
      <c r="A1604" s="252" t="s">
        <v>134</v>
      </c>
      <c r="B1604" s="252" t="s">
        <v>4131</v>
      </c>
      <c r="C1604" s="253">
        <v>0</v>
      </c>
      <c r="D1604" s="252">
        <v>39792</v>
      </c>
      <c r="E1604" s="252" t="s">
        <v>190</v>
      </c>
      <c r="F1604" s="254" t="s">
        <v>4460</v>
      </c>
      <c r="G1604" s="252" t="s">
        <v>4542</v>
      </c>
      <c r="H1604" s="252" t="s">
        <v>4543</v>
      </c>
      <c r="I1604" s="252">
        <v>5</v>
      </c>
      <c r="J1604" s="255">
        <v>1</v>
      </c>
      <c r="K1604" s="255">
        <v>1</v>
      </c>
      <c r="L1604" s="255"/>
      <c r="M1604" s="256">
        <v>2.4899999999999998E-4</v>
      </c>
      <c r="N1604" s="249">
        <v>1603</v>
      </c>
    </row>
    <row r="1605" spans="1:14" x14ac:dyDescent="0.25">
      <c r="A1605" s="252" t="s">
        <v>134</v>
      </c>
      <c r="B1605" s="252" t="s">
        <v>4131</v>
      </c>
      <c r="C1605" s="253">
        <v>0</v>
      </c>
      <c r="D1605" s="252">
        <v>39792</v>
      </c>
      <c r="E1605" s="252" t="s">
        <v>190</v>
      </c>
      <c r="F1605" s="254" t="s">
        <v>4460</v>
      </c>
      <c r="G1605" s="252" t="s">
        <v>4544</v>
      </c>
      <c r="H1605" s="252" t="s">
        <v>4545</v>
      </c>
      <c r="I1605" s="252">
        <v>5</v>
      </c>
      <c r="J1605" s="255">
        <v>1</v>
      </c>
      <c r="K1605" s="255">
        <v>1</v>
      </c>
      <c r="L1605" s="255"/>
      <c r="M1605" s="256">
        <v>2.4899999999999998E-4</v>
      </c>
      <c r="N1605" s="249">
        <v>1604</v>
      </c>
    </row>
    <row r="1606" spans="1:14" x14ac:dyDescent="0.25">
      <c r="A1606" s="252" t="s">
        <v>134</v>
      </c>
      <c r="B1606" s="252" t="s">
        <v>4131</v>
      </c>
      <c r="C1606" s="253">
        <v>0</v>
      </c>
      <c r="D1606" s="252">
        <v>39792</v>
      </c>
      <c r="E1606" s="252" t="s">
        <v>1591</v>
      </c>
      <c r="F1606" s="254" t="s">
        <v>4460</v>
      </c>
      <c r="G1606" s="252" t="s">
        <v>2574</v>
      </c>
      <c r="H1606" s="252" t="s">
        <v>4546</v>
      </c>
      <c r="I1606" s="252">
        <v>5</v>
      </c>
      <c r="J1606" s="255">
        <v>1</v>
      </c>
      <c r="K1606" s="255">
        <v>1</v>
      </c>
      <c r="L1606" s="255"/>
      <c r="M1606" s="256">
        <v>7.9199999999999995E-4</v>
      </c>
      <c r="N1606" s="249">
        <v>1605</v>
      </c>
    </row>
    <row r="1607" spans="1:14" x14ac:dyDescent="0.25">
      <c r="A1607" s="252" t="s">
        <v>134</v>
      </c>
      <c r="B1607" s="252" t="s">
        <v>4131</v>
      </c>
      <c r="C1607" s="253">
        <v>0</v>
      </c>
      <c r="D1607" s="252">
        <v>39792</v>
      </c>
      <c r="E1607" s="252" t="s">
        <v>190</v>
      </c>
      <c r="F1607" s="254" t="s">
        <v>4460</v>
      </c>
      <c r="G1607" s="252" t="s">
        <v>2575</v>
      </c>
      <c r="H1607" s="252" t="s">
        <v>4547</v>
      </c>
      <c r="I1607" s="252">
        <v>5</v>
      </c>
      <c r="J1607" s="255">
        <v>1</v>
      </c>
      <c r="K1607" s="255">
        <v>1</v>
      </c>
      <c r="L1607" s="255"/>
      <c r="M1607" s="256">
        <v>2.4899999999999998E-4</v>
      </c>
      <c r="N1607" s="249">
        <v>1606</v>
      </c>
    </row>
    <row r="1608" spans="1:14" x14ac:dyDescent="0.25">
      <c r="A1608" s="252" t="s">
        <v>134</v>
      </c>
      <c r="B1608" s="252" t="s">
        <v>4131</v>
      </c>
      <c r="C1608" s="253">
        <v>0</v>
      </c>
      <c r="D1608" s="252">
        <v>39792</v>
      </c>
      <c r="E1608" s="252" t="s">
        <v>190</v>
      </c>
      <c r="F1608" s="254" t="s">
        <v>4460</v>
      </c>
      <c r="G1608" s="252" t="s">
        <v>2576</v>
      </c>
      <c r="H1608" s="252" t="s">
        <v>4548</v>
      </c>
      <c r="I1608" s="252">
        <v>5</v>
      </c>
      <c r="J1608" s="255">
        <v>1</v>
      </c>
      <c r="K1608" s="255">
        <v>1</v>
      </c>
      <c r="L1608" s="255"/>
      <c r="M1608" s="256">
        <v>2.4899999999999998E-4</v>
      </c>
      <c r="N1608" s="249">
        <v>1607</v>
      </c>
    </row>
    <row r="1609" spans="1:14" x14ac:dyDescent="0.25">
      <c r="A1609" s="252" t="s">
        <v>134</v>
      </c>
      <c r="B1609" s="252" t="s">
        <v>4131</v>
      </c>
      <c r="C1609" s="253">
        <v>0</v>
      </c>
      <c r="D1609" s="252">
        <v>39792</v>
      </c>
      <c r="E1609" s="252" t="s">
        <v>1591</v>
      </c>
      <c r="F1609" s="254" t="s">
        <v>4460</v>
      </c>
      <c r="G1609" s="252" t="s">
        <v>4549</v>
      </c>
      <c r="H1609" s="252" t="s">
        <v>4550</v>
      </c>
      <c r="I1609" s="252">
        <v>5</v>
      </c>
      <c r="J1609" s="255">
        <v>1</v>
      </c>
      <c r="K1609" s="255">
        <v>1</v>
      </c>
      <c r="L1609" s="255"/>
      <c r="M1609" s="256">
        <v>7.9199999999999995E-4</v>
      </c>
      <c r="N1609" s="249">
        <v>1608</v>
      </c>
    </row>
    <row r="1610" spans="1:14" x14ac:dyDescent="0.25">
      <c r="A1610" s="252" t="s">
        <v>134</v>
      </c>
      <c r="B1610" s="252" t="s">
        <v>4131</v>
      </c>
      <c r="C1610" s="253">
        <v>0</v>
      </c>
      <c r="D1610" s="252">
        <v>39792</v>
      </c>
      <c r="E1610" s="252" t="s">
        <v>1591</v>
      </c>
      <c r="F1610" s="254" t="s">
        <v>4460</v>
      </c>
      <c r="G1610" s="252" t="s">
        <v>4551</v>
      </c>
      <c r="H1610" s="252" t="s">
        <v>4552</v>
      </c>
      <c r="I1610" s="252">
        <v>5</v>
      </c>
      <c r="J1610" s="255">
        <v>1</v>
      </c>
      <c r="K1610" s="255">
        <v>1</v>
      </c>
      <c r="L1610" s="255"/>
      <c r="M1610" s="256">
        <v>7.9199999999999995E-4</v>
      </c>
      <c r="N1610" s="249">
        <v>1609</v>
      </c>
    </row>
    <row r="1611" spans="1:14" x14ac:dyDescent="0.25">
      <c r="A1611" s="252" t="s">
        <v>134</v>
      </c>
      <c r="B1611" s="252" t="s">
        <v>4131</v>
      </c>
      <c r="C1611" s="253">
        <v>0</v>
      </c>
      <c r="D1611" s="252">
        <v>39792</v>
      </c>
      <c r="E1611" s="252" t="s">
        <v>145</v>
      </c>
      <c r="F1611" s="254" t="s">
        <v>4460</v>
      </c>
      <c r="G1611" s="252" t="s">
        <v>2577</v>
      </c>
      <c r="H1611" s="252" t="s">
        <v>4553</v>
      </c>
      <c r="I1611" s="252">
        <v>5</v>
      </c>
      <c r="J1611" s="255">
        <v>1</v>
      </c>
      <c r="K1611" s="255">
        <v>1</v>
      </c>
      <c r="L1611" s="255"/>
      <c r="M1611" s="256">
        <v>1.5899999999999999E-4</v>
      </c>
      <c r="N1611" s="249">
        <v>1610</v>
      </c>
    </row>
    <row r="1612" spans="1:14" x14ac:dyDescent="0.25">
      <c r="A1612" s="252" t="s">
        <v>134</v>
      </c>
      <c r="B1612" s="252" t="s">
        <v>4131</v>
      </c>
      <c r="C1612" s="253">
        <v>0</v>
      </c>
      <c r="D1612" s="252">
        <v>39792</v>
      </c>
      <c r="E1612" s="252" t="s">
        <v>190</v>
      </c>
      <c r="F1612" s="254" t="s">
        <v>4460</v>
      </c>
      <c r="G1612" s="252" t="s">
        <v>2578</v>
      </c>
      <c r="H1612" s="252" t="s">
        <v>4554</v>
      </c>
      <c r="I1612" s="252">
        <v>5</v>
      </c>
      <c r="J1612" s="255">
        <v>1</v>
      </c>
      <c r="K1612" s="255">
        <v>1</v>
      </c>
      <c r="L1612" s="255"/>
      <c r="M1612" s="256">
        <v>1.5899999999999999E-4</v>
      </c>
      <c r="N1612" s="249">
        <v>1611</v>
      </c>
    </row>
    <row r="1613" spans="1:14" x14ac:dyDescent="0.25">
      <c r="A1613" s="252" t="s">
        <v>134</v>
      </c>
      <c r="B1613" s="252" t="s">
        <v>4131</v>
      </c>
      <c r="C1613" s="253">
        <v>0</v>
      </c>
      <c r="D1613" s="252">
        <v>39792</v>
      </c>
      <c r="E1613" s="252" t="s">
        <v>145</v>
      </c>
      <c r="F1613" s="254" t="s">
        <v>4460</v>
      </c>
      <c r="G1613" s="252" t="s">
        <v>2580</v>
      </c>
      <c r="H1613" s="252" t="s">
        <v>4555</v>
      </c>
      <c r="I1613" s="252">
        <v>5</v>
      </c>
      <c r="J1613" s="255">
        <v>1</v>
      </c>
      <c r="K1613" s="255">
        <v>1</v>
      </c>
      <c r="L1613" s="255"/>
      <c r="M1613" s="256">
        <v>1.5899999999999999E-4</v>
      </c>
      <c r="N1613" s="249">
        <v>1612</v>
      </c>
    </row>
    <row r="1614" spans="1:14" x14ac:dyDescent="0.25">
      <c r="A1614" s="252" t="s">
        <v>134</v>
      </c>
      <c r="B1614" s="252" t="s">
        <v>4131</v>
      </c>
      <c r="C1614" s="253">
        <v>0</v>
      </c>
      <c r="D1614" s="252">
        <v>39792</v>
      </c>
      <c r="E1614" s="252" t="s">
        <v>190</v>
      </c>
      <c r="F1614" s="254" t="s">
        <v>4460</v>
      </c>
      <c r="G1614" s="252" t="s">
        <v>2581</v>
      </c>
      <c r="H1614" s="252" t="s">
        <v>4556</v>
      </c>
      <c r="I1614" s="252">
        <v>5</v>
      </c>
      <c r="J1614" s="255">
        <v>1</v>
      </c>
      <c r="K1614" s="255">
        <v>1</v>
      </c>
      <c r="L1614" s="255"/>
      <c r="M1614" s="256">
        <v>1.5899999999999999E-4</v>
      </c>
      <c r="N1614" s="249">
        <v>1613</v>
      </c>
    </row>
    <row r="1615" spans="1:14" x14ac:dyDescent="0.25">
      <c r="A1615" s="252" t="s">
        <v>134</v>
      </c>
      <c r="B1615" s="252" t="s">
        <v>4131</v>
      </c>
      <c r="C1615" s="253">
        <v>0</v>
      </c>
      <c r="D1615" s="252">
        <v>39792</v>
      </c>
      <c r="E1615" s="252" t="s">
        <v>145</v>
      </c>
      <c r="F1615" s="254" t="s">
        <v>4460</v>
      </c>
      <c r="G1615" s="252" t="s">
        <v>2582</v>
      </c>
      <c r="H1615" s="252" t="s">
        <v>4557</v>
      </c>
      <c r="I1615" s="252">
        <v>5</v>
      </c>
      <c r="J1615" s="255">
        <v>1</v>
      </c>
      <c r="K1615" s="255">
        <v>1</v>
      </c>
      <c r="L1615" s="255"/>
      <c r="M1615" s="256">
        <v>1.5899999999999999E-4</v>
      </c>
      <c r="N1615" s="249">
        <v>1614</v>
      </c>
    </row>
    <row r="1616" spans="1:14" x14ac:dyDescent="0.25">
      <c r="A1616" s="252" t="s">
        <v>134</v>
      </c>
      <c r="B1616" s="252" t="s">
        <v>4131</v>
      </c>
      <c r="C1616" s="253">
        <v>0</v>
      </c>
      <c r="D1616" s="252">
        <v>39792</v>
      </c>
      <c r="E1616" s="252" t="s">
        <v>190</v>
      </c>
      <c r="F1616" s="254" t="s">
        <v>4460</v>
      </c>
      <c r="G1616" s="252" t="s">
        <v>2583</v>
      </c>
      <c r="H1616" s="252" t="s">
        <v>4558</v>
      </c>
      <c r="I1616" s="252">
        <v>5</v>
      </c>
      <c r="J1616" s="255">
        <v>1</v>
      </c>
      <c r="K1616" s="255">
        <v>1</v>
      </c>
      <c r="L1616" s="255"/>
      <c r="M1616" s="256">
        <v>1.5899999999999999E-4</v>
      </c>
      <c r="N1616" s="249">
        <v>1615</v>
      </c>
    </row>
    <row r="1617" spans="1:14" x14ac:dyDescent="0.25">
      <c r="A1617" s="252" t="s">
        <v>134</v>
      </c>
      <c r="B1617" s="252" t="s">
        <v>4131</v>
      </c>
      <c r="C1617" s="253">
        <v>0</v>
      </c>
      <c r="D1617" s="252">
        <v>39792</v>
      </c>
      <c r="E1617" s="252" t="s">
        <v>145</v>
      </c>
      <c r="F1617" s="254" t="s">
        <v>4460</v>
      </c>
      <c r="G1617" s="252" t="s">
        <v>4003</v>
      </c>
      <c r="H1617" s="252" t="s">
        <v>4559</v>
      </c>
      <c r="I1617" s="252">
        <v>5</v>
      </c>
      <c r="J1617" s="255">
        <v>1</v>
      </c>
      <c r="K1617" s="255">
        <v>1</v>
      </c>
      <c r="L1617" s="255"/>
      <c r="M1617" s="256">
        <v>1.5899999999999999E-4</v>
      </c>
      <c r="N1617" s="249">
        <v>1616</v>
      </c>
    </row>
    <row r="1618" spans="1:14" x14ac:dyDescent="0.25">
      <c r="A1618" s="252" t="s">
        <v>134</v>
      </c>
      <c r="B1618" s="252" t="s">
        <v>4131</v>
      </c>
      <c r="C1618" s="253">
        <v>0</v>
      </c>
      <c r="D1618" s="252">
        <v>39792</v>
      </c>
      <c r="E1618" s="252" t="s">
        <v>190</v>
      </c>
      <c r="F1618" s="254" t="s">
        <v>4460</v>
      </c>
      <c r="G1618" s="252" t="s">
        <v>4005</v>
      </c>
      <c r="H1618" s="252" t="s">
        <v>4560</v>
      </c>
      <c r="I1618" s="252">
        <v>5</v>
      </c>
      <c r="J1618" s="255">
        <v>1</v>
      </c>
      <c r="K1618" s="255">
        <v>1</v>
      </c>
      <c r="L1618" s="255"/>
      <c r="M1618" s="256">
        <v>1.5899999999999999E-4</v>
      </c>
      <c r="N1618" s="249">
        <v>1617</v>
      </c>
    </row>
    <row r="1619" spans="1:14" x14ac:dyDescent="0.25">
      <c r="A1619" s="252" t="s">
        <v>134</v>
      </c>
      <c r="B1619" s="252" t="s">
        <v>4131</v>
      </c>
      <c r="C1619" s="253">
        <v>0</v>
      </c>
      <c r="D1619" s="252">
        <v>39792</v>
      </c>
      <c r="E1619" s="252" t="s">
        <v>3039</v>
      </c>
      <c r="F1619" s="254" t="s">
        <v>4460</v>
      </c>
      <c r="G1619" s="252" t="s">
        <v>4048</v>
      </c>
      <c r="H1619" s="252" t="s">
        <v>4561</v>
      </c>
      <c r="I1619" s="252">
        <v>5</v>
      </c>
      <c r="J1619" s="255">
        <v>1</v>
      </c>
      <c r="K1619" s="255">
        <v>1</v>
      </c>
      <c r="L1619" s="255"/>
      <c r="M1619" s="256">
        <v>1.5899999999999999E-4</v>
      </c>
      <c r="N1619" s="249">
        <v>1618</v>
      </c>
    </row>
    <row r="1620" spans="1:14" x14ac:dyDescent="0.25">
      <c r="A1620" s="252" t="s">
        <v>134</v>
      </c>
      <c r="B1620" s="252" t="s">
        <v>4131</v>
      </c>
      <c r="C1620" s="253">
        <v>0</v>
      </c>
      <c r="D1620" s="252">
        <v>39792</v>
      </c>
      <c r="E1620" s="252" t="s">
        <v>3039</v>
      </c>
      <c r="F1620" s="254" t="s">
        <v>4460</v>
      </c>
      <c r="G1620" s="252" t="s">
        <v>4050</v>
      </c>
      <c r="H1620" s="252" t="s">
        <v>4562</v>
      </c>
      <c r="I1620" s="252">
        <v>5</v>
      </c>
      <c r="J1620" s="255">
        <v>1</v>
      </c>
      <c r="K1620" s="255">
        <v>1</v>
      </c>
      <c r="L1620" s="255"/>
      <c r="M1620" s="256">
        <v>1.5899999999999999E-4</v>
      </c>
      <c r="N1620" s="249">
        <v>1619</v>
      </c>
    </row>
    <row r="1621" spans="1:14" x14ac:dyDescent="0.25">
      <c r="A1621" s="252" t="s">
        <v>134</v>
      </c>
      <c r="B1621" s="252" t="s">
        <v>4131</v>
      </c>
      <c r="C1621" s="253">
        <v>0</v>
      </c>
      <c r="D1621" s="252">
        <v>39792</v>
      </c>
      <c r="E1621" s="252" t="s">
        <v>3039</v>
      </c>
      <c r="F1621" s="254" t="s">
        <v>4460</v>
      </c>
      <c r="G1621" s="252" t="s">
        <v>4052</v>
      </c>
      <c r="H1621" s="252" t="s">
        <v>4563</v>
      </c>
      <c r="I1621" s="252">
        <v>5</v>
      </c>
      <c r="J1621" s="255">
        <v>1</v>
      </c>
      <c r="K1621" s="255">
        <v>1</v>
      </c>
      <c r="L1621" s="255"/>
      <c r="M1621" s="256">
        <v>1.0589999999999998E-3</v>
      </c>
      <c r="N1621" s="249">
        <v>1620</v>
      </c>
    </row>
    <row r="1622" spans="1:14" x14ac:dyDescent="0.25">
      <c r="A1622" s="252" t="s">
        <v>134</v>
      </c>
      <c r="B1622" s="252" t="s">
        <v>4131</v>
      </c>
      <c r="C1622" s="253">
        <v>0</v>
      </c>
      <c r="D1622" s="252">
        <v>39792</v>
      </c>
      <c r="E1622" s="252" t="s">
        <v>3039</v>
      </c>
      <c r="F1622" s="254" t="s">
        <v>4460</v>
      </c>
      <c r="G1622" s="252" t="s">
        <v>4054</v>
      </c>
      <c r="H1622" s="252" t="s">
        <v>4564</v>
      </c>
      <c r="I1622" s="252">
        <v>5</v>
      </c>
      <c r="J1622" s="255">
        <v>1</v>
      </c>
      <c r="K1622" s="255">
        <v>1</v>
      </c>
      <c r="L1622" s="255"/>
      <c r="M1622" s="256">
        <v>2.04E-4</v>
      </c>
      <c r="N1622" s="249">
        <v>1621</v>
      </c>
    </row>
    <row r="1623" spans="1:14" x14ac:dyDescent="0.25">
      <c r="A1623" s="252" t="s">
        <v>134</v>
      </c>
      <c r="B1623" s="252" t="s">
        <v>4131</v>
      </c>
      <c r="C1623" s="253">
        <v>0</v>
      </c>
      <c r="D1623" s="252">
        <v>39792</v>
      </c>
      <c r="E1623" s="252" t="s">
        <v>3039</v>
      </c>
      <c r="F1623" s="254" t="s">
        <v>4460</v>
      </c>
      <c r="G1623" s="252" t="s">
        <v>4565</v>
      </c>
      <c r="H1623" s="252" t="s">
        <v>4566</v>
      </c>
      <c r="I1623" s="252">
        <v>5</v>
      </c>
      <c r="J1623" s="255">
        <v>1</v>
      </c>
      <c r="K1623" s="255">
        <v>1</v>
      </c>
      <c r="L1623" s="255"/>
      <c r="M1623" s="256">
        <v>1.0589999999999998E-3</v>
      </c>
      <c r="N1623" s="249">
        <v>1622</v>
      </c>
    </row>
    <row r="1624" spans="1:14" x14ac:dyDescent="0.25">
      <c r="A1624" s="252" t="s">
        <v>134</v>
      </c>
      <c r="B1624" s="252" t="s">
        <v>4131</v>
      </c>
      <c r="C1624" s="253">
        <v>0</v>
      </c>
      <c r="D1624" s="252">
        <v>39792</v>
      </c>
      <c r="E1624" s="252" t="s">
        <v>3039</v>
      </c>
      <c r="F1624" s="254" t="s">
        <v>4460</v>
      </c>
      <c r="G1624" s="252" t="s">
        <v>4056</v>
      </c>
      <c r="H1624" s="252" t="s">
        <v>4567</v>
      </c>
      <c r="I1624" s="252">
        <v>5</v>
      </c>
      <c r="J1624" s="255">
        <v>1</v>
      </c>
      <c r="K1624" s="255">
        <v>1</v>
      </c>
      <c r="L1624" s="255"/>
      <c r="M1624" s="256">
        <v>2.04E-4</v>
      </c>
      <c r="N1624" s="249">
        <v>1623</v>
      </c>
    </row>
    <row r="1625" spans="1:14" x14ac:dyDescent="0.25">
      <c r="A1625" s="252" t="s">
        <v>134</v>
      </c>
      <c r="B1625" s="252" t="s">
        <v>4131</v>
      </c>
      <c r="C1625" s="253">
        <v>0</v>
      </c>
      <c r="D1625" s="252">
        <v>39792</v>
      </c>
      <c r="E1625" s="252" t="s">
        <v>3039</v>
      </c>
      <c r="F1625" s="254" t="s">
        <v>4460</v>
      </c>
      <c r="G1625" s="252" t="s">
        <v>4078</v>
      </c>
      <c r="H1625" s="252" t="s">
        <v>4568</v>
      </c>
      <c r="I1625" s="252">
        <v>5</v>
      </c>
      <c r="J1625" s="255">
        <v>1</v>
      </c>
      <c r="K1625" s="255">
        <v>1</v>
      </c>
      <c r="L1625" s="255"/>
      <c r="M1625" s="256">
        <v>1.5899999999999999E-4</v>
      </c>
      <c r="N1625" s="249">
        <v>1624</v>
      </c>
    </row>
    <row r="1626" spans="1:14" x14ac:dyDescent="0.25">
      <c r="A1626" s="252" t="s">
        <v>134</v>
      </c>
      <c r="B1626" s="252" t="s">
        <v>4131</v>
      </c>
      <c r="C1626" s="253">
        <v>0</v>
      </c>
      <c r="D1626" s="252">
        <v>39792</v>
      </c>
      <c r="E1626" s="252" t="s">
        <v>3039</v>
      </c>
      <c r="F1626" s="254" t="s">
        <v>4460</v>
      </c>
      <c r="G1626" s="252" t="s">
        <v>4080</v>
      </c>
      <c r="H1626" s="252" t="s">
        <v>4569</v>
      </c>
      <c r="I1626" s="252">
        <v>5</v>
      </c>
      <c r="J1626" s="255">
        <v>1</v>
      </c>
      <c r="K1626" s="255">
        <v>1</v>
      </c>
      <c r="L1626" s="255"/>
      <c r="M1626" s="256">
        <v>1.5899999999999999E-4</v>
      </c>
      <c r="N1626" s="249">
        <v>1625</v>
      </c>
    </row>
    <row r="1627" spans="1:14" x14ac:dyDescent="0.25">
      <c r="A1627" s="252" t="s">
        <v>134</v>
      </c>
      <c r="B1627" s="252" t="s">
        <v>4131</v>
      </c>
      <c r="C1627" s="253">
        <v>0</v>
      </c>
      <c r="D1627" s="252">
        <v>39792</v>
      </c>
      <c r="E1627" s="252" t="s">
        <v>3039</v>
      </c>
      <c r="F1627" s="254" t="s">
        <v>4460</v>
      </c>
      <c r="G1627" s="252" t="s">
        <v>4084</v>
      </c>
      <c r="H1627" s="252" t="s">
        <v>4570</v>
      </c>
      <c r="I1627" s="252">
        <v>5</v>
      </c>
      <c r="J1627" s="255">
        <v>1</v>
      </c>
      <c r="K1627" s="255">
        <v>1</v>
      </c>
      <c r="L1627" s="255"/>
      <c r="M1627" s="256">
        <v>1.0589999999999998E-3</v>
      </c>
      <c r="N1627" s="249">
        <v>1626</v>
      </c>
    </row>
    <row r="1628" spans="1:14" x14ac:dyDescent="0.25">
      <c r="A1628" s="252" t="s">
        <v>134</v>
      </c>
      <c r="B1628" s="252" t="s">
        <v>4131</v>
      </c>
      <c r="C1628" s="253">
        <v>0</v>
      </c>
      <c r="D1628" s="252">
        <v>39792</v>
      </c>
      <c r="E1628" s="252" t="s">
        <v>3039</v>
      </c>
      <c r="F1628" s="254" t="s">
        <v>4460</v>
      </c>
      <c r="G1628" s="252" t="s">
        <v>4086</v>
      </c>
      <c r="H1628" s="252" t="s">
        <v>4571</v>
      </c>
      <c r="I1628" s="252">
        <v>5</v>
      </c>
      <c r="J1628" s="255">
        <v>1</v>
      </c>
      <c r="K1628" s="255">
        <v>1</v>
      </c>
      <c r="L1628" s="255"/>
      <c r="M1628" s="256">
        <v>2.04E-4</v>
      </c>
      <c r="N1628" s="249">
        <v>1627</v>
      </c>
    </row>
    <row r="1629" spans="1:14" x14ac:dyDescent="0.25">
      <c r="A1629" s="252" t="s">
        <v>134</v>
      </c>
      <c r="B1629" s="252" t="s">
        <v>4131</v>
      </c>
      <c r="C1629" s="253">
        <v>0</v>
      </c>
      <c r="D1629" s="252">
        <v>39792</v>
      </c>
      <c r="E1629" s="252" t="s">
        <v>3039</v>
      </c>
      <c r="F1629" s="254" t="s">
        <v>4460</v>
      </c>
      <c r="G1629" s="252" t="s">
        <v>4088</v>
      </c>
      <c r="H1629" s="252" t="s">
        <v>4572</v>
      </c>
      <c r="I1629" s="252">
        <v>5</v>
      </c>
      <c r="J1629" s="255">
        <v>1</v>
      </c>
      <c r="K1629" s="255">
        <v>1</v>
      </c>
      <c r="L1629" s="255"/>
      <c r="M1629" s="256">
        <v>1.0589999999999998E-3</v>
      </c>
      <c r="N1629" s="249">
        <v>1628</v>
      </c>
    </row>
    <row r="1630" spans="1:14" x14ac:dyDescent="0.25">
      <c r="A1630" s="252" t="s">
        <v>134</v>
      </c>
      <c r="B1630" s="252" t="s">
        <v>4131</v>
      </c>
      <c r="C1630" s="253">
        <v>0</v>
      </c>
      <c r="D1630" s="252">
        <v>39792</v>
      </c>
      <c r="E1630" s="252" t="s">
        <v>3039</v>
      </c>
      <c r="F1630" s="254" t="s">
        <v>4460</v>
      </c>
      <c r="G1630" s="252" t="s">
        <v>4090</v>
      </c>
      <c r="H1630" s="252" t="s">
        <v>4573</v>
      </c>
      <c r="I1630" s="252">
        <v>5</v>
      </c>
      <c r="J1630" s="255">
        <v>1</v>
      </c>
      <c r="K1630" s="255">
        <v>1</v>
      </c>
      <c r="L1630" s="255"/>
      <c r="M1630" s="256">
        <v>2.04E-4</v>
      </c>
      <c r="N1630" s="249">
        <v>1629</v>
      </c>
    </row>
    <row r="1631" spans="1:14" x14ac:dyDescent="0.25">
      <c r="A1631" s="252" t="s">
        <v>134</v>
      </c>
      <c r="B1631" s="252" t="s">
        <v>4131</v>
      </c>
      <c r="C1631" s="253">
        <v>0</v>
      </c>
      <c r="D1631" s="252">
        <v>39792</v>
      </c>
      <c r="E1631" s="252" t="s">
        <v>3039</v>
      </c>
      <c r="F1631" s="254" t="s">
        <v>4460</v>
      </c>
      <c r="G1631" s="252" t="s">
        <v>4574</v>
      </c>
      <c r="H1631" s="252" t="s">
        <v>4575</v>
      </c>
      <c r="I1631" s="252">
        <v>5</v>
      </c>
      <c r="J1631" s="255">
        <v>1</v>
      </c>
      <c r="K1631" s="255">
        <v>1</v>
      </c>
      <c r="L1631" s="255"/>
      <c r="M1631" s="256">
        <v>1.5899999999999999E-4</v>
      </c>
      <c r="N1631" s="249">
        <v>1630</v>
      </c>
    </row>
    <row r="1632" spans="1:14" x14ac:dyDescent="0.25">
      <c r="A1632" s="252" t="s">
        <v>134</v>
      </c>
      <c r="B1632" s="252" t="s">
        <v>4131</v>
      </c>
      <c r="C1632" s="253">
        <v>0</v>
      </c>
      <c r="D1632" s="252">
        <v>39792</v>
      </c>
      <c r="E1632" s="252" t="s">
        <v>3039</v>
      </c>
      <c r="F1632" s="254" t="s">
        <v>4460</v>
      </c>
      <c r="G1632" s="252" t="s">
        <v>4576</v>
      </c>
      <c r="H1632" s="252" t="s">
        <v>4577</v>
      </c>
      <c r="I1632" s="252">
        <v>5</v>
      </c>
      <c r="J1632" s="255">
        <v>1</v>
      </c>
      <c r="K1632" s="255">
        <v>1</v>
      </c>
      <c r="L1632" s="255"/>
      <c r="M1632" s="256">
        <v>1.5899999999999999E-4</v>
      </c>
      <c r="N1632" s="249">
        <v>1631</v>
      </c>
    </row>
    <row r="1633" spans="1:14" x14ac:dyDescent="0.25">
      <c r="A1633" s="252" t="s">
        <v>134</v>
      </c>
      <c r="B1633" s="252" t="s">
        <v>4131</v>
      </c>
      <c r="C1633" s="253">
        <v>0</v>
      </c>
      <c r="D1633" s="252">
        <v>39792</v>
      </c>
      <c r="E1633" s="252" t="s">
        <v>3039</v>
      </c>
      <c r="F1633" s="254" t="s">
        <v>4460</v>
      </c>
      <c r="G1633" s="252" t="s">
        <v>2586</v>
      </c>
      <c r="H1633" s="252" t="s">
        <v>4578</v>
      </c>
      <c r="I1633" s="252">
        <v>5</v>
      </c>
      <c r="J1633" s="255">
        <v>1</v>
      </c>
      <c r="K1633" s="255">
        <v>1</v>
      </c>
      <c r="L1633" s="255"/>
      <c r="M1633" s="256">
        <v>1.5899999999999999E-4</v>
      </c>
      <c r="N1633" s="249">
        <v>1632</v>
      </c>
    </row>
    <row r="1634" spans="1:14" x14ac:dyDescent="0.25">
      <c r="A1634" s="252" t="s">
        <v>134</v>
      </c>
      <c r="B1634" s="252" t="s">
        <v>4131</v>
      </c>
      <c r="C1634" s="253">
        <v>0</v>
      </c>
      <c r="D1634" s="252">
        <v>39792</v>
      </c>
      <c r="E1634" s="252" t="s">
        <v>3039</v>
      </c>
      <c r="F1634" s="254" t="s">
        <v>4460</v>
      </c>
      <c r="G1634" s="252" t="s">
        <v>2587</v>
      </c>
      <c r="H1634" s="252" t="s">
        <v>4579</v>
      </c>
      <c r="I1634" s="252">
        <v>5</v>
      </c>
      <c r="J1634" s="255">
        <v>1</v>
      </c>
      <c r="K1634" s="255">
        <v>1</v>
      </c>
      <c r="L1634" s="255"/>
      <c r="M1634" s="256">
        <v>1.5899999999999999E-4</v>
      </c>
      <c r="N1634" s="249">
        <v>1633</v>
      </c>
    </row>
    <row r="1635" spans="1:14" x14ac:dyDescent="0.25">
      <c r="A1635" s="252" t="s">
        <v>134</v>
      </c>
      <c r="B1635" s="252" t="s">
        <v>4131</v>
      </c>
      <c r="C1635" s="253">
        <v>0</v>
      </c>
      <c r="D1635" s="252">
        <v>39792</v>
      </c>
      <c r="E1635" s="252" t="s">
        <v>3039</v>
      </c>
      <c r="F1635" s="254" t="s">
        <v>4460</v>
      </c>
      <c r="G1635" s="252" t="s">
        <v>2588</v>
      </c>
      <c r="H1635" s="252" t="s">
        <v>4580</v>
      </c>
      <c r="I1635" s="252">
        <v>5</v>
      </c>
      <c r="J1635" s="255">
        <v>1</v>
      </c>
      <c r="K1635" s="255">
        <v>1</v>
      </c>
      <c r="L1635" s="255"/>
      <c r="M1635" s="256">
        <v>1.6200000000000001E-4</v>
      </c>
      <c r="N1635" s="249">
        <v>1634</v>
      </c>
    </row>
    <row r="1636" spans="1:14" x14ac:dyDescent="0.25">
      <c r="A1636" s="252" t="s">
        <v>134</v>
      </c>
      <c r="B1636" s="252" t="s">
        <v>4131</v>
      </c>
      <c r="C1636" s="253">
        <v>0</v>
      </c>
      <c r="D1636" s="252">
        <v>39792</v>
      </c>
      <c r="E1636" s="252" t="s">
        <v>3039</v>
      </c>
      <c r="F1636" s="254" t="s">
        <v>4460</v>
      </c>
      <c r="G1636" s="252" t="s">
        <v>4581</v>
      </c>
      <c r="H1636" s="252" t="s">
        <v>4582</v>
      </c>
      <c r="I1636" s="252">
        <v>5</v>
      </c>
      <c r="J1636" s="255">
        <v>1</v>
      </c>
      <c r="K1636" s="255">
        <v>1</v>
      </c>
      <c r="L1636" s="255"/>
      <c r="M1636" s="256">
        <v>1.6200000000000001E-4</v>
      </c>
      <c r="N1636" s="249">
        <v>1635</v>
      </c>
    </row>
    <row r="1637" spans="1:14" x14ac:dyDescent="0.25">
      <c r="A1637" s="252" t="s">
        <v>134</v>
      </c>
      <c r="B1637" s="252" t="s">
        <v>4131</v>
      </c>
      <c r="C1637" s="253">
        <v>0</v>
      </c>
      <c r="D1637" s="252">
        <v>39792</v>
      </c>
      <c r="E1637" s="252" t="s">
        <v>3039</v>
      </c>
      <c r="F1637" s="254" t="s">
        <v>4460</v>
      </c>
      <c r="G1637" s="252" t="s">
        <v>2591</v>
      </c>
      <c r="H1637" s="252" t="s">
        <v>4583</v>
      </c>
      <c r="I1637" s="252">
        <v>5</v>
      </c>
      <c r="J1637" s="255">
        <v>1</v>
      </c>
      <c r="K1637" s="255">
        <v>1</v>
      </c>
      <c r="L1637" s="255"/>
      <c r="M1637" s="256">
        <v>1.6200000000000001E-4</v>
      </c>
      <c r="N1637" s="249">
        <v>1636</v>
      </c>
    </row>
    <row r="1638" spans="1:14" x14ac:dyDescent="0.25">
      <c r="A1638" s="252" t="s">
        <v>134</v>
      </c>
      <c r="B1638" s="252" t="s">
        <v>4131</v>
      </c>
      <c r="C1638" s="253">
        <v>0</v>
      </c>
      <c r="D1638" s="252">
        <v>39792</v>
      </c>
      <c r="E1638" s="252" t="s">
        <v>3039</v>
      </c>
      <c r="F1638" s="254" t="s">
        <v>4460</v>
      </c>
      <c r="G1638" s="252" t="s">
        <v>2592</v>
      </c>
      <c r="H1638" s="252" t="s">
        <v>4584</v>
      </c>
      <c r="I1638" s="252">
        <v>5</v>
      </c>
      <c r="J1638" s="255">
        <v>1</v>
      </c>
      <c r="K1638" s="255">
        <v>1</v>
      </c>
      <c r="L1638" s="255"/>
      <c r="M1638" s="256">
        <v>1.6200000000000001E-4</v>
      </c>
      <c r="N1638" s="249">
        <v>1637</v>
      </c>
    </row>
    <row r="1639" spans="1:14" x14ac:dyDescent="0.25">
      <c r="A1639" s="252" t="s">
        <v>134</v>
      </c>
      <c r="B1639" s="252" t="s">
        <v>4131</v>
      </c>
      <c r="C1639" s="253">
        <v>0</v>
      </c>
      <c r="D1639" s="252">
        <v>39792</v>
      </c>
      <c r="E1639" s="252" t="s">
        <v>3039</v>
      </c>
      <c r="F1639" s="254" t="s">
        <v>4460</v>
      </c>
      <c r="G1639" s="252" t="s">
        <v>2608</v>
      </c>
      <c r="H1639" s="252" t="s">
        <v>4585</v>
      </c>
      <c r="I1639" s="252">
        <v>5</v>
      </c>
      <c r="J1639" s="255">
        <v>1</v>
      </c>
      <c r="K1639" s="255">
        <v>1</v>
      </c>
      <c r="L1639" s="255"/>
      <c r="M1639" s="256">
        <v>1.5899999999999999E-4</v>
      </c>
      <c r="N1639" s="249">
        <v>1638</v>
      </c>
    </row>
    <row r="1640" spans="1:14" x14ac:dyDescent="0.25">
      <c r="A1640" s="252" t="s">
        <v>134</v>
      </c>
      <c r="B1640" s="252" t="s">
        <v>4131</v>
      </c>
      <c r="C1640" s="253">
        <v>0</v>
      </c>
      <c r="D1640" s="252">
        <v>39792</v>
      </c>
      <c r="E1640" s="252" t="s">
        <v>3039</v>
      </c>
      <c r="F1640" s="254" t="s">
        <v>4460</v>
      </c>
      <c r="G1640" s="252" t="s">
        <v>2610</v>
      </c>
      <c r="H1640" s="252" t="s">
        <v>4586</v>
      </c>
      <c r="I1640" s="252">
        <v>5</v>
      </c>
      <c r="J1640" s="255">
        <v>1</v>
      </c>
      <c r="K1640" s="255">
        <v>1</v>
      </c>
      <c r="L1640" s="255"/>
      <c r="M1640" s="256">
        <v>1.5899999999999999E-4</v>
      </c>
      <c r="N1640" s="249">
        <v>1639</v>
      </c>
    </row>
    <row r="1641" spans="1:14" x14ac:dyDescent="0.25">
      <c r="A1641" s="252" t="s">
        <v>134</v>
      </c>
      <c r="B1641" s="252" t="s">
        <v>4131</v>
      </c>
      <c r="C1641" s="253">
        <v>0</v>
      </c>
      <c r="D1641" s="252">
        <v>39792</v>
      </c>
      <c r="E1641" s="252" t="s">
        <v>3039</v>
      </c>
      <c r="F1641" s="254" t="s">
        <v>4460</v>
      </c>
      <c r="G1641" s="252" t="s">
        <v>2611</v>
      </c>
      <c r="H1641" s="252" t="s">
        <v>4587</v>
      </c>
      <c r="I1641" s="252">
        <v>5</v>
      </c>
      <c r="J1641" s="255">
        <v>1</v>
      </c>
      <c r="K1641" s="255">
        <v>1</v>
      </c>
      <c r="L1641" s="255"/>
      <c r="M1641" s="256">
        <v>7.9199999999999995E-4</v>
      </c>
      <c r="N1641" s="249">
        <v>1640</v>
      </c>
    </row>
    <row r="1642" spans="1:14" x14ac:dyDescent="0.25">
      <c r="A1642" s="252" t="s">
        <v>134</v>
      </c>
      <c r="B1642" s="252" t="s">
        <v>4131</v>
      </c>
      <c r="C1642" s="253">
        <v>0</v>
      </c>
      <c r="D1642" s="252">
        <v>39792</v>
      </c>
      <c r="E1642" s="252" t="s">
        <v>3039</v>
      </c>
      <c r="F1642" s="254" t="s">
        <v>4460</v>
      </c>
      <c r="G1642" s="252" t="s">
        <v>4588</v>
      </c>
      <c r="H1642" s="252" t="s">
        <v>4589</v>
      </c>
      <c r="I1642" s="252">
        <v>5</v>
      </c>
      <c r="J1642" s="255">
        <v>1</v>
      </c>
      <c r="K1642" s="255">
        <v>1</v>
      </c>
      <c r="L1642" s="255"/>
      <c r="M1642" s="256">
        <v>1.5899999999999999E-4</v>
      </c>
      <c r="N1642" s="249">
        <v>1641</v>
      </c>
    </row>
    <row r="1643" spans="1:14" x14ac:dyDescent="0.25">
      <c r="A1643" s="252" t="s">
        <v>134</v>
      </c>
      <c r="B1643" s="252" t="s">
        <v>4131</v>
      </c>
      <c r="C1643" s="253">
        <v>0</v>
      </c>
      <c r="D1643" s="252">
        <v>39792</v>
      </c>
      <c r="E1643" s="252" t="s">
        <v>3039</v>
      </c>
      <c r="F1643" s="254" t="s">
        <v>4460</v>
      </c>
      <c r="G1643" s="252" t="s">
        <v>4590</v>
      </c>
      <c r="H1643" s="252" t="s">
        <v>4591</v>
      </c>
      <c r="I1643" s="252">
        <v>5</v>
      </c>
      <c r="J1643" s="255">
        <v>1</v>
      </c>
      <c r="K1643" s="255">
        <v>1</v>
      </c>
      <c r="L1643" s="255"/>
      <c r="M1643" s="256">
        <v>1.5899999999999999E-4</v>
      </c>
      <c r="N1643" s="249">
        <v>1642</v>
      </c>
    </row>
    <row r="1644" spans="1:14" x14ac:dyDescent="0.25">
      <c r="A1644" s="252" t="s">
        <v>134</v>
      </c>
      <c r="B1644" s="252" t="s">
        <v>4131</v>
      </c>
      <c r="C1644" s="253">
        <v>0</v>
      </c>
      <c r="D1644" s="252">
        <v>39792</v>
      </c>
      <c r="E1644" s="252" t="s">
        <v>192</v>
      </c>
      <c r="F1644" s="254" t="s">
        <v>4592</v>
      </c>
      <c r="G1644" s="252" t="s">
        <v>4593</v>
      </c>
      <c r="H1644" s="252" t="s">
        <v>4594</v>
      </c>
      <c r="I1644" s="252">
        <v>5</v>
      </c>
      <c r="J1644" s="255">
        <v>1</v>
      </c>
      <c r="K1644" s="255">
        <v>1</v>
      </c>
      <c r="L1644" s="255"/>
      <c r="M1644" s="256">
        <v>8.9999999999999992E-5</v>
      </c>
      <c r="N1644" s="249">
        <v>1643</v>
      </c>
    </row>
    <row r="1645" spans="1:14" x14ac:dyDescent="0.25">
      <c r="A1645" s="252" t="s">
        <v>134</v>
      </c>
      <c r="B1645" s="252" t="s">
        <v>4131</v>
      </c>
      <c r="C1645" s="253">
        <v>0</v>
      </c>
      <c r="D1645" s="252">
        <v>39792</v>
      </c>
      <c r="E1645" s="252" t="s">
        <v>192</v>
      </c>
      <c r="F1645" s="254" t="s">
        <v>4592</v>
      </c>
      <c r="G1645" s="252" t="s">
        <v>4595</v>
      </c>
      <c r="H1645" s="252" t="s">
        <v>4596</v>
      </c>
      <c r="I1645" s="252">
        <v>5</v>
      </c>
      <c r="J1645" s="255">
        <v>1</v>
      </c>
      <c r="K1645" s="255">
        <v>1</v>
      </c>
      <c r="L1645" s="255"/>
      <c r="M1645" s="256">
        <v>1.7759999999999998E-3</v>
      </c>
      <c r="N1645" s="249">
        <v>1644</v>
      </c>
    </row>
    <row r="1646" spans="1:14" x14ac:dyDescent="0.25">
      <c r="A1646" s="252" t="s">
        <v>134</v>
      </c>
      <c r="B1646" s="252" t="s">
        <v>4131</v>
      </c>
      <c r="C1646" s="253">
        <v>0</v>
      </c>
      <c r="D1646" s="252">
        <v>39792</v>
      </c>
      <c r="E1646" s="252" t="s">
        <v>192</v>
      </c>
      <c r="F1646" s="254" t="s">
        <v>4592</v>
      </c>
      <c r="G1646" s="252" t="s">
        <v>4597</v>
      </c>
      <c r="H1646" s="252" t="s">
        <v>4598</v>
      </c>
      <c r="I1646" s="252">
        <v>5</v>
      </c>
      <c r="J1646" s="255">
        <v>1</v>
      </c>
      <c r="K1646" s="255">
        <v>1</v>
      </c>
      <c r="L1646" s="255"/>
      <c r="M1646" s="256">
        <v>8.9999999999999992E-5</v>
      </c>
      <c r="N1646" s="249">
        <v>1645</v>
      </c>
    </row>
    <row r="1647" spans="1:14" x14ac:dyDescent="0.25">
      <c r="A1647" s="252" t="s">
        <v>134</v>
      </c>
      <c r="B1647" s="252" t="s">
        <v>4131</v>
      </c>
      <c r="C1647" s="253">
        <v>0</v>
      </c>
      <c r="D1647" s="252">
        <v>39792</v>
      </c>
      <c r="E1647" s="252" t="s">
        <v>192</v>
      </c>
      <c r="F1647" s="254" t="s">
        <v>4592</v>
      </c>
      <c r="G1647" s="252" t="s">
        <v>4599</v>
      </c>
      <c r="H1647" s="252" t="s">
        <v>4600</v>
      </c>
      <c r="I1647" s="252">
        <v>5</v>
      </c>
      <c r="J1647" s="255">
        <v>1</v>
      </c>
      <c r="K1647" s="255">
        <v>1</v>
      </c>
      <c r="L1647" s="255"/>
      <c r="M1647" s="256">
        <v>1.7759999999999998E-3</v>
      </c>
      <c r="N1647" s="249">
        <v>1646</v>
      </c>
    </row>
    <row r="1648" spans="1:14" x14ac:dyDescent="0.25">
      <c r="A1648" s="252" t="s">
        <v>134</v>
      </c>
      <c r="B1648" s="252" t="s">
        <v>4131</v>
      </c>
      <c r="C1648" s="253">
        <v>0</v>
      </c>
      <c r="D1648" s="252">
        <v>39792</v>
      </c>
      <c r="E1648" s="252" t="s">
        <v>192</v>
      </c>
      <c r="F1648" s="254" t="s">
        <v>4592</v>
      </c>
      <c r="G1648" s="252" t="s">
        <v>4601</v>
      </c>
      <c r="H1648" s="252" t="s">
        <v>4602</v>
      </c>
      <c r="I1648" s="252">
        <v>5</v>
      </c>
      <c r="J1648" s="255">
        <v>1</v>
      </c>
      <c r="K1648" s="255">
        <v>1</v>
      </c>
      <c r="L1648" s="255"/>
      <c r="M1648" s="256">
        <v>1.7669999999999997E-3</v>
      </c>
      <c r="N1648" s="249">
        <v>1647</v>
      </c>
    </row>
    <row r="1649" spans="1:14" x14ac:dyDescent="0.25">
      <c r="A1649" s="252" t="s">
        <v>134</v>
      </c>
      <c r="B1649" s="252" t="s">
        <v>4131</v>
      </c>
      <c r="C1649" s="253">
        <v>0</v>
      </c>
      <c r="D1649" s="252">
        <v>39792</v>
      </c>
      <c r="E1649" s="252" t="s">
        <v>192</v>
      </c>
      <c r="F1649" s="254" t="s">
        <v>4592</v>
      </c>
      <c r="G1649" s="252" t="s">
        <v>4603</v>
      </c>
      <c r="H1649" s="252" t="s">
        <v>4604</v>
      </c>
      <c r="I1649" s="252">
        <v>5</v>
      </c>
      <c r="J1649" s="255">
        <v>1</v>
      </c>
      <c r="K1649" s="255">
        <v>1</v>
      </c>
      <c r="L1649" s="255"/>
      <c r="M1649" s="256">
        <v>2.5199999999999995E-4</v>
      </c>
      <c r="N1649" s="249">
        <v>1648</v>
      </c>
    </row>
    <row r="1650" spans="1:14" x14ac:dyDescent="0.25">
      <c r="A1650" s="252" t="s">
        <v>134</v>
      </c>
      <c r="B1650" s="252" t="s">
        <v>4131</v>
      </c>
      <c r="C1650" s="253">
        <v>0</v>
      </c>
      <c r="D1650" s="252">
        <v>39792</v>
      </c>
      <c r="E1650" s="252" t="s">
        <v>192</v>
      </c>
      <c r="F1650" s="254" t="s">
        <v>4592</v>
      </c>
      <c r="G1650" s="252" t="s">
        <v>4605</v>
      </c>
      <c r="H1650" s="252" t="s">
        <v>4606</v>
      </c>
      <c r="I1650" s="252">
        <v>5</v>
      </c>
      <c r="J1650" s="255">
        <v>1</v>
      </c>
      <c r="K1650" s="255">
        <v>1</v>
      </c>
      <c r="L1650" s="255"/>
      <c r="M1650" s="256">
        <v>1.2149999999999999E-3</v>
      </c>
      <c r="N1650" s="249">
        <v>1649</v>
      </c>
    </row>
    <row r="1651" spans="1:14" x14ac:dyDescent="0.25">
      <c r="A1651" s="252" t="s">
        <v>134</v>
      </c>
      <c r="B1651" s="252" t="s">
        <v>4131</v>
      </c>
      <c r="C1651" s="253">
        <v>0</v>
      </c>
      <c r="D1651" s="252">
        <v>39792</v>
      </c>
      <c r="E1651" s="252" t="s">
        <v>192</v>
      </c>
      <c r="F1651" s="254" t="s">
        <v>4592</v>
      </c>
      <c r="G1651" s="252" t="s">
        <v>4607</v>
      </c>
      <c r="H1651" s="252" t="s">
        <v>4608</v>
      </c>
      <c r="I1651" s="252">
        <v>5</v>
      </c>
      <c r="J1651" s="255">
        <v>1</v>
      </c>
      <c r="K1651" s="255">
        <v>1</v>
      </c>
      <c r="L1651" s="255"/>
      <c r="M1651" s="256">
        <v>2.5199999999999995E-4</v>
      </c>
      <c r="N1651" s="249">
        <v>1650</v>
      </c>
    </row>
    <row r="1652" spans="1:14" x14ac:dyDescent="0.25">
      <c r="A1652" s="252" t="s">
        <v>134</v>
      </c>
      <c r="B1652" s="252" t="s">
        <v>4131</v>
      </c>
      <c r="C1652" s="253">
        <v>0</v>
      </c>
      <c r="D1652" s="252">
        <v>39792</v>
      </c>
      <c r="E1652" s="252" t="s">
        <v>192</v>
      </c>
      <c r="F1652" s="254" t="s">
        <v>4592</v>
      </c>
      <c r="G1652" s="252" t="s">
        <v>4609</v>
      </c>
      <c r="H1652" s="252" t="s">
        <v>4610</v>
      </c>
      <c r="I1652" s="252">
        <v>5</v>
      </c>
      <c r="J1652" s="255">
        <v>1</v>
      </c>
      <c r="K1652" s="255">
        <v>1</v>
      </c>
      <c r="L1652" s="255"/>
      <c r="M1652" s="256">
        <v>1.2149999999999999E-3</v>
      </c>
      <c r="N1652" s="249">
        <v>1651</v>
      </c>
    </row>
    <row r="1653" spans="1:14" x14ac:dyDescent="0.25">
      <c r="A1653" s="252" t="s">
        <v>134</v>
      </c>
      <c r="B1653" s="252" t="s">
        <v>4131</v>
      </c>
      <c r="C1653" s="253">
        <v>0</v>
      </c>
      <c r="D1653" s="252">
        <v>39792</v>
      </c>
      <c r="E1653" s="252" t="s">
        <v>192</v>
      </c>
      <c r="F1653" s="254" t="s">
        <v>4592</v>
      </c>
      <c r="G1653" s="252" t="s">
        <v>4611</v>
      </c>
      <c r="H1653" s="252" t="s">
        <v>4612</v>
      </c>
      <c r="I1653" s="252">
        <v>5</v>
      </c>
      <c r="J1653" s="255">
        <v>1</v>
      </c>
      <c r="K1653" s="255">
        <v>1</v>
      </c>
      <c r="L1653" s="255"/>
      <c r="M1653" s="256">
        <v>3.7199999999999999E-4</v>
      </c>
      <c r="N1653" s="249">
        <v>1652</v>
      </c>
    </row>
    <row r="1654" spans="1:14" x14ac:dyDescent="0.25">
      <c r="A1654" s="252" t="s">
        <v>134</v>
      </c>
      <c r="B1654" s="252" t="s">
        <v>4131</v>
      </c>
      <c r="C1654" s="253">
        <v>0</v>
      </c>
      <c r="D1654" s="252">
        <v>39792</v>
      </c>
      <c r="E1654" s="252" t="s">
        <v>192</v>
      </c>
      <c r="F1654" s="254" t="s">
        <v>4592</v>
      </c>
      <c r="G1654" s="252" t="s">
        <v>4613</v>
      </c>
      <c r="H1654" s="252" t="s">
        <v>4614</v>
      </c>
      <c r="I1654" s="252">
        <v>5</v>
      </c>
      <c r="J1654" s="255">
        <v>1</v>
      </c>
      <c r="K1654" s="255">
        <v>1</v>
      </c>
      <c r="L1654" s="255"/>
      <c r="M1654" s="256">
        <v>6.8999999999999997E-4</v>
      </c>
      <c r="N1654" s="249">
        <v>1653</v>
      </c>
    </row>
    <row r="1655" spans="1:14" x14ac:dyDescent="0.25">
      <c r="A1655" s="252" t="s">
        <v>134</v>
      </c>
      <c r="B1655" s="252" t="s">
        <v>4131</v>
      </c>
      <c r="C1655" s="253">
        <v>0</v>
      </c>
      <c r="D1655" s="252">
        <v>39792</v>
      </c>
      <c r="E1655" s="252" t="s">
        <v>192</v>
      </c>
      <c r="F1655" s="254" t="s">
        <v>4592</v>
      </c>
      <c r="G1655" s="252" t="s">
        <v>4615</v>
      </c>
      <c r="H1655" s="252" t="s">
        <v>4616</v>
      </c>
      <c r="I1655" s="252">
        <v>5</v>
      </c>
      <c r="J1655" s="255">
        <v>1</v>
      </c>
      <c r="K1655" s="255">
        <v>1</v>
      </c>
      <c r="L1655" s="255"/>
      <c r="M1655" s="256">
        <v>1.2599999999999997E-4</v>
      </c>
      <c r="N1655" s="249">
        <v>1654</v>
      </c>
    </row>
    <row r="1656" spans="1:14" x14ac:dyDescent="0.25">
      <c r="A1656" s="252" t="s">
        <v>134</v>
      </c>
      <c r="B1656" s="252" t="s">
        <v>4131</v>
      </c>
      <c r="C1656" s="253">
        <v>0</v>
      </c>
      <c r="D1656" s="252">
        <v>39792</v>
      </c>
      <c r="E1656" s="252" t="s">
        <v>192</v>
      </c>
      <c r="F1656" s="254" t="s">
        <v>4592</v>
      </c>
      <c r="G1656" s="252" t="s">
        <v>4617</v>
      </c>
      <c r="H1656" s="252" t="s">
        <v>4618</v>
      </c>
      <c r="I1656" s="252">
        <v>5</v>
      </c>
      <c r="J1656" s="255">
        <v>1</v>
      </c>
      <c r="K1656" s="255">
        <v>1</v>
      </c>
      <c r="L1656" s="255"/>
      <c r="M1656" s="256">
        <v>1.2599999999999997E-4</v>
      </c>
      <c r="N1656" s="249">
        <v>1655</v>
      </c>
    </row>
    <row r="1657" spans="1:14" x14ac:dyDescent="0.25">
      <c r="A1657" s="252" t="s">
        <v>134</v>
      </c>
      <c r="B1657" s="252" t="s">
        <v>4131</v>
      </c>
      <c r="C1657" s="253">
        <v>0</v>
      </c>
      <c r="D1657" s="252">
        <v>39792</v>
      </c>
      <c r="E1657" s="252" t="s">
        <v>192</v>
      </c>
      <c r="F1657" s="254" t="s">
        <v>4592</v>
      </c>
      <c r="G1657" s="252" t="s">
        <v>4619</v>
      </c>
      <c r="H1657" s="252" t="s">
        <v>4620</v>
      </c>
      <c r="I1657" s="252">
        <v>5</v>
      </c>
      <c r="J1657" s="255">
        <v>1</v>
      </c>
      <c r="K1657" s="255">
        <v>1</v>
      </c>
      <c r="L1657" s="255"/>
      <c r="M1657" s="256">
        <v>3.5699999999999995E-4</v>
      </c>
      <c r="N1657" s="249">
        <v>1656</v>
      </c>
    </row>
    <row r="1658" spans="1:14" x14ac:dyDescent="0.25">
      <c r="A1658" s="252" t="s">
        <v>134</v>
      </c>
      <c r="B1658" s="252" t="s">
        <v>4131</v>
      </c>
      <c r="C1658" s="253">
        <v>0</v>
      </c>
      <c r="D1658" s="252">
        <v>39792</v>
      </c>
      <c r="E1658" s="252" t="s">
        <v>192</v>
      </c>
      <c r="F1658" s="254" t="s">
        <v>4592</v>
      </c>
      <c r="G1658" s="252" t="s">
        <v>4621</v>
      </c>
      <c r="H1658" s="252" t="s">
        <v>4622</v>
      </c>
      <c r="I1658" s="252">
        <v>5</v>
      </c>
      <c r="J1658" s="255">
        <v>1</v>
      </c>
      <c r="K1658" s="255">
        <v>1</v>
      </c>
      <c r="L1658" s="255"/>
      <c r="M1658" s="256">
        <v>8.9999999999999992E-5</v>
      </c>
      <c r="N1658" s="249">
        <v>1657</v>
      </c>
    </row>
    <row r="1659" spans="1:14" x14ac:dyDescent="0.25">
      <c r="A1659" s="252" t="s">
        <v>134</v>
      </c>
      <c r="B1659" s="252" t="s">
        <v>4131</v>
      </c>
      <c r="C1659" s="253">
        <v>0</v>
      </c>
      <c r="D1659" s="252">
        <v>39792</v>
      </c>
      <c r="E1659" s="252" t="s">
        <v>192</v>
      </c>
      <c r="F1659" s="254" t="s">
        <v>4592</v>
      </c>
      <c r="G1659" s="252" t="s">
        <v>2620</v>
      </c>
      <c r="H1659" s="252" t="s">
        <v>4623</v>
      </c>
      <c r="I1659" s="252">
        <v>5</v>
      </c>
      <c r="J1659" s="255">
        <v>1</v>
      </c>
      <c r="K1659" s="255">
        <v>1</v>
      </c>
      <c r="L1659" s="255"/>
      <c r="M1659" s="256">
        <v>1.8059999999999997E-3</v>
      </c>
      <c r="N1659" s="249">
        <v>1658</v>
      </c>
    </row>
    <row r="1660" spans="1:14" x14ac:dyDescent="0.25">
      <c r="A1660" s="252" t="s">
        <v>134</v>
      </c>
      <c r="B1660" s="252" t="s">
        <v>4131</v>
      </c>
      <c r="C1660" s="253">
        <v>0</v>
      </c>
      <c r="D1660" s="252">
        <v>39792</v>
      </c>
      <c r="E1660" s="252" t="s">
        <v>192</v>
      </c>
      <c r="F1660" s="254" t="s">
        <v>4592</v>
      </c>
      <c r="G1660" s="252" t="s">
        <v>4624</v>
      </c>
      <c r="H1660" s="252" t="s">
        <v>4625</v>
      </c>
      <c r="I1660" s="252">
        <v>5</v>
      </c>
      <c r="J1660" s="255">
        <v>1</v>
      </c>
      <c r="K1660" s="255">
        <v>1</v>
      </c>
      <c r="L1660" s="255"/>
      <c r="M1660" s="256">
        <v>8.9999999999999992E-5</v>
      </c>
      <c r="N1660" s="249">
        <v>1659</v>
      </c>
    </row>
    <row r="1661" spans="1:14" x14ac:dyDescent="0.25">
      <c r="A1661" s="252" t="s">
        <v>134</v>
      </c>
      <c r="B1661" s="252" t="s">
        <v>4131</v>
      </c>
      <c r="C1661" s="253">
        <v>0</v>
      </c>
      <c r="D1661" s="252">
        <v>39792</v>
      </c>
      <c r="E1661" s="252" t="s">
        <v>192</v>
      </c>
      <c r="F1661" s="254" t="s">
        <v>4592</v>
      </c>
      <c r="G1661" s="252" t="s">
        <v>4626</v>
      </c>
      <c r="H1661" s="252" t="s">
        <v>4627</v>
      </c>
      <c r="I1661" s="252">
        <v>5</v>
      </c>
      <c r="J1661" s="255">
        <v>1</v>
      </c>
      <c r="K1661" s="255">
        <v>1</v>
      </c>
      <c r="L1661" s="255"/>
      <c r="M1661" s="256">
        <v>1.8059999999999997E-3</v>
      </c>
      <c r="N1661" s="249">
        <v>1660</v>
      </c>
    </row>
    <row r="1662" spans="1:14" x14ac:dyDescent="0.25">
      <c r="A1662" s="252" t="s">
        <v>134</v>
      </c>
      <c r="B1662" s="252" t="s">
        <v>4131</v>
      </c>
      <c r="C1662" s="253">
        <v>0</v>
      </c>
      <c r="D1662" s="252">
        <v>39792</v>
      </c>
      <c r="E1662" s="252" t="s">
        <v>192</v>
      </c>
      <c r="F1662" s="254" t="s">
        <v>4592</v>
      </c>
      <c r="G1662" s="252" t="s">
        <v>4628</v>
      </c>
      <c r="H1662" s="252" t="s">
        <v>4629</v>
      </c>
      <c r="I1662" s="252">
        <v>5</v>
      </c>
      <c r="J1662" s="255">
        <v>1</v>
      </c>
      <c r="K1662" s="255">
        <v>1</v>
      </c>
      <c r="L1662" s="255"/>
      <c r="M1662" s="256">
        <v>2.5499999999999996E-4</v>
      </c>
      <c r="N1662" s="249">
        <v>1661</v>
      </c>
    </row>
    <row r="1663" spans="1:14" x14ac:dyDescent="0.25">
      <c r="A1663" s="252" t="s">
        <v>134</v>
      </c>
      <c r="B1663" s="252" t="s">
        <v>4131</v>
      </c>
      <c r="C1663" s="253">
        <v>0</v>
      </c>
      <c r="D1663" s="252">
        <v>39792</v>
      </c>
      <c r="E1663" s="252" t="s">
        <v>192</v>
      </c>
      <c r="F1663" s="254" t="s">
        <v>4592</v>
      </c>
      <c r="G1663" s="252" t="s">
        <v>4630</v>
      </c>
      <c r="H1663" s="252" t="s">
        <v>4631</v>
      </c>
      <c r="I1663" s="252">
        <v>5</v>
      </c>
      <c r="J1663" s="255">
        <v>1</v>
      </c>
      <c r="K1663" s="255">
        <v>1</v>
      </c>
      <c r="L1663" s="255"/>
      <c r="M1663" s="256">
        <v>2.5499999999999996E-4</v>
      </c>
      <c r="N1663" s="249">
        <v>1662</v>
      </c>
    </row>
    <row r="1664" spans="1:14" x14ac:dyDescent="0.25">
      <c r="A1664" s="252" t="s">
        <v>134</v>
      </c>
      <c r="B1664" s="252" t="s">
        <v>4131</v>
      </c>
      <c r="C1664" s="253">
        <v>0</v>
      </c>
      <c r="D1664" s="252">
        <v>39792</v>
      </c>
      <c r="E1664" s="252" t="s">
        <v>192</v>
      </c>
      <c r="F1664" s="254" t="s">
        <v>4592</v>
      </c>
      <c r="G1664" s="252" t="s">
        <v>4632</v>
      </c>
      <c r="H1664" s="252" t="s">
        <v>4633</v>
      </c>
      <c r="I1664" s="252">
        <v>5</v>
      </c>
      <c r="J1664" s="255">
        <v>1</v>
      </c>
      <c r="K1664" s="255">
        <v>1</v>
      </c>
      <c r="L1664" s="255"/>
      <c r="M1664" s="256">
        <v>4.1999999999999996E-4</v>
      </c>
      <c r="N1664" s="249">
        <v>1663</v>
      </c>
    </row>
    <row r="1665" spans="1:14" x14ac:dyDescent="0.25">
      <c r="A1665" s="252" t="s">
        <v>134</v>
      </c>
      <c r="B1665" s="252" t="s">
        <v>4131</v>
      </c>
      <c r="C1665" s="253">
        <v>0</v>
      </c>
      <c r="D1665" s="252">
        <v>39792</v>
      </c>
      <c r="E1665" s="252" t="s">
        <v>192</v>
      </c>
      <c r="F1665" s="254" t="s">
        <v>4592</v>
      </c>
      <c r="G1665" s="252" t="s">
        <v>4634</v>
      </c>
      <c r="H1665" s="252" t="s">
        <v>4635</v>
      </c>
      <c r="I1665" s="252">
        <v>5</v>
      </c>
      <c r="J1665" s="255">
        <v>1</v>
      </c>
      <c r="K1665" s="255">
        <v>1</v>
      </c>
      <c r="L1665" s="255"/>
      <c r="M1665" s="256">
        <v>8.9999999999999992E-5</v>
      </c>
      <c r="N1665" s="249">
        <v>1664</v>
      </c>
    </row>
    <row r="1666" spans="1:14" x14ac:dyDescent="0.25">
      <c r="A1666" s="252" t="s">
        <v>134</v>
      </c>
      <c r="B1666" s="252" t="s">
        <v>4131</v>
      </c>
      <c r="C1666" s="253">
        <v>0</v>
      </c>
      <c r="D1666" s="252">
        <v>39792</v>
      </c>
      <c r="E1666" s="252" t="s">
        <v>192</v>
      </c>
      <c r="F1666" s="254" t="s">
        <v>4592</v>
      </c>
      <c r="G1666" s="252" t="s">
        <v>2621</v>
      </c>
      <c r="H1666" s="252" t="s">
        <v>4636</v>
      </c>
      <c r="I1666" s="252">
        <v>5</v>
      </c>
      <c r="J1666" s="255">
        <v>1</v>
      </c>
      <c r="K1666" s="255">
        <v>1</v>
      </c>
      <c r="L1666" s="255"/>
      <c r="M1666" s="256">
        <v>1.8059999999999997E-3</v>
      </c>
      <c r="N1666" s="249">
        <v>1665</v>
      </c>
    </row>
    <row r="1667" spans="1:14" x14ac:dyDescent="0.25">
      <c r="A1667" s="252" t="s">
        <v>134</v>
      </c>
      <c r="B1667" s="252" t="s">
        <v>4131</v>
      </c>
      <c r="C1667" s="253">
        <v>0</v>
      </c>
      <c r="D1667" s="252">
        <v>39792</v>
      </c>
      <c r="E1667" s="252" t="s">
        <v>192</v>
      </c>
      <c r="F1667" s="254" t="s">
        <v>4592</v>
      </c>
      <c r="G1667" s="252" t="s">
        <v>4637</v>
      </c>
      <c r="H1667" s="252" t="s">
        <v>4638</v>
      </c>
      <c r="I1667" s="252">
        <v>5</v>
      </c>
      <c r="J1667" s="255">
        <v>1</v>
      </c>
      <c r="K1667" s="255">
        <v>1</v>
      </c>
      <c r="L1667" s="255"/>
      <c r="M1667" s="256">
        <v>8.9999999999999992E-5</v>
      </c>
      <c r="N1667" s="249">
        <v>1666</v>
      </c>
    </row>
    <row r="1668" spans="1:14" x14ac:dyDescent="0.25">
      <c r="A1668" s="252" t="s">
        <v>134</v>
      </c>
      <c r="B1668" s="252" t="s">
        <v>4131</v>
      </c>
      <c r="C1668" s="253">
        <v>0</v>
      </c>
      <c r="D1668" s="252">
        <v>39792</v>
      </c>
      <c r="E1668" s="252" t="s">
        <v>192</v>
      </c>
      <c r="F1668" s="254" t="s">
        <v>4592</v>
      </c>
      <c r="G1668" s="252" t="s">
        <v>4639</v>
      </c>
      <c r="H1668" s="252" t="s">
        <v>4640</v>
      </c>
      <c r="I1668" s="252">
        <v>5</v>
      </c>
      <c r="J1668" s="255">
        <v>1</v>
      </c>
      <c r="K1668" s="255">
        <v>1</v>
      </c>
      <c r="L1668" s="255"/>
      <c r="M1668" s="256">
        <v>3.4859999999999995E-3</v>
      </c>
      <c r="N1668" s="249">
        <v>1667</v>
      </c>
    </row>
    <row r="1669" spans="1:14" x14ac:dyDescent="0.25">
      <c r="A1669" s="252" t="s">
        <v>134</v>
      </c>
      <c r="B1669" s="252" t="s">
        <v>4131</v>
      </c>
      <c r="C1669" s="253">
        <v>0</v>
      </c>
      <c r="D1669" s="252">
        <v>39792</v>
      </c>
      <c r="E1669" s="252" t="s">
        <v>192</v>
      </c>
      <c r="F1669" s="254" t="s">
        <v>4592</v>
      </c>
      <c r="G1669" s="252" t="s">
        <v>4641</v>
      </c>
      <c r="H1669" s="252" t="s">
        <v>4642</v>
      </c>
      <c r="I1669" s="252">
        <v>5</v>
      </c>
      <c r="J1669" s="255">
        <v>1</v>
      </c>
      <c r="K1669" s="255">
        <v>1</v>
      </c>
      <c r="L1669" s="255"/>
      <c r="M1669" s="256">
        <v>1.041E-3</v>
      </c>
      <c r="N1669" s="249">
        <v>1668</v>
      </c>
    </row>
    <row r="1670" spans="1:14" x14ac:dyDescent="0.25">
      <c r="A1670" s="252" t="s">
        <v>134</v>
      </c>
      <c r="B1670" s="252" t="s">
        <v>4131</v>
      </c>
      <c r="C1670" s="253">
        <v>0</v>
      </c>
      <c r="D1670" s="252">
        <v>39792</v>
      </c>
      <c r="E1670" s="252" t="s">
        <v>192</v>
      </c>
      <c r="F1670" s="254" t="s">
        <v>4592</v>
      </c>
      <c r="G1670" s="252" t="s">
        <v>4643</v>
      </c>
      <c r="H1670" s="252" t="s">
        <v>4644</v>
      </c>
      <c r="I1670" s="252">
        <v>5</v>
      </c>
      <c r="J1670" s="255">
        <v>1</v>
      </c>
      <c r="K1670" s="255">
        <v>1</v>
      </c>
      <c r="L1670" s="255"/>
      <c r="M1670" s="256">
        <v>1.041E-3</v>
      </c>
      <c r="N1670" s="249">
        <v>1669</v>
      </c>
    </row>
    <row r="1671" spans="1:14" x14ac:dyDescent="0.25">
      <c r="A1671" s="252" t="s">
        <v>134</v>
      </c>
      <c r="B1671" s="252" t="s">
        <v>4131</v>
      </c>
      <c r="C1671" s="253">
        <v>0</v>
      </c>
      <c r="D1671" s="252">
        <v>39792</v>
      </c>
      <c r="E1671" s="252" t="s">
        <v>192</v>
      </c>
      <c r="F1671" s="254" t="s">
        <v>4592</v>
      </c>
      <c r="G1671" s="252" t="s">
        <v>4645</v>
      </c>
      <c r="H1671" s="252" t="s">
        <v>4646</v>
      </c>
      <c r="I1671" s="252">
        <v>5</v>
      </c>
      <c r="J1671" s="255">
        <v>1</v>
      </c>
      <c r="K1671" s="255">
        <v>1</v>
      </c>
      <c r="L1671" s="255"/>
      <c r="M1671" s="256">
        <v>4.4999999999999999E-4</v>
      </c>
      <c r="N1671" s="249">
        <v>1670</v>
      </c>
    </row>
    <row r="1672" spans="1:14" x14ac:dyDescent="0.25">
      <c r="A1672" s="252" t="s">
        <v>134</v>
      </c>
      <c r="B1672" s="252" t="s">
        <v>4131</v>
      </c>
      <c r="C1672" s="253">
        <v>0</v>
      </c>
      <c r="D1672" s="252">
        <v>39792</v>
      </c>
      <c r="E1672" s="252" t="s">
        <v>192</v>
      </c>
      <c r="F1672" s="254" t="s">
        <v>4592</v>
      </c>
      <c r="G1672" s="252" t="s">
        <v>4647</v>
      </c>
      <c r="H1672" s="252" t="s">
        <v>4648</v>
      </c>
      <c r="I1672" s="252">
        <v>5</v>
      </c>
      <c r="J1672" s="255">
        <v>1</v>
      </c>
      <c r="K1672" s="255">
        <v>1</v>
      </c>
      <c r="L1672" s="255"/>
      <c r="M1672" s="256">
        <v>6.0599999999999998E-4</v>
      </c>
      <c r="N1672" s="249">
        <v>1671</v>
      </c>
    </row>
    <row r="1673" spans="1:14" x14ac:dyDescent="0.25">
      <c r="A1673" s="252" t="s">
        <v>134</v>
      </c>
      <c r="B1673" s="252" t="s">
        <v>4131</v>
      </c>
      <c r="C1673" s="253">
        <v>0</v>
      </c>
      <c r="D1673" s="252">
        <v>39792</v>
      </c>
      <c r="E1673" s="252" t="s">
        <v>192</v>
      </c>
      <c r="F1673" s="254" t="s">
        <v>4592</v>
      </c>
      <c r="G1673" s="252" t="s">
        <v>4649</v>
      </c>
      <c r="H1673" s="252" t="s">
        <v>4650</v>
      </c>
      <c r="I1673" s="252">
        <v>5</v>
      </c>
      <c r="J1673" s="255">
        <v>1</v>
      </c>
      <c r="K1673" s="255">
        <v>1</v>
      </c>
      <c r="L1673" s="255"/>
      <c r="M1673" s="256">
        <v>4.4999999999999999E-4</v>
      </c>
      <c r="N1673" s="249">
        <v>1672</v>
      </c>
    </row>
    <row r="1674" spans="1:14" x14ac:dyDescent="0.25">
      <c r="A1674" s="252" t="s">
        <v>134</v>
      </c>
      <c r="B1674" s="252" t="s">
        <v>4131</v>
      </c>
      <c r="C1674" s="253">
        <v>0</v>
      </c>
      <c r="D1674" s="252">
        <v>39792</v>
      </c>
      <c r="E1674" s="252" t="s">
        <v>192</v>
      </c>
      <c r="F1674" s="254" t="s">
        <v>4592</v>
      </c>
      <c r="G1674" s="252" t="s">
        <v>4651</v>
      </c>
      <c r="H1674" s="252" t="s">
        <v>4652</v>
      </c>
      <c r="I1674" s="252">
        <v>5</v>
      </c>
      <c r="J1674" s="255">
        <v>1</v>
      </c>
      <c r="K1674" s="255">
        <v>1</v>
      </c>
      <c r="L1674" s="255"/>
      <c r="M1674" s="256">
        <v>8.9999999999999992E-5</v>
      </c>
      <c r="N1674" s="249">
        <v>1673</v>
      </c>
    </row>
    <row r="1675" spans="1:14" x14ac:dyDescent="0.25">
      <c r="A1675" s="252" t="s">
        <v>134</v>
      </c>
      <c r="B1675" s="252" t="s">
        <v>4131</v>
      </c>
      <c r="C1675" s="253">
        <v>0</v>
      </c>
      <c r="D1675" s="252">
        <v>39792</v>
      </c>
      <c r="E1675" s="252" t="s">
        <v>192</v>
      </c>
      <c r="F1675" s="254" t="s">
        <v>4592</v>
      </c>
      <c r="G1675" s="252" t="s">
        <v>2622</v>
      </c>
      <c r="H1675" s="252" t="s">
        <v>4653</v>
      </c>
      <c r="I1675" s="252">
        <v>5</v>
      </c>
      <c r="J1675" s="255">
        <v>1</v>
      </c>
      <c r="K1675" s="255">
        <v>1</v>
      </c>
      <c r="L1675" s="255"/>
      <c r="M1675" s="256">
        <v>1.8059999999999997E-3</v>
      </c>
      <c r="N1675" s="249">
        <v>1674</v>
      </c>
    </row>
    <row r="1676" spans="1:14" x14ac:dyDescent="0.25">
      <c r="A1676" s="252" t="s">
        <v>134</v>
      </c>
      <c r="B1676" s="252" t="s">
        <v>4131</v>
      </c>
      <c r="C1676" s="253">
        <v>0</v>
      </c>
      <c r="D1676" s="252">
        <v>39792</v>
      </c>
      <c r="E1676" s="252" t="s">
        <v>192</v>
      </c>
      <c r="F1676" s="254" t="s">
        <v>4592</v>
      </c>
      <c r="G1676" s="252" t="s">
        <v>4654</v>
      </c>
      <c r="H1676" s="252" t="s">
        <v>4655</v>
      </c>
      <c r="I1676" s="252">
        <v>5</v>
      </c>
      <c r="J1676" s="255">
        <v>1</v>
      </c>
      <c r="K1676" s="255">
        <v>1</v>
      </c>
      <c r="L1676" s="255"/>
      <c r="M1676" s="256">
        <v>8.9999999999999992E-5</v>
      </c>
      <c r="N1676" s="249">
        <v>1675</v>
      </c>
    </row>
    <row r="1677" spans="1:14" x14ac:dyDescent="0.25">
      <c r="A1677" s="252" t="s">
        <v>134</v>
      </c>
      <c r="B1677" s="252" t="s">
        <v>4131</v>
      </c>
      <c r="C1677" s="253">
        <v>0</v>
      </c>
      <c r="D1677" s="252">
        <v>39792</v>
      </c>
      <c r="E1677" s="252" t="s">
        <v>192</v>
      </c>
      <c r="F1677" s="254" t="s">
        <v>4592</v>
      </c>
      <c r="G1677" s="252" t="s">
        <v>4656</v>
      </c>
      <c r="H1677" s="252" t="s">
        <v>4657</v>
      </c>
      <c r="I1677" s="252">
        <v>5</v>
      </c>
      <c r="J1677" s="255">
        <v>1</v>
      </c>
      <c r="K1677" s="255">
        <v>1</v>
      </c>
      <c r="L1677" s="255"/>
      <c r="M1677" s="256">
        <v>1.8059999999999997E-3</v>
      </c>
      <c r="N1677" s="249">
        <v>1676</v>
      </c>
    </row>
    <row r="1678" spans="1:14" x14ac:dyDescent="0.25">
      <c r="A1678" s="252" t="s">
        <v>134</v>
      </c>
      <c r="B1678" s="252" t="s">
        <v>4131</v>
      </c>
      <c r="C1678" s="253">
        <v>0</v>
      </c>
      <c r="D1678" s="252">
        <v>39792</v>
      </c>
      <c r="E1678" s="252" t="s">
        <v>192</v>
      </c>
      <c r="F1678" s="254" t="s">
        <v>4592</v>
      </c>
      <c r="G1678" s="252" t="s">
        <v>4658</v>
      </c>
      <c r="H1678" s="252" t="s">
        <v>4659</v>
      </c>
      <c r="I1678" s="252">
        <v>5</v>
      </c>
      <c r="J1678" s="255">
        <v>1</v>
      </c>
      <c r="K1678" s="255">
        <v>1</v>
      </c>
      <c r="L1678" s="255"/>
      <c r="M1678" s="256">
        <v>7.0200000000000004E-4</v>
      </c>
      <c r="N1678" s="249">
        <v>1677</v>
      </c>
    </row>
    <row r="1679" spans="1:14" x14ac:dyDescent="0.25">
      <c r="A1679" s="252" t="s">
        <v>134</v>
      </c>
      <c r="B1679" s="252" t="s">
        <v>4131</v>
      </c>
      <c r="C1679" s="253">
        <v>0</v>
      </c>
      <c r="D1679" s="252">
        <v>39792</v>
      </c>
      <c r="E1679" s="252" t="s">
        <v>192</v>
      </c>
      <c r="F1679" s="254" t="s">
        <v>4592</v>
      </c>
      <c r="G1679" s="252" t="s">
        <v>4660</v>
      </c>
      <c r="H1679" s="252" t="s">
        <v>4661</v>
      </c>
      <c r="I1679" s="252">
        <v>5</v>
      </c>
      <c r="J1679" s="255">
        <v>1</v>
      </c>
      <c r="K1679" s="255">
        <v>1</v>
      </c>
      <c r="L1679" s="255"/>
      <c r="M1679" s="256">
        <v>3.8400000000000001E-4</v>
      </c>
      <c r="N1679" s="249">
        <v>1678</v>
      </c>
    </row>
    <row r="1680" spans="1:14" x14ac:dyDescent="0.25">
      <c r="A1680" s="252" t="s">
        <v>134</v>
      </c>
      <c r="B1680" s="252" t="s">
        <v>4131</v>
      </c>
      <c r="C1680" s="253">
        <v>0</v>
      </c>
      <c r="D1680" s="252">
        <v>39792</v>
      </c>
      <c r="E1680" s="252" t="s">
        <v>192</v>
      </c>
      <c r="F1680" s="254" t="s">
        <v>4592</v>
      </c>
      <c r="G1680" s="252" t="s">
        <v>4662</v>
      </c>
      <c r="H1680" s="252" t="s">
        <v>4663</v>
      </c>
      <c r="I1680" s="252">
        <v>5</v>
      </c>
      <c r="J1680" s="255">
        <v>1</v>
      </c>
      <c r="K1680" s="255">
        <v>1</v>
      </c>
      <c r="L1680" s="255"/>
      <c r="M1680" s="256">
        <v>3.8400000000000001E-4</v>
      </c>
      <c r="N1680" s="249">
        <v>1679</v>
      </c>
    </row>
    <row r="1681" spans="1:14" x14ac:dyDescent="0.25">
      <c r="A1681" s="252" t="s">
        <v>134</v>
      </c>
      <c r="B1681" s="252" t="s">
        <v>4131</v>
      </c>
      <c r="C1681" s="253">
        <v>0</v>
      </c>
      <c r="D1681" s="252">
        <v>39792</v>
      </c>
      <c r="E1681" s="252" t="s">
        <v>192</v>
      </c>
      <c r="F1681" s="254" t="s">
        <v>4592</v>
      </c>
      <c r="G1681" s="252" t="s">
        <v>4664</v>
      </c>
      <c r="H1681" s="252" t="s">
        <v>4665</v>
      </c>
      <c r="I1681" s="252">
        <v>5</v>
      </c>
      <c r="J1681" s="255">
        <v>1</v>
      </c>
      <c r="K1681" s="255">
        <v>1</v>
      </c>
      <c r="L1681" s="255"/>
      <c r="M1681" s="256">
        <v>8.9999999999999992E-5</v>
      </c>
      <c r="N1681" s="249">
        <v>1680</v>
      </c>
    </row>
    <row r="1682" spans="1:14" x14ac:dyDescent="0.25">
      <c r="A1682" s="252" t="s">
        <v>134</v>
      </c>
      <c r="B1682" s="252" t="s">
        <v>4131</v>
      </c>
      <c r="C1682" s="253">
        <v>0</v>
      </c>
      <c r="D1682" s="252">
        <v>39792</v>
      </c>
      <c r="E1682" s="252" t="s">
        <v>192</v>
      </c>
      <c r="F1682" s="254" t="s">
        <v>4592</v>
      </c>
      <c r="G1682" s="252" t="s">
        <v>2623</v>
      </c>
      <c r="H1682" s="252" t="s">
        <v>4666</v>
      </c>
      <c r="I1682" s="252">
        <v>5</v>
      </c>
      <c r="J1682" s="255">
        <v>1</v>
      </c>
      <c r="K1682" s="255">
        <v>1</v>
      </c>
      <c r="L1682" s="255"/>
      <c r="M1682" s="256">
        <v>1.8059999999999997E-3</v>
      </c>
      <c r="N1682" s="249">
        <v>1681</v>
      </c>
    </row>
    <row r="1683" spans="1:14" x14ac:dyDescent="0.25">
      <c r="A1683" s="252" t="s">
        <v>134</v>
      </c>
      <c r="B1683" s="252" t="s">
        <v>4131</v>
      </c>
      <c r="C1683" s="253">
        <v>0</v>
      </c>
      <c r="D1683" s="252">
        <v>39792</v>
      </c>
      <c r="E1683" s="252" t="s">
        <v>192</v>
      </c>
      <c r="F1683" s="254" t="s">
        <v>4592</v>
      </c>
      <c r="G1683" s="252" t="s">
        <v>4667</v>
      </c>
      <c r="H1683" s="252" t="s">
        <v>4668</v>
      </c>
      <c r="I1683" s="252">
        <v>5</v>
      </c>
      <c r="J1683" s="255">
        <v>1</v>
      </c>
      <c r="K1683" s="255">
        <v>1</v>
      </c>
      <c r="L1683" s="255"/>
      <c r="M1683" s="256">
        <v>8.9999999999999992E-5</v>
      </c>
      <c r="N1683" s="249">
        <v>1682</v>
      </c>
    </row>
    <row r="1684" spans="1:14" x14ac:dyDescent="0.25">
      <c r="A1684" s="252" t="s">
        <v>134</v>
      </c>
      <c r="B1684" s="252" t="s">
        <v>4131</v>
      </c>
      <c r="C1684" s="253">
        <v>0</v>
      </c>
      <c r="D1684" s="252">
        <v>39792</v>
      </c>
      <c r="E1684" s="252" t="s">
        <v>192</v>
      </c>
      <c r="F1684" s="254" t="s">
        <v>4592</v>
      </c>
      <c r="G1684" s="252" t="s">
        <v>4669</v>
      </c>
      <c r="H1684" s="252" t="s">
        <v>4670</v>
      </c>
      <c r="I1684" s="252">
        <v>5</v>
      </c>
      <c r="J1684" s="255">
        <v>1</v>
      </c>
      <c r="K1684" s="255">
        <v>1</v>
      </c>
      <c r="L1684" s="255"/>
      <c r="M1684" s="256">
        <v>1.8059999999999997E-3</v>
      </c>
      <c r="N1684" s="249">
        <v>1683</v>
      </c>
    </row>
    <row r="1685" spans="1:14" x14ac:dyDescent="0.25">
      <c r="A1685" s="252" t="s">
        <v>134</v>
      </c>
      <c r="B1685" s="252" t="s">
        <v>4131</v>
      </c>
      <c r="C1685" s="253">
        <v>0</v>
      </c>
      <c r="D1685" s="252">
        <v>39792</v>
      </c>
      <c r="E1685" s="252" t="s">
        <v>192</v>
      </c>
      <c r="F1685" s="254" t="s">
        <v>4592</v>
      </c>
      <c r="G1685" s="252" t="s">
        <v>4671</v>
      </c>
      <c r="H1685" s="252" t="s">
        <v>4672</v>
      </c>
      <c r="I1685" s="252">
        <v>5</v>
      </c>
      <c r="J1685" s="255">
        <v>1</v>
      </c>
      <c r="K1685" s="255">
        <v>1</v>
      </c>
      <c r="L1685" s="255"/>
      <c r="M1685" s="256">
        <v>2.9700000000000001E-4</v>
      </c>
      <c r="N1685" s="249">
        <v>1684</v>
      </c>
    </row>
    <row r="1686" spans="1:14" x14ac:dyDescent="0.25">
      <c r="A1686" s="252" t="s">
        <v>134</v>
      </c>
      <c r="B1686" s="252" t="s">
        <v>4131</v>
      </c>
      <c r="C1686" s="253">
        <v>0</v>
      </c>
      <c r="D1686" s="252">
        <v>39792</v>
      </c>
      <c r="E1686" s="252" t="s">
        <v>192</v>
      </c>
      <c r="F1686" s="254" t="s">
        <v>4592</v>
      </c>
      <c r="G1686" s="252" t="s">
        <v>4673</v>
      </c>
      <c r="H1686" s="252" t="s">
        <v>4674</v>
      </c>
      <c r="I1686" s="252">
        <v>5</v>
      </c>
      <c r="J1686" s="255">
        <v>1</v>
      </c>
      <c r="K1686" s="255">
        <v>1</v>
      </c>
      <c r="L1686" s="255"/>
      <c r="M1686" s="256">
        <v>1.3799999999999999E-4</v>
      </c>
      <c r="N1686" s="249">
        <v>1685</v>
      </c>
    </row>
    <row r="1687" spans="1:14" x14ac:dyDescent="0.25">
      <c r="A1687" s="252" t="s">
        <v>134</v>
      </c>
      <c r="B1687" s="252" t="s">
        <v>4131</v>
      </c>
      <c r="C1687" s="253">
        <v>0</v>
      </c>
      <c r="D1687" s="252">
        <v>39792</v>
      </c>
      <c r="E1687" s="252" t="s">
        <v>192</v>
      </c>
      <c r="F1687" s="254" t="s">
        <v>4592</v>
      </c>
      <c r="G1687" s="252" t="s">
        <v>4675</v>
      </c>
      <c r="H1687" s="252" t="s">
        <v>4676</v>
      </c>
      <c r="I1687" s="252">
        <v>5</v>
      </c>
      <c r="J1687" s="255">
        <v>1</v>
      </c>
      <c r="K1687" s="255">
        <v>1</v>
      </c>
      <c r="L1687" s="255"/>
      <c r="M1687" s="256">
        <v>1.3799999999999999E-4</v>
      </c>
      <c r="N1687" s="249">
        <v>1686</v>
      </c>
    </row>
    <row r="1688" spans="1:14" x14ac:dyDescent="0.25">
      <c r="A1688" s="252" t="s">
        <v>134</v>
      </c>
      <c r="B1688" s="252" t="s">
        <v>4131</v>
      </c>
      <c r="C1688" s="253">
        <v>0</v>
      </c>
      <c r="D1688" s="252">
        <v>39792</v>
      </c>
      <c r="E1688" s="252" t="s">
        <v>192</v>
      </c>
      <c r="F1688" s="254" t="s">
        <v>4592</v>
      </c>
      <c r="G1688" s="252" t="s">
        <v>4677</v>
      </c>
      <c r="H1688" s="252" t="s">
        <v>4678</v>
      </c>
      <c r="I1688" s="252">
        <v>5</v>
      </c>
      <c r="J1688" s="255">
        <v>1</v>
      </c>
      <c r="K1688" s="255">
        <v>1</v>
      </c>
      <c r="L1688" s="255"/>
      <c r="M1688" s="256">
        <v>8.9999999999999992E-5</v>
      </c>
      <c r="N1688" s="249">
        <v>1687</v>
      </c>
    </row>
    <row r="1689" spans="1:14" x14ac:dyDescent="0.25">
      <c r="A1689" s="252" t="s">
        <v>134</v>
      </c>
      <c r="B1689" s="252" t="s">
        <v>4131</v>
      </c>
      <c r="C1689" s="253">
        <v>0</v>
      </c>
      <c r="D1689" s="252">
        <v>39792</v>
      </c>
      <c r="E1689" s="252" t="s">
        <v>192</v>
      </c>
      <c r="F1689" s="254" t="s">
        <v>4592</v>
      </c>
      <c r="G1689" s="252" t="s">
        <v>4679</v>
      </c>
      <c r="H1689" s="252" t="s">
        <v>4680</v>
      </c>
      <c r="I1689" s="252">
        <v>5</v>
      </c>
      <c r="J1689" s="255">
        <v>1</v>
      </c>
      <c r="K1689" s="255">
        <v>1</v>
      </c>
      <c r="L1689" s="255"/>
      <c r="M1689" s="256">
        <v>1.7759999999999998E-3</v>
      </c>
      <c r="N1689" s="249">
        <v>1688</v>
      </c>
    </row>
    <row r="1690" spans="1:14" x14ac:dyDescent="0.25">
      <c r="A1690" s="252" t="s">
        <v>134</v>
      </c>
      <c r="B1690" s="252" t="s">
        <v>4131</v>
      </c>
      <c r="C1690" s="253">
        <v>0</v>
      </c>
      <c r="D1690" s="252">
        <v>39792</v>
      </c>
      <c r="E1690" s="252" t="s">
        <v>192</v>
      </c>
      <c r="F1690" s="254" t="s">
        <v>4592</v>
      </c>
      <c r="G1690" s="252" t="s">
        <v>4681</v>
      </c>
      <c r="H1690" s="252" t="s">
        <v>4682</v>
      </c>
      <c r="I1690" s="252">
        <v>5</v>
      </c>
      <c r="J1690" s="255">
        <v>1</v>
      </c>
      <c r="K1690" s="255">
        <v>1</v>
      </c>
      <c r="L1690" s="255"/>
      <c r="M1690" s="256">
        <v>8.9999999999999992E-5</v>
      </c>
      <c r="N1690" s="249">
        <v>1689</v>
      </c>
    </row>
    <row r="1691" spans="1:14" x14ac:dyDescent="0.25">
      <c r="A1691" s="252" t="s">
        <v>134</v>
      </c>
      <c r="B1691" s="252" t="s">
        <v>4131</v>
      </c>
      <c r="C1691" s="253">
        <v>0</v>
      </c>
      <c r="D1691" s="252">
        <v>39792</v>
      </c>
      <c r="E1691" s="252" t="s">
        <v>192</v>
      </c>
      <c r="F1691" s="254" t="s">
        <v>4592</v>
      </c>
      <c r="G1691" s="252" t="s">
        <v>4683</v>
      </c>
      <c r="H1691" s="252" t="s">
        <v>4684</v>
      </c>
      <c r="I1691" s="252">
        <v>5</v>
      </c>
      <c r="J1691" s="255">
        <v>1</v>
      </c>
      <c r="K1691" s="255">
        <v>1</v>
      </c>
      <c r="L1691" s="255"/>
      <c r="M1691" s="256">
        <v>1.7759999999999998E-3</v>
      </c>
      <c r="N1691" s="249">
        <v>1690</v>
      </c>
    </row>
    <row r="1692" spans="1:14" x14ac:dyDescent="0.25">
      <c r="A1692" s="252" t="s">
        <v>134</v>
      </c>
      <c r="B1692" s="252" t="s">
        <v>4131</v>
      </c>
      <c r="C1692" s="253">
        <v>0</v>
      </c>
      <c r="D1692" s="252">
        <v>39792</v>
      </c>
      <c r="E1692" s="252" t="s">
        <v>192</v>
      </c>
      <c r="F1692" s="254" t="s">
        <v>4592</v>
      </c>
      <c r="G1692" s="252" t="s">
        <v>4685</v>
      </c>
      <c r="H1692" s="252" t="s">
        <v>4686</v>
      </c>
      <c r="I1692" s="252">
        <v>5</v>
      </c>
      <c r="J1692" s="255">
        <v>1</v>
      </c>
      <c r="K1692" s="255">
        <v>1</v>
      </c>
      <c r="L1692" s="255"/>
      <c r="M1692" s="256">
        <v>2.4899999999999998E-4</v>
      </c>
      <c r="N1692" s="249">
        <v>1691</v>
      </c>
    </row>
    <row r="1693" spans="1:14" x14ac:dyDescent="0.25">
      <c r="A1693" s="252" t="s">
        <v>134</v>
      </c>
      <c r="B1693" s="252" t="s">
        <v>4131</v>
      </c>
      <c r="C1693" s="253">
        <v>0</v>
      </c>
      <c r="D1693" s="252">
        <v>39792</v>
      </c>
      <c r="E1693" s="252" t="s">
        <v>192</v>
      </c>
      <c r="F1693" s="254" t="s">
        <v>4592</v>
      </c>
      <c r="G1693" s="252" t="s">
        <v>4687</v>
      </c>
      <c r="H1693" s="252" t="s">
        <v>4688</v>
      </c>
      <c r="I1693" s="252">
        <v>5</v>
      </c>
      <c r="J1693" s="255">
        <v>1</v>
      </c>
      <c r="K1693" s="255">
        <v>1</v>
      </c>
      <c r="L1693" s="255"/>
      <c r="M1693" s="256">
        <v>1.1670000000000001E-3</v>
      </c>
      <c r="N1693" s="249">
        <v>1692</v>
      </c>
    </row>
    <row r="1694" spans="1:14" x14ac:dyDescent="0.25">
      <c r="A1694" s="252" t="s">
        <v>134</v>
      </c>
      <c r="B1694" s="252" t="s">
        <v>4131</v>
      </c>
      <c r="C1694" s="253">
        <v>0</v>
      </c>
      <c r="D1694" s="252">
        <v>39792</v>
      </c>
      <c r="E1694" s="252" t="s">
        <v>192</v>
      </c>
      <c r="F1694" s="254" t="s">
        <v>4592</v>
      </c>
      <c r="G1694" s="252" t="s">
        <v>4689</v>
      </c>
      <c r="H1694" s="252" t="s">
        <v>4690</v>
      </c>
      <c r="I1694" s="252">
        <v>5</v>
      </c>
      <c r="J1694" s="255">
        <v>1</v>
      </c>
      <c r="K1694" s="255">
        <v>1</v>
      </c>
      <c r="L1694" s="255"/>
      <c r="M1694" s="256">
        <v>2.7E-4</v>
      </c>
      <c r="N1694" s="249">
        <v>1693</v>
      </c>
    </row>
    <row r="1695" spans="1:14" x14ac:dyDescent="0.25">
      <c r="A1695" s="252" t="s">
        <v>134</v>
      </c>
      <c r="B1695" s="252" t="s">
        <v>4131</v>
      </c>
      <c r="C1695" s="253">
        <v>0</v>
      </c>
      <c r="D1695" s="252">
        <v>39792</v>
      </c>
      <c r="E1695" s="252" t="s">
        <v>192</v>
      </c>
      <c r="F1695" s="254" t="s">
        <v>4592</v>
      </c>
      <c r="G1695" s="252" t="s">
        <v>4691</v>
      </c>
      <c r="H1695" s="252" t="s">
        <v>4692</v>
      </c>
      <c r="I1695" s="252">
        <v>5</v>
      </c>
      <c r="J1695" s="255">
        <v>1</v>
      </c>
      <c r="K1695" s="255">
        <v>1</v>
      </c>
      <c r="L1695" s="255"/>
      <c r="M1695" s="256">
        <v>1.1670000000000001E-3</v>
      </c>
      <c r="N1695" s="249">
        <v>1694</v>
      </c>
    </row>
    <row r="1696" spans="1:14" x14ac:dyDescent="0.25">
      <c r="A1696" s="252" t="s">
        <v>134</v>
      </c>
      <c r="B1696" s="252" t="s">
        <v>4131</v>
      </c>
      <c r="C1696" s="253">
        <v>0</v>
      </c>
      <c r="D1696" s="252">
        <v>39792</v>
      </c>
      <c r="E1696" s="252" t="s">
        <v>192</v>
      </c>
      <c r="F1696" s="254" t="s">
        <v>4592</v>
      </c>
      <c r="G1696" s="252" t="s">
        <v>4693</v>
      </c>
      <c r="H1696" s="252" t="s">
        <v>4694</v>
      </c>
      <c r="I1696" s="252">
        <v>5</v>
      </c>
      <c r="J1696" s="255">
        <v>1</v>
      </c>
      <c r="K1696" s="255">
        <v>1</v>
      </c>
      <c r="L1696" s="255"/>
      <c r="M1696" s="256">
        <v>4.4999999999999999E-4</v>
      </c>
      <c r="N1696" s="249">
        <v>1695</v>
      </c>
    </row>
    <row r="1697" spans="1:14" x14ac:dyDescent="0.25">
      <c r="A1697" s="252" t="s">
        <v>134</v>
      </c>
      <c r="B1697" s="252" t="s">
        <v>4131</v>
      </c>
      <c r="C1697" s="253">
        <v>0</v>
      </c>
      <c r="D1697" s="252">
        <v>39792</v>
      </c>
      <c r="E1697" s="252" t="s">
        <v>192</v>
      </c>
      <c r="F1697" s="254" t="s">
        <v>4592</v>
      </c>
      <c r="G1697" s="252" t="s">
        <v>4695</v>
      </c>
      <c r="H1697" s="252" t="s">
        <v>4696</v>
      </c>
      <c r="I1697" s="252">
        <v>5</v>
      </c>
      <c r="J1697" s="255">
        <v>1</v>
      </c>
      <c r="K1697" s="255">
        <v>1</v>
      </c>
      <c r="L1697" s="255"/>
      <c r="M1697" s="256">
        <v>1.2149999999999999E-3</v>
      </c>
      <c r="N1697" s="249">
        <v>1696</v>
      </c>
    </row>
    <row r="1698" spans="1:14" x14ac:dyDescent="0.25">
      <c r="A1698" s="252" t="s">
        <v>134</v>
      </c>
      <c r="B1698" s="252" t="s">
        <v>4131</v>
      </c>
      <c r="C1698" s="253">
        <v>0</v>
      </c>
      <c r="D1698" s="252">
        <v>39792</v>
      </c>
      <c r="E1698" s="252" t="s">
        <v>192</v>
      </c>
      <c r="F1698" s="254" t="s">
        <v>4592</v>
      </c>
      <c r="G1698" s="252" t="s">
        <v>4697</v>
      </c>
      <c r="H1698" s="252" t="s">
        <v>4698</v>
      </c>
      <c r="I1698" s="252">
        <v>5</v>
      </c>
      <c r="J1698" s="255">
        <v>1</v>
      </c>
      <c r="K1698" s="255">
        <v>1</v>
      </c>
      <c r="L1698" s="255"/>
      <c r="M1698" s="256">
        <v>3.5369999999999993E-3</v>
      </c>
      <c r="N1698" s="249">
        <v>1697</v>
      </c>
    </row>
    <row r="1699" spans="1:14" x14ac:dyDescent="0.25">
      <c r="A1699" s="252" t="s">
        <v>134</v>
      </c>
      <c r="B1699" s="252" t="s">
        <v>4131</v>
      </c>
      <c r="C1699" s="253">
        <v>0</v>
      </c>
      <c r="D1699" s="252">
        <v>39792</v>
      </c>
      <c r="E1699" s="252" t="s">
        <v>192</v>
      </c>
      <c r="F1699" s="254" t="s">
        <v>4592</v>
      </c>
      <c r="G1699" s="252" t="s">
        <v>4699</v>
      </c>
      <c r="H1699" s="252" t="s">
        <v>4700</v>
      </c>
      <c r="I1699" s="252">
        <v>5</v>
      </c>
      <c r="J1699" s="255">
        <v>1</v>
      </c>
      <c r="K1699" s="255">
        <v>1</v>
      </c>
      <c r="L1699" s="255"/>
      <c r="M1699" s="256">
        <v>8.7300000000000008E-4</v>
      </c>
      <c r="N1699" s="249">
        <v>1698</v>
      </c>
    </row>
    <row r="1700" spans="1:14" x14ac:dyDescent="0.25">
      <c r="A1700" s="252" t="s">
        <v>134</v>
      </c>
      <c r="B1700" s="252" t="s">
        <v>4131</v>
      </c>
      <c r="C1700" s="253">
        <v>0</v>
      </c>
      <c r="D1700" s="252">
        <v>39792</v>
      </c>
      <c r="E1700" s="252" t="s">
        <v>192</v>
      </c>
      <c r="F1700" s="254" t="s">
        <v>4592</v>
      </c>
      <c r="G1700" s="252" t="s">
        <v>4701</v>
      </c>
      <c r="H1700" s="252" t="s">
        <v>4702</v>
      </c>
      <c r="I1700" s="252">
        <v>5</v>
      </c>
      <c r="J1700" s="255">
        <v>1</v>
      </c>
      <c r="K1700" s="255">
        <v>1</v>
      </c>
      <c r="L1700" s="255"/>
      <c r="M1700" s="256">
        <v>8.9999999999999992E-5</v>
      </c>
      <c r="N1700" s="249">
        <v>1699</v>
      </c>
    </row>
    <row r="1701" spans="1:14" x14ac:dyDescent="0.25">
      <c r="A1701" s="252" t="s">
        <v>134</v>
      </c>
      <c r="B1701" s="252" t="s">
        <v>4131</v>
      </c>
      <c r="C1701" s="253">
        <v>0</v>
      </c>
      <c r="D1701" s="252">
        <v>39792</v>
      </c>
      <c r="E1701" s="252" t="s">
        <v>192</v>
      </c>
      <c r="F1701" s="254" t="s">
        <v>4592</v>
      </c>
      <c r="G1701" s="252" t="s">
        <v>4703</v>
      </c>
      <c r="H1701" s="252" t="s">
        <v>4704</v>
      </c>
      <c r="I1701" s="252">
        <v>5</v>
      </c>
      <c r="J1701" s="255">
        <v>1</v>
      </c>
      <c r="K1701" s="255">
        <v>1</v>
      </c>
      <c r="L1701" s="255"/>
      <c r="M1701" s="256">
        <v>1.8059999999999997E-3</v>
      </c>
      <c r="N1701" s="249">
        <v>1700</v>
      </c>
    </row>
    <row r="1702" spans="1:14" x14ac:dyDescent="0.25">
      <c r="A1702" s="252" t="s">
        <v>134</v>
      </c>
      <c r="B1702" s="252" t="s">
        <v>4131</v>
      </c>
      <c r="C1702" s="253">
        <v>0</v>
      </c>
      <c r="D1702" s="252">
        <v>39792</v>
      </c>
      <c r="E1702" s="252" t="s">
        <v>192</v>
      </c>
      <c r="F1702" s="254" t="s">
        <v>4592</v>
      </c>
      <c r="G1702" s="252" t="s">
        <v>4705</v>
      </c>
      <c r="H1702" s="252" t="s">
        <v>4706</v>
      </c>
      <c r="I1702" s="252">
        <v>5</v>
      </c>
      <c r="J1702" s="255">
        <v>1</v>
      </c>
      <c r="K1702" s="255">
        <v>1</v>
      </c>
      <c r="L1702" s="255"/>
      <c r="M1702" s="256">
        <v>8.9999999999999992E-5</v>
      </c>
      <c r="N1702" s="249">
        <v>1701</v>
      </c>
    </row>
    <row r="1703" spans="1:14" x14ac:dyDescent="0.25">
      <c r="A1703" s="252" t="s">
        <v>134</v>
      </c>
      <c r="B1703" s="252" t="s">
        <v>4131</v>
      </c>
      <c r="C1703" s="253">
        <v>0</v>
      </c>
      <c r="D1703" s="252">
        <v>39792</v>
      </c>
      <c r="E1703" s="252" t="s">
        <v>192</v>
      </c>
      <c r="F1703" s="254" t="s">
        <v>4592</v>
      </c>
      <c r="G1703" s="252" t="s">
        <v>4707</v>
      </c>
      <c r="H1703" s="252" t="s">
        <v>4708</v>
      </c>
      <c r="I1703" s="252">
        <v>5</v>
      </c>
      <c r="J1703" s="255">
        <v>1</v>
      </c>
      <c r="K1703" s="255">
        <v>1</v>
      </c>
      <c r="L1703" s="255"/>
      <c r="M1703" s="256">
        <v>1.8059999999999997E-3</v>
      </c>
      <c r="N1703" s="249">
        <v>1702</v>
      </c>
    </row>
    <row r="1704" spans="1:14" x14ac:dyDescent="0.25">
      <c r="A1704" s="252" t="s">
        <v>134</v>
      </c>
      <c r="B1704" s="252" t="s">
        <v>4131</v>
      </c>
      <c r="C1704" s="253">
        <v>0</v>
      </c>
      <c r="D1704" s="252">
        <v>39792</v>
      </c>
      <c r="E1704" s="252" t="s">
        <v>192</v>
      </c>
      <c r="F1704" s="254" t="s">
        <v>4592</v>
      </c>
      <c r="G1704" s="252" t="s">
        <v>4709</v>
      </c>
      <c r="H1704" s="252" t="s">
        <v>4710</v>
      </c>
      <c r="I1704" s="252">
        <v>5</v>
      </c>
      <c r="J1704" s="255">
        <v>1</v>
      </c>
      <c r="K1704" s="255">
        <v>1</v>
      </c>
      <c r="L1704" s="255"/>
      <c r="M1704" s="256">
        <v>6.6899999999999989E-4</v>
      </c>
      <c r="N1704" s="249">
        <v>1703</v>
      </c>
    </row>
    <row r="1705" spans="1:14" x14ac:dyDescent="0.25">
      <c r="A1705" s="252" t="s">
        <v>134</v>
      </c>
      <c r="B1705" s="252" t="s">
        <v>4131</v>
      </c>
      <c r="C1705" s="253">
        <v>0</v>
      </c>
      <c r="D1705" s="252">
        <v>39792</v>
      </c>
      <c r="E1705" s="252" t="s">
        <v>192</v>
      </c>
      <c r="F1705" s="254" t="s">
        <v>4592</v>
      </c>
      <c r="G1705" s="252" t="s">
        <v>4711</v>
      </c>
      <c r="H1705" s="252" t="s">
        <v>4712</v>
      </c>
      <c r="I1705" s="252">
        <v>5</v>
      </c>
      <c r="J1705" s="255">
        <v>1</v>
      </c>
      <c r="K1705" s="255">
        <v>1</v>
      </c>
      <c r="L1705" s="255"/>
      <c r="M1705" s="256">
        <v>3.6299999999999999E-4</v>
      </c>
      <c r="N1705" s="249">
        <v>1704</v>
      </c>
    </row>
    <row r="1706" spans="1:14" x14ac:dyDescent="0.25">
      <c r="A1706" s="252" t="s">
        <v>134</v>
      </c>
      <c r="B1706" s="252" t="s">
        <v>4131</v>
      </c>
      <c r="C1706" s="253">
        <v>0</v>
      </c>
      <c r="D1706" s="252">
        <v>39792</v>
      </c>
      <c r="E1706" s="252" t="s">
        <v>192</v>
      </c>
      <c r="F1706" s="254" t="s">
        <v>4592</v>
      </c>
      <c r="G1706" s="252" t="s">
        <v>4713</v>
      </c>
      <c r="H1706" s="252" t="s">
        <v>4714</v>
      </c>
      <c r="I1706" s="252">
        <v>5</v>
      </c>
      <c r="J1706" s="255">
        <v>1</v>
      </c>
      <c r="K1706" s="255">
        <v>1</v>
      </c>
      <c r="L1706" s="255"/>
      <c r="M1706" s="256">
        <v>3.6299999999999999E-4</v>
      </c>
      <c r="N1706" s="249">
        <v>1705</v>
      </c>
    </row>
    <row r="1707" spans="1:14" x14ac:dyDescent="0.25">
      <c r="A1707" s="252" t="s">
        <v>134</v>
      </c>
      <c r="B1707" s="252" t="s">
        <v>4131</v>
      </c>
      <c r="C1707" s="253">
        <v>0</v>
      </c>
      <c r="D1707" s="252">
        <v>39792</v>
      </c>
      <c r="E1707" s="252" t="s">
        <v>192</v>
      </c>
      <c r="F1707" s="254" t="s">
        <v>4592</v>
      </c>
      <c r="G1707" s="252" t="s">
        <v>4715</v>
      </c>
      <c r="H1707" s="252" t="s">
        <v>4716</v>
      </c>
      <c r="I1707" s="252">
        <v>5</v>
      </c>
      <c r="J1707" s="255">
        <v>1</v>
      </c>
      <c r="K1707" s="255">
        <v>1</v>
      </c>
      <c r="L1707" s="255"/>
      <c r="M1707" s="256">
        <v>8.9999999999999992E-5</v>
      </c>
      <c r="N1707" s="249">
        <v>1706</v>
      </c>
    </row>
    <row r="1708" spans="1:14" x14ac:dyDescent="0.25">
      <c r="A1708" s="252" t="s">
        <v>134</v>
      </c>
      <c r="B1708" s="252" t="s">
        <v>4131</v>
      </c>
      <c r="C1708" s="253">
        <v>0</v>
      </c>
      <c r="D1708" s="252">
        <v>39792</v>
      </c>
      <c r="E1708" s="252" t="s">
        <v>192</v>
      </c>
      <c r="F1708" s="254" t="s">
        <v>4592</v>
      </c>
      <c r="G1708" s="252" t="s">
        <v>4717</v>
      </c>
      <c r="H1708" s="252" t="s">
        <v>4718</v>
      </c>
      <c r="I1708" s="252">
        <v>5</v>
      </c>
      <c r="J1708" s="255">
        <v>1</v>
      </c>
      <c r="K1708" s="255">
        <v>1</v>
      </c>
      <c r="L1708" s="255"/>
      <c r="M1708" s="256">
        <v>1.8059999999999997E-3</v>
      </c>
      <c r="N1708" s="249">
        <v>1707</v>
      </c>
    </row>
    <row r="1709" spans="1:14" x14ac:dyDescent="0.25">
      <c r="A1709" s="252" t="s">
        <v>134</v>
      </c>
      <c r="B1709" s="252" t="s">
        <v>4131</v>
      </c>
      <c r="C1709" s="253">
        <v>0</v>
      </c>
      <c r="D1709" s="252">
        <v>39792</v>
      </c>
      <c r="E1709" s="252" t="s">
        <v>192</v>
      </c>
      <c r="F1709" s="254" t="s">
        <v>4592</v>
      </c>
      <c r="G1709" s="252" t="s">
        <v>4719</v>
      </c>
      <c r="H1709" s="252" t="s">
        <v>4720</v>
      </c>
      <c r="I1709" s="252">
        <v>5</v>
      </c>
      <c r="J1709" s="255">
        <v>1</v>
      </c>
      <c r="K1709" s="255">
        <v>1</v>
      </c>
      <c r="L1709" s="255"/>
      <c r="M1709" s="256">
        <v>8.9999999999999992E-5</v>
      </c>
      <c r="N1709" s="249">
        <v>1708</v>
      </c>
    </row>
    <row r="1710" spans="1:14" x14ac:dyDescent="0.25">
      <c r="A1710" s="252" t="s">
        <v>134</v>
      </c>
      <c r="B1710" s="252" t="s">
        <v>4131</v>
      </c>
      <c r="C1710" s="253">
        <v>0</v>
      </c>
      <c r="D1710" s="252">
        <v>39792</v>
      </c>
      <c r="E1710" s="252" t="s">
        <v>192</v>
      </c>
      <c r="F1710" s="254" t="s">
        <v>4592</v>
      </c>
      <c r="G1710" s="252" t="s">
        <v>4721</v>
      </c>
      <c r="H1710" s="252" t="s">
        <v>4722</v>
      </c>
      <c r="I1710" s="252">
        <v>5</v>
      </c>
      <c r="J1710" s="255">
        <v>1</v>
      </c>
      <c r="K1710" s="255">
        <v>1</v>
      </c>
      <c r="L1710" s="255"/>
      <c r="M1710" s="256">
        <v>5.8199999999999994E-4</v>
      </c>
      <c r="N1710" s="249">
        <v>1709</v>
      </c>
    </row>
    <row r="1711" spans="1:14" x14ac:dyDescent="0.25">
      <c r="A1711" s="252" t="s">
        <v>134</v>
      </c>
      <c r="B1711" s="252" t="s">
        <v>4131</v>
      </c>
      <c r="C1711" s="253">
        <v>0</v>
      </c>
      <c r="D1711" s="252">
        <v>39792</v>
      </c>
      <c r="E1711" s="252" t="s">
        <v>192</v>
      </c>
      <c r="F1711" s="254" t="s">
        <v>4592</v>
      </c>
      <c r="G1711" s="252" t="s">
        <v>4723</v>
      </c>
      <c r="H1711" s="252" t="s">
        <v>4724</v>
      </c>
      <c r="I1711" s="252">
        <v>5</v>
      </c>
      <c r="J1711" s="255">
        <v>1</v>
      </c>
      <c r="K1711" s="255">
        <v>1</v>
      </c>
      <c r="L1711" s="255"/>
      <c r="M1711" s="256">
        <v>5.8199999999999994E-4</v>
      </c>
      <c r="N1711" s="249">
        <v>1710</v>
      </c>
    </row>
    <row r="1712" spans="1:14" x14ac:dyDescent="0.25">
      <c r="A1712" s="252" t="s">
        <v>134</v>
      </c>
      <c r="B1712" s="252" t="s">
        <v>4131</v>
      </c>
      <c r="C1712" s="253">
        <v>0</v>
      </c>
      <c r="D1712" s="252">
        <v>39792</v>
      </c>
      <c r="E1712" s="252" t="s">
        <v>192</v>
      </c>
      <c r="F1712" s="254" t="s">
        <v>4592</v>
      </c>
      <c r="G1712" s="252" t="s">
        <v>4725</v>
      </c>
      <c r="H1712" s="252" t="s">
        <v>4726</v>
      </c>
      <c r="I1712" s="252">
        <v>5</v>
      </c>
      <c r="J1712" s="255">
        <v>1</v>
      </c>
      <c r="K1712" s="255">
        <v>1</v>
      </c>
      <c r="L1712" s="255"/>
      <c r="M1712" s="256">
        <v>2.7300000000000002E-3</v>
      </c>
      <c r="N1712" s="249">
        <v>1711</v>
      </c>
    </row>
    <row r="1713" spans="1:14" x14ac:dyDescent="0.25">
      <c r="A1713" s="252" t="s">
        <v>134</v>
      </c>
      <c r="B1713" s="252" t="s">
        <v>4131</v>
      </c>
      <c r="C1713" s="253">
        <v>0</v>
      </c>
      <c r="D1713" s="252">
        <v>39792</v>
      </c>
      <c r="E1713" s="252" t="s">
        <v>192</v>
      </c>
      <c r="F1713" s="254" t="s">
        <v>4592</v>
      </c>
      <c r="G1713" s="252" t="s">
        <v>4727</v>
      </c>
      <c r="H1713" s="252" t="s">
        <v>4728</v>
      </c>
      <c r="I1713" s="252">
        <v>5</v>
      </c>
      <c r="J1713" s="255">
        <v>1</v>
      </c>
      <c r="K1713" s="255">
        <v>1</v>
      </c>
      <c r="L1713" s="255"/>
      <c r="M1713" s="256">
        <v>8.9999999999999992E-5</v>
      </c>
      <c r="N1713" s="249">
        <v>1712</v>
      </c>
    </row>
    <row r="1714" spans="1:14" x14ac:dyDescent="0.25">
      <c r="A1714" s="252" t="s">
        <v>134</v>
      </c>
      <c r="B1714" s="252" t="s">
        <v>4131</v>
      </c>
      <c r="C1714" s="253">
        <v>0</v>
      </c>
      <c r="D1714" s="252">
        <v>39792</v>
      </c>
      <c r="E1714" s="252" t="s">
        <v>192</v>
      </c>
      <c r="F1714" s="254" t="s">
        <v>4592</v>
      </c>
      <c r="G1714" s="252" t="s">
        <v>4729</v>
      </c>
      <c r="H1714" s="252" t="s">
        <v>4730</v>
      </c>
      <c r="I1714" s="252">
        <v>5</v>
      </c>
      <c r="J1714" s="255">
        <v>1</v>
      </c>
      <c r="K1714" s="255">
        <v>1</v>
      </c>
      <c r="L1714" s="255"/>
      <c r="M1714" s="256">
        <v>1.8059999999999997E-3</v>
      </c>
      <c r="N1714" s="249">
        <v>1713</v>
      </c>
    </row>
    <row r="1715" spans="1:14" x14ac:dyDescent="0.25">
      <c r="A1715" s="252" t="s">
        <v>134</v>
      </c>
      <c r="B1715" s="252" t="s">
        <v>4131</v>
      </c>
      <c r="C1715" s="253">
        <v>0</v>
      </c>
      <c r="D1715" s="252">
        <v>39792</v>
      </c>
      <c r="E1715" s="252" t="s">
        <v>192</v>
      </c>
      <c r="F1715" s="254" t="s">
        <v>4592</v>
      </c>
      <c r="G1715" s="252" t="s">
        <v>4731</v>
      </c>
      <c r="H1715" s="252" t="s">
        <v>4732</v>
      </c>
      <c r="I1715" s="252">
        <v>5</v>
      </c>
      <c r="J1715" s="255">
        <v>1</v>
      </c>
      <c r="K1715" s="255">
        <v>1</v>
      </c>
      <c r="L1715" s="255"/>
      <c r="M1715" s="256">
        <v>8.9999999999999992E-5</v>
      </c>
      <c r="N1715" s="249">
        <v>1714</v>
      </c>
    </row>
    <row r="1716" spans="1:14" x14ac:dyDescent="0.25">
      <c r="A1716" s="252" t="s">
        <v>134</v>
      </c>
      <c r="B1716" s="252" t="s">
        <v>4131</v>
      </c>
      <c r="C1716" s="253">
        <v>0</v>
      </c>
      <c r="D1716" s="252">
        <v>39792</v>
      </c>
      <c r="E1716" s="252" t="s">
        <v>192</v>
      </c>
      <c r="F1716" s="254" t="s">
        <v>4592</v>
      </c>
      <c r="G1716" s="252" t="s">
        <v>4733</v>
      </c>
      <c r="H1716" s="252" t="s">
        <v>4734</v>
      </c>
      <c r="I1716" s="252">
        <v>5</v>
      </c>
      <c r="J1716" s="255">
        <v>1</v>
      </c>
      <c r="K1716" s="255">
        <v>1</v>
      </c>
      <c r="L1716" s="255"/>
      <c r="M1716" s="256">
        <v>1.8059999999999997E-3</v>
      </c>
      <c r="N1716" s="249">
        <v>1715</v>
      </c>
    </row>
    <row r="1717" spans="1:14" x14ac:dyDescent="0.25">
      <c r="A1717" s="252" t="s">
        <v>134</v>
      </c>
      <c r="B1717" s="252" t="s">
        <v>4131</v>
      </c>
      <c r="C1717" s="253">
        <v>0</v>
      </c>
      <c r="D1717" s="252">
        <v>39792</v>
      </c>
      <c r="E1717" s="252" t="s">
        <v>192</v>
      </c>
      <c r="F1717" s="254" t="s">
        <v>4592</v>
      </c>
      <c r="G1717" s="252" t="s">
        <v>4735</v>
      </c>
      <c r="H1717" s="252" t="s">
        <v>4736</v>
      </c>
      <c r="I1717" s="252">
        <v>5</v>
      </c>
      <c r="J1717" s="255">
        <v>1</v>
      </c>
      <c r="K1717" s="255">
        <v>1</v>
      </c>
      <c r="L1717" s="255"/>
      <c r="M1717" s="256">
        <v>6.4199999999999999E-4</v>
      </c>
      <c r="N1717" s="249">
        <v>1716</v>
      </c>
    </row>
    <row r="1718" spans="1:14" x14ac:dyDescent="0.25">
      <c r="A1718" s="252" t="s">
        <v>134</v>
      </c>
      <c r="B1718" s="252" t="s">
        <v>4131</v>
      </c>
      <c r="C1718" s="253">
        <v>0</v>
      </c>
      <c r="D1718" s="252">
        <v>39792</v>
      </c>
      <c r="E1718" s="252" t="s">
        <v>192</v>
      </c>
      <c r="F1718" s="254" t="s">
        <v>4592</v>
      </c>
      <c r="G1718" s="252" t="s">
        <v>4737</v>
      </c>
      <c r="H1718" s="252" t="s">
        <v>4738</v>
      </c>
      <c r="I1718" s="252">
        <v>5</v>
      </c>
      <c r="J1718" s="255">
        <v>1</v>
      </c>
      <c r="K1718" s="255">
        <v>1</v>
      </c>
      <c r="L1718" s="255"/>
      <c r="M1718" s="256">
        <v>1.1309999999999998E-3</v>
      </c>
      <c r="N1718" s="249">
        <v>1717</v>
      </c>
    </row>
    <row r="1719" spans="1:14" x14ac:dyDescent="0.25">
      <c r="A1719" s="252" t="s">
        <v>134</v>
      </c>
      <c r="B1719" s="252" t="s">
        <v>4131</v>
      </c>
      <c r="C1719" s="253">
        <v>0</v>
      </c>
      <c r="D1719" s="252">
        <v>39792</v>
      </c>
      <c r="E1719" s="252" t="s">
        <v>192</v>
      </c>
      <c r="F1719" s="254" t="s">
        <v>4592</v>
      </c>
      <c r="G1719" s="252" t="s">
        <v>4739</v>
      </c>
      <c r="H1719" s="252" t="s">
        <v>4740</v>
      </c>
      <c r="I1719" s="252">
        <v>5</v>
      </c>
      <c r="J1719" s="255">
        <v>1</v>
      </c>
      <c r="K1719" s="255">
        <v>1</v>
      </c>
      <c r="L1719" s="255"/>
      <c r="M1719" s="256">
        <v>6.4199999999999999E-4</v>
      </c>
      <c r="N1719" s="249">
        <v>1718</v>
      </c>
    </row>
    <row r="1720" spans="1:14" x14ac:dyDescent="0.25">
      <c r="A1720" s="252" t="s">
        <v>134</v>
      </c>
      <c r="B1720" s="252" t="s">
        <v>4131</v>
      </c>
      <c r="C1720" s="253">
        <v>0</v>
      </c>
      <c r="D1720" s="252">
        <v>39792</v>
      </c>
      <c r="E1720" s="252" t="s">
        <v>1591</v>
      </c>
      <c r="F1720" s="254" t="s">
        <v>4592</v>
      </c>
      <c r="G1720" s="252" t="s">
        <v>2624</v>
      </c>
      <c r="H1720" s="252" t="s">
        <v>4741</v>
      </c>
      <c r="I1720" s="252">
        <v>5</v>
      </c>
      <c r="J1720" s="255">
        <v>1</v>
      </c>
      <c r="K1720" s="255">
        <v>1</v>
      </c>
      <c r="L1720" s="255"/>
      <c r="M1720" s="256">
        <v>7.9199999999999995E-4</v>
      </c>
      <c r="N1720" s="249">
        <v>1719</v>
      </c>
    </row>
    <row r="1721" spans="1:14" x14ac:dyDescent="0.25">
      <c r="A1721" s="252" t="s">
        <v>134</v>
      </c>
      <c r="B1721" s="252" t="s">
        <v>4131</v>
      </c>
      <c r="C1721" s="253">
        <v>0</v>
      </c>
      <c r="D1721" s="252">
        <v>39792</v>
      </c>
      <c r="E1721" s="252" t="s">
        <v>190</v>
      </c>
      <c r="F1721" s="254" t="s">
        <v>4592</v>
      </c>
      <c r="G1721" s="252" t="s">
        <v>2627</v>
      </c>
      <c r="H1721" s="252" t="s">
        <v>4742</v>
      </c>
      <c r="I1721" s="252">
        <v>5</v>
      </c>
      <c r="J1721" s="255">
        <v>1</v>
      </c>
      <c r="K1721" s="255">
        <v>1</v>
      </c>
      <c r="L1721" s="255"/>
      <c r="M1721" s="256">
        <v>2.4899999999999998E-4</v>
      </c>
      <c r="N1721" s="249">
        <v>1720</v>
      </c>
    </row>
    <row r="1722" spans="1:14" x14ac:dyDescent="0.25">
      <c r="A1722" s="252" t="s">
        <v>134</v>
      </c>
      <c r="B1722" s="252" t="s">
        <v>4131</v>
      </c>
      <c r="C1722" s="253">
        <v>0</v>
      </c>
      <c r="D1722" s="252">
        <v>39792</v>
      </c>
      <c r="E1722" s="252" t="s">
        <v>190</v>
      </c>
      <c r="F1722" s="254" t="s">
        <v>4592</v>
      </c>
      <c r="G1722" s="252" t="s">
        <v>2628</v>
      </c>
      <c r="H1722" s="252" t="s">
        <v>4743</v>
      </c>
      <c r="I1722" s="252">
        <v>5</v>
      </c>
      <c r="J1722" s="255">
        <v>1</v>
      </c>
      <c r="K1722" s="255">
        <v>1</v>
      </c>
      <c r="L1722" s="255"/>
      <c r="M1722" s="256">
        <v>2.4899999999999998E-4</v>
      </c>
      <c r="N1722" s="249">
        <v>1721</v>
      </c>
    </row>
    <row r="1723" spans="1:14" x14ac:dyDescent="0.25">
      <c r="A1723" s="252" t="s">
        <v>134</v>
      </c>
      <c r="B1723" s="252" t="s">
        <v>4131</v>
      </c>
      <c r="C1723" s="253">
        <v>0</v>
      </c>
      <c r="D1723" s="252">
        <v>39792</v>
      </c>
      <c r="E1723" s="252" t="s">
        <v>1591</v>
      </c>
      <c r="F1723" s="254" t="s">
        <v>4592</v>
      </c>
      <c r="G1723" s="252" t="s">
        <v>2648</v>
      </c>
      <c r="H1723" s="252" t="s">
        <v>4744</v>
      </c>
      <c r="I1723" s="252">
        <v>5</v>
      </c>
      <c r="J1723" s="255">
        <v>1</v>
      </c>
      <c r="K1723" s="255">
        <v>1</v>
      </c>
      <c r="L1723" s="255"/>
      <c r="M1723" s="256">
        <v>7.9199999999999995E-4</v>
      </c>
      <c r="N1723" s="249">
        <v>1722</v>
      </c>
    </row>
    <row r="1724" spans="1:14" x14ac:dyDescent="0.25">
      <c r="A1724" s="252" t="s">
        <v>134</v>
      </c>
      <c r="B1724" s="252" t="s">
        <v>4131</v>
      </c>
      <c r="C1724" s="253">
        <v>0</v>
      </c>
      <c r="D1724" s="252">
        <v>39792</v>
      </c>
      <c r="E1724" s="252" t="s">
        <v>1591</v>
      </c>
      <c r="F1724" s="254" t="s">
        <v>4592</v>
      </c>
      <c r="G1724" s="252" t="s">
        <v>4745</v>
      </c>
      <c r="H1724" s="252" t="s">
        <v>4746</v>
      </c>
      <c r="I1724" s="252">
        <v>5</v>
      </c>
      <c r="J1724" s="255">
        <v>1</v>
      </c>
      <c r="K1724" s="255">
        <v>1</v>
      </c>
      <c r="L1724" s="255"/>
      <c r="M1724" s="256">
        <v>7.9199999999999995E-4</v>
      </c>
      <c r="N1724" s="249">
        <v>1723</v>
      </c>
    </row>
    <row r="1725" spans="1:14" x14ac:dyDescent="0.25">
      <c r="A1725" s="252" t="s">
        <v>134</v>
      </c>
      <c r="B1725" s="252" t="s">
        <v>4131</v>
      </c>
      <c r="C1725" s="253">
        <v>0</v>
      </c>
      <c r="D1725" s="252">
        <v>39792</v>
      </c>
      <c r="E1725" s="252" t="s">
        <v>190</v>
      </c>
      <c r="F1725" s="254" t="s">
        <v>4592</v>
      </c>
      <c r="G1725" s="252" t="s">
        <v>4747</v>
      </c>
      <c r="H1725" s="252" t="s">
        <v>4748</v>
      </c>
      <c r="I1725" s="252">
        <v>5</v>
      </c>
      <c r="J1725" s="255">
        <v>1</v>
      </c>
      <c r="K1725" s="255">
        <v>1</v>
      </c>
      <c r="L1725" s="255"/>
      <c r="M1725" s="256">
        <v>2.4899999999999998E-4</v>
      </c>
      <c r="N1725" s="249">
        <v>1724</v>
      </c>
    </row>
    <row r="1726" spans="1:14" x14ac:dyDescent="0.25">
      <c r="A1726" s="252" t="s">
        <v>134</v>
      </c>
      <c r="B1726" s="252" t="s">
        <v>4131</v>
      </c>
      <c r="C1726" s="253">
        <v>0</v>
      </c>
      <c r="D1726" s="252">
        <v>39792</v>
      </c>
      <c r="E1726" s="252" t="s">
        <v>190</v>
      </c>
      <c r="F1726" s="254" t="s">
        <v>4592</v>
      </c>
      <c r="G1726" s="252" t="s">
        <v>4749</v>
      </c>
      <c r="H1726" s="252" t="s">
        <v>4750</v>
      </c>
      <c r="I1726" s="252">
        <v>5</v>
      </c>
      <c r="J1726" s="255">
        <v>1</v>
      </c>
      <c r="K1726" s="255">
        <v>1</v>
      </c>
      <c r="L1726" s="255"/>
      <c r="M1726" s="256">
        <v>2.4899999999999998E-4</v>
      </c>
      <c r="N1726" s="249">
        <v>1725</v>
      </c>
    </row>
    <row r="1727" spans="1:14" x14ac:dyDescent="0.25">
      <c r="A1727" s="252" t="s">
        <v>134</v>
      </c>
      <c r="B1727" s="252" t="s">
        <v>4131</v>
      </c>
      <c r="C1727" s="253">
        <v>0</v>
      </c>
      <c r="D1727" s="252">
        <v>39792</v>
      </c>
      <c r="E1727" s="252" t="s">
        <v>1591</v>
      </c>
      <c r="F1727" s="254" t="s">
        <v>4592</v>
      </c>
      <c r="G1727" s="252" t="s">
        <v>4751</v>
      </c>
      <c r="H1727" s="252" t="s">
        <v>4752</v>
      </c>
      <c r="I1727" s="252">
        <v>5</v>
      </c>
      <c r="J1727" s="255">
        <v>1</v>
      </c>
      <c r="K1727" s="255">
        <v>1</v>
      </c>
      <c r="L1727" s="255"/>
      <c r="M1727" s="256">
        <v>7.9199999999999995E-4</v>
      </c>
      <c r="N1727" s="249">
        <v>1726</v>
      </c>
    </row>
    <row r="1728" spans="1:14" x14ac:dyDescent="0.25">
      <c r="A1728" s="252" t="s">
        <v>134</v>
      </c>
      <c r="B1728" s="252" t="s">
        <v>4131</v>
      </c>
      <c r="C1728" s="253">
        <v>0</v>
      </c>
      <c r="D1728" s="252">
        <v>39792</v>
      </c>
      <c r="E1728" s="252" t="s">
        <v>190</v>
      </c>
      <c r="F1728" s="254" t="s">
        <v>4592</v>
      </c>
      <c r="G1728" s="252" t="s">
        <v>4753</v>
      </c>
      <c r="H1728" s="252" t="s">
        <v>4754</v>
      </c>
      <c r="I1728" s="252">
        <v>5</v>
      </c>
      <c r="J1728" s="255">
        <v>1</v>
      </c>
      <c r="K1728" s="255">
        <v>1</v>
      </c>
      <c r="L1728" s="255"/>
      <c r="M1728" s="256">
        <v>1.5600000000000002E-4</v>
      </c>
      <c r="N1728" s="249">
        <v>1727</v>
      </c>
    </row>
    <row r="1729" spans="1:14" x14ac:dyDescent="0.25">
      <c r="A1729" s="252" t="s">
        <v>134</v>
      </c>
      <c r="B1729" s="252" t="s">
        <v>4131</v>
      </c>
      <c r="C1729" s="253">
        <v>0</v>
      </c>
      <c r="D1729" s="252">
        <v>39792</v>
      </c>
      <c r="E1729" s="252" t="s">
        <v>190</v>
      </c>
      <c r="F1729" s="254" t="s">
        <v>4592</v>
      </c>
      <c r="G1729" s="252" t="s">
        <v>4755</v>
      </c>
      <c r="H1729" s="252" t="s">
        <v>4756</v>
      </c>
      <c r="I1729" s="252">
        <v>5</v>
      </c>
      <c r="J1729" s="255">
        <v>1</v>
      </c>
      <c r="K1729" s="255">
        <v>1</v>
      </c>
      <c r="L1729" s="255"/>
      <c r="M1729" s="256">
        <v>1.5600000000000002E-4</v>
      </c>
      <c r="N1729" s="249">
        <v>1728</v>
      </c>
    </row>
    <row r="1730" spans="1:14" x14ac:dyDescent="0.25">
      <c r="A1730" s="252" t="s">
        <v>134</v>
      </c>
      <c r="B1730" s="252" t="s">
        <v>4131</v>
      </c>
      <c r="C1730" s="253">
        <v>0</v>
      </c>
      <c r="D1730" s="252">
        <v>39792</v>
      </c>
      <c r="E1730" s="252" t="s">
        <v>1591</v>
      </c>
      <c r="F1730" s="254" t="s">
        <v>4592</v>
      </c>
      <c r="G1730" s="252" t="s">
        <v>4757</v>
      </c>
      <c r="H1730" s="252" t="s">
        <v>4758</v>
      </c>
      <c r="I1730" s="252">
        <v>5</v>
      </c>
      <c r="J1730" s="255">
        <v>1</v>
      </c>
      <c r="K1730" s="255">
        <v>1</v>
      </c>
      <c r="L1730" s="255"/>
      <c r="M1730" s="256">
        <v>7.9199999999999995E-4</v>
      </c>
      <c r="N1730" s="249">
        <v>1729</v>
      </c>
    </row>
    <row r="1731" spans="1:14" x14ac:dyDescent="0.25">
      <c r="A1731" s="252" t="s">
        <v>134</v>
      </c>
      <c r="B1731" s="252" t="s">
        <v>4131</v>
      </c>
      <c r="C1731" s="253">
        <v>0</v>
      </c>
      <c r="D1731" s="252">
        <v>39792</v>
      </c>
      <c r="E1731" s="252" t="s">
        <v>190</v>
      </c>
      <c r="F1731" s="254" t="s">
        <v>4592</v>
      </c>
      <c r="G1731" s="252" t="s">
        <v>4759</v>
      </c>
      <c r="H1731" s="252" t="s">
        <v>4760</v>
      </c>
      <c r="I1731" s="252">
        <v>5</v>
      </c>
      <c r="J1731" s="255">
        <v>1</v>
      </c>
      <c r="K1731" s="255">
        <v>1</v>
      </c>
      <c r="L1731" s="255"/>
      <c r="M1731" s="256">
        <v>2.4899999999999998E-4</v>
      </c>
      <c r="N1731" s="249">
        <v>1730</v>
      </c>
    </row>
    <row r="1732" spans="1:14" x14ac:dyDescent="0.25">
      <c r="A1732" s="252" t="s">
        <v>134</v>
      </c>
      <c r="B1732" s="252" t="s">
        <v>4131</v>
      </c>
      <c r="C1732" s="253">
        <v>0</v>
      </c>
      <c r="D1732" s="252">
        <v>39792</v>
      </c>
      <c r="E1732" s="252" t="s">
        <v>190</v>
      </c>
      <c r="F1732" s="254" t="s">
        <v>4592</v>
      </c>
      <c r="G1732" s="252" t="s">
        <v>4761</v>
      </c>
      <c r="H1732" s="252" t="s">
        <v>4762</v>
      </c>
      <c r="I1732" s="252">
        <v>5</v>
      </c>
      <c r="J1732" s="255">
        <v>1</v>
      </c>
      <c r="K1732" s="255">
        <v>1</v>
      </c>
      <c r="L1732" s="255"/>
      <c r="M1732" s="256">
        <v>2.4899999999999998E-4</v>
      </c>
      <c r="N1732" s="249">
        <v>1731</v>
      </c>
    </row>
    <row r="1733" spans="1:14" x14ac:dyDescent="0.25">
      <c r="A1733" s="252" t="s">
        <v>134</v>
      </c>
      <c r="B1733" s="252" t="s">
        <v>4131</v>
      </c>
      <c r="C1733" s="253">
        <v>0</v>
      </c>
      <c r="D1733" s="252">
        <v>39792</v>
      </c>
      <c r="E1733" s="252" t="s">
        <v>1591</v>
      </c>
      <c r="F1733" s="254" t="s">
        <v>4592</v>
      </c>
      <c r="G1733" s="252" t="s">
        <v>4763</v>
      </c>
      <c r="H1733" s="252" t="s">
        <v>4764</v>
      </c>
      <c r="I1733" s="252">
        <v>5</v>
      </c>
      <c r="J1733" s="255">
        <v>1</v>
      </c>
      <c r="K1733" s="255">
        <v>1</v>
      </c>
      <c r="L1733" s="255"/>
      <c r="M1733" s="256">
        <v>7.9199999999999995E-4</v>
      </c>
      <c r="N1733" s="249">
        <v>1732</v>
      </c>
    </row>
    <row r="1734" spans="1:14" x14ac:dyDescent="0.25">
      <c r="A1734" s="252" t="s">
        <v>134</v>
      </c>
      <c r="B1734" s="252" t="s">
        <v>4131</v>
      </c>
      <c r="C1734" s="253">
        <v>0</v>
      </c>
      <c r="D1734" s="252">
        <v>39792</v>
      </c>
      <c r="E1734" s="252" t="s">
        <v>190</v>
      </c>
      <c r="F1734" s="254" t="s">
        <v>4592</v>
      </c>
      <c r="G1734" s="252" t="s">
        <v>4765</v>
      </c>
      <c r="H1734" s="252" t="s">
        <v>4766</v>
      </c>
      <c r="I1734" s="252">
        <v>5</v>
      </c>
      <c r="J1734" s="255">
        <v>1</v>
      </c>
      <c r="K1734" s="255">
        <v>1</v>
      </c>
      <c r="L1734" s="255"/>
      <c r="M1734" s="256">
        <v>2.4899999999999998E-4</v>
      </c>
      <c r="N1734" s="249">
        <v>1733</v>
      </c>
    </row>
    <row r="1735" spans="1:14" x14ac:dyDescent="0.25">
      <c r="A1735" s="252" t="s">
        <v>134</v>
      </c>
      <c r="B1735" s="252" t="s">
        <v>4131</v>
      </c>
      <c r="C1735" s="253">
        <v>0</v>
      </c>
      <c r="D1735" s="252">
        <v>39792</v>
      </c>
      <c r="E1735" s="252" t="s">
        <v>190</v>
      </c>
      <c r="F1735" s="254" t="s">
        <v>4592</v>
      </c>
      <c r="G1735" s="252" t="s">
        <v>4767</v>
      </c>
      <c r="H1735" s="252" t="s">
        <v>4768</v>
      </c>
      <c r="I1735" s="252">
        <v>5</v>
      </c>
      <c r="J1735" s="255">
        <v>1</v>
      </c>
      <c r="K1735" s="255">
        <v>1</v>
      </c>
      <c r="L1735" s="255"/>
      <c r="M1735" s="256">
        <v>2.4899999999999998E-4</v>
      </c>
      <c r="N1735" s="249">
        <v>1734</v>
      </c>
    </row>
    <row r="1736" spans="1:14" x14ac:dyDescent="0.25">
      <c r="A1736" s="252" t="s">
        <v>134</v>
      </c>
      <c r="B1736" s="252" t="s">
        <v>4131</v>
      </c>
      <c r="C1736" s="253">
        <v>0</v>
      </c>
      <c r="D1736" s="252">
        <v>39792</v>
      </c>
      <c r="E1736" s="252" t="s">
        <v>1591</v>
      </c>
      <c r="F1736" s="254" t="s">
        <v>4592</v>
      </c>
      <c r="G1736" s="252" t="s">
        <v>4769</v>
      </c>
      <c r="H1736" s="252" t="s">
        <v>4770</v>
      </c>
      <c r="I1736" s="252">
        <v>5</v>
      </c>
      <c r="J1736" s="255">
        <v>1</v>
      </c>
      <c r="K1736" s="255">
        <v>1</v>
      </c>
      <c r="L1736" s="255"/>
      <c r="M1736" s="256">
        <v>7.9199999999999995E-4</v>
      </c>
      <c r="N1736" s="249">
        <v>1735</v>
      </c>
    </row>
    <row r="1737" spans="1:14" x14ac:dyDescent="0.25">
      <c r="A1737" s="252" t="s">
        <v>134</v>
      </c>
      <c r="B1737" s="252" t="s">
        <v>4131</v>
      </c>
      <c r="C1737" s="253">
        <v>0</v>
      </c>
      <c r="D1737" s="252">
        <v>39792</v>
      </c>
      <c r="E1737" s="252" t="s">
        <v>190</v>
      </c>
      <c r="F1737" s="254" t="s">
        <v>4592</v>
      </c>
      <c r="G1737" s="252" t="s">
        <v>4771</v>
      </c>
      <c r="H1737" s="252" t="s">
        <v>4772</v>
      </c>
      <c r="I1737" s="252">
        <v>5</v>
      </c>
      <c r="J1737" s="255">
        <v>1</v>
      </c>
      <c r="K1737" s="255">
        <v>1</v>
      </c>
      <c r="L1737" s="255"/>
      <c r="M1737" s="256">
        <v>2.4899999999999998E-4</v>
      </c>
      <c r="N1737" s="249">
        <v>1736</v>
      </c>
    </row>
    <row r="1738" spans="1:14" x14ac:dyDescent="0.25">
      <c r="A1738" s="252" t="s">
        <v>134</v>
      </c>
      <c r="B1738" s="252" t="s">
        <v>4131</v>
      </c>
      <c r="C1738" s="253">
        <v>0</v>
      </c>
      <c r="D1738" s="252">
        <v>39792</v>
      </c>
      <c r="E1738" s="252" t="s">
        <v>190</v>
      </c>
      <c r="F1738" s="254" t="s">
        <v>4592</v>
      </c>
      <c r="G1738" s="252" t="s">
        <v>4773</v>
      </c>
      <c r="H1738" s="252" t="s">
        <v>4774</v>
      </c>
      <c r="I1738" s="252">
        <v>5</v>
      </c>
      <c r="J1738" s="255">
        <v>1</v>
      </c>
      <c r="K1738" s="255">
        <v>1</v>
      </c>
      <c r="L1738" s="255"/>
      <c r="M1738" s="256">
        <v>2.4899999999999998E-4</v>
      </c>
      <c r="N1738" s="249">
        <v>1737</v>
      </c>
    </row>
    <row r="1739" spans="1:14" x14ac:dyDescent="0.25">
      <c r="A1739" s="252" t="s">
        <v>134</v>
      </c>
      <c r="B1739" s="252" t="s">
        <v>4131</v>
      </c>
      <c r="C1739" s="253">
        <v>0</v>
      </c>
      <c r="D1739" s="252">
        <v>39792</v>
      </c>
      <c r="E1739" s="252" t="s">
        <v>1591</v>
      </c>
      <c r="F1739" s="254" t="s">
        <v>4592</v>
      </c>
      <c r="G1739" s="252" t="s">
        <v>4775</v>
      </c>
      <c r="H1739" s="252" t="s">
        <v>4776</v>
      </c>
      <c r="I1739" s="252">
        <v>5</v>
      </c>
      <c r="J1739" s="255">
        <v>1</v>
      </c>
      <c r="K1739" s="255">
        <v>1</v>
      </c>
      <c r="L1739" s="255"/>
      <c r="M1739" s="256">
        <v>7.9199999999999995E-4</v>
      </c>
      <c r="N1739" s="249">
        <v>1738</v>
      </c>
    </row>
    <row r="1740" spans="1:14" x14ac:dyDescent="0.25">
      <c r="A1740" s="252" t="s">
        <v>134</v>
      </c>
      <c r="B1740" s="252" t="s">
        <v>4131</v>
      </c>
      <c r="C1740" s="253">
        <v>0</v>
      </c>
      <c r="D1740" s="252">
        <v>39792</v>
      </c>
      <c r="E1740" s="252" t="s">
        <v>190</v>
      </c>
      <c r="F1740" s="254" t="s">
        <v>4592</v>
      </c>
      <c r="G1740" s="252" t="s">
        <v>4777</v>
      </c>
      <c r="H1740" s="252" t="s">
        <v>4778</v>
      </c>
      <c r="I1740" s="252">
        <v>5</v>
      </c>
      <c r="J1740" s="255">
        <v>1</v>
      </c>
      <c r="K1740" s="255">
        <v>1</v>
      </c>
      <c r="L1740" s="255"/>
      <c r="M1740" s="256">
        <v>2.4899999999999998E-4</v>
      </c>
      <c r="N1740" s="249">
        <v>1739</v>
      </c>
    </row>
    <row r="1741" spans="1:14" x14ac:dyDescent="0.25">
      <c r="A1741" s="252" t="s">
        <v>134</v>
      </c>
      <c r="B1741" s="252" t="s">
        <v>4131</v>
      </c>
      <c r="C1741" s="253">
        <v>0</v>
      </c>
      <c r="D1741" s="252">
        <v>39792</v>
      </c>
      <c r="E1741" s="252" t="s">
        <v>190</v>
      </c>
      <c r="F1741" s="254" t="s">
        <v>4592</v>
      </c>
      <c r="G1741" s="252" t="s">
        <v>4779</v>
      </c>
      <c r="H1741" s="252" t="s">
        <v>4780</v>
      </c>
      <c r="I1741" s="252">
        <v>5</v>
      </c>
      <c r="J1741" s="255">
        <v>1</v>
      </c>
      <c r="K1741" s="255">
        <v>1</v>
      </c>
      <c r="L1741" s="255"/>
      <c r="M1741" s="256">
        <v>2.4899999999999998E-4</v>
      </c>
      <c r="N1741" s="249">
        <v>1740</v>
      </c>
    </row>
    <row r="1742" spans="1:14" x14ac:dyDescent="0.25">
      <c r="A1742" s="252" t="s">
        <v>134</v>
      </c>
      <c r="B1742" s="252" t="s">
        <v>4131</v>
      </c>
      <c r="C1742" s="253">
        <v>0</v>
      </c>
      <c r="D1742" s="252">
        <v>39792</v>
      </c>
      <c r="E1742" s="252" t="s">
        <v>1591</v>
      </c>
      <c r="F1742" s="254" t="s">
        <v>4592</v>
      </c>
      <c r="G1742" s="252" t="s">
        <v>4781</v>
      </c>
      <c r="H1742" s="252" t="s">
        <v>4782</v>
      </c>
      <c r="I1742" s="252">
        <v>5</v>
      </c>
      <c r="J1742" s="255">
        <v>1</v>
      </c>
      <c r="K1742" s="255">
        <v>1</v>
      </c>
      <c r="L1742" s="255"/>
      <c r="M1742" s="256">
        <v>7.9199999999999995E-4</v>
      </c>
      <c r="N1742" s="249">
        <v>1741</v>
      </c>
    </row>
    <row r="1743" spans="1:14" x14ac:dyDescent="0.25">
      <c r="A1743" s="252" t="s">
        <v>134</v>
      </c>
      <c r="B1743" s="252" t="s">
        <v>4131</v>
      </c>
      <c r="C1743" s="253">
        <v>0</v>
      </c>
      <c r="D1743" s="252">
        <v>39792</v>
      </c>
      <c r="E1743" s="252" t="s">
        <v>190</v>
      </c>
      <c r="F1743" s="254" t="s">
        <v>4592</v>
      </c>
      <c r="G1743" s="252" t="s">
        <v>4783</v>
      </c>
      <c r="H1743" s="252" t="s">
        <v>4784</v>
      </c>
      <c r="I1743" s="252">
        <v>5</v>
      </c>
      <c r="J1743" s="255">
        <v>1</v>
      </c>
      <c r="K1743" s="255">
        <v>1</v>
      </c>
      <c r="L1743" s="255"/>
      <c r="M1743" s="256">
        <v>2.4899999999999998E-4</v>
      </c>
      <c r="N1743" s="249">
        <v>1742</v>
      </c>
    </row>
    <row r="1744" spans="1:14" x14ac:dyDescent="0.25">
      <c r="A1744" s="252" t="s">
        <v>134</v>
      </c>
      <c r="B1744" s="252" t="s">
        <v>4131</v>
      </c>
      <c r="C1744" s="253">
        <v>0</v>
      </c>
      <c r="D1744" s="252">
        <v>39792</v>
      </c>
      <c r="E1744" s="252" t="s">
        <v>190</v>
      </c>
      <c r="F1744" s="254" t="s">
        <v>4592</v>
      </c>
      <c r="G1744" s="252" t="s">
        <v>4785</v>
      </c>
      <c r="H1744" s="252" t="s">
        <v>4786</v>
      </c>
      <c r="I1744" s="252">
        <v>5</v>
      </c>
      <c r="J1744" s="255">
        <v>1</v>
      </c>
      <c r="K1744" s="255">
        <v>1</v>
      </c>
      <c r="L1744" s="255"/>
      <c r="M1744" s="256">
        <v>2.4899999999999998E-4</v>
      </c>
      <c r="N1744" s="249">
        <v>1743</v>
      </c>
    </row>
    <row r="1745" spans="1:14" x14ac:dyDescent="0.25">
      <c r="A1745" s="252" t="s">
        <v>134</v>
      </c>
      <c r="B1745" s="252" t="s">
        <v>4131</v>
      </c>
      <c r="C1745" s="253">
        <v>0</v>
      </c>
      <c r="D1745" s="252">
        <v>39792</v>
      </c>
      <c r="E1745" s="252" t="s">
        <v>1591</v>
      </c>
      <c r="F1745" s="254" t="s">
        <v>4592</v>
      </c>
      <c r="G1745" s="252" t="s">
        <v>4787</v>
      </c>
      <c r="H1745" s="252" t="s">
        <v>4788</v>
      </c>
      <c r="I1745" s="252">
        <v>5</v>
      </c>
      <c r="J1745" s="255">
        <v>1</v>
      </c>
      <c r="K1745" s="255">
        <v>1</v>
      </c>
      <c r="L1745" s="255"/>
      <c r="M1745" s="256">
        <v>7.9199999999999995E-4</v>
      </c>
      <c r="N1745" s="249">
        <v>1744</v>
      </c>
    </row>
    <row r="1746" spans="1:14" x14ac:dyDescent="0.25">
      <c r="A1746" s="252" t="s">
        <v>134</v>
      </c>
      <c r="B1746" s="252" t="s">
        <v>4131</v>
      </c>
      <c r="C1746" s="253">
        <v>0</v>
      </c>
      <c r="D1746" s="252">
        <v>39792</v>
      </c>
      <c r="E1746" s="252" t="s">
        <v>190</v>
      </c>
      <c r="F1746" s="254" t="s">
        <v>4592</v>
      </c>
      <c r="G1746" s="252" t="s">
        <v>4789</v>
      </c>
      <c r="H1746" s="252" t="s">
        <v>4790</v>
      </c>
      <c r="I1746" s="252">
        <v>5</v>
      </c>
      <c r="J1746" s="255">
        <v>1</v>
      </c>
      <c r="K1746" s="255">
        <v>1</v>
      </c>
      <c r="L1746" s="255"/>
      <c r="M1746" s="256">
        <v>2.4899999999999998E-4</v>
      </c>
      <c r="N1746" s="249">
        <v>1745</v>
      </c>
    </row>
    <row r="1747" spans="1:14" x14ac:dyDescent="0.25">
      <c r="A1747" s="252" t="s">
        <v>134</v>
      </c>
      <c r="B1747" s="252" t="s">
        <v>4131</v>
      </c>
      <c r="C1747" s="253">
        <v>0</v>
      </c>
      <c r="D1747" s="252">
        <v>39792</v>
      </c>
      <c r="E1747" s="252" t="s">
        <v>190</v>
      </c>
      <c r="F1747" s="254" t="s">
        <v>4592</v>
      </c>
      <c r="G1747" s="252" t="s">
        <v>4791</v>
      </c>
      <c r="H1747" s="252" t="s">
        <v>4792</v>
      </c>
      <c r="I1747" s="252">
        <v>5</v>
      </c>
      <c r="J1747" s="255">
        <v>1</v>
      </c>
      <c r="K1747" s="255">
        <v>1</v>
      </c>
      <c r="L1747" s="255"/>
      <c r="M1747" s="256">
        <v>2.4899999999999998E-4</v>
      </c>
      <c r="N1747" s="249">
        <v>1746</v>
      </c>
    </row>
    <row r="1748" spans="1:14" x14ac:dyDescent="0.25">
      <c r="A1748" s="252" t="s">
        <v>134</v>
      </c>
      <c r="B1748" s="252" t="s">
        <v>4131</v>
      </c>
      <c r="C1748" s="253">
        <v>0</v>
      </c>
      <c r="D1748" s="252">
        <v>39792</v>
      </c>
      <c r="E1748" s="252" t="s">
        <v>1591</v>
      </c>
      <c r="F1748" s="254" t="s">
        <v>4592</v>
      </c>
      <c r="G1748" s="252" t="s">
        <v>4793</v>
      </c>
      <c r="H1748" s="252" t="s">
        <v>4794</v>
      </c>
      <c r="I1748" s="252">
        <v>5</v>
      </c>
      <c r="J1748" s="255">
        <v>1</v>
      </c>
      <c r="K1748" s="255">
        <v>1</v>
      </c>
      <c r="L1748" s="255"/>
      <c r="M1748" s="256">
        <v>7.9199999999999995E-4</v>
      </c>
      <c r="N1748" s="249">
        <v>1747</v>
      </c>
    </row>
    <row r="1749" spans="1:14" x14ac:dyDescent="0.25">
      <c r="A1749" s="252" t="s">
        <v>134</v>
      </c>
      <c r="B1749" s="252" t="s">
        <v>4131</v>
      </c>
      <c r="C1749" s="253">
        <v>0</v>
      </c>
      <c r="D1749" s="252">
        <v>39792</v>
      </c>
      <c r="E1749" s="252" t="s">
        <v>190</v>
      </c>
      <c r="F1749" s="254" t="s">
        <v>4592</v>
      </c>
      <c r="G1749" s="252" t="s">
        <v>4795</v>
      </c>
      <c r="H1749" s="252" t="s">
        <v>4796</v>
      </c>
      <c r="I1749" s="252">
        <v>5</v>
      </c>
      <c r="J1749" s="255">
        <v>1</v>
      </c>
      <c r="K1749" s="255">
        <v>1</v>
      </c>
      <c r="L1749" s="255"/>
      <c r="M1749" s="256">
        <v>2.4899999999999998E-4</v>
      </c>
      <c r="N1749" s="249">
        <v>1748</v>
      </c>
    </row>
    <row r="1750" spans="1:14" x14ac:dyDescent="0.25">
      <c r="A1750" s="252" t="s">
        <v>134</v>
      </c>
      <c r="B1750" s="252" t="s">
        <v>4131</v>
      </c>
      <c r="C1750" s="253">
        <v>0</v>
      </c>
      <c r="D1750" s="252">
        <v>39792</v>
      </c>
      <c r="E1750" s="252" t="s">
        <v>190</v>
      </c>
      <c r="F1750" s="254" t="s">
        <v>4592</v>
      </c>
      <c r="G1750" s="252" t="s">
        <v>4797</v>
      </c>
      <c r="H1750" s="252" t="s">
        <v>4798</v>
      </c>
      <c r="I1750" s="252">
        <v>5</v>
      </c>
      <c r="J1750" s="255">
        <v>1</v>
      </c>
      <c r="K1750" s="255">
        <v>1</v>
      </c>
      <c r="L1750" s="255"/>
      <c r="M1750" s="256">
        <v>2.4899999999999998E-4</v>
      </c>
      <c r="N1750" s="249">
        <v>1749</v>
      </c>
    </row>
    <row r="1751" spans="1:14" x14ac:dyDescent="0.25">
      <c r="A1751" s="252" t="s">
        <v>134</v>
      </c>
      <c r="B1751" s="252" t="s">
        <v>4131</v>
      </c>
      <c r="C1751" s="253">
        <v>0</v>
      </c>
      <c r="D1751" s="252">
        <v>39792</v>
      </c>
      <c r="E1751" s="252" t="s">
        <v>145</v>
      </c>
      <c r="F1751" s="254" t="s">
        <v>4592</v>
      </c>
      <c r="G1751" s="252" t="s">
        <v>4799</v>
      </c>
      <c r="H1751" s="252" t="s">
        <v>4800</v>
      </c>
      <c r="I1751" s="252">
        <v>5</v>
      </c>
      <c r="J1751" s="255">
        <v>1</v>
      </c>
      <c r="K1751" s="255">
        <v>1</v>
      </c>
      <c r="L1751" s="255"/>
      <c r="M1751" s="256">
        <v>1.5899999999999999E-4</v>
      </c>
      <c r="N1751" s="249">
        <v>1750</v>
      </c>
    </row>
    <row r="1752" spans="1:14" x14ac:dyDescent="0.25">
      <c r="A1752" s="252" t="s">
        <v>134</v>
      </c>
      <c r="B1752" s="252" t="s">
        <v>4131</v>
      </c>
      <c r="C1752" s="253">
        <v>0</v>
      </c>
      <c r="D1752" s="252">
        <v>39792</v>
      </c>
      <c r="E1752" s="252" t="s">
        <v>190</v>
      </c>
      <c r="F1752" s="254" t="s">
        <v>4592</v>
      </c>
      <c r="G1752" s="252" t="s">
        <v>4801</v>
      </c>
      <c r="H1752" s="252" t="s">
        <v>4802</v>
      </c>
      <c r="I1752" s="252">
        <v>5</v>
      </c>
      <c r="J1752" s="255">
        <v>1</v>
      </c>
      <c r="K1752" s="255">
        <v>1</v>
      </c>
      <c r="L1752" s="255"/>
      <c r="M1752" s="256">
        <v>1.5899999999999999E-4</v>
      </c>
      <c r="N1752" s="249">
        <v>1751</v>
      </c>
    </row>
    <row r="1753" spans="1:14" x14ac:dyDescent="0.25">
      <c r="A1753" s="252" t="s">
        <v>134</v>
      </c>
      <c r="B1753" s="252" t="s">
        <v>4131</v>
      </c>
      <c r="C1753" s="253">
        <v>0</v>
      </c>
      <c r="D1753" s="252">
        <v>39792</v>
      </c>
      <c r="E1753" s="252" t="s">
        <v>145</v>
      </c>
      <c r="F1753" s="254" t="s">
        <v>4592</v>
      </c>
      <c r="G1753" s="252" t="s">
        <v>4803</v>
      </c>
      <c r="H1753" s="252" t="s">
        <v>4804</v>
      </c>
      <c r="I1753" s="252">
        <v>5</v>
      </c>
      <c r="J1753" s="255">
        <v>1</v>
      </c>
      <c r="K1753" s="255">
        <v>1</v>
      </c>
      <c r="L1753" s="255"/>
      <c r="M1753" s="256">
        <v>1.5899999999999999E-4</v>
      </c>
      <c r="N1753" s="249">
        <v>1752</v>
      </c>
    </row>
    <row r="1754" spans="1:14" x14ac:dyDescent="0.25">
      <c r="A1754" s="252" t="s">
        <v>134</v>
      </c>
      <c r="B1754" s="252" t="s">
        <v>4131</v>
      </c>
      <c r="C1754" s="253">
        <v>0</v>
      </c>
      <c r="D1754" s="252">
        <v>39792</v>
      </c>
      <c r="E1754" s="252" t="s">
        <v>190</v>
      </c>
      <c r="F1754" s="254" t="s">
        <v>4592</v>
      </c>
      <c r="G1754" s="252" t="s">
        <v>4805</v>
      </c>
      <c r="H1754" s="252" t="s">
        <v>4806</v>
      </c>
      <c r="I1754" s="252">
        <v>5</v>
      </c>
      <c r="J1754" s="255">
        <v>1</v>
      </c>
      <c r="K1754" s="255">
        <v>1</v>
      </c>
      <c r="L1754" s="255"/>
      <c r="M1754" s="256">
        <v>1.5899999999999999E-4</v>
      </c>
      <c r="N1754" s="249">
        <v>1753</v>
      </c>
    </row>
    <row r="1755" spans="1:14" x14ac:dyDescent="0.25">
      <c r="A1755" s="252" t="s">
        <v>134</v>
      </c>
      <c r="B1755" s="252" t="s">
        <v>4131</v>
      </c>
      <c r="C1755" s="253">
        <v>0</v>
      </c>
      <c r="D1755" s="252">
        <v>39792</v>
      </c>
      <c r="E1755" s="252" t="s">
        <v>1591</v>
      </c>
      <c r="F1755" s="254" t="s">
        <v>4592</v>
      </c>
      <c r="G1755" s="252" t="s">
        <v>4807</v>
      </c>
      <c r="H1755" s="252" t="s">
        <v>4808</v>
      </c>
      <c r="I1755" s="252">
        <v>5</v>
      </c>
      <c r="J1755" s="255">
        <v>1</v>
      </c>
      <c r="K1755" s="255">
        <v>1</v>
      </c>
      <c r="L1755" s="255"/>
      <c r="M1755" s="256">
        <v>7.9199999999999995E-4</v>
      </c>
      <c r="N1755" s="249">
        <v>1754</v>
      </c>
    </row>
    <row r="1756" spans="1:14" x14ac:dyDescent="0.25">
      <c r="A1756" s="252" t="s">
        <v>134</v>
      </c>
      <c r="B1756" s="252" t="s">
        <v>4131</v>
      </c>
      <c r="C1756" s="253">
        <v>0</v>
      </c>
      <c r="D1756" s="252">
        <v>39792</v>
      </c>
      <c r="E1756" s="252" t="s">
        <v>190</v>
      </c>
      <c r="F1756" s="254" t="s">
        <v>4592</v>
      </c>
      <c r="G1756" s="252" t="s">
        <v>4809</v>
      </c>
      <c r="H1756" s="252" t="s">
        <v>4810</v>
      </c>
      <c r="I1756" s="252">
        <v>5</v>
      </c>
      <c r="J1756" s="255">
        <v>1</v>
      </c>
      <c r="K1756" s="255">
        <v>1</v>
      </c>
      <c r="L1756" s="255"/>
      <c r="M1756" s="256">
        <v>2.4899999999999998E-4</v>
      </c>
      <c r="N1756" s="249">
        <v>1755</v>
      </c>
    </row>
    <row r="1757" spans="1:14" x14ac:dyDescent="0.25">
      <c r="A1757" s="252" t="s">
        <v>134</v>
      </c>
      <c r="B1757" s="252" t="s">
        <v>4131</v>
      </c>
      <c r="C1757" s="253">
        <v>0</v>
      </c>
      <c r="D1757" s="252">
        <v>39792</v>
      </c>
      <c r="E1757" s="252" t="s">
        <v>190</v>
      </c>
      <c r="F1757" s="254" t="s">
        <v>4592</v>
      </c>
      <c r="G1757" s="252" t="s">
        <v>4811</v>
      </c>
      <c r="H1757" s="252" t="s">
        <v>4812</v>
      </c>
      <c r="I1757" s="252">
        <v>5</v>
      </c>
      <c r="J1757" s="255">
        <v>1</v>
      </c>
      <c r="K1757" s="255">
        <v>1</v>
      </c>
      <c r="L1757" s="255"/>
      <c r="M1757" s="256">
        <v>2.4899999999999998E-4</v>
      </c>
      <c r="N1757" s="249">
        <v>1756</v>
      </c>
    </row>
    <row r="1758" spans="1:14" x14ac:dyDescent="0.25">
      <c r="A1758" s="252" t="s">
        <v>134</v>
      </c>
      <c r="B1758" s="252" t="s">
        <v>4131</v>
      </c>
      <c r="C1758" s="253">
        <v>0</v>
      </c>
      <c r="D1758" s="252">
        <v>39792</v>
      </c>
      <c r="E1758" s="252" t="s">
        <v>145</v>
      </c>
      <c r="F1758" s="254" t="s">
        <v>4592</v>
      </c>
      <c r="G1758" s="252" t="s">
        <v>4813</v>
      </c>
      <c r="H1758" s="252" t="s">
        <v>4814</v>
      </c>
      <c r="I1758" s="252">
        <v>5</v>
      </c>
      <c r="J1758" s="255">
        <v>1</v>
      </c>
      <c r="K1758" s="255">
        <v>1</v>
      </c>
      <c r="L1758" s="255"/>
      <c r="M1758" s="256">
        <v>1.5899999999999999E-4</v>
      </c>
      <c r="N1758" s="249">
        <v>1757</v>
      </c>
    </row>
    <row r="1759" spans="1:14" x14ac:dyDescent="0.25">
      <c r="A1759" s="252" t="s">
        <v>134</v>
      </c>
      <c r="B1759" s="252" t="s">
        <v>4131</v>
      </c>
      <c r="C1759" s="253">
        <v>0</v>
      </c>
      <c r="D1759" s="252">
        <v>39792</v>
      </c>
      <c r="E1759" s="252" t="s">
        <v>190</v>
      </c>
      <c r="F1759" s="254" t="s">
        <v>4592</v>
      </c>
      <c r="G1759" s="252" t="s">
        <v>4815</v>
      </c>
      <c r="H1759" s="252" t="s">
        <v>4816</v>
      </c>
      <c r="I1759" s="252">
        <v>5</v>
      </c>
      <c r="J1759" s="255">
        <v>1</v>
      </c>
      <c r="K1759" s="255">
        <v>1</v>
      </c>
      <c r="L1759" s="255"/>
      <c r="M1759" s="256">
        <v>1.5899999999999999E-4</v>
      </c>
      <c r="N1759" s="249">
        <v>1758</v>
      </c>
    </row>
    <row r="1760" spans="1:14" x14ac:dyDescent="0.25">
      <c r="A1760" s="252" t="s">
        <v>134</v>
      </c>
      <c r="B1760" s="252" t="s">
        <v>4131</v>
      </c>
      <c r="C1760" s="253">
        <v>0</v>
      </c>
      <c r="D1760" s="252">
        <v>39792</v>
      </c>
      <c r="E1760" s="252" t="s">
        <v>145</v>
      </c>
      <c r="F1760" s="254" t="s">
        <v>4592</v>
      </c>
      <c r="G1760" s="252" t="s">
        <v>4817</v>
      </c>
      <c r="H1760" s="252" t="s">
        <v>4818</v>
      </c>
      <c r="I1760" s="252">
        <v>5</v>
      </c>
      <c r="J1760" s="255">
        <v>1</v>
      </c>
      <c r="K1760" s="255">
        <v>1</v>
      </c>
      <c r="L1760" s="255"/>
      <c r="M1760" s="256">
        <v>1.5899999999999999E-4</v>
      </c>
      <c r="N1760" s="249">
        <v>1759</v>
      </c>
    </row>
    <row r="1761" spans="1:14" x14ac:dyDescent="0.25">
      <c r="A1761" s="252" t="s">
        <v>134</v>
      </c>
      <c r="B1761" s="252" t="s">
        <v>4131</v>
      </c>
      <c r="C1761" s="253">
        <v>0</v>
      </c>
      <c r="D1761" s="252">
        <v>39792</v>
      </c>
      <c r="E1761" s="252" t="s">
        <v>190</v>
      </c>
      <c r="F1761" s="254" t="s">
        <v>4592</v>
      </c>
      <c r="G1761" s="252" t="s">
        <v>4819</v>
      </c>
      <c r="H1761" s="252" t="s">
        <v>4820</v>
      </c>
      <c r="I1761" s="252">
        <v>5</v>
      </c>
      <c r="J1761" s="255">
        <v>1</v>
      </c>
      <c r="K1761" s="255">
        <v>1</v>
      </c>
      <c r="L1761" s="255"/>
      <c r="M1761" s="256">
        <v>1.5899999999999999E-4</v>
      </c>
      <c r="N1761" s="249">
        <v>1760</v>
      </c>
    </row>
    <row r="1762" spans="1:14" x14ac:dyDescent="0.25">
      <c r="A1762" s="252" t="s">
        <v>134</v>
      </c>
      <c r="B1762" s="252" t="s">
        <v>4131</v>
      </c>
      <c r="C1762" s="253">
        <v>0</v>
      </c>
      <c r="D1762" s="252">
        <v>39792</v>
      </c>
      <c r="E1762" s="252" t="s">
        <v>145</v>
      </c>
      <c r="F1762" s="254" t="s">
        <v>4592</v>
      </c>
      <c r="G1762" s="252" t="s">
        <v>4821</v>
      </c>
      <c r="H1762" s="252" t="s">
        <v>4822</v>
      </c>
      <c r="I1762" s="252">
        <v>5</v>
      </c>
      <c r="J1762" s="255">
        <v>1</v>
      </c>
      <c r="K1762" s="255">
        <v>1</v>
      </c>
      <c r="L1762" s="255"/>
      <c r="M1762" s="256">
        <v>1.5899999999999999E-4</v>
      </c>
      <c r="N1762" s="249">
        <v>1761</v>
      </c>
    </row>
    <row r="1763" spans="1:14" x14ac:dyDescent="0.25">
      <c r="A1763" s="252" t="s">
        <v>134</v>
      </c>
      <c r="B1763" s="252" t="s">
        <v>4131</v>
      </c>
      <c r="C1763" s="253">
        <v>0</v>
      </c>
      <c r="D1763" s="252">
        <v>39792</v>
      </c>
      <c r="E1763" s="252" t="s">
        <v>190</v>
      </c>
      <c r="F1763" s="254" t="s">
        <v>4592</v>
      </c>
      <c r="G1763" s="252" t="s">
        <v>4823</v>
      </c>
      <c r="H1763" s="252" t="s">
        <v>4824</v>
      </c>
      <c r="I1763" s="252">
        <v>5</v>
      </c>
      <c r="J1763" s="255">
        <v>1</v>
      </c>
      <c r="K1763" s="255">
        <v>1</v>
      </c>
      <c r="L1763" s="255"/>
      <c r="M1763" s="256">
        <v>1.5899999999999999E-4</v>
      </c>
      <c r="N1763" s="249">
        <v>1762</v>
      </c>
    </row>
    <row r="1764" spans="1:14" x14ac:dyDescent="0.25">
      <c r="A1764" s="252" t="s">
        <v>134</v>
      </c>
      <c r="B1764" s="252" t="s">
        <v>4131</v>
      </c>
      <c r="C1764" s="253">
        <v>0</v>
      </c>
      <c r="D1764" s="252">
        <v>39792</v>
      </c>
      <c r="E1764" s="252" t="s">
        <v>145</v>
      </c>
      <c r="F1764" s="254" t="s">
        <v>4592</v>
      </c>
      <c r="G1764" s="252" t="s">
        <v>4825</v>
      </c>
      <c r="H1764" s="252" t="s">
        <v>4826</v>
      </c>
      <c r="I1764" s="252">
        <v>5</v>
      </c>
      <c r="J1764" s="255">
        <v>1</v>
      </c>
      <c r="K1764" s="255">
        <v>1</v>
      </c>
      <c r="L1764" s="255"/>
      <c r="M1764" s="256">
        <v>1.5899999999999999E-4</v>
      </c>
      <c r="N1764" s="249">
        <v>1763</v>
      </c>
    </row>
    <row r="1765" spans="1:14" x14ac:dyDescent="0.25">
      <c r="A1765" s="252" t="s">
        <v>134</v>
      </c>
      <c r="B1765" s="252" t="s">
        <v>4131</v>
      </c>
      <c r="C1765" s="253">
        <v>0</v>
      </c>
      <c r="D1765" s="252">
        <v>39792</v>
      </c>
      <c r="E1765" s="252" t="s">
        <v>190</v>
      </c>
      <c r="F1765" s="254" t="s">
        <v>4592</v>
      </c>
      <c r="G1765" s="252" t="s">
        <v>4827</v>
      </c>
      <c r="H1765" s="252" t="s">
        <v>4828</v>
      </c>
      <c r="I1765" s="252">
        <v>5</v>
      </c>
      <c r="J1765" s="255">
        <v>1</v>
      </c>
      <c r="K1765" s="255">
        <v>1</v>
      </c>
      <c r="L1765" s="255"/>
      <c r="M1765" s="256">
        <v>1.5899999999999999E-4</v>
      </c>
      <c r="N1765" s="249">
        <v>1764</v>
      </c>
    </row>
    <row r="1766" spans="1:14" x14ac:dyDescent="0.25">
      <c r="A1766" s="252" t="s">
        <v>134</v>
      </c>
      <c r="B1766" s="252" t="s">
        <v>4131</v>
      </c>
      <c r="C1766" s="253">
        <v>0</v>
      </c>
      <c r="D1766" s="252">
        <v>39792</v>
      </c>
      <c r="E1766" s="252" t="s">
        <v>145</v>
      </c>
      <c r="F1766" s="254" t="s">
        <v>4592</v>
      </c>
      <c r="G1766" s="252" t="s">
        <v>4829</v>
      </c>
      <c r="H1766" s="252" t="s">
        <v>4830</v>
      </c>
      <c r="I1766" s="252">
        <v>5</v>
      </c>
      <c r="J1766" s="255">
        <v>1</v>
      </c>
      <c r="K1766" s="255">
        <v>1</v>
      </c>
      <c r="L1766" s="255"/>
      <c r="M1766" s="256">
        <v>1.5899999999999999E-4</v>
      </c>
      <c r="N1766" s="249">
        <v>1765</v>
      </c>
    </row>
    <row r="1767" spans="1:14" x14ac:dyDescent="0.25">
      <c r="A1767" s="252" t="s">
        <v>134</v>
      </c>
      <c r="B1767" s="252" t="s">
        <v>4131</v>
      </c>
      <c r="C1767" s="253">
        <v>0</v>
      </c>
      <c r="D1767" s="252">
        <v>39792</v>
      </c>
      <c r="E1767" s="252" t="s">
        <v>190</v>
      </c>
      <c r="F1767" s="254" t="s">
        <v>4592</v>
      </c>
      <c r="G1767" s="252" t="s">
        <v>4831</v>
      </c>
      <c r="H1767" s="252" t="s">
        <v>4832</v>
      </c>
      <c r="I1767" s="252">
        <v>5</v>
      </c>
      <c r="J1767" s="255">
        <v>1</v>
      </c>
      <c r="K1767" s="255">
        <v>1</v>
      </c>
      <c r="L1767" s="255"/>
      <c r="M1767" s="256">
        <v>1.5899999999999999E-4</v>
      </c>
      <c r="N1767" s="249">
        <v>1766</v>
      </c>
    </row>
    <row r="1768" spans="1:14" x14ac:dyDescent="0.25">
      <c r="A1768" s="252" t="s">
        <v>134</v>
      </c>
      <c r="B1768" s="252" t="s">
        <v>4131</v>
      </c>
      <c r="C1768" s="253">
        <v>0</v>
      </c>
      <c r="D1768" s="252">
        <v>39792</v>
      </c>
      <c r="E1768" s="252" t="s">
        <v>145</v>
      </c>
      <c r="F1768" s="254" t="s">
        <v>4592</v>
      </c>
      <c r="G1768" s="252" t="s">
        <v>4833</v>
      </c>
      <c r="H1768" s="252" t="s">
        <v>4834</v>
      </c>
      <c r="I1768" s="252">
        <v>5</v>
      </c>
      <c r="J1768" s="255">
        <v>1</v>
      </c>
      <c r="K1768" s="255">
        <v>1</v>
      </c>
      <c r="L1768" s="255"/>
      <c r="M1768" s="256">
        <v>1.5899999999999999E-4</v>
      </c>
      <c r="N1768" s="249">
        <v>1767</v>
      </c>
    </row>
    <row r="1769" spans="1:14" x14ac:dyDescent="0.25">
      <c r="A1769" s="252" t="s">
        <v>134</v>
      </c>
      <c r="B1769" s="252" t="s">
        <v>4131</v>
      </c>
      <c r="C1769" s="253">
        <v>0</v>
      </c>
      <c r="D1769" s="252">
        <v>39792</v>
      </c>
      <c r="E1769" s="252" t="s">
        <v>190</v>
      </c>
      <c r="F1769" s="254" t="s">
        <v>4592</v>
      </c>
      <c r="G1769" s="252" t="s">
        <v>4835</v>
      </c>
      <c r="H1769" s="252" t="s">
        <v>4836</v>
      </c>
      <c r="I1769" s="252">
        <v>5</v>
      </c>
      <c r="J1769" s="255">
        <v>1</v>
      </c>
      <c r="K1769" s="255">
        <v>1</v>
      </c>
      <c r="L1769" s="255"/>
      <c r="M1769" s="256">
        <v>1.5899999999999999E-4</v>
      </c>
      <c r="N1769" s="249">
        <v>1768</v>
      </c>
    </row>
    <row r="1770" spans="1:14" x14ac:dyDescent="0.25">
      <c r="A1770" s="252" t="s">
        <v>134</v>
      </c>
      <c r="B1770" s="252" t="s">
        <v>4131</v>
      </c>
      <c r="C1770" s="253">
        <v>0</v>
      </c>
      <c r="D1770" s="252">
        <v>39792</v>
      </c>
      <c r="E1770" s="252" t="s">
        <v>3039</v>
      </c>
      <c r="F1770" s="254" t="s">
        <v>4592</v>
      </c>
      <c r="G1770" s="252" t="s">
        <v>4837</v>
      </c>
      <c r="H1770" s="252" t="s">
        <v>4838</v>
      </c>
      <c r="I1770" s="252">
        <v>5</v>
      </c>
      <c r="J1770" s="255">
        <v>1</v>
      </c>
      <c r="K1770" s="255">
        <v>1</v>
      </c>
      <c r="L1770" s="255"/>
      <c r="M1770" s="256">
        <v>1.5899999999999999E-4</v>
      </c>
      <c r="N1770" s="249">
        <v>1769</v>
      </c>
    </row>
    <row r="1771" spans="1:14" x14ac:dyDescent="0.25">
      <c r="A1771" s="252" t="s">
        <v>134</v>
      </c>
      <c r="B1771" s="252" t="s">
        <v>4131</v>
      </c>
      <c r="C1771" s="253">
        <v>0</v>
      </c>
      <c r="D1771" s="252">
        <v>39792</v>
      </c>
      <c r="E1771" s="252" t="s">
        <v>3039</v>
      </c>
      <c r="F1771" s="254" t="s">
        <v>4592</v>
      </c>
      <c r="G1771" s="252" t="s">
        <v>4839</v>
      </c>
      <c r="H1771" s="252" t="s">
        <v>4840</v>
      </c>
      <c r="I1771" s="252">
        <v>5</v>
      </c>
      <c r="J1771" s="255">
        <v>1</v>
      </c>
      <c r="K1771" s="255">
        <v>1</v>
      </c>
      <c r="L1771" s="255"/>
      <c r="M1771" s="256">
        <v>1.0589999999999998E-3</v>
      </c>
      <c r="N1771" s="249">
        <v>1770</v>
      </c>
    </row>
    <row r="1772" spans="1:14" x14ac:dyDescent="0.25">
      <c r="A1772" s="252" t="s">
        <v>134</v>
      </c>
      <c r="B1772" s="252" t="s">
        <v>4131</v>
      </c>
      <c r="C1772" s="253">
        <v>0</v>
      </c>
      <c r="D1772" s="252">
        <v>39792</v>
      </c>
      <c r="E1772" s="252" t="s">
        <v>3039</v>
      </c>
      <c r="F1772" s="254" t="s">
        <v>4592</v>
      </c>
      <c r="G1772" s="252" t="s">
        <v>4841</v>
      </c>
      <c r="H1772" s="252" t="s">
        <v>4842</v>
      </c>
      <c r="I1772" s="252">
        <v>5</v>
      </c>
      <c r="J1772" s="255">
        <v>1</v>
      </c>
      <c r="K1772" s="255">
        <v>1</v>
      </c>
      <c r="L1772" s="255"/>
      <c r="M1772" s="256">
        <v>2.04E-4</v>
      </c>
      <c r="N1772" s="249">
        <v>1771</v>
      </c>
    </row>
    <row r="1773" spans="1:14" x14ac:dyDescent="0.25">
      <c r="A1773" s="252" t="s">
        <v>134</v>
      </c>
      <c r="B1773" s="252" t="s">
        <v>4131</v>
      </c>
      <c r="C1773" s="253">
        <v>0</v>
      </c>
      <c r="D1773" s="252">
        <v>39792</v>
      </c>
      <c r="E1773" s="252" t="s">
        <v>3039</v>
      </c>
      <c r="F1773" s="254" t="s">
        <v>4592</v>
      </c>
      <c r="G1773" s="252" t="s">
        <v>4843</v>
      </c>
      <c r="H1773" s="252" t="s">
        <v>4844</v>
      </c>
      <c r="I1773" s="252">
        <v>5</v>
      </c>
      <c r="J1773" s="255">
        <v>1</v>
      </c>
      <c r="K1773" s="255">
        <v>1</v>
      </c>
      <c r="L1773" s="255"/>
      <c r="M1773" s="256">
        <v>1.0589999999999998E-3</v>
      </c>
      <c r="N1773" s="249">
        <v>1772</v>
      </c>
    </row>
    <row r="1774" spans="1:14" x14ac:dyDescent="0.25">
      <c r="A1774" s="252" t="s">
        <v>134</v>
      </c>
      <c r="B1774" s="252" t="s">
        <v>4131</v>
      </c>
      <c r="C1774" s="253">
        <v>0</v>
      </c>
      <c r="D1774" s="252">
        <v>39792</v>
      </c>
      <c r="E1774" s="252" t="s">
        <v>3039</v>
      </c>
      <c r="F1774" s="254" t="s">
        <v>4592</v>
      </c>
      <c r="G1774" s="252" t="s">
        <v>4845</v>
      </c>
      <c r="H1774" s="252" t="s">
        <v>4846</v>
      </c>
      <c r="I1774" s="252">
        <v>5</v>
      </c>
      <c r="J1774" s="255">
        <v>1</v>
      </c>
      <c r="K1774" s="255">
        <v>1</v>
      </c>
      <c r="L1774" s="255"/>
      <c r="M1774" s="256">
        <v>2.04E-4</v>
      </c>
      <c r="N1774" s="249">
        <v>1773</v>
      </c>
    </row>
    <row r="1775" spans="1:14" x14ac:dyDescent="0.25">
      <c r="A1775" s="252" t="s">
        <v>134</v>
      </c>
      <c r="B1775" s="252" t="s">
        <v>4131</v>
      </c>
      <c r="C1775" s="253">
        <v>0</v>
      </c>
      <c r="D1775" s="252">
        <v>39792</v>
      </c>
      <c r="E1775" s="252" t="s">
        <v>3039</v>
      </c>
      <c r="F1775" s="254" t="s">
        <v>4592</v>
      </c>
      <c r="G1775" s="252" t="s">
        <v>4847</v>
      </c>
      <c r="H1775" s="252" t="s">
        <v>4848</v>
      </c>
      <c r="I1775" s="252">
        <v>5</v>
      </c>
      <c r="J1775" s="255">
        <v>1</v>
      </c>
      <c r="K1775" s="255">
        <v>1</v>
      </c>
      <c r="L1775" s="255"/>
      <c r="M1775" s="256">
        <v>1.6200000000000001E-4</v>
      </c>
      <c r="N1775" s="249">
        <v>1774</v>
      </c>
    </row>
    <row r="1776" spans="1:14" x14ac:dyDescent="0.25">
      <c r="A1776" s="252" t="s">
        <v>134</v>
      </c>
      <c r="B1776" s="252" t="s">
        <v>4131</v>
      </c>
      <c r="C1776" s="253">
        <v>0</v>
      </c>
      <c r="D1776" s="252">
        <v>39792</v>
      </c>
      <c r="E1776" s="252" t="s">
        <v>3039</v>
      </c>
      <c r="F1776" s="254" t="s">
        <v>4592</v>
      </c>
      <c r="G1776" s="252" t="s">
        <v>4849</v>
      </c>
      <c r="H1776" s="252" t="s">
        <v>4850</v>
      </c>
      <c r="I1776" s="252">
        <v>5</v>
      </c>
      <c r="J1776" s="255">
        <v>1</v>
      </c>
      <c r="K1776" s="255">
        <v>1</v>
      </c>
      <c r="L1776" s="255"/>
      <c r="M1776" s="256">
        <v>1.6200000000000001E-4</v>
      </c>
      <c r="N1776" s="249">
        <v>1775</v>
      </c>
    </row>
    <row r="1777" spans="1:14" x14ac:dyDescent="0.25">
      <c r="A1777" s="252" t="s">
        <v>134</v>
      </c>
      <c r="B1777" s="252" t="s">
        <v>4131</v>
      </c>
      <c r="C1777" s="253">
        <v>0</v>
      </c>
      <c r="D1777" s="252">
        <v>39792</v>
      </c>
      <c r="E1777" s="252" t="s">
        <v>3039</v>
      </c>
      <c r="F1777" s="254" t="s">
        <v>4592</v>
      </c>
      <c r="G1777" s="252" t="s">
        <v>4851</v>
      </c>
      <c r="H1777" s="252" t="s">
        <v>4852</v>
      </c>
      <c r="I1777" s="252">
        <v>5</v>
      </c>
      <c r="J1777" s="255">
        <v>1</v>
      </c>
      <c r="K1777" s="255">
        <v>1</v>
      </c>
      <c r="L1777" s="255"/>
      <c r="M1777" s="256">
        <v>1.6200000000000001E-4</v>
      </c>
      <c r="N1777" s="249">
        <v>1776</v>
      </c>
    </row>
    <row r="1778" spans="1:14" x14ac:dyDescent="0.25">
      <c r="A1778" s="252" t="s">
        <v>134</v>
      </c>
      <c r="B1778" s="252" t="s">
        <v>4131</v>
      </c>
      <c r="C1778" s="253">
        <v>0</v>
      </c>
      <c r="D1778" s="252">
        <v>39792</v>
      </c>
      <c r="E1778" s="252" t="s">
        <v>3039</v>
      </c>
      <c r="F1778" s="254" t="s">
        <v>4592</v>
      </c>
      <c r="G1778" s="252" t="s">
        <v>4853</v>
      </c>
      <c r="H1778" s="252" t="s">
        <v>4854</v>
      </c>
      <c r="I1778" s="252">
        <v>5</v>
      </c>
      <c r="J1778" s="255">
        <v>1</v>
      </c>
      <c r="K1778" s="255">
        <v>1</v>
      </c>
      <c r="L1778" s="255"/>
      <c r="M1778" s="256">
        <v>1.6200000000000001E-4</v>
      </c>
      <c r="N1778" s="249">
        <v>1777</v>
      </c>
    </row>
    <row r="1779" spans="1:14" x14ac:dyDescent="0.25">
      <c r="A1779" s="252" t="s">
        <v>134</v>
      </c>
      <c r="B1779" s="252" t="s">
        <v>4131</v>
      </c>
      <c r="C1779" s="253">
        <v>0</v>
      </c>
      <c r="D1779" s="252">
        <v>39792</v>
      </c>
      <c r="E1779" s="252" t="s">
        <v>3039</v>
      </c>
      <c r="F1779" s="254" t="s">
        <v>4592</v>
      </c>
      <c r="G1779" s="252" t="s">
        <v>4855</v>
      </c>
      <c r="H1779" s="252" t="s">
        <v>4856</v>
      </c>
      <c r="I1779" s="252">
        <v>5</v>
      </c>
      <c r="J1779" s="255">
        <v>1</v>
      </c>
      <c r="K1779" s="255">
        <v>1</v>
      </c>
      <c r="L1779" s="255"/>
      <c r="M1779" s="256">
        <v>1.5899999999999999E-4</v>
      </c>
      <c r="N1779" s="249">
        <v>1778</v>
      </c>
    </row>
    <row r="1780" spans="1:14" x14ac:dyDescent="0.25">
      <c r="A1780" s="252" t="s">
        <v>134</v>
      </c>
      <c r="B1780" s="252" t="s">
        <v>4131</v>
      </c>
      <c r="C1780" s="253">
        <v>0</v>
      </c>
      <c r="D1780" s="252">
        <v>39792</v>
      </c>
      <c r="E1780" s="252" t="s">
        <v>3039</v>
      </c>
      <c r="F1780" s="254" t="s">
        <v>4592</v>
      </c>
      <c r="G1780" s="252" t="s">
        <v>4857</v>
      </c>
      <c r="H1780" s="252" t="s">
        <v>4858</v>
      </c>
      <c r="I1780" s="252">
        <v>5</v>
      </c>
      <c r="J1780" s="255">
        <v>1</v>
      </c>
      <c r="K1780" s="255">
        <v>1</v>
      </c>
      <c r="L1780" s="255"/>
      <c r="M1780" s="256">
        <v>1.5600000000000002E-4</v>
      </c>
      <c r="N1780" s="249">
        <v>1779</v>
      </c>
    </row>
    <row r="1781" spans="1:14" x14ac:dyDescent="0.25">
      <c r="A1781" s="252" t="s">
        <v>134</v>
      </c>
      <c r="B1781" s="252" t="s">
        <v>4131</v>
      </c>
      <c r="C1781" s="253">
        <v>0</v>
      </c>
      <c r="D1781" s="252">
        <v>39792</v>
      </c>
      <c r="E1781" s="252" t="s">
        <v>3039</v>
      </c>
      <c r="F1781" s="254" t="s">
        <v>4592</v>
      </c>
      <c r="G1781" s="252" t="s">
        <v>4859</v>
      </c>
      <c r="H1781" s="252" t="s">
        <v>4860</v>
      </c>
      <c r="I1781" s="252">
        <v>5</v>
      </c>
      <c r="J1781" s="255">
        <v>1</v>
      </c>
      <c r="K1781" s="255">
        <v>1</v>
      </c>
      <c r="L1781" s="255"/>
      <c r="M1781" s="256">
        <v>1.6200000000000001E-4</v>
      </c>
      <c r="N1781" s="249">
        <v>1780</v>
      </c>
    </row>
    <row r="1782" spans="1:14" x14ac:dyDescent="0.25">
      <c r="A1782" s="252" t="s">
        <v>134</v>
      </c>
      <c r="B1782" s="252" t="s">
        <v>4131</v>
      </c>
      <c r="C1782" s="253">
        <v>0</v>
      </c>
      <c r="D1782" s="252">
        <v>39792</v>
      </c>
      <c r="E1782" s="252" t="s">
        <v>3039</v>
      </c>
      <c r="F1782" s="254" t="s">
        <v>4592</v>
      </c>
      <c r="G1782" s="252" t="s">
        <v>4861</v>
      </c>
      <c r="H1782" s="252" t="s">
        <v>4862</v>
      </c>
      <c r="I1782" s="252">
        <v>5</v>
      </c>
      <c r="J1782" s="255">
        <v>1</v>
      </c>
      <c r="K1782" s="255">
        <v>1</v>
      </c>
      <c r="L1782" s="255"/>
      <c r="M1782" s="256">
        <v>1.6200000000000001E-4</v>
      </c>
      <c r="N1782" s="249">
        <v>1781</v>
      </c>
    </row>
    <row r="1783" spans="1:14" x14ac:dyDescent="0.25">
      <c r="A1783" s="252" t="s">
        <v>134</v>
      </c>
      <c r="B1783" s="252" t="s">
        <v>4131</v>
      </c>
      <c r="C1783" s="253">
        <v>0</v>
      </c>
      <c r="D1783" s="252">
        <v>39792</v>
      </c>
      <c r="E1783" s="252" t="s">
        <v>3039</v>
      </c>
      <c r="F1783" s="254" t="s">
        <v>4592</v>
      </c>
      <c r="G1783" s="252" t="s">
        <v>4863</v>
      </c>
      <c r="H1783" s="252" t="s">
        <v>4864</v>
      </c>
      <c r="I1783" s="252">
        <v>5</v>
      </c>
      <c r="J1783" s="255">
        <v>1</v>
      </c>
      <c r="K1783" s="255">
        <v>1</v>
      </c>
      <c r="L1783" s="255"/>
      <c r="M1783" s="256">
        <v>1.6200000000000001E-4</v>
      </c>
      <c r="N1783" s="249">
        <v>1782</v>
      </c>
    </row>
    <row r="1784" spans="1:14" x14ac:dyDescent="0.25">
      <c r="A1784" s="252" t="s">
        <v>134</v>
      </c>
      <c r="B1784" s="252" t="s">
        <v>4131</v>
      </c>
      <c r="C1784" s="253">
        <v>0</v>
      </c>
      <c r="D1784" s="252">
        <v>39792</v>
      </c>
      <c r="E1784" s="252" t="s">
        <v>3039</v>
      </c>
      <c r="F1784" s="254" t="s">
        <v>4592</v>
      </c>
      <c r="G1784" s="252" t="s">
        <v>4865</v>
      </c>
      <c r="H1784" s="252" t="s">
        <v>4866</v>
      </c>
      <c r="I1784" s="252">
        <v>5</v>
      </c>
      <c r="J1784" s="255">
        <v>1</v>
      </c>
      <c r="K1784" s="255">
        <v>1</v>
      </c>
      <c r="L1784" s="255"/>
      <c r="M1784" s="256">
        <v>1.5899999999999999E-4</v>
      </c>
      <c r="N1784" s="249">
        <v>1783</v>
      </c>
    </row>
    <row r="1785" spans="1:14" x14ac:dyDescent="0.25">
      <c r="A1785" s="252" t="s">
        <v>134</v>
      </c>
      <c r="B1785" s="252" t="s">
        <v>4131</v>
      </c>
      <c r="C1785" s="253">
        <v>0</v>
      </c>
      <c r="D1785" s="252">
        <v>39792</v>
      </c>
      <c r="E1785" s="252" t="s">
        <v>3039</v>
      </c>
      <c r="F1785" s="254" t="s">
        <v>4592</v>
      </c>
      <c r="G1785" s="252" t="s">
        <v>4867</v>
      </c>
      <c r="H1785" s="252" t="s">
        <v>4868</v>
      </c>
      <c r="I1785" s="252">
        <v>5</v>
      </c>
      <c r="J1785" s="255">
        <v>1</v>
      </c>
      <c r="K1785" s="255">
        <v>1</v>
      </c>
      <c r="L1785" s="255"/>
      <c r="M1785" s="256">
        <v>1.5899999999999999E-4</v>
      </c>
      <c r="N1785" s="249">
        <v>1784</v>
      </c>
    </row>
    <row r="1786" spans="1:14" x14ac:dyDescent="0.25">
      <c r="A1786" s="252" t="s">
        <v>134</v>
      </c>
      <c r="B1786" s="252" t="s">
        <v>4131</v>
      </c>
      <c r="C1786" s="253">
        <v>0</v>
      </c>
      <c r="D1786" s="252">
        <v>39792</v>
      </c>
      <c r="E1786" s="252" t="s">
        <v>3039</v>
      </c>
      <c r="F1786" s="254" t="s">
        <v>4592</v>
      </c>
      <c r="G1786" s="252" t="s">
        <v>4869</v>
      </c>
      <c r="H1786" s="252" t="s">
        <v>4870</v>
      </c>
      <c r="I1786" s="252">
        <v>5</v>
      </c>
      <c r="J1786" s="255">
        <v>1</v>
      </c>
      <c r="K1786" s="255">
        <v>1</v>
      </c>
      <c r="L1786" s="255"/>
      <c r="M1786" s="256">
        <v>1.6200000000000001E-4</v>
      </c>
      <c r="N1786" s="249">
        <v>1785</v>
      </c>
    </row>
    <row r="1787" spans="1:14" x14ac:dyDescent="0.25">
      <c r="A1787" s="252" t="s">
        <v>134</v>
      </c>
      <c r="B1787" s="252" t="s">
        <v>4131</v>
      </c>
      <c r="C1787" s="253">
        <v>0</v>
      </c>
      <c r="D1787" s="252">
        <v>39792</v>
      </c>
      <c r="E1787" s="252" t="s">
        <v>3039</v>
      </c>
      <c r="F1787" s="254" t="s">
        <v>4592</v>
      </c>
      <c r="G1787" s="252" t="s">
        <v>4871</v>
      </c>
      <c r="H1787" s="252" t="s">
        <v>4872</v>
      </c>
      <c r="I1787" s="252">
        <v>5</v>
      </c>
      <c r="J1787" s="255">
        <v>1</v>
      </c>
      <c r="K1787" s="255">
        <v>1</v>
      </c>
      <c r="L1787" s="255"/>
      <c r="M1787" s="256">
        <v>1.6200000000000001E-4</v>
      </c>
      <c r="N1787" s="249">
        <v>1786</v>
      </c>
    </row>
    <row r="1788" spans="1:14" x14ac:dyDescent="0.25">
      <c r="A1788" s="252" t="s">
        <v>134</v>
      </c>
      <c r="B1788" s="252" t="s">
        <v>4131</v>
      </c>
      <c r="C1788" s="253">
        <v>0</v>
      </c>
      <c r="D1788" s="252">
        <v>39792</v>
      </c>
      <c r="E1788" s="252" t="s">
        <v>3039</v>
      </c>
      <c r="F1788" s="254" t="s">
        <v>4592</v>
      </c>
      <c r="G1788" s="252" t="s">
        <v>4873</v>
      </c>
      <c r="H1788" s="252" t="s">
        <v>4874</v>
      </c>
      <c r="I1788" s="252">
        <v>5</v>
      </c>
      <c r="J1788" s="255">
        <v>1</v>
      </c>
      <c r="K1788" s="255">
        <v>1</v>
      </c>
      <c r="L1788" s="255"/>
      <c r="M1788" s="256">
        <v>1.6200000000000001E-4</v>
      </c>
      <c r="N1788" s="249">
        <v>1787</v>
      </c>
    </row>
    <row r="1789" spans="1:14" x14ac:dyDescent="0.25">
      <c r="A1789" s="252" t="s">
        <v>134</v>
      </c>
      <c r="B1789" s="252" t="s">
        <v>4131</v>
      </c>
      <c r="C1789" s="253">
        <v>0</v>
      </c>
      <c r="D1789" s="252">
        <v>39792</v>
      </c>
      <c r="E1789" s="252" t="s">
        <v>3039</v>
      </c>
      <c r="F1789" s="254" t="s">
        <v>4592</v>
      </c>
      <c r="G1789" s="252" t="s">
        <v>4875</v>
      </c>
      <c r="H1789" s="252" t="s">
        <v>4876</v>
      </c>
      <c r="I1789" s="252">
        <v>5</v>
      </c>
      <c r="J1789" s="255">
        <v>1</v>
      </c>
      <c r="K1789" s="255">
        <v>1</v>
      </c>
      <c r="L1789" s="255"/>
      <c r="M1789" s="256">
        <v>1.8900000000000001E-4</v>
      </c>
      <c r="N1789" s="249">
        <v>1788</v>
      </c>
    </row>
    <row r="1790" spans="1:14" x14ac:dyDescent="0.25">
      <c r="A1790" s="252" t="s">
        <v>134</v>
      </c>
      <c r="B1790" s="252" t="s">
        <v>4131</v>
      </c>
      <c r="C1790" s="253">
        <v>0</v>
      </c>
      <c r="D1790" s="252">
        <v>39792</v>
      </c>
      <c r="E1790" s="252" t="s">
        <v>3039</v>
      </c>
      <c r="F1790" s="254" t="s">
        <v>4592</v>
      </c>
      <c r="G1790" s="252" t="s">
        <v>4877</v>
      </c>
      <c r="H1790" s="252" t="s">
        <v>4878</v>
      </c>
      <c r="I1790" s="252">
        <v>5</v>
      </c>
      <c r="J1790" s="255">
        <v>1</v>
      </c>
      <c r="K1790" s="255">
        <v>1</v>
      </c>
      <c r="L1790" s="255"/>
      <c r="M1790" s="256">
        <v>1.8900000000000001E-4</v>
      </c>
      <c r="N1790" s="249">
        <v>1789</v>
      </c>
    </row>
    <row r="1791" spans="1:14" x14ac:dyDescent="0.25">
      <c r="A1791" s="252" t="s">
        <v>134</v>
      </c>
      <c r="B1791" s="252" t="s">
        <v>4131</v>
      </c>
      <c r="C1791" s="253">
        <v>0</v>
      </c>
      <c r="D1791" s="252">
        <v>39792</v>
      </c>
      <c r="E1791" s="252" t="s">
        <v>3039</v>
      </c>
      <c r="F1791" s="254" t="s">
        <v>4592</v>
      </c>
      <c r="G1791" s="252" t="s">
        <v>4879</v>
      </c>
      <c r="H1791" s="252" t="s">
        <v>4880</v>
      </c>
      <c r="I1791" s="252">
        <v>5</v>
      </c>
      <c r="J1791" s="255">
        <v>1</v>
      </c>
      <c r="K1791" s="255">
        <v>1</v>
      </c>
      <c r="L1791" s="255"/>
      <c r="M1791" s="256">
        <v>1.8900000000000001E-4</v>
      </c>
      <c r="N1791" s="249">
        <v>1790</v>
      </c>
    </row>
    <row r="1792" spans="1:14" x14ac:dyDescent="0.25">
      <c r="A1792" s="252" t="s">
        <v>134</v>
      </c>
      <c r="B1792" s="252" t="s">
        <v>4131</v>
      </c>
      <c r="C1792" s="253">
        <v>0</v>
      </c>
      <c r="D1792" s="252">
        <v>39792</v>
      </c>
      <c r="E1792" s="252" t="s">
        <v>3039</v>
      </c>
      <c r="F1792" s="254" t="s">
        <v>4592</v>
      </c>
      <c r="G1792" s="252" t="s">
        <v>4881</v>
      </c>
      <c r="H1792" s="252" t="s">
        <v>4882</v>
      </c>
      <c r="I1792" s="252">
        <v>5</v>
      </c>
      <c r="J1792" s="255">
        <v>1</v>
      </c>
      <c r="K1792" s="255">
        <v>1</v>
      </c>
      <c r="L1792" s="255"/>
      <c r="M1792" s="256">
        <v>1.8900000000000001E-4</v>
      </c>
      <c r="N1792" s="249">
        <v>1791</v>
      </c>
    </row>
    <row r="1793" spans="1:14" x14ac:dyDescent="0.25">
      <c r="A1793" s="252" t="s">
        <v>134</v>
      </c>
      <c r="B1793" s="252" t="s">
        <v>4131</v>
      </c>
      <c r="C1793" s="253">
        <v>0</v>
      </c>
      <c r="D1793" s="252">
        <v>39792</v>
      </c>
      <c r="E1793" s="252" t="s">
        <v>3039</v>
      </c>
      <c r="F1793" s="254" t="s">
        <v>4592</v>
      </c>
      <c r="G1793" s="252" t="s">
        <v>4883</v>
      </c>
      <c r="H1793" s="252" t="s">
        <v>4884</v>
      </c>
      <c r="I1793" s="252">
        <v>5</v>
      </c>
      <c r="J1793" s="255">
        <v>1</v>
      </c>
      <c r="K1793" s="255">
        <v>1</v>
      </c>
      <c r="L1793" s="255"/>
      <c r="M1793" s="256">
        <v>1.5899999999999999E-4</v>
      </c>
      <c r="N1793" s="249">
        <v>1792</v>
      </c>
    </row>
    <row r="1794" spans="1:14" x14ac:dyDescent="0.25">
      <c r="A1794" s="252" t="s">
        <v>134</v>
      </c>
      <c r="B1794" s="252" t="s">
        <v>4131</v>
      </c>
      <c r="C1794" s="253">
        <v>0</v>
      </c>
      <c r="D1794" s="252">
        <v>39792</v>
      </c>
      <c r="E1794" s="252" t="s">
        <v>3039</v>
      </c>
      <c r="F1794" s="254" t="s">
        <v>4592</v>
      </c>
      <c r="G1794" s="252" t="s">
        <v>4885</v>
      </c>
      <c r="H1794" s="252" t="s">
        <v>4886</v>
      </c>
      <c r="I1794" s="252">
        <v>5</v>
      </c>
      <c r="J1794" s="255">
        <v>1</v>
      </c>
      <c r="K1794" s="255">
        <v>1</v>
      </c>
      <c r="L1794" s="255"/>
      <c r="M1794" s="256">
        <v>1.5899999999999999E-4</v>
      </c>
      <c r="N1794" s="249">
        <v>1793</v>
      </c>
    </row>
    <row r="1795" spans="1:14" x14ac:dyDescent="0.25">
      <c r="A1795" s="252" t="s">
        <v>134</v>
      </c>
      <c r="B1795" s="252" t="s">
        <v>4131</v>
      </c>
      <c r="C1795" s="253">
        <v>0</v>
      </c>
      <c r="D1795" s="252">
        <v>39792</v>
      </c>
      <c r="E1795" s="252" t="s">
        <v>3039</v>
      </c>
      <c r="F1795" s="254" t="s">
        <v>4592</v>
      </c>
      <c r="G1795" s="252" t="s">
        <v>4887</v>
      </c>
      <c r="H1795" s="252" t="s">
        <v>4888</v>
      </c>
      <c r="I1795" s="252">
        <v>5</v>
      </c>
      <c r="J1795" s="255">
        <v>1</v>
      </c>
      <c r="K1795" s="255">
        <v>1</v>
      </c>
      <c r="L1795" s="255"/>
      <c r="M1795" s="256">
        <v>1.8900000000000001E-4</v>
      </c>
      <c r="N1795" s="249">
        <v>1794</v>
      </c>
    </row>
    <row r="1796" spans="1:14" x14ac:dyDescent="0.25">
      <c r="A1796" s="252" t="s">
        <v>134</v>
      </c>
      <c r="B1796" s="252" t="s">
        <v>4131</v>
      </c>
      <c r="C1796" s="253">
        <v>0</v>
      </c>
      <c r="D1796" s="252">
        <v>39792</v>
      </c>
      <c r="E1796" s="252" t="s">
        <v>3039</v>
      </c>
      <c r="F1796" s="254" t="s">
        <v>4592</v>
      </c>
      <c r="G1796" s="252" t="s">
        <v>4889</v>
      </c>
      <c r="H1796" s="252" t="s">
        <v>4890</v>
      </c>
      <c r="I1796" s="252">
        <v>5</v>
      </c>
      <c r="J1796" s="255">
        <v>1</v>
      </c>
      <c r="K1796" s="255">
        <v>1</v>
      </c>
      <c r="L1796" s="255"/>
      <c r="M1796" s="256">
        <v>1.8900000000000001E-4</v>
      </c>
      <c r="N1796" s="249">
        <v>1795</v>
      </c>
    </row>
    <row r="1797" spans="1:14" x14ac:dyDescent="0.25">
      <c r="A1797" s="252" t="s">
        <v>134</v>
      </c>
      <c r="B1797" s="252" t="s">
        <v>4131</v>
      </c>
      <c r="C1797" s="253">
        <v>0</v>
      </c>
      <c r="D1797" s="252">
        <v>39792</v>
      </c>
      <c r="E1797" s="252" t="s">
        <v>3039</v>
      </c>
      <c r="F1797" s="254" t="s">
        <v>4592</v>
      </c>
      <c r="G1797" s="252" t="s">
        <v>4891</v>
      </c>
      <c r="H1797" s="252" t="s">
        <v>4892</v>
      </c>
      <c r="I1797" s="252">
        <v>5</v>
      </c>
      <c r="J1797" s="255">
        <v>1</v>
      </c>
      <c r="K1797" s="255">
        <v>1</v>
      </c>
      <c r="L1797" s="255"/>
      <c r="M1797" s="256">
        <v>1.8900000000000001E-4</v>
      </c>
      <c r="N1797" s="249">
        <v>1796</v>
      </c>
    </row>
    <row r="1798" spans="1:14" x14ac:dyDescent="0.25">
      <c r="A1798" s="252" t="s">
        <v>134</v>
      </c>
      <c r="B1798" s="252" t="s">
        <v>4131</v>
      </c>
      <c r="C1798" s="253">
        <v>0</v>
      </c>
      <c r="D1798" s="252">
        <v>39792</v>
      </c>
      <c r="E1798" s="252" t="s">
        <v>3039</v>
      </c>
      <c r="F1798" s="254" t="s">
        <v>4592</v>
      </c>
      <c r="G1798" s="252" t="s">
        <v>4893</v>
      </c>
      <c r="H1798" s="252" t="s">
        <v>4894</v>
      </c>
      <c r="I1798" s="252">
        <v>5</v>
      </c>
      <c r="J1798" s="255">
        <v>1</v>
      </c>
      <c r="K1798" s="255">
        <v>1</v>
      </c>
      <c r="L1798" s="255"/>
      <c r="M1798" s="256">
        <v>1.8900000000000001E-4</v>
      </c>
      <c r="N1798" s="249">
        <v>1797</v>
      </c>
    </row>
    <row r="1799" spans="1:14" x14ac:dyDescent="0.25">
      <c r="A1799" s="252" t="s">
        <v>134</v>
      </c>
      <c r="B1799" s="252" t="s">
        <v>4131</v>
      </c>
      <c r="C1799" s="253">
        <v>0</v>
      </c>
      <c r="D1799" s="252">
        <v>39792</v>
      </c>
      <c r="E1799" s="252" t="s">
        <v>3039</v>
      </c>
      <c r="F1799" s="254" t="s">
        <v>4592</v>
      </c>
      <c r="G1799" s="252" t="s">
        <v>4895</v>
      </c>
      <c r="H1799" s="252" t="s">
        <v>4896</v>
      </c>
      <c r="I1799" s="252">
        <v>5</v>
      </c>
      <c r="J1799" s="255">
        <v>1</v>
      </c>
      <c r="K1799" s="255">
        <v>1</v>
      </c>
      <c r="L1799" s="255"/>
      <c r="M1799" s="256">
        <v>1.5899999999999999E-4</v>
      </c>
      <c r="N1799" s="249">
        <v>1798</v>
      </c>
    </row>
    <row r="1800" spans="1:14" x14ac:dyDescent="0.25">
      <c r="A1800" s="252" t="s">
        <v>134</v>
      </c>
      <c r="B1800" s="252" t="s">
        <v>4131</v>
      </c>
      <c r="C1800" s="253">
        <v>0</v>
      </c>
      <c r="D1800" s="252">
        <v>39792</v>
      </c>
      <c r="E1800" s="252" t="s">
        <v>3039</v>
      </c>
      <c r="F1800" s="254" t="s">
        <v>4592</v>
      </c>
      <c r="G1800" s="252" t="s">
        <v>4897</v>
      </c>
      <c r="H1800" s="252" t="s">
        <v>4898</v>
      </c>
      <c r="I1800" s="252">
        <v>5</v>
      </c>
      <c r="J1800" s="255">
        <v>1</v>
      </c>
      <c r="K1800" s="255">
        <v>1</v>
      </c>
      <c r="L1800" s="255"/>
      <c r="M1800" s="256">
        <v>1.5899999999999999E-4</v>
      </c>
      <c r="N1800" s="249">
        <v>1799</v>
      </c>
    </row>
    <row r="1801" spans="1:14" x14ac:dyDescent="0.25">
      <c r="A1801" s="252" t="s">
        <v>134</v>
      </c>
      <c r="B1801" s="252" t="s">
        <v>4131</v>
      </c>
      <c r="C1801" s="253">
        <v>0</v>
      </c>
      <c r="D1801" s="252">
        <v>39792</v>
      </c>
      <c r="E1801" s="252" t="s">
        <v>3039</v>
      </c>
      <c r="F1801" s="254" t="s">
        <v>4592</v>
      </c>
      <c r="G1801" s="252" t="s">
        <v>4899</v>
      </c>
      <c r="H1801" s="252" t="s">
        <v>4900</v>
      </c>
      <c r="I1801" s="252">
        <v>5</v>
      </c>
      <c r="J1801" s="255">
        <v>1</v>
      </c>
      <c r="K1801" s="255">
        <v>1</v>
      </c>
      <c r="L1801" s="255"/>
      <c r="M1801" s="256">
        <v>1.5899999999999999E-4</v>
      </c>
      <c r="N1801" s="249">
        <v>1800</v>
      </c>
    </row>
    <row r="1802" spans="1:14" x14ac:dyDescent="0.25">
      <c r="A1802" s="252" t="s">
        <v>134</v>
      </c>
      <c r="B1802" s="252" t="s">
        <v>4131</v>
      </c>
      <c r="C1802" s="253">
        <v>0</v>
      </c>
      <c r="D1802" s="252">
        <v>39792</v>
      </c>
      <c r="E1802" s="252" t="s">
        <v>3039</v>
      </c>
      <c r="F1802" s="254" t="s">
        <v>4592</v>
      </c>
      <c r="G1802" s="252" t="s">
        <v>4901</v>
      </c>
      <c r="H1802" s="252" t="s">
        <v>4902</v>
      </c>
      <c r="I1802" s="252">
        <v>5</v>
      </c>
      <c r="J1802" s="255">
        <v>1</v>
      </c>
      <c r="K1802" s="255">
        <v>1</v>
      </c>
      <c r="L1802" s="255"/>
      <c r="M1802" s="256">
        <v>1.5899999999999999E-4</v>
      </c>
      <c r="N1802" s="249">
        <v>1801</v>
      </c>
    </row>
    <row r="1803" spans="1:14" x14ac:dyDescent="0.25">
      <c r="A1803" s="252" t="s">
        <v>134</v>
      </c>
      <c r="B1803" s="252" t="s">
        <v>4131</v>
      </c>
      <c r="C1803" s="253">
        <v>0</v>
      </c>
      <c r="D1803" s="252">
        <v>39792</v>
      </c>
      <c r="E1803" s="252" t="s">
        <v>3039</v>
      </c>
      <c r="F1803" s="254" t="s">
        <v>4592</v>
      </c>
      <c r="G1803" s="252" t="s">
        <v>4903</v>
      </c>
      <c r="H1803" s="252" t="s">
        <v>4904</v>
      </c>
      <c r="I1803" s="252">
        <v>5</v>
      </c>
      <c r="J1803" s="255">
        <v>1</v>
      </c>
      <c r="K1803" s="255">
        <v>1</v>
      </c>
      <c r="L1803" s="255"/>
      <c r="M1803" s="256">
        <v>1.0589999999999998E-3</v>
      </c>
      <c r="N1803" s="249">
        <v>1802</v>
      </c>
    </row>
    <row r="1804" spans="1:14" x14ac:dyDescent="0.25">
      <c r="A1804" s="252" t="s">
        <v>134</v>
      </c>
      <c r="B1804" s="252" t="s">
        <v>4131</v>
      </c>
      <c r="C1804" s="253">
        <v>0</v>
      </c>
      <c r="D1804" s="252">
        <v>39792</v>
      </c>
      <c r="E1804" s="252" t="s">
        <v>3039</v>
      </c>
      <c r="F1804" s="254" t="s">
        <v>4592</v>
      </c>
      <c r="G1804" s="252" t="s">
        <v>4905</v>
      </c>
      <c r="H1804" s="252" t="s">
        <v>4906</v>
      </c>
      <c r="I1804" s="252">
        <v>5</v>
      </c>
      <c r="J1804" s="255">
        <v>1</v>
      </c>
      <c r="K1804" s="255">
        <v>1</v>
      </c>
      <c r="L1804" s="255"/>
      <c r="M1804" s="256">
        <v>2.04E-4</v>
      </c>
      <c r="N1804" s="249">
        <v>1803</v>
      </c>
    </row>
    <row r="1805" spans="1:14" x14ac:dyDescent="0.25">
      <c r="A1805" s="252" t="s">
        <v>134</v>
      </c>
      <c r="B1805" s="252" t="s">
        <v>4131</v>
      </c>
      <c r="C1805" s="253">
        <v>0</v>
      </c>
      <c r="D1805" s="252">
        <v>39792</v>
      </c>
      <c r="E1805" s="252" t="s">
        <v>3039</v>
      </c>
      <c r="F1805" s="254" t="s">
        <v>4592</v>
      </c>
      <c r="G1805" s="252" t="s">
        <v>4907</v>
      </c>
      <c r="H1805" s="252" t="s">
        <v>4908</v>
      </c>
      <c r="I1805" s="252">
        <v>5</v>
      </c>
      <c r="J1805" s="255">
        <v>1</v>
      </c>
      <c r="K1805" s="255">
        <v>1</v>
      </c>
      <c r="L1805" s="255"/>
      <c r="M1805" s="256">
        <v>1.0589999999999998E-3</v>
      </c>
      <c r="N1805" s="249">
        <v>1804</v>
      </c>
    </row>
    <row r="1806" spans="1:14" x14ac:dyDescent="0.25">
      <c r="A1806" s="252" t="s">
        <v>134</v>
      </c>
      <c r="B1806" s="252" t="s">
        <v>4131</v>
      </c>
      <c r="C1806" s="253">
        <v>0</v>
      </c>
      <c r="D1806" s="252">
        <v>39792</v>
      </c>
      <c r="E1806" s="252" t="s">
        <v>3039</v>
      </c>
      <c r="F1806" s="254" t="s">
        <v>4592</v>
      </c>
      <c r="G1806" s="252" t="s">
        <v>4909</v>
      </c>
      <c r="H1806" s="252" t="s">
        <v>4910</v>
      </c>
      <c r="I1806" s="252">
        <v>5</v>
      </c>
      <c r="J1806" s="255">
        <v>1</v>
      </c>
      <c r="K1806" s="255">
        <v>1</v>
      </c>
      <c r="L1806" s="255"/>
      <c r="M1806" s="256">
        <v>2.04E-4</v>
      </c>
      <c r="N1806" s="249">
        <v>1805</v>
      </c>
    </row>
    <row r="1807" spans="1:14" x14ac:dyDescent="0.25">
      <c r="A1807" s="252" t="s">
        <v>134</v>
      </c>
      <c r="B1807" s="252" t="s">
        <v>4131</v>
      </c>
      <c r="C1807" s="253">
        <v>0</v>
      </c>
      <c r="D1807" s="252">
        <v>39792</v>
      </c>
      <c r="E1807" s="252" t="s">
        <v>3039</v>
      </c>
      <c r="F1807" s="254" t="s">
        <v>4592</v>
      </c>
      <c r="G1807" s="252" t="s">
        <v>4911</v>
      </c>
      <c r="H1807" s="252" t="s">
        <v>4912</v>
      </c>
      <c r="I1807" s="252">
        <v>5</v>
      </c>
      <c r="J1807" s="255">
        <v>1</v>
      </c>
      <c r="K1807" s="255">
        <v>1</v>
      </c>
      <c r="L1807" s="255"/>
      <c r="M1807" s="256">
        <v>1.5899999999999999E-4</v>
      </c>
      <c r="N1807" s="249">
        <v>1806</v>
      </c>
    </row>
    <row r="1808" spans="1:14" x14ac:dyDescent="0.25">
      <c r="A1808" s="252" t="s">
        <v>134</v>
      </c>
      <c r="B1808" s="252" t="s">
        <v>4131</v>
      </c>
      <c r="C1808" s="253">
        <v>0</v>
      </c>
      <c r="D1808" s="252">
        <v>39792</v>
      </c>
      <c r="E1808" s="252" t="s">
        <v>3039</v>
      </c>
      <c r="F1808" s="254" t="s">
        <v>4592</v>
      </c>
      <c r="G1808" s="252" t="s">
        <v>4913</v>
      </c>
      <c r="H1808" s="252" t="s">
        <v>4914</v>
      </c>
      <c r="I1808" s="252">
        <v>5</v>
      </c>
      <c r="J1808" s="255">
        <v>1</v>
      </c>
      <c r="K1808" s="255">
        <v>1</v>
      </c>
      <c r="L1808" s="255"/>
      <c r="M1808" s="256">
        <v>1.5899999999999999E-4</v>
      </c>
      <c r="N1808" s="249">
        <v>1807</v>
      </c>
    </row>
    <row r="1809" spans="1:14" x14ac:dyDescent="0.25">
      <c r="A1809" s="252" t="s">
        <v>134</v>
      </c>
      <c r="B1809" s="252" t="s">
        <v>4131</v>
      </c>
      <c r="C1809" s="253">
        <v>0</v>
      </c>
      <c r="D1809" s="252">
        <v>39792</v>
      </c>
      <c r="E1809" s="252" t="s">
        <v>3039</v>
      </c>
      <c r="F1809" s="254" t="s">
        <v>4592</v>
      </c>
      <c r="G1809" s="252" t="s">
        <v>4915</v>
      </c>
      <c r="H1809" s="252" t="s">
        <v>4916</v>
      </c>
      <c r="I1809" s="252">
        <v>5</v>
      </c>
      <c r="J1809" s="255">
        <v>1</v>
      </c>
      <c r="K1809" s="255">
        <v>1</v>
      </c>
      <c r="L1809" s="255"/>
      <c r="M1809" s="256">
        <v>1.6200000000000001E-4</v>
      </c>
      <c r="N1809" s="249">
        <v>1808</v>
      </c>
    </row>
    <row r="1810" spans="1:14" x14ac:dyDescent="0.25">
      <c r="A1810" s="252" t="s">
        <v>134</v>
      </c>
      <c r="B1810" s="252" t="s">
        <v>4131</v>
      </c>
      <c r="C1810" s="253">
        <v>0</v>
      </c>
      <c r="D1810" s="252">
        <v>39792</v>
      </c>
      <c r="E1810" s="252" t="s">
        <v>3039</v>
      </c>
      <c r="F1810" s="254" t="s">
        <v>4592</v>
      </c>
      <c r="G1810" s="252" t="s">
        <v>4917</v>
      </c>
      <c r="H1810" s="252" t="s">
        <v>4918</v>
      </c>
      <c r="I1810" s="252">
        <v>5</v>
      </c>
      <c r="J1810" s="255">
        <v>1</v>
      </c>
      <c r="K1810" s="255">
        <v>1</v>
      </c>
      <c r="L1810" s="255"/>
      <c r="M1810" s="256">
        <v>1.6200000000000001E-4</v>
      </c>
      <c r="N1810" s="249">
        <v>1809</v>
      </c>
    </row>
    <row r="1811" spans="1:14" x14ac:dyDescent="0.25">
      <c r="A1811" s="252" t="s">
        <v>134</v>
      </c>
      <c r="B1811" s="252" t="s">
        <v>4131</v>
      </c>
      <c r="C1811" s="253">
        <v>0</v>
      </c>
      <c r="D1811" s="252">
        <v>39792</v>
      </c>
      <c r="E1811" s="252" t="s">
        <v>3039</v>
      </c>
      <c r="F1811" s="254" t="s">
        <v>4592</v>
      </c>
      <c r="G1811" s="252" t="s">
        <v>4919</v>
      </c>
      <c r="H1811" s="252" t="s">
        <v>4920</v>
      </c>
      <c r="I1811" s="252">
        <v>5</v>
      </c>
      <c r="J1811" s="255">
        <v>1</v>
      </c>
      <c r="K1811" s="255">
        <v>1</v>
      </c>
      <c r="L1811" s="255"/>
      <c r="M1811" s="256">
        <v>1.5899999999999999E-4</v>
      </c>
      <c r="N1811" s="249">
        <v>1810</v>
      </c>
    </row>
    <row r="1812" spans="1:14" x14ac:dyDescent="0.25">
      <c r="A1812" s="252" t="s">
        <v>134</v>
      </c>
      <c r="B1812" s="252" t="s">
        <v>4131</v>
      </c>
      <c r="C1812" s="253">
        <v>0</v>
      </c>
      <c r="D1812" s="252">
        <v>39792</v>
      </c>
      <c r="E1812" s="252" t="s">
        <v>3039</v>
      </c>
      <c r="F1812" s="254" t="s">
        <v>4592</v>
      </c>
      <c r="G1812" s="252" t="s">
        <v>4921</v>
      </c>
      <c r="H1812" s="252" t="s">
        <v>4922</v>
      </c>
      <c r="I1812" s="252">
        <v>5</v>
      </c>
      <c r="J1812" s="255">
        <v>1</v>
      </c>
      <c r="K1812" s="255">
        <v>1</v>
      </c>
      <c r="L1812" s="255"/>
      <c r="M1812" s="256">
        <v>1.5899999999999999E-4</v>
      </c>
      <c r="N1812" s="249">
        <v>1811</v>
      </c>
    </row>
    <row r="1813" spans="1:14" x14ac:dyDescent="0.25">
      <c r="A1813" s="252" t="s">
        <v>134</v>
      </c>
      <c r="B1813" s="252" t="s">
        <v>4131</v>
      </c>
      <c r="C1813" s="253">
        <v>0</v>
      </c>
      <c r="D1813" s="252">
        <v>39792</v>
      </c>
      <c r="E1813" s="252" t="s">
        <v>3039</v>
      </c>
      <c r="F1813" s="254" t="s">
        <v>4592</v>
      </c>
      <c r="G1813" s="252" t="s">
        <v>4923</v>
      </c>
      <c r="H1813" s="252" t="s">
        <v>4924</v>
      </c>
      <c r="I1813" s="252">
        <v>5</v>
      </c>
      <c r="J1813" s="255">
        <v>1</v>
      </c>
      <c r="K1813" s="255">
        <v>1</v>
      </c>
      <c r="L1813" s="255"/>
      <c r="M1813" s="256">
        <v>1.6200000000000001E-4</v>
      </c>
      <c r="N1813" s="249">
        <v>1812</v>
      </c>
    </row>
    <row r="1814" spans="1:14" x14ac:dyDescent="0.25">
      <c r="A1814" s="252" t="s">
        <v>134</v>
      </c>
      <c r="B1814" s="252" t="s">
        <v>4131</v>
      </c>
      <c r="C1814" s="253">
        <v>0</v>
      </c>
      <c r="D1814" s="252">
        <v>39792</v>
      </c>
      <c r="E1814" s="252" t="s">
        <v>3039</v>
      </c>
      <c r="F1814" s="254" t="s">
        <v>4592</v>
      </c>
      <c r="G1814" s="252" t="s">
        <v>4925</v>
      </c>
      <c r="H1814" s="252" t="s">
        <v>4926</v>
      </c>
      <c r="I1814" s="252">
        <v>5</v>
      </c>
      <c r="J1814" s="255">
        <v>1</v>
      </c>
      <c r="K1814" s="255">
        <v>1</v>
      </c>
      <c r="L1814" s="255"/>
      <c r="M1814" s="256">
        <v>1.5899999999999999E-4</v>
      </c>
      <c r="N1814" s="249">
        <v>1813</v>
      </c>
    </row>
    <row r="1815" spans="1:14" x14ac:dyDescent="0.25">
      <c r="A1815" s="252" t="s">
        <v>134</v>
      </c>
      <c r="B1815" s="252" t="s">
        <v>4131</v>
      </c>
      <c r="C1815" s="253">
        <v>0</v>
      </c>
      <c r="D1815" s="252">
        <v>39792</v>
      </c>
      <c r="E1815" s="252" t="s">
        <v>3039</v>
      </c>
      <c r="F1815" s="254" t="s">
        <v>4592</v>
      </c>
      <c r="G1815" s="252" t="s">
        <v>4927</v>
      </c>
      <c r="H1815" s="252" t="s">
        <v>4928</v>
      </c>
      <c r="I1815" s="252">
        <v>5</v>
      </c>
      <c r="J1815" s="255">
        <v>1</v>
      </c>
      <c r="K1815" s="255">
        <v>1</v>
      </c>
      <c r="L1815" s="255"/>
      <c r="M1815" s="256">
        <v>1.5899999999999999E-4</v>
      </c>
      <c r="N1815" s="249">
        <v>1814</v>
      </c>
    </row>
    <row r="1816" spans="1:14" x14ac:dyDescent="0.25">
      <c r="A1816" s="252" t="s">
        <v>134</v>
      </c>
      <c r="B1816" s="252" t="s">
        <v>4131</v>
      </c>
      <c r="C1816" s="253">
        <v>0</v>
      </c>
      <c r="D1816" s="252">
        <v>39792</v>
      </c>
      <c r="E1816" s="252" t="s">
        <v>3039</v>
      </c>
      <c r="F1816" s="254" t="s">
        <v>4592</v>
      </c>
      <c r="G1816" s="252" t="s">
        <v>4929</v>
      </c>
      <c r="H1816" s="252" t="s">
        <v>4930</v>
      </c>
      <c r="I1816" s="252">
        <v>5</v>
      </c>
      <c r="J1816" s="255">
        <v>1</v>
      </c>
      <c r="K1816" s="255">
        <v>1</v>
      </c>
      <c r="L1816" s="255"/>
      <c r="M1816" s="256">
        <v>1.6200000000000001E-4</v>
      </c>
      <c r="N1816" s="249">
        <v>1815</v>
      </c>
    </row>
    <row r="1817" spans="1:14" x14ac:dyDescent="0.25">
      <c r="A1817" s="252" t="s">
        <v>134</v>
      </c>
      <c r="B1817" s="252" t="s">
        <v>4131</v>
      </c>
      <c r="C1817" s="253">
        <v>0</v>
      </c>
      <c r="D1817" s="252">
        <v>39792</v>
      </c>
      <c r="E1817" s="252" t="s">
        <v>3039</v>
      </c>
      <c r="F1817" s="254" t="s">
        <v>4592</v>
      </c>
      <c r="G1817" s="252" t="s">
        <v>4931</v>
      </c>
      <c r="H1817" s="252" t="s">
        <v>4932</v>
      </c>
      <c r="I1817" s="252">
        <v>5</v>
      </c>
      <c r="J1817" s="255">
        <v>1</v>
      </c>
      <c r="K1817" s="255">
        <v>1</v>
      </c>
      <c r="L1817" s="255"/>
      <c r="M1817" s="256">
        <v>1.6200000000000001E-4</v>
      </c>
      <c r="N1817" s="249">
        <v>1816</v>
      </c>
    </row>
    <row r="1818" spans="1:14" x14ac:dyDescent="0.25">
      <c r="A1818" s="252" t="s">
        <v>134</v>
      </c>
      <c r="B1818" s="252" t="s">
        <v>4131</v>
      </c>
      <c r="C1818" s="253">
        <v>0</v>
      </c>
      <c r="D1818" s="252">
        <v>39792</v>
      </c>
      <c r="E1818" s="252" t="s">
        <v>192</v>
      </c>
      <c r="F1818" s="254" t="s">
        <v>4933</v>
      </c>
      <c r="G1818" s="252" t="s">
        <v>4934</v>
      </c>
      <c r="H1818" s="252" t="s">
        <v>4935</v>
      </c>
      <c r="I1818" s="252">
        <v>5</v>
      </c>
      <c r="J1818" s="255">
        <v>1</v>
      </c>
      <c r="K1818" s="255">
        <v>1</v>
      </c>
      <c r="L1818" s="255"/>
      <c r="M1818" s="256">
        <v>8.9999999999999992E-5</v>
      </c>
      <c r="N1818" s="249">
        <v>1817</v>
      </c>
    </row>
    <row r="1819" spans="1:14" x14ac:dyDescent="0.25">
      <c r="A1819" s="252" t="s">
        <v>134</v>
      </c>
      <c r="B1819" s="252" t="s">
        <v>4131</v>
      </c>
      <c r="C1819" s="253">
        <v>0</v>
      </c>
      <c r="D1819" s="252">
        <v>39792</v>
      </c>
      <c r="E1819" s="252" t="s">
        <v>192</v>
      </c>
      <c r="F1819" s="254" t="s">
        <v>4933</v>
      </c>
      <c r="G1819" s="252" t="s">
        <v>4936</v>
      </c>
      <c r="H1819" s="252" t="s">
        <v>4937</v>
      </c>
      <c r="I1819" s="252">
        <v>5</v>
      </c>
      <c r="J1819" s="255">
        <v>1</v>
      </c>
      <c r="K1819" s="255">
        <v>1</v>
      </c>
      <c r="L1819" s="255"/>
      <c r="M1819" s="256">
        <v>8.9999999999999992E-5</v>
      </c>
      <c r="N1819" s="249">
        <v>1818</v>
      </c>
    </row>
    <row r="1820" spans="1:14" x14ac:dyDescent="0.25">
      <c r="A1820" s="252" t="s">
        <v>134</v>
      </c>
      <c r="B1820" s="252" t="s">
        <v>4131</v>
      </c>
      <c r="C1820" s="253">
        <v>0</v>
      </c>
      <c r="D1820" s="252">
        <v>39792</v>
      </c>
      <c r="E1820" s="252" t="s">
        <v>192</v>
      </c>
      <c r="F1820" s="254" t="s">
        <v>4933</v>
      </c>
      <c r="G1820" s="252" t="s">
        <v>4938</v>
      </c>
      <c r="H1820" s="252" t="s">
        <v>4939</v>
      </c>
      <c r="I1820" s="252">
        <v>5</v>
      </c>
      <c r="J1820" s="255">
        <v>1</v>
      </c>
      <c r="K1820" s="255">
        <v>1</v>
      </c>
      <c r="L1820" s="255"/>
      <c r="M1820" s="256">
        <v>1.8059999999999997E-3</v>
      </c>
      <c r="N1820" s="249">
        <v>1819</v>
      </c>
    </row>
    <row r="1821" spans="1:14" x14ac:dyDescent="0.25">
      <c r="A1821" s="252" t="s">
        <v>134</v>
      </c>
      <c r="B1821" s="252" t="s">
        <v>4131</v>
      </c>
      <c r="C1821" s="253">
        <v>0</v>
      </c>
      <c r="D1821" s="252">
        <v>39792</v>
      </c>
      <c r="E1821" s="252" t="s">
        <v>192</v>
      </c>
      <c r="F1821" s="254" t="s">
        <v>4933</v>
      </c>
      <c r="G1821" s="252" t="s">
        <v>4940</v>
      </c>
      <c r="H1821" s="252" t="s">
        <v>4941</v>
      </c>
      <c r="I1821" s="252">
        <v>5</v>
      </c>
      <c r="J1821" s="255">
        <v>1</v>
      </c>
      <c r="K1821" s="255">
        <v>1</v>
      </c>
      <c r="L1821" s="255"/>
      <c r="M1821" s="256">
        <v>1.8059999999999997E-3</v>
      </c>
      <c r="N1821" s="249">
        <v>1820</v>
      </c>
    </row>
    <row r="1822" spans="1:14" x14ac:dyDescent="0.25">
      <c r="A1822" s="252" t="s">
        <v>134</v>
      </c>
      <c r="B1822" s="252" t="s">
        <v>4131</v>
      </c>
      <c r="C1822" s="253">
        <v>0</v>
      </c>
      <c r="D1822" s="252">
        <v>39792</v>
      </c>
      <c r="E1822" s="252" t="s">
        <v>192</v>
      </c>
      <c r="F1822" s="254" t="s">
        <v>4933</v>
      </c>
      <c r="G1822" s="252" t="s">
        <v>4942</v>
      </c>
      <c r="H1822" s="252" t="s">
        <v>4943</v>
      </c>
      <c r="I1822" s="252">
        <v>5</v>
      </c>
      <c r="J1822" s="255">
        <v>1</v>
      </c>
      <c r="K1822" s="255">
        <v>1</v>
      </c>
      <c r="L1822" s="255"/>
      <c r="M1822" s="256">
        <v>7.9199999999999995E-4</v>
      </c>
      <c r="N1822" s="249">
        <v>1821</v>
      </c>
    </row>
    <row r="1823" spans="1:14" x14ac:dyDescent="0.25">
      <c r="A1823" s="252" t="s">
        <v>134</v>
      </c>
      <c r="B1823" s="252" t="s">
        <v>4131</v>
      </c>
      <c r="C1823" s="253">
        <v>0</v>
      </c>
      <c r="D1823" s="252">
        <v>39792</v>
      </c>
      <c r="E1823" s="252" t="s">
        <v>192</v>
      </c>
      <c r="F1823" s="254" t="s">
        <v>4933</v>
      </c>
      <c r="G1823" s="252" t="s">
        <v>4944</v>
      </c>
      <c r="H1823" s="252" t="s">
        <v>4945</v>
      </c>
      <c r="I1823" s="252">
        <v>5</v>
      </c>
      <c r="J1823" s="255">
        <v>1</v>
      </c>
      <c r="K1823" s="255">
        <v>1</v>
      </c>
      <c r="L1823" s="255"/>
      <c r="M1823" s="256">
        <v>1.3799999999999999E-3</v>
      </c>
      <c r="N1823" s="249">
        <v>1822</v>
      </c>
    </row>
    <row r="1824" spans="1:14" x14ac:dyDescent="0.25">
      <c r="A1824" s="252" t="s">
        <v>134</v>
      </c>
      <c r="B1824" s="252" t="s">
        <v>4131</v>
      </c>
      <c r="C1824" s="253">
        <v>0</v>
      </c>
      <c r="D1824" s="252">
        <v>39792</v>
      </c>
      <c r="E1824" s="252" t="s">
        <v>192</v>
      </c>
      <c r="F1824" s="254" t="s">
        <v>4933</v>
      </c>
      <c r="G1824" s="252" t="s">
        <v>4946</v>
      </c>
      <c r="H1824" s="252" t="s">
        <v>4947</v>
      </c>
      <c r="I1824" s="252">
        <v>5</v>
      </c>
      <c r="J1824" s="255">
        <v>1</v>
      </c>
      <c r="K1824" s="255">
        <v>1</v>
      </c>
      <c r="L1824" s="255"/>
      <c r="M1824" s="256">
        <v>7.9199999999999995E-4</v>
      </c>
      <c r="N1824" s="249">
        <v>1823</v>
      </c>
    </row>
    <row r="1825" spans="1:14" x14ac:dyDescent="0.25">
      <c r="A1825" s="252" t="s">
        <v>134</v>
      </c>
      <c r="B1825" s="252" t="s">
        <v>4131</v>
      </c>
      <c r="C1825" s="253">
        <v>0</v>
      </c>
      <c r="D1825" s="252">
        <v>39792</v>
      </c>
      <c r="E1825" s="252" t="s">
        <v>192</v>
      </c>
      <c r="F1825" s="254" t="s">
        <v>4933</v>
      </c>
      <c r="G1825" s="252" t="s">
        <v>4948</v>
      </c>
      <c r="H1825" s="252" t="s">
        <v>4949</v>
      </c>
      <c r="I1825" s="252">
        <v>5</v>
      </c>
      <c r="J1825" s="255">
        <v>1</v>
      </c>
      <c r="K1825" s="255">
        <v>1</v>
      </c>
      <c r="L1825" s="255"/>
      <c r="M1825" s="256">
        <v>8.9999999999999992E-5</v>
      </c>
      <c r="N1825" s="249">
        <v>1824</v>
      </c>
    </row>
    <row r="1826" spans="1:14" x14ac:dyDescent="0.25">
      <c r="A1826" s="252" t="s">
        <v>134</v>
      </c>
      <c r="B1826" s="252" t="s">
        <v>4131</v>
      </c>
      <c r="C1826" s="253">
        <v>0</v>
      </c>
      <c r="D1826" s="252">
        <v>39792</v>
      </c>
      <c r="E1826" s="252" t="s">
        <v>192</v>
      </c>
      <c r="F1826" s="254" t="s">
        <v>4933</v>
      </c>
      <c r="G1826" s="252" t="s">
        <v>2657</v>
      </c>
      <c r="H1826" s="252" t="s">
        <v>4950</v>
      </c>
      <c r="I1826" s="252">
        <v>5</v>
      </c>
      <c r="J1826" s="255">
        <v>1</v>
      </c>
      <c r="K1826" s="255">
        <v>1</v>
      </c>
      <c r="L1826" s="255"/>
      <c r="M1826" s="256">
        <v>1.8059999999999997E-3</v>
      </c>
      <c r="N1826" s="249">
        <v>1825</v>
      </c>
    </row>
    <row r="1827" spans="1:14" x14ac:dyDescent="0.25">
      <c r="A1827" s="252" t="s">
        <v>134</v>
      </c>
      <c r="B1827" s="252" t="s">
        <v>4131</v>
      </c>
      <c r="C1827" s="253">
        <v>0</v>
      </c>
      <c r="D1827" s="252">
        <v>39792</v>
      </c>
      <c r="E1827" s="252" t="s">
        <v>192</v>
      </c>
      <c r="F1827" s="254" t="s">
        <v>4933</v>
      </c>
      <c r="G1827" s="252" t="s">
        <v>4951</v>
      </c>
      <c r="H1827" s="252" t="s">
        <v>4952</v>
      </c>
      <c r="I1827" s="252">
        <v>5</v>
      </c>
      <c r="J1827" s="255">
        <v>1</v>
      </c>
      <c r="K1827" s="255">
        <v>1</v>
      </c>
      <c r="L1827" s="255"/>
      <c r="M1827" s="256">
        <v>8.9999999999999992E-5</v>
      </c>
      <c r="N1827" s="249">
        <v>1826</v>
      </c>
    </row>
    <row r="1828" spans="1:14" x14ac:dyDescent="0.25">
      <c r="A1828" s="252" t="s">
        <v>134</v>
      </c>
      <c r="B1828" s="252" t="s">
        <v>4131</v>
      </c>
      <c r="C1828" s="253">
        <v>0</v>
      </c>
      <c r="D1828" s="252">
        <v>39792</v>
      </c>
      <c r="E1828" s="252" t="s">
        <v>192</v>
      </c>
      <c r="F1828" s="254" t="s">
        <v>4933</v>
      </c>
      <c r="G1828" s="252" t="s">
        <v>4953</v>
      </c>
      <c r="H1828" s="252" t="s">
        <v>4954</v>
      </c>
      <c r="I1828" s="252">
        <v>5</v>
      </c>
      <c r="J1828" s="255">
        <v>1</v>
      </c>
      <c r="K1828" s="255">
        <v>1</v>
      </c>
      <c r="L1828" s="255"/>
      <c r="M1828" s="256">
        <v>1.8059999999999997E-3</v>
      </c>
      <c r="N1828" s="249">
        <v>1827</v>
      </c>
    </row>
    <row r="1829" spans="1:14" x14ac:dyDescent="0.25">
      <c r="A1829" s="252" t="s">
        <v>134</v>
      </c>
      <c r="B1829" s="252" t="s">
        <v>4131</v>
      </c>
      <c r="C1829" s="253">
        <v>0</v>
      </c>
      <c r="D1829" s="252">
        <v>39792</v>
      </c>
      <c r="E1829" s="252" t="s">
        <v>192</v>
      </c>
      <c r="F1829" s="254" t="s">
        <v>4933</v>
      </c>
      <c r="G1829" s="252" t="s">
        <v>4955</v>
      </c>
      <c r="H1829" s="252" t="s">
        <v>4956</v>
      </c>
      <c r="I1829" s="252">
        <v>5</v>
      </c>
      <c r="J1829" s="255">
        <v>1</v>
      </c>
      <c r="K1829" s="255">
        <v>1</v>
      </c>
      <c r="L1829" s="255"/>
      <c r="M1829" s="256">
        <v>1.2149999999999999E-3</v>
      </c>
      <c r="N1829" s="249">
        <v>1828</v>
      </c>
    </row>
    <row r="1830" spans="1:14" x14ac:dyDescent="0.25">
      <c r="A1830" s="252" t="s">
        <v>134</v>
      </c>
      <c r="B1830" s="252" t="s">
        <v>4131</v>
      </c>
      <c r="C1830" s="253">
        <v>0</v>
      </c>
      <c r="D1830" s="252">
        <v>39792</v>
      </c>
      <c r="E1830" s="252" t="s">
        <v>192</v>
      </c>
      <c r="F1830" s="254" t="s">
        <v>4933</v>
      </c>
      <c r="G1830" s="252" t="s">
        <v>4957</v>
      </c>
      <c r="H1830" s="252" t="s">
        <v>4958</v>
      </c>
      <c r="I1830" s="252">
        <v>5</v>
      </c>
      <c r="J1830" s="255">
        <v>1</v>
      </c>
      <c r="K1830" s="255">
        <v>1</v>
      </c>
      <c r="L1830" s="255"/>
      <c r="M1830" s="256">
        <v>4.4999999999999999E-4</v>
      </c>
      <c r="N1830" s="249">
        <v>1829</v>
      </c>
    </row>
    <row r="1831" spans="1:14" x14ac:dyDescent="0.25">
      <c r="A1831" s="252" t="s">
        <v>134</v>
      </c>
      <c r="B1831" s="252" t="s">
        <v>4131</v>
      </c>
      <c r="C1831" s="253">
        <v>0</v>
      </c>
      <c r="D1831" s="252">
        <v>39792</v>
      </c>
      <c r="E1831" s="252" t="s">
        <v>192</v>
      </c>
      <c r="F1831" s="254" t="s">
        <v>4933</v>
      </c>
      <c r="G1831" s="252" t="s">
        <v>4959</v>
      </c>
      <c r="H1831" s="252" t="s">
        <v>4960</v>
      </c>
      <c r="I1831" s="252">
        <v>5</v>
      </c>
      <c r="J1831" s="255">
        <v>1</v>
      </c>
      <c r="K1831" s="255">
        <v>1</v>
      </c>
      <c r="L1831" s="255"/>
      <c r="M1831" s="256">
        <v>4.4999999999999999E-4</v>
      </c>
      <c r="N1831" s="249">
        <v>1830</v>
      </c>
    </row>
    <row r="1832" spans="1:14" x14ac:dyDescent="0.25">
      <c r="A1832" s="252" t="s">
        <v>134</v>
      </c>
      <c r="B1832" s="252" t="s">
        <v>4131</v>
      </c>
      <c r="C1832" s="253">
        <v>0</v>
      </c>
      <c r="D1832" s="252">
        <v>39792</v>
      </c>
      <c r="E1832" s="252" t="s">
        <v>192</v>
      </c>
      <c r="F1832" s="254" t="s">
        <v>4933</v>
      </c>
      <c r="G1832" s="252" t="s">
        <v>4961</v>
      </c>
      <c r="H1832" s="252" t="s">
        <v>4962</v>
      </c>
      <c r="I1832" s="252">
        <v>5</v>
      </c>
      <c r="J1832" s="255">
        <v>1</v>
      </c>
      <c r="K1832" s="255">
        <v>1</v>
      </c>
      <c r="L1832" s="255"/>
      <c r="M1832" s="256">
        <v>1.2149999999999999E-3</v>
      </c>
      <c r="N1832" s="249">
        <v>1831</v>
      </c>
    </row>
    <row r="1833" spans="1:14" x14ac:dyDescent="0.25">
      <c r="A1833" s="252" t="s">
        <v>134</v>
      </c>
      <c r="B1833" s="252" t="s">
        <v>4131</v>
      </c>
      <c r="C1833" s="253">
        <v>0</v>
      </c>
      <c r="D1833" s="252">
        <v>39792</v>
      </c>
      <c r="E1833" s="252" t="s">
        <v>192</v>
      </c>
      <c r="F1833" s="254" t="s">
        <v>4933</v>
      </c>
      <c r="G1833" s="252" t="s">
        <v>4963</v>
      </c>
      <c r="H1833" s="252" t="s">
        <v>4964</v>
      </c>
      <c r="I1833" s="252">
        <v>5</v>
      </c>
      <c r="J1833" s="255">
        <v>1</v>
      </c>
      <c r="K1833" s="255">
        <v>1</v>
      </c>
      <c r="L1833" s="255"/>
      <c r="M1833" s="256">
        <v>4.8000000000000001E-4</v>
      </c>
      <c r="N1833" s="249">
        <v>1832</v>
      </c>
    </row>
    <row r="1834" spans="1:14" x14ac:dyDescent="0.25">
      <c r="A1834" s="252" t="s">
        <v>134</v>
      </c>
      <c r="B1834" s="252" t="s">
        <v>4131</v>
      </c>
      <c r="C1834" s="253">
        <v>0</v>
      </c>
      <c r="D1834" s="252">
        <v>39792</v>
      </c>
      <c r="E1834" s="252" t="s">
        <v>192</v>
      </c>
      <c r="F1834" s="254" t="s">
        <v>4933</v>
      </c>
      <c r="G1834" s="252" t="s">
        <v>4965</v>
      </c>
      <c r="H1834" s="252" t="s">
        <v>4966</v>
      </c>
      <c r="I1834" s="252">
        <v>5</v>
      </c>
      <c r="J1834" s="255">
        <v>1</v>
      </c>
      <c r="K1834" s="255">
        <v>1</v>
      </c>
      <c r="L1834" s="255"/>
      <c r="M1834" s="256">
        <v>4.8000000000000001E-4</v>
      </c>
      <c r="N1834" s="249">
        <v>1833</v>
      </c>
    </row>
    <row r="1835" spans="1:14" x14ac:dyDescent="0.25">
      <c r="A1835" s="252" t="s">
        <v>134</v>
      </c>
      <c r="B1835" s="252" t="s">
        <v>4131</v>
      </c>
      <c r="C1835" s="253">
        <v>0</v>
      </c>
      <c r="D1835" s="252">
        <v>39792</v>
      </c>
      <c r="E1835" s="252" t="s">
        <v>192</v>
      </c>
      <c r="F1835" s="254" t="s">
        <v>4933</v>
      </c>
      <c r="G1835" s="252" t="s">
        <v>4967</v>
      </c>
      <c r="H1835" s="252" t="s">
        <v>4968</v>
      </c>
      <c r="I1835" s="252">
        <v>5</v>
      </c>
      <c r="J1835" s="255">
        <v>1</v>
      </c>
      <c r="K1835" s="255">
        <v>1</v>
      </c>
      <c r="L1835" s="255"/>
      <c r="M1835" s="256">
        <v>6.2099999999999992E-4</v>
      </c>
      <c r="N1835" s="249">
        <v>1834</v>
      </c>
    </row>
    <row r="1836" spans="1:14" x14ac:dyDescent="0.25">
      <c r="A1836" s="252" t="s">
        <v>134</v>
      </c>
      <c r="B1836" s="252" t="s">
        <v>4131</v>
      </c>
      <c r="C1836" s="253">
        <v>0</v>
      </c>
      <c r="D1836" s="252">
        <v>39792</v>
      </c>
      <c r="E1836" s="252" t="s">
        <v>192</v>
      </c>
      <c r="F1836" s="254" t="s">
        <v>4933</v>
      </c>
      <c r="G1836" s="252" t="s">
        <v>4969</v>
      </c>
      <c r="H1836" s="252" t="s">
        <v>4970</v>
      </c>
      <c r="I1836" s="252">
        <v>5</v>
      </c>
      <c r="J1836" s="255">
        <v>1</v>
      </c>
      <c r="K1836" s="255">
        <v>1</v>
      </c>
      <c r="L1836" s="255"/>
      <c r="M1836" s="256">
        <v>3.6899999999999997E-4</v>
      </c>
      <c r="N1836" s="249">
        <v>1835</v>
      </c>
    </row>
    <row r="1837" spans="1:14" x14ac:dyDescent="0.25">
      <c r="A1837" s="252" t="s">
        <v>134</v>
      </c>
      <c r="B1837" s="252" t="s">
        <v>4131</v>
      </c>
      <c r="C1837" s="253">
        <v>0</v>
      </c>
      <c r="D1837" s="252">
        <v>39792</v>
      </c>
      <c r="E1837" s="252" t="s">
        <v>192</v>
      </c>
      <c r="F1837" s="254" t="s">
        <v>4933</v>
      </c>
      <c r="G1837" s="252" t="s">
        <v>4971</v>
      </c>
      <c r="H1837" s="252" t="s">
        <v>4972</v>
      </c>
      <c r="I1837" s="252">
        <v>5</v>
      </c>
      <c r="J1837" s="255">
        <v>1</v>
      </c>
      <c r="K1837" s="255">
        <v>1</v>
      </c>
      <c r="L1837" s="255"/>
      <c r="M1837" s="256">
        <v>3.6899999999999997E-4</v>
      </c>
      <c r="N1837" s="249">
        <v>1836</v>
      </c>
    </row>
    <row r="1838" spans="1:14" x14ac:dyDescent="0.25">
      <c r="A1838" s="252" t="s">
        <v>134</v>
      </c>
      <c r="B1838" s="252" t="s">
        <v>4131</v>
      </c>
      <c r="C1838" s="253">
        <v>0</v>
      </c>
      <c r="D1838" s="252">
        <v>39792</v>
      </c>
      <c r="E1838" s="252" t="s">
        <v>192</v>
      </c>
      <c r="F1838" s="254" t="s">
        <v>4933</v>
      </c>
      <c r="G1838" s="252" t="s">
        <v>4973</v>
      </c>
      <c r="H1838" s="252" t="s">
        <v>4974</v>
      </c>
      <c r="I1838" s="252">
        <v>5</v>
      </c>
      <c r="J1838" s="255">
        <v>1</v>
      </c>
      <c r="K1838" s="255">
        <v>1</v>
      </c>
      <c r="L1838" s="255"/>
      <c r="M1838" s="256">
        <v>2.4899999999999998E-4</v>
      </c>
      <c r="N1838" s="249">
        <v>1837</v>
      </c>
    </row>
    <row r="1839" spans="1:14" x14ac:dyDescent="0.25">
      <c r="A1839" s="252" t="s">
        <v>134</v>
      </c>
      <c r="B1839" s="252" t="s">
        <v>4131</v>
      </c>
      <c r="C1839" s="253">
        <v>0</v>
      </c>
      <c r="D1839" s="252">
        <v>39792</v>
      </c>
      <c r="E1839" s="252" t="s">
        <v>192</v>
      </c>
      <c r="F1839" s="254" t="s">
        <v>4933</v>
      </c>
      <c r="G1839" s="252" t="s">
        <v>4975</v>
      </c>
      <c r="H1839" s="252" t="s">
        <v>4976</v>
      </c>
      <c r="I1839" s="252">
        <v>5</v>
      </c>
      <c r="J1839" s="255">
        <v>1</v>
      </c>
      <c r="K1839" s="255">
        <v>1</v>
      </c>
      <c r="L1839" s="255"/>
      <c r="M1839" s="256">
        <v>2.4899999999999998E-4</v>
      </c>
      <c r="N1839" s="249">
        <v>1838</v>
      </c>
    </row>
    <row r="1840" spans="1:14" x14ac:dyDescent="0.25">
      <c r="A1840" s="252" t="s">
        <v>134</v>
      </c>
      <c r="B1840" s="252" t="s">
        <v>4131</v>
      </c>
      <c r="C1840" s="253">
        <v>0</v>
      </c>
      <c r="D1840" s="252">
        <v>39792</v>
      </c>
      <c r="E1840" s="252" t="s">
        <v>192</v>
      </c>
      <c r="F1840" s="254" t="s">
        <v>4933</v>
      </c>
      <c r="G1840" s="252" t="s">
        <v>4977</v>
      </c>
      <c r="H1840" s="252" t="s">
        <v>4978</v>
      </c>
      <c r="I1840" s="252">
        <v>5</v>
      </c>
      <c r="J1840" s="255">
        <v>1</v>
      </c>
      <c r="K1840" s="255">
        <v>1</v>
      </c>
      <c r="L1840" s="255"/>
      <c r="M1840" s="256">
        <v>8.9999999999999992E-5</v>
      </c>
      <c r="N1840" s="249">
        <v>1839</v>
      </c>
    </row>
    <row r="1841" spans="1:14" x14ac:dyDescent="0.25">
      <c r="A1841" s="252" t="s">
        <v>134</v>
      </c>
      <c r="B1841" s="252" t="s">
        <v>4131</v>
      </c>
      <c r="C1841" s="253">
        <v>0</v>
      </c>
      <c r="D1841" s="252">
        <v>39792</v>
      </c>
      <c r="E1841" s="252" t="s">
        <v>192</v>
      </c>
      <c r="F1841" s="254" t="s">
        <v>4933</v>
      </c>
      <c r="G1841" s="252" t="s">
        <v>2658</v>
      </c>
      <c r="H1841" s="252" t="s">
        <v>4979</v>
      </c>
      <c r="I1841" s="252">
        <v>5</v>
      </c>
      <c r="J1841" s="255">
        <v>1</v>
      </c>
      <c r="K1841" s="255">
        <v>1</v>
      </c>
      <c r="L1841" s="255"/>
      <c r="M1841" s="256">
        <v>8.9999999999999992E-5</v>
      </c>
      <c r="N1841" s="249">
        <v>1840</v>
      </c>
    </row>
    <row r="1842" spans="1:14" x14ac:dyDescent="0.25">
      <c r="A1842" s="252" t="s">
        <v>134</v>
      </c>
      <c r="B1842" s="252" t="s">
        <v>4131</v>
      </c>
      <c r="C1842" s="253">
        <v>0</v>
      </c>
      <c r="D1842" s="252">
        <v>39792</v>
      </c>
      <c r="E1842" s="252" t="s">
        <v>192</v>
      </c>
      <c r="F1842" s="254" t="s">
        <v>4933</v>
      </c>
      <c r="G1842" s="252" t="s">
        <v>4980</v>
      </c>
      <c r="H1842" s="252" t="s">
        <v>4981</v>
      </c>
      <c r="I1842" s="252">
        <v>5</v>
      </c>
      <c r="J1842" s="255">
        <v>1</v>
      </c>
      <c r="K1842" s="255">
        <v>1</v>
      </c>
      <c r="L1842" s="255"/>
      <c r="M1842" s="256">
        <v>2.0100000000000001E-4</v>
      </c>
      <c r="N1842" s="249">
        <v>1841</v>
      </c>
    </row>
    <row r="1843" spans="1:14" x14ac:dyDescent="0.25">
      <c r="A1843" s="252" t="s">
        <v>134</v>
      </c>
      <c r="B1843" s="252" t="s">
        <v>4131</v>
      </c>
      <c r="C1843" s="253">
        <v>0</v>
      </c>
      <c r="D1843" s="252">
        <v>39792</v>
      </c>
      <c r="E1843" s="252" t="s">
        <v>192</v>
      </c>
      <c r="F1843" s="254" t="s">
        <v>4933</v>
      </c>
      <c r="G1843" s="252" t="s">
        <v>4982</v>
      </c>
      <c r="H1843" s="252" t="s">
        <v>4983</v>
      </c>
      <c r="I1843" s="252">
        <v>5</v>
      </c>
      <c r="J1843" s="255">
        <v>1</v>
      </c>
      <c r="K1843" s="255">
        <v>1</v>
      </c>
      <c r="L1843" s="255"/>
      <c r="M1843" s="256">
        <v>2.0100000000000001E-4</v>
      </c>
      <c r="N1843" s="249">
        <v>1842</v>
      </c>
    </row>
    <row r="1844" spans="1:14" x14ac:dyDescent="0.25">
      <c r="A1844" s="252" t="s">
        <v>134</v>
      </c>
      <c r="B1844" s="252" t="s">
        <v>4131</v>
      </c>
      <c r="C1844" s="253">
        <v>0</v>
      </c>
      <c r="D1844" s="252">
        <v>39792</v>
      </c>
      <c r="E1844" s="252" t="s">
        <v>192</v>
      </c>
      <c r="F1844" s="254" t="s">
        <v>4933</v>
      </c>
      <c r="G1844" s="252" t="s">
        <v>4984</v>
      </c>
      <c r="H1844" s="252" t="s">
        <v>4985</v>
      </c>
      <c r="I1844" s="252">
        <v>5</v>
      </c>
      <c r="J1844" s="255">
        <v>1</v>
      </c>
      <c r="K1844" s="255">
        <v>1</v>
      </c>
      <c r="L1844" s="255"/>
      <c r="M1844" s="256">
        <v>1.8059999999999997E-3</v>
      </c>
      <c r="N1844" s="249">
        <v>1843</v>
      </c>
    </row>
    <row r="1845" spans="1:14" x14ac:dyDescent="0.25">
      <c r="A1845" s="252" t="s">
        <v>134</v>
      </c>
      <c r="B1845" s="252" t="s">
        <v>4131</v>
      </c>
      <c r="C1845" s="253">
        <v>0</v>
      </c>
      <c r="D1845" s="252">
        <v>39792</v>
      </c>
      <c r="E1845" s="252" t="s">
        <v>192</v>
      </c>
      <c r="F1845" s="254" t="s">
        <v>4933</v>
      </c>
      <c r="G1845" s="252" t="s">
        <v>4986</v>
      </c>
      <c r="H1845" s="252" t="s">
        <v>4987</v>
      </c>
      <c r="I1845" s="252">
        <v>5</v>
      </c>
      <c r="J1845" s="255">
        <v>1</v>
      </c>
      <c r="K1845" s="255">
        <v>1</v>
      </c>
      <c r="L1845" s="255"/>
      <c r="M1845" s="256">
        <v>1.8059999999999997E-3</v>
      </c>
      <c r="N1845" s="249">
        <v>1844</v>
      </c>
    </row>
    <row r="1846" spans="1:14" x14ac:dyDescent="0.25">
      <c r="A1846" s="252" t="s">
        <v>134</v>
      </c>
      <c r="B1846" s="252" t="s">
        <v>4131</v>
      </c>
      <c r="C1846" s="253">
        <v>0</v>
      </c>
      <c r="D1846" s="252">
        <v>39792</v>
      </c>
      <c r="E1846" s="252" t="s">
        <v>192</v>
      </c>
      <c r="F1846" s="254" t="s">
        <v>4933</v>
      </c>
      <c r="G1846" s="252" t="s">
        <v>4988</v>
      </c>
      <c r="H1846" s="252" t="s">
        <v>4989</v>
      </c>
      <c r="I1846" s="252">
        <v>5</v>
      </c>
      <c r="J1846" s="255">
        <v>1</v>
      </c>
      <c r="K1846" s="255">
        <v>1</v>
      </c>
      <c r="L1846" s="255"/>
      <c r="M1846" s="256">
        <v>3.9899999999999999E-4</v>
      </c>
      <c r="N1846" s="249">
        <v>1845</v>
      </c>
    </row>
    <row r="1847" spans="1:14" x14ac:dyDescent="0.25">
      <c r="A1847" s="252" t="s">
        <v>134</v>
      </c>
      <c r="B1847" s="252" t="s">
        <v>4131</v>
      </c>
      <c r="C1847" s="253">
        <v>0</v>
      </c>
      <c r="D1847" s="252">
        <v>39792</v>
      </c>
      <c r="E1847" s="252" t="s">
        <v>192</v>
      </c>
      <c r="F1847" s="254" t="s">
        <v>4933</v>
      </c>
      <c r="G1847" s="252" t="s">
        <v>4990</v>
      </c>
      <c r="H1847" s="252" t="s">
        <v>4991</v>
      </c>
      <c r="I1847" s="252">
        <v>5</v>
      </c>
      <c r="J1847" s="255">
        <v>1</v>
      </c>
      <c r="K1847" s="255">
        <v>1</v>
      </c>
      <c r="L1847" s="255"/>
      <c r="M1847" s="256">
        <v>8.9999999999999992E-5</v>
      </c>
      <c r="N1847" s="249">
        <v>1846</v>
      </c>
    </row>
    <row r="1848" spans="1:14" x14ac:dyDescent="0.25">
      <c r="A1848" s="252" t="s">
        <v>134</v>
      </c>
      <c r="B1848" s="252" t="s">
        <v>4131</v>
      </c>
      <c r="C1848" s="253">
        <v>0</v>
      </c>
      <c r="D1848" s="252">
        <v>39792</v>
      </c>
      <c r="E1848" s="252" t="s">
        <v>192</v>
      </c>
      <c r="F1848" s="254" t="s">
        <v>4933</v>
      </c>
      <c r="G1848" s="252" t="s">
        <v>2659</v>
      </c>
      <c r="H1848" s="252" t="s">
        <v>4992</v>
      </c>
      <c r="I1848" s="252">
        <v>5</v>
      </c>
      <c r="J1848" s="255">
        <v>1</v>
      </c>
      <c r="K1848" s="255">
        <v>1</v>
      </c>
      <c r="L1848" s="255"/>
      <c r="M1848" s="256">
        <v>1.8059999999999997E-3</v>
      </c>
      <c r="N1848" s="249">
        <v>1847</v>
      </c>
    </row>
    <row r="1849" spans="1:14" x14ac:dyDescent="0.25">
      <c r="A1849" s="252" t="s">
        <v>134</v>
      </c>
      <c r="B1849" s="252" t="s">
        <v>4131</v>
      </c>
      <c r="C1849" s="253">
        <v>0</v>
      </c>
      <c r="D1849" s="252">
        <v>39792</v>
      </c>
      <c r="E1849" s="252" t="s">
        <v>192</v>
      </c>
      <c r="F1849" s="254" t="s">
        <v>4933</v>
      </c>
      <c r="G1849" s="252" t="s">
        <v>4993</v>
      </c>
      <c r="H1849" s="252" t="s">
        <v>4994</v>
      </c>
      <c r="I1849" s="252">
        <v>5</v>
      </c>
      <c r="J1849" s="255">
        <v>1</v>
      </c>
      <c r="K1849" s="255">
        <v>1</v>
      </c>
      <c r="L1849" s="255"/>
      <c r="M1849" s="256">
        <v>8.9999999999999992E-5</v>
      </c>
      <c r="N1849" s="249">
        <v>1848</v>
      </c>
    </row>
    <row r="1850" spans="1:14" x14ac:dyDescent="0.25">
      <c r="A1850" s="252" t="s">
        <v>134</v>
      </c>
      <c r="B1850" s="252" t="s">
        <v>4131</v>
      </c>
      <c r="C1850" s="253">
        <v>0</v>
      </c>
      <c r="D1850" s="252">
        <v>39792</v>
      </c>
      <c r="E1850" s="252" t="s">
        <v>192</v>
      </c>
      <c r="F1850" s="254" t="s">
        <v>4933</v>
      </c>
      <c r="G1850" s="252" t="s">
        <v>4995</v>
      </c>
      <c r="H1850" s="252" t="s">
        <v>4996</v>
      </c>
      <c r="I1850" s="252">
        <v>5</v>
      </c>
      <c r="J1850" s="255">
        <v>1</v>
      </c>
      <c r="K1850" s="255">
        <v>1</v>
      </c>
      <c r="L1850" s="255"/>
      <c r="M1850" s="256">
        <v>1.8059999999999997E-3</v>
      </c>
      <c r="N1850" s="249">
        <v>1849</v>
      </c>
    </row>
    <row r="1851" spans="1:14" x14ac:dyDescent="0.25">
      <c r="A1851" s="252" t="s">
        <v>134</v>
      </c>
      <c r="B1851" s="252" t="s">
        <v>4131</v>
      </c>
      <c r="C1851" s="253">
        <v>0</v>
      </c>
      <c r="D1851" s="252">
        <v>39792</v>
      </c>
      <c r="E1851" s="252" t="s">
        <v>192</v>
      </c>
      <c r="F1851" s="254" t="s">
        <v>4933</v>
      </c>
      <c r="G1851" s="252" t="s">
        <v>4997</v>
      </c>
      <c r="H1851" s="252" t="s">
        <v>4998</v>
      </c>
      <c r="I1851" s="252">
        <v>5</v>
      </c>
      <c r="J1851" s="255">
        <v>1</v>
      </c>
      <c r="K1851" s="255">
        <v>1</v>
      </c>
      <c r="L1851" s="255"/>
      <c r="M1851" s="256">
        <v>8.1300000000000003E-4</v>
      </c>
      <c r="N1851" s="249">
        <v>1850</v>
      </c>
    </row>
    <row r="1852" spans="1:14" x14ac:dyDescent="0.25">
      <c r="A1852" s="252" t="s">
        <v>134</v>
      </c>
      <c r="B1852" s="252" t="s">
        <v>4131</v>
      </c>
      <c r="C1852" s="253">
        <v>0</v>
      </c>
      <c r="D1852" s="252">
        <v>39792</v>
      </c>
      <c r="E1852" s="252" t="s">
        <v>192</v>
      </c>
      <c r="F1852" s="254" t="s">
        <v>4933</v>
      </c>
      <c r="G1852" s="252" t="s">
        <v>4999</v>
      </c>
      <c r="H1852" s="252" t="s">
        <v>5000</v>
      </c>
      <c r="I1852" s="252">
        <v>5</v>
      </c>
      <c r="J1852" s="255">
        <v>1</v>
      </c>
      <c r="K1852" s="255">
        <v>1</v>
      </c>
      <c r="L1852" s="255"/>
      <c r="M1852" s="256">
        <v>4.7099999999999996E-4</v>
      </c>
      <c r="N1852" s="249">
        <v>1851</v>
      </c>
    </row>
    <row r="1853" spans="1:14" x14ac:dyDescent="0.25">
      <c r="A1853" s="252" t="s">
        <v>134</v>
      </c>
      <c r="B1853" s="252" t="s">
        <v>4131</v>
      </c>
      <c r="C1853" s="253">
        <v>0</v>
      </c>
      <c r="D1853" s="252">
        <v>39792</v>
      </c>
      <c r="E1853" s="252" t="s">
        <v>192</v>
      </c>
      <c r="F1853" s="254" t="s">
        <v>4933</v>
      </c>
      <c r="G1853" s="252" t="s">
        <v>5001</v>
      </c>
      <c r="H1853" s="252" t="s">
        <v>5002</v>
      </c>
      <c r="I1853" s="252">
        <v>5</v>
      </c>
      <c r="J1853" s="255">
        <v>1</v>
      </c>
      <c r="K1853" s="255">
        <v>1</v>
      </c>
      <c r="L1853" s="255"/>
      <c r="M1853" s="256">
        <v>4.7099999999999996E-4</v>
      </c>
      <c r="N1853" s="249">
        <v>1852</v>
      </c>
    </row>
    <row r="1854" spans="1:14" x14ac:dyDescent="0.25">
      <c r="A1854" s="252" t="s">
        <v>134</v>
      </c>
      <c r="B1854" s="252" t="s">
        <v>4131</v>
      </c>
      <c r="C1854" s="253">
        <v>0</v>
      </c>
      <c r="D1854" s="252">
        <v>39792</v>
      </c>
      <c r="E1854" s="252" t="s">
        <v>192</v>
      </c>
      <c r="F1854" s="254" t="s">
        <v>4933</v>
      </c>
      <c r="G1854" s="252" t="s">
        <v>5003</v>
      </c>
      <c r="H1854" s="252" t="s">
        <v>5004</v>
      </c>
      <c r="I1854" s="252">
        <v>5</v>
      </c>
      <c r="J1854" s="255">
        <v>1</v>
      </c>
      <c r="K1854" s="255">
        <v>1</v>
      </c>
      <c r="L1854" s="255"/>
      <c r="M1854" s="256">
        <v>8.9999999999999992E-5</v>
      </c>
      <c r="N1854" s="249">
        <v>1853</v>
      </c>
    </row>
    <row r="1855" spans="1:14" x14ac:dyDescent="0.25">
      <c r="A1855" s="252" t="s">
        <v>134</v>
      </c>
      <c r="B1855" s="252" t="s">
        <v>4131</v>
      </c>
      <c r="C1855" s="253">
        <v>0</v>
      </c>
      <c r="D1855" s="252">
        <v>39792</v>
      </c>
      <c r="E1855" s="252" t="s">
        <v>192</v>
      </c>
      <c r="F1855" s="254" t="s">
        <v>4933</v>
      </c>
      <c r="G1855" s="252" t="s">
        <v>2660</v>
      </c>
      <c r="H1855" s="252" t="s">
        <v>5005</v>
      </c>
      <c r="I1855" s="252">
        <v>5</v>
      </c>
      <c r="J1855" s="255">
        <v>1</v>
      </c>
      <c r="K1855" s="255">
        <v>1</v>
      </c>
      <c r="L1855" s="255"/>
      <c r="M1855" s="256">
        <v>1.8059999999999997E-3</v>
      </c>
      <c r="N1855" s="249">
        <v>1854</v>
      </c>
    </row>
    <row r="1856" spans="1:14" x14ac:dyDescent="0.25">
      <c r="A1856" s="252" t="s">
        <v>134</v>
      </c>
      <c r="B1856" s="252" t="s">
        <v>4131</v>
      </c>
      <c r="C1856" s="253">
        <v>0</v>
      </c>
      <c r="D1856" s="252">
        <v>39792</v>
      </c>
      <c r="E1856" s="252" t="s">
        <v>192</v>
      </c>
      <c r="F1856" s="254" t="s">
        <v>4933</v>
      </c>
      <c r="G1856" s="252" t="s">
        <v>5006</v>
      </c>
      <c r="H1856" s="252" t="s">
        <v>5007</v>
      </c>
      <c r="I1856" s="252">
        <v>5</v>
      </c>
      <c r="J1856" s="255">
        <v>1</v>
      </c>
      <c r="K1856" s="255">
        <v>1</v>
      </c>
      <c r="L1856" s="255"/>
      <c r="M1856" s="256">
        <v>8.9999999999999992E-5</v>
      </c>
      <c r="N1856" s="249">
        <v>1855</v>
      </c>
    </row>
    <row r="1857" spans="1:14" x14ac:dyDescent="0.25">
      <c r="A1857" s="252" t="s">
        <v>134</v>
      </c>
      <c r="B1857" s="252" t="s">
        <v>4131</v>
      </c>
      <c r="C1857" s="253">
        <v>0</v>
      </c>
      <c r="D1857" s="252">
        <v>39792</v>
      </c>
      <c r="E1857" s="252" t="s">
        <v>192</v>
      </c>
      <c r="F1857" s="254" t="s">
        <v>4933</v>
      </c>
      <c r="G1857" s="252" t="s">
        <v>5008</v>
      </c>
      <c r="H1857" s="252" t="s">
        <v>5009</v>
      </c>
      <c r="I1857" s="252">
        <v>5</v>
      </c>
      <c r="J1857" s="255">
        <v>1</v>
      </c>
      <c r="K1857" s="255">
        <v>1</v>
      </c>
      <c r="L1857" s="255"/>
      <c r="M1857" s="256">
        <v>1.8059999999999997E-3</v>
      </c>
      <c r="N1857" s="249">
        <v>1856</v>
      </c>
    </row>
    <row r="1858" spans="1:14" x14ac:dyDescent="0.25">
      <c r="A1858" s="252" t="s">
        <v>134</v>
      </c>
      <c r="B1858" s="252" t="s">
        <v>4131</v>
      </c>
      <c r="C1858" s="253">
        <v>0</v>
      </c>
      <c r="D1858" s="252">
        <v>39792</v>
      </c>
      <c r="E1858" s="252" t="s">
        <v>192</v>
      </c>
      <c r="F1858" s="254" t="s">
        <v>4933</v>
      </c>
      <c r="G1858" s="252" t="s">
        <v>5010</v>
      </c>
      <c r="H1858" s="252" t="s">
        <v>5011</v>
      </c>
      <c r="I1858" s="252">
        <v>5</v>
      </c>
      <c r="J1858" s="255">
        <v>1</v>
      </c>
      <c r="K1858" s="255">
        <v>1</v>
      </c>
      <c r="L1858" s="255"/>
      <c r="M1858" s="256">
        <v>9.3899999999999995E-4</v>
      </c>
      <c r="N1858" s="249">
        <v>1857</v>
      </c>
    </row>
    <row r="1859" spans="1:14" x14ac:dyDescent="0.25">
      <c r="A1859" s="252" t="s">
        <v>134</v>
      </c>
      <c r="B1859" s="252" t="s">
        <v>4131</v>
      </c>
      <c r="C1859" s="253">
        <v>0</v>
      </c>
      <c r="D1859" s="252">
        <v>39792</v>
      </c>
      <c r="E1859" s="252" t="s">
        <v>192</v>
      </c>
      <c r="F1859" s="254" t="s">
        <v>4933</v>
      </c>
      <c r="G1859" s="252" t="s">
        <v>5012</v>
      </c>
      <c r="H1859" s="252" t="s">
        <v>5013</v>
      </c>
      <c r="I1859" s="252">
        <v>5</v>
      </c>
      <c r="J1859" s="255">
        <v>1</v>
      </c>
      <c r="K1859" s="255">
        <v>1</v>
      </c>
      <c r="L1859" s="255"/>
      <c r="M1859" s="256">
        <v>5.2800000000000004E-4</v>
      </c>
      <c r="N1859" s="249">
        <v>1858</v>
      </c>
    </row>
    <row r="1860" spans="1:14" x14ac:dyDescent="0.25">
      <c r="A1860" s="252" t="s">
        <v>134</v>
      </c>
      <c r="B1860" s="252" t="s">
        <v>4131</v>
      </c>
      <c r="C1860" s="253">
        <v>0</v>
      </c>
      <c r="D1860" s="252">
        <v>39792</v>
      </c>
      <c r="E1860" s="252" t="s">
        <v>192</v>
      </c>
      <c r="F1860" s="254" t="s">
        <v>4933</v>
      </c>
      <c r="G1860" s="252" t="s">
        <v>5014</v>
      </c>
      <c r="H1860" s="252" t="s">
        <v>5015</v>
      </c>
      <c r="I1860" s="252">
        <v>5</v>
      </c>
      <c r="J1860" s="255">
        <v>1</v>
      </c>
      <c r="K1860" s="255">
        <v>1</v>
      </c>
      <c r="L1860" s="255"/>
      <c r="M1860" s="256">
        <v>5.2800000000000004E-4</v>
      </c>
      <c r="N1860" s="249">
        <v>1859</v>
      </c>
    </row>
    <row r="1861" spans="1:14" x14ac:dyDescent="0.25">
      <c r="A1861" s="252" t="s">
        <v>134</v>
      </c>
      <c r="B1861" s="252" t="s">
        <v>4131</v>
      </c>
      <c r="C1861" s="253">
        <v>0</v>
      </c>
      <c r="D1861" s="252">
        <v>39792</v>
      </c>
      <c r="E1861" s="252" t="s">
        <v>192</v>
      </c>
      <c r="F1861" s="254" t="s">
        <v>4933</v>
      </c>
      <c r="G1861" s="252" t="s">
        <v>5016</v>
      </c>
      <c r="H1861" s="252" t="s">
        <v>5017</v>
      </c>
      <c r="I1861" s="252">
        <v>5</v>
      </c>
      <c r="J1861" s="255">
        <v>1</v>
      </c>
      <c r="K1861" s="255">
        <v>1</v>
      </c>
      <c r="L1861" s="255"/>
      <c r="M1861" s="256">
        <v>8.9999999999999992E-5</v>
      </c>
      <c r="N1861" s="249">
        <v>1860</v>
      </c>
    </row>
    <row r="1862" spans="1:14" x14ac:dyDescent="0.25">
      <c r="A1862" s="252" t="s">
        <v>134</v>
      </c>
      <c r="B1862" s="252" t="s">
        <v>4131</v>
      </c>
      <c r="C1862" s="253">
        <v>0</v>
      </c>
      <c r="D1862" s="252">
        <v>39792</v>
      </c>
      <c r="E1862" s="252" t="s">
        <v>192</v>
      </c>
      <c r="F1862" s="254" t="s">
        <v>4933</v>
      </c>
      <c r="G1862" s="252" t="s">
        <v>5018</v>
      </c>
      <c r="H1862" s="252" t="s">
        <v>5019</v>
      </c>
      <c r="I1862" s="252">
        <v>5</v>
      </c>
      <c r="J1862" s="255">
        <v>1</v>
      </c>
      <c r="K1862" s="255">
        <v>1</v>
      </c>
      <c r="L1862" s="255"/>
      <c r="M1862" s="256">
        <v>1.8059999999999997E-3</v>
      </c>
      <c r="N1862" s="249">
        <v>1861</v>
      </c>
    </row>
    <row r="1863" spans="1:14" x14ac:dyDescent="0.25">
      <c r="A1863" s="252" t="s">
        <v>134</v>
      </c>
      <c r="B1863" s="252" t="s">
        <v>4131</v>
      </c>
      <c r="C1863" s="253">
        <v>0</v>
      </c>
      <c r="D1863" s="252">
        <v>39792</v>
      </c>
      <c r="E1863" s="252" t="s">
        <v>192</v>
      </c>
      <c r="F1863" s="254" t="s">
        <v>4933</v>
      </c>
      <c r="G1863" s="252" t="s">
        <v>5020</v>
      </c>
      <c r="H1863" s="252" t="s">
        <v>5021</v>
      </c>
      <c r="I1863" s="252">
        <v>5</v>
      </c>
      <c r="J1863" s="255">
        <v>1</v>
      </c>
      <c r="K1863" s="255">
        <v>1</v>
      </c>
      <c r="L1863" s="255"/>
      <c r="M1863" s="256">
        <v>8.9999999999999992E-5</v>
      </c>
      <c r="N1863" s="249">
        <v>1862</v>
      </c>
    </row>
    <row r="1864" spans="1:14" x14ac:dyDescent="0.25">
      <c r="A1864" s="252" t="s">
        <v>134</v>
      </c>
      <c r="B1864" s="252" t="s">
        <v>4131</v>
      </c>
      <c r="C1864" s="253">
        <v>0</v>
      </c>
      <c r="D1864" s="252">
        <v>39792</v>
      </c>
      <c r="E1864" s="252" t="s">
        <v>192</v>
      </c>
      <c r="F1864" s="254" t="s">
        <v>4933</v>
      </c>
      <c r="G1864" s="252" t="s">
        <v>5022</v>
      </c>
      <c r="H1864" s="252" t="s">
        <v>5023</v>
      </c>
      <c r="I1864" s="252">
        <v>5</v>
      </c>
      <c r="J1864" s="255">
        <v>1</v>
      </c>
      <c r="K1864" s="255">
        <v>1</v>
      </c>
      <c r="L1864" s="255"/>
      <c r="M1864" s="256">
        <v>3.21E-4</v>
      </c>
      <c r="N1864" s="249">
        <v>1863</v>
      </c>
    </row>
    <row r="1865" spans="1:14" x14ac:dyDescent="0.25">
      <c r="A1865" s="252" t="s">
        <v>134</v>
      </c>
      <c r="B1865" s="252" t="s">
        <v>4131</v>
      </c>
      <c r="C1865" s="253">
        <v>0</v>
      </c>
      <c r="D1865" s="252">
        <v>39792</v>
      </c>
      <c r="E1865" s="252" t="s">
        <v>192</v>
      </c>
      <c r="F1865" s="254" t="s">
        <v>4933</v>
      </c>
      <c r="G1865" s="252" t="s">
        <v>5024</v>
      </c>
      <c r="H1865" s="252" t="s">
        <v>5025</v>
      </c>
      <c r="I1865" s="252">
        <v>5</v>
      </c>
      <c r="J1865" s="255">
        <v>1</v>
      </c>
      <c r="K1865" s="255">
        <v>1</v>
      </c>
      <c r="L1865" s="255"/>
      <c r="M1865" s="256">
        <v>3.21E-4</v>
      </c>
      <c r="N1865" s="249">
        <v>1864</v>
      </c>
    </row>
    <row r="1866" spans="1:14" x14ac:dyDescent="0.25">
      <c r="A1866" s="252" t="s">
        <v>134</v>
      </c>
      <c r="B1866" s="252" t="s">
        <v>4131</v>
      </c>
      <c r="C1866" s="253">
        <v>0</v>
      </c>
      <c r="D1866" s="252">
        <v>39792</v>
      </c>
      <c r="E1866" s="252" t="s">
        <v>192</v>
      </c>
      <c r="F1866" s="254" t="s">
        <v>4933</v>
      </c>
      <c r="G1866" s="252" t="s">
        <v>5026</v>
      </c>
      <c r="H1866" s="252" t="s">
        <v>5027</v>
      </c>
      <c r="I1866" s="252">
        <v>5</v>
      </c>
      <c r="J1866" s="255">
        <v>1</v>
      </c>
      <c r="K1866" s="255">
        <v>1</v>
      </c>
      <c r="L1866" s="255"/>
      <c r="M1866" s="256">
        <v>2.3009999999999997E-3</v>
      </c>
      <c r="N1866" s="249">
        <v>1865</v>
      </c>
    </row>
    <row r="1867" spans="1:14" x14ac:dyDescent="0.25">
      <c r="A1867" s="252" t="s">
        <v>134</v>
      </c>
      <c r="B1867" s="252" t="s">
        <v>4131</v>
      </c>
      <c r="C1867" s="253">
        <v>0</v>
      </c>
      <c r="D1867" s="252">
        <v>39792</v>
      </c>
      <c r="E1867" s="252" t="s">
        <v>192</v>
      </c>
      <c r="F1867" s="254" t="s">
        <v>4933</v>
      </c>
      <c r="G1867" s="252" t="s">
        <v>5028</v>
      </c>
      <c r="H1867" s="252" t="s">
        <v>5029</v>
      </c>
      <c r="I1867" s="252">
        <v>5</v>
      </c>
      <c r="J1867" s="255">
        <v>1</v>
      </c>
      <c r="K1867" s="255">
        <v>1</v>
      </c>
      <c r="L1867" s="255"/>
      <c r="M1867" s="256">
        <v>8.9999999999999992E-5</v>
      </c>
      <c r="N1867" s="249">
        <v>1866</v>
      </c>
    </row>
    <row r="1868" spans="1:14" x14ac:dyDescent="0.25">
      <c r="A1868" s="252" t="s">
        <v>134</v>
      </c>
      <c r="B1868" s="252" t="s">
        <v>4131</v>
      </c>
      <c r="C1868" s="253">
        <v>0</v>
      </c>
      <c r="D1868" s="252">
        <v>39792</v>
      </c>
      <c r="E1868" s="252" t="s">
        <v>192</v>
      </c>
      <c r="F1868" s="254" t="s">
        <v>4933</v>
      </c>
      <c r="G1868" s="252" t="s">
        <v>5030</v>
      </c>
      <c r="H1868" s="252" t="s">
        <v>5031</v>
      </c>
      <c r="I1868" s="252">
        <v>5</v>
      </c>
      <c r="J1868" s="255">
        <v>1</v>
      </c>
      <c r="K1868" s="255">
        <v>1</v>
      </c>
      <c r="L1868" s="255"/>
      <c r="M1868" s="256">
        <v>1.8059999999999997E-3</v>
      </c>
      <c r="N1868" s="249">
        <v>1867</v>
      </c>
    </row>
    <row r="1869" spans="1:14" x14ac:dyDescent="0.25">
      <c r="A1869" s="252" t="s">
        <v>134</v>
      </c>
      <c r="B1869" s="252" t="s">
        <v>4131</v>
      </c>
      <c r="C1869" s="253">
        <v>0</v>
      </c>
      <c r="D1869" s="252">
        <v>39792</v>
      </c>
      <c r="E1869" s="252" t="s">
        <v>192</v>
      </c>
      <c r="F1869" s="254" t="s">
        <v>4933</v>
      </c>
      <c r="G1869" s="252" t="s">
        <v>5032</v>
      </c>
      <c r="H1869" s="252" t="s">
        <v>5033</v>
      </c>
      <c r="I1869" s="252">
        <v>5</v>
      </c>
      <c r="J1869" s="255">
        <v>1</v>
      </c>
      <c r="K1869" s="255">
        <v>1</v>
      </c>
      <c r="L1869" s="255"/>
      <c r="M1869" s="256">
        <v>8.9999999999999992E-5</v>
      </c>
      <c r="N1869" s="249">
        <v>1868</v>
      </c>
    </row>
    <row r="1870" spans="1:14" x14ac:dyDescent="0.25">
      <c r="A1870" s="252" t="s">
        <v>134</v>
      </c>
      <c r="B1870" s="252" t="s">
        <v>4131</v>
      </c>
      <c r="C1870" s="253">
        <v>0</v>
      </c>
      <c r="D1870" s="252">
        <v>39792</v>
      </c>
      <c r="E1870" s="252" t="s">
        <v>192</v>
      </c>
      <c r="F1870" s="254" t="s">
        <v>4933</v>
      </c>
      <c r="G1870" s="252" t="s">
        <v>5034</v>
      </c>
      <c r="H1870" s="252" t="s">
        <v>5035</v>
      </c>
      <c r="I1870" s="252">
        <v>5</v>
      </c>
      <c r="J1870" s="255">
        <v>1</v>
      </c>
      <c r="K1870" s="255">
        <v>1</v>
      </c>
      <c r="L1870" s="255"/>
      <c r="M1870" s="256">
        <v>1.8059999999999997E-3</v>
      </c>
      <c r="N1870" s="249">
        <v>1869</v>
      </c>
    </row>
    <row r="1871" spans="1:14" x14ac:dyDescent="0.25">
      <c r="A1871" s="252" t="s">
        <v>134</v>
      </c>
      <c r="B1871" s="252" t="s">
        <v>4131</v>
      </c>
      <c r="C1871" s="253">
        <v>0</v>
      </c>
      <c r="D1871" s="252">
        <v>39792</v>
      </c>
      <c r="E1871" s="252" t="s">
        <v>192</v>
      </c>
      <c r="F1871" s="254" t="s">
        <v>4933</v>
      </c>
      <c r="G1871" s="252" t="s">
        <v>5036</v>
      </c>
      <c r="H1871" s="252" t="s">
        <v>5037</v>
      </c>
      <c r="I1871" s="252">
        <v>5</v>
      </c>
      <c r="J1871" s="255">
        <v>1</v>
      </c>
      <c r="K1871" s="255">
        <v>1</v>
      </c>
      <c r="L1871" s="255"/>
      <c r="M1871" s="256">
        <v>5.0399999999999989E-4</v>
      </c>
      <c r="N1871" s="249">
        <v>1870</v>
      </c>
    </row>
    <row r="1872" spans="1:14" x14ac:dyDescent="0.25">
      <c r="A1872" s="252" t="s">
        <v>134</v>
      </c>
      <c r="B1872" s="252" t="s">
        <v>4131</v>
      </c>
      <c r="C1872" s="253">
        <v>0</v>
      </c>
      <c r="D1872" s="252">
        <v>39792</v>
      </c>
      <c r="E1872" s="252" t="s">
        <v>192</v>
      </c>
      <c r="F1872" s="254" t="s">
        <v>4933</v>
      </c>
      <c r="G1872" s="252" t="s">
        <v>5038</v>
      </c>
      <c r="H1872" s="252" t="s">
        <v>5039</v>
      </c>
      <c r="I1872" s="252">
        <v>5</v>
      </c>
      <c r="J1872" s="255">
        <v>1</v>
      </c>
      <c r="K1872" s="255">
        <v>1</v>
      </c>
      <c r="L1872" s="255"/>
      <c r="M1872" s="256">
        <v>2.6400000000000002E-4</v>
      </c>
      <c r="N1872" s="249">
        <v>1871</v>
      </c>
    </row>
    <row r="1873" spans="1:14" x14ac:dyDescent="0.25">
      <c r="A1873" s="252" t="s">
        <v>134</v>
      </c>
      <c r="B1873" s="252" t="s">
        <v>4131</v>
      </c>
      <c r="C1873" s="253">
        <v>0</v>
      </c>
      <c r="D1873" s="252">
        <v>39792</v>
      </c>
      <c r="E1873" s="252" t="s">
        <v>192</v>
      </c>
      <c r="F1873" s="254" t="s">
        <v>4933</v>
      </c>
      <c r="G1873" s="252" t="s">
        <v>5040</v>
      </c>
      <c r="H1873" s="252" t="s">
        <v>5041</v>
      </c>
      <c r="I1873" s="252">
        <v>5</v>
      </c>
      <c r="J1873" s="255">
        <v>1</v>
      </c>
      <c r="K1873" s="255">
        <v>1</v>
      </c>
      <c r="L1873" s="255"/>
      <c r="M1873" s="256">
        <v>2.6400000000000002E-4</v>
      </c>
      <c r="N1873" s="249">
        <v>1872</v>
      </c>
    </row>
    <row r="1874" spans="1:14" x14ac:dyDescent="0.25">
      <c r="A1874" s="252" t="s">
        <v>134</v>
      </c>
      <c r="B1874" s="252" t="s">
        <v>4131</v>
      </c>
      <c r="C1874" s="253">
        <v>0</v>
      </c>
      <c r="D1874" s="252">
        <v>39792</v>
      </c>
      <c r="E1874" s="252" t="s">
        <v>192</v>
      </c>
      <c r="F1874" s="254" t="s">
        <v>4933</v>
      </c>
      <c r="G1874" s="252" t="s">
        <v>5042</v>
      </c>
      <c r="H1874" s="252" t="s">
        <v>5043</v>
      </c>
      <c r="I1874" s="252">
        <v>5</v>
      </c>
      <c r="J1874" s="255">
        <v>1</v>
      </c>
      <c r="K1874" s="255">
        <v>1</v>
      </c>
      <c r="L1874" s="255"/>
      <c r="M1874" s="256">
        <v>8.9999999999999992E-5</v>
      </c>
      <c r="N1874" s="249">
        <v>1873</v>
      </c>
    </row>
    <row r="1875" spans="1:14" x14ac:dyDescent="0.25">
      <c r="A1875" s="252" t="s">
        <v>134</v>
      </c>
      <c r="B1875" s="252" t="s">
        <v>4131</v>
      </c>
      <c r="C1875" s="253">
        <v>0</v>
      </c>
      <c r="D1875" s="252">
        <v>39792</v>
      </c>
      <c r="E1875" s="252" t="s">
        <v>192</v>
      </c>
      <c r="F1875" s="254" t="s">
        <v>4933</v>
      </c>
      <c r="G1875" s="252" t="s">
        <v>5044</v>
      </c>
      <c r="H1875" s="252" t="s">
        <v>5045</v>
      </c>
      <c r="I1875" s="252">
        <v>5</v>
      </c>
      <c r="J1875" s="255">
        <v>1</v>
      </c>
      <c r="K1875" s="255">
        <v>1</v>
      </c>
      <c r="L1875" s="255"/>
      <c r="M1875" s="256">
        <v>1.8059999999999997E-3</v>
      </c>
      <c r="N1875" s="249">
        <v>1874</v>
      </c>
    </row>
    <row r="1876" spans="1:14" x14ac:dyDescent="0.25">
      <c r="A1876" s="252" t="s">
        <v>134</v>
      </c>
      <c r="B1876" s="252" t="s">
        <v>4131</v>
      </c>
      <c r="C1876" s="253">
        <v>0</v>
      </c>
      <c r="D1876" s="252">
        <v>39792</v>
      </c>
      <c r="E1876" s="252" t="s">
        <v>192</v>
      </c>
      <c r="F1876" s="254" t="s">
        <v>4933</v>
      </c>
      <c r="G1876" s="252" t="s">
        <v>5046</v>
      </c>
      <c r="H1876" s="252" t="s">
        <v>5047</v>
      </c>
      <c r="I1876" s="252">
        <v>5</v>
      </c>
      <c r="J1876" s="255">
        <v>1</v>
      </c>
      <c r="K1876" s="255">
        <v>1</v>
      </c>
      <c r="L1876" s="255"/>
      <c r="M1876" s="256">
        <v>8.9999999999999992E-5</v>
      </c>
      <c r="N1876" s="249">
        <v>1875</v>
      </c>
    </row>
    <row r="1877" spans="1:14" x14ac:dyDescent="0.25">
      <c r="A1877" s="252" t="s">
        <v>134</v>
      </c>
      <c r="B1877" s="252" t="s">
        <v>4131</v>
      </c>
      <c r="C1877" s="253">
        <v>0</v>
      </c>
      <c r="D1877" s="252">
        <v>39792</v>
      </c>
      <c r="E1877" s="252" t="s">
        <v>192</v>
      </c>
      <c r="F1877" s="254" t="s">
        <v>4933</v>
      </c>
      <c r="G1877" s="252" t="s">
        <v>5048</v>
      </c>
      <c r="H1877" s="252" t="s">
        <v>5049</v>
      </c>
      <c r="I1877" s="252">
        <v>5</v>
      </c>
      <c r="J1877" s="255">
        <v>1</v>
      </c>
      <c r="K1877" s="255">
        <v>1</v>
      </c>
      <c r="L1877" s="255"/>
      <c r="M1877" s="256">
        <v>1.8059999999999997E-3</v>
      </c>
      <c r="N1877" s="249">
        <v>1876</v>
      </c>
    </row>
    <row r="1878" spans="1:14" x14ac:dyDescent="0.25">
      <c r="A1878" s="252" t="s">
        <v>134</v>
      </c>
      <c r="B1878" s="252" t="s">
        <v>4131</v>
      </c>
      <c r="C1878" s="253">
        <v>0</v>
      </c>
      <c r="D1878" s="252">
        <v>39792</v>
      </c>
      <c r="E1878" s="252" t="s">
        <v>192</v>
      </c>
      <c r="F1878" s="254" t="s">
        <v>4933</v>
      </c>
      <c r="G1878" s="252" t="s">
        <v>5050</v>
      </c>
      <c r="H1878" s="252" t="s">
        <v>5051</v>
      </c>
      <c r="I1878" s="252">
        <v>5</v>
      </c>
      <c r="J1878" s="255">
        <v>1</v>
      </c>
      <c r="K1878" s="255">
        <v>1</v>
      </c>
      <c r="L1878" s="255"/>
      <c r="M1878" s="256">
        <v>2.8799999999999995E-4</v>
      </c>
      <c r="N1878" s="249">
        <v>1877</v>
      </c>
    </row>
    <row r="1879" spans="1:14" x14ac:dyDescent="0.25">
      <c r="A1879" s="252" t="s">
        <v>134</v>
      </c>
      <c r="B1879" s="252" t="s">
        <v>4131</v>
      </c>
      <c r="C1879" s="253">
        <v>0</v>
      </c>
      <c r="D1879" s="252">
        <v>39792</v>
      </c>
      <c r="E1879" s="252" t="s">
        <v>192</v>
      </c>
      <c r="F1879" s="254" t="s">
        <v>4933</v>
      </c>
      <c r="G1879" s="252" t="s">
        <v>5052</v>
      </c>
      <c r="H1879" s="252" t="s">
        <v>5053</v>
      </c>
      <c r="I1879" s="252">
        <v>5</v>
      </c>
      <c r="J1879" s="255">
        <v>1</v>
      </c>
      <c r="K1879" s="255">
        <v>1</v>
      </c>
      <c r="L1879" s="255"/>
      <c r="M1879" s="256">
        <v>1.3200000000000001E-4</v>
      </c>
      <c r="N1879" s="249">
        <v>1878</v>
      </c>
    </row>
    <row r="1880" spans="1:14" x14ac:dyDescent="0.25">
      <c r="A1880" s="252" t="s">
        <v>134</v>
      </c>
      <c r="B1880" s="252" t="s">
        <v>4131</v>
      </c>
      <c r="C1880" s="253">
        <v>0</v>
      </c>
      <c r="D1880" s="252">
        <v>39792</v>
      </c>
      <c r="E1880" s="252" t="s">
        <v>192</v>
      </c>
      <c r="F1880" s="254" t="s">
        <v>4933</v>
      </c>
      <c r="G1880" s="252" t="s">
        <v>5054</v>
      </c>
      <c r="H1880" s="252" t="s">
        <v>5055</v>
      </c>
      <c r="I1880" s="252">
        <v>5</v>
      </c>
      <c r="J1880" s="255">
        <v>1</v>
      </c>
      <c r="K1880" s="255">
        <v>1</v>
      </c>
      <c r="L1880" s="255"/>
      <c r="M1880" s="256">
        <v>1.3200000000000001E-4</v>
      </c>
      <c r="N1880" s="249">
        <v>1879</v>
      </c>
    </row>
    <row r="1881" spans="1:14" x14ac:dyDescent="0.25">
      <c r="A1881" s="252" t="s">
        <v>134</v>
      </c>
      <c r="B1881" s="252" t="s">
        <v>4131</v>
      </c>
      <c r="C1881" s="253">
        <v>0</v>
      </c>
      <c r="D1881" s="252">
        <v>39792</v>
      </c>
      <c r="E1881" s="252" t="s">
        <v>192</v>
      </c>
      <c r="F1881" s="254" t="s">
        <v>4933</v>
      </c>
      <c r="G1881" s="252" t="s">
        <v>5056</v>
      </c>
      <c r="H1881" s="252" t="s">
        <v>5057</v>
      </c>
      <c r="I1881" s="252">
        <v>5</v>
      </c>
      <c r="J1881" s="255">
        <v>1</v>
      </c>
      <c r="K1881" s="255">
        <v>1</v>
      </c>
      <c r="L1881" s="255"/>
      <c r="M1881" s="256">
        <v>8.9999999999999992E-5</v>
      </c>
      <c r="N1881" s="249">
        <v>1880</v>
      </c>
    </row>
    <row r="1882" spans="1:14" x14ac:dyDescent="0.25">
      <c r="A1882" s="252" t="s">
        <v>134</v>
      </c>
      <c r="B1882" s="252" t="s">
        <v>4131</v>
      </c>
      <c r="C1882" s="253">
        <v>0</v>
      </c>
      <c r="D1882" s="252">
        <v>39792</v>
      </c>
      <c r="E1882" s="252" t="s">
        <v>192</v>
      </c>
      <c r="F1882" s="254" t="s">
        <v>4933</v>
      </c>
      <c r="G1882" s="252" t="s">
        <v>5058</v>
      </c>
      <c r="H1882" s="252" t="s">
        <v>5059</v>
      </c>
      <c r="I1882" s="252">
        <v>5</v>
      </c>
      <c r="J1882" s="255">
        <v>1</v>
      </c>
      <c r="K1882" s="255">
        <v>1</v>
      </c>
      <c r="L1882" s="255"/>
      <c r="M1882" s="256">
        <v>1.8059999999999997E-3</v>
      </c>
      <c r="N1882" s="249">
        <v>1881</v>
      </c>
    </row>
    <row r="1883" spans="1:14" x14ac:dyDescent="0.25">
      <c r="A1883" s="252" t="s">
        <v>134</v>
      </c>
      <c r="B1883" s="252" t="s">
        <v>4131</v>
      </c>
      <c r="C1883" s="253">
        <v>0</v>
      </c>
      <c r="D1883" s="252">
        <v>39792</v>
      </c>
      <c r="E1883" s="252" t="s">
        <v>192</v>
      </c>
      <c r="F1883" s="254" t="s">
        <v>4933</v>
      </c>
      <c r="G1883" s="252" t="s">
        <v>5060</v>
      </c>
      <c r="H1883" s="252" t="s">
        <v>5061</v>
      </c>
      <c r="I1883" s="252">
        <v>5</v>
      </c>
      <c r="J1883" s="255">
        <v>1</v>
      </c>
      <c r="K1883" s="255">
        <v>1</v>
      </c>
      <c r="L1883" s="255"/>
      <c r="M1883" s="256">
        <v>8.9999999999999992E-5</v>
      </c>
      <c r="N1883" s="249">
        <v>1882</v>
      </c>
    </row>
    <row r="1884" spans="1:14" x14ac:dyDescent="0.25">
      <c r="A1884" s="252" t="s">
        <v>134</v>
      </c>
      <c r="B1884" s="252" t="s">
        <v>4131</v>
      </c>
      <c r="C1884" s="253">
        <v>0</v>
      </c>
      <c r="D1884" s="252">
        <v>39792</v>
      </c>
      <c r="E1884" s="252" t="s">
        <v>192</v>
      </c>
      <c r="F1884" s="254" t="s">
        <v>4933</v>
      </c>
      <c r="G1884" s="252" t="s">
        <v>5062</v>
      </c>
      <c r="H1884" s="252" t="s">
        <v>5063</v>
      </c>
      <c r="I1884" s="252">
        <v>5</v>
      </c>
      <c r="J1884" s="255">
        <v>1</v>
      </c>
      <c r="K1884" s="255">
        <v>1</v>
      </c>
      <c r="L1884" s="255"/>
      <c r="M1884" s="256">
        <v>1.8059999999999997E-3</v>
      </c>
      <c r="N1884" s="249">
        <v>1883</v>
      </c>
    </row>
    <row r="1885" spans="1:14" x14ac:dyDescent="0.25">
      <c r="A1885" s="252" t="s">
        <v>134</v>
      </c>
      <c r="B1885" s="252" t="s">
        <v>4131</v>
      </c>
      <c r="C1885" s="253">
        <v>0</v>
      </c>
      <c r="D1885" s="252">
        <v>39792</v>
      </c>
      <c r="E1885" s="252" t="s">
        <v>192</v>
      </c>
      <c r="F1885" s="254" t="s">
        <v>4933</v>
      </c>
      <c r="G1885" s="252" t="s">
        <v>5064</v>
      </c>
      <c r="H1885" s="252" t="s">
        <v>5065</v>
      </c>
      <c r="I1885" s="252">
        <v>5</v>
      </c>
      <c r="J1885" s="255">
        <v>1</v>
      </c>
      <c r="K1885" s="255">
        <v>1</v>
      </c>
      <c r="L1885" s="255"/>
      <c r="M1885" s="256">
        <v>3.3E-4</v>
      </c>
      <c r="N1885" s="249">
        <v>1884</v>
      </c>
    </row>
    <row r="1886" spans="1:14" x14ac:dyDescent="0.25">
      <c r="A1886" s="252" t="s">
        <v>134</v>
      </c>
      <c r="B1886" s="252" t="s">
        <v>4131</v>
      </c>
      <c r="C1886" s="253">
        <v>0</v>
      </c>
      <c r="D1886" s="252">
        <v>39792</v>
      </c>
      <c r="E1886" s="252" t="s">
        <v>192</v>
      </c>
      <c r="F1886" s="254" t="s">
        <v>4933</v>
      </c>
      <c r="G1886" s="252" t="s">
        <v>5066</v>
      </c>
      <c r="H1886" s="252" t="s">
        <v>5067</v>
      </c>
      <c r="I1886" s="252">
        <v>5</v>
      </c>
      <c r="J1886" s="255">
        <v>1</v>
      </c>
      <c r="K1886" s="255">
        <v>1</v>
      </c>
      <c r="L1886" s="255"/>
      <c r="M1886" s="256">
        <v>1.5600000000000002E-4</v>
      </c>
      <c r="N1886" s="249">
        <v>1885</v>
      </c>
    </row>
    <row r="1887" spans="1:14" x14ac:dyDescent="0.25">
      <c r="A1887" s="252" t="s">
        <v>134</v>
      </c>
      <c r="B1887" s="252" t="s">
        <v>4131</v>
      </c>
      <c r="C1887" s="253">
        <v>0</v>
      </c>
      <c r="D1887" s="252">
        <v>39792</v>
      </c>
      <c r="E1887" s="252" t="s">
        <v>192</v>
      </c>
      <c r="F1887" s="254" t="s">
        <v>4933</v>
      </c>
      <c r="G1887" s="252" t="s">
        <v>5068</v>
      </c>
      <c r="H1887" s="252" t="s">
        <v>5069</v>
      </c>
      <c r="I1887" s="252">
        <v>5</v>
      </c>
      <c r="J1887" s="255">
        <v>1</v>
      </c>
      <c r="K1887" s="255">
        <v>1</v>
      </c>
      <c r="L1887" s="255"/>
      <c r="M1887" s="256">
        <v>1.5600000000000002E-4</v>
      </c>
      <c r="N1887" s="249">
        <v>1886</v>
      </c>
    </row>
    <row r="1888" spans="1:14" x14ac:dyDescent="0.25">
      <c r="A1888" s="252" t="s">
        <v>134</v>
      </c>
      <c r="B1888" s="252" t="s">
        <v>4131</v>
      </c>
      <c r="C1888" s="253">
        <v>0</v>
      </c>
      <c r="D1888" s="252">
        <v>39792</v>
      </c>
      <c r="E1888" s="252" t="s">
        <v>192</v>
      </c>
      <c r="F1888" s="254" t="s">
        <v>4933</v>
      </c>
      <c r="G1888" s="252" t="s">
        <v>2661</v>
      </c>
      <c r="H1888" s="252" t="s">
        <v>5070</v>
      </c>
      <c r="I1888" s="252">
        <v>5</v>
      </c>
      <c r="J1888" s="255">
        <v>1</v>
      </c>
      <c r="K1888" s="255">
        <v>1</v>
      </c>
      <c r="L1888" s="255"/>
      <c r="M1888" s="256">
        <v>1.2149999999999999E-3</v>
      </c>
      <c r="N1888" s="249">
        <v>1887</v>
      </c>
    </row>
    <row r="1889" spans="1:14" x14ac:dyDescent="0.25">
      <c r="A1889" s="252" t="s">
        <v>134</v>
      </c>
      <c r="B1889" s="252" t="s">
        <v>4131</v>
      </c>
      <c r="C1889" s="253">
        <v>0</v>
      </c>
      <c r="D1889" s="252">
        <v>39792</v>
      </c>
      <c r="E1889" s="252" t="s">
        <v>192</v>
      </c>
      <c r="F1889" s="254" t="s">
        <v>4933</v>
      </c>
      <c r="G1889" s="252" t="s">
        <v>2662</v>
      </c>
      <c r="H1889" s="252" t="s">
        <v>5071</v>
      </c>
      <c r="I1889" s="252">
        <v>5</v>
      </c>
      <c r="J1889" s="255">
        <v>1</v>
      </c>
      <c r="K1889" s="255">
        <v>1</v>
      </c>
      <c r="L1889" s="255"/>
      <c r="M1889" s="256">
        <v>1.7759999999999998E-3</v>
      </c>
      <c r="N1889" s="249">
        <v>1888</v>
      </c>
    </row>
    <row r="1890" spans="1:14" x14ac:dyDescent="0.25">
      <c r="A1890" s="252" t="s">
        <v>134</v>
      </c>
      <c r="B1890" s="252" t="s">
        <v>4131</v>
      </c>
      <c r="C1890" s="253">
        <v>0</v>
      </c>
      <c r="D1890" s="252">
        <v>39792</v>
      </c>
      <c r="E1890" s="252" t="s">
        <v>192</v>
      </c>
      <c r="F1890" s="254" t="s">
        <v>4933</v>
      </c>
      <c r="G1890" s="252" t="s">
        <v>2664</v>
      </c>
      <c r="H1890" s="252" t="s">
        <v>5072</v>
      </c>
      <c r="I1890" s="252">
        <v>5</v>
      </c>
      <c r="J1890" s="255">
        <v>1</v>
      </c>
      <c r="K1890" s="255">
        <v>1</v>
      </c>
      <c r="L1890" s="255"/>
      <c r="M1890" s="256">
        <v>8.9999999999999992E-5</v>
      </c>
      <c r="N1890" s="249">
        <v>1889</v>
      </c>
    </row>
    <row r="1891" spans="1:14" x14ac:dyDescent="0.25">
      <c r="A1891" s="252" t="s">
        <v>134</v>
      </c>
      <c r="B1891" s="252" t="s">
        <v>4131</v>
      </c>
      <c r="C1891" s="253">
        <v>0</v>
      </c>
      <c r="D1891" s="252">
        <v>39792</v>
      </c>
      <c r="E1891" s="252" t="s">
        <v>192</v>
      </c>
      <c r="F1891" s="254" t="s">
        <v>4933</v>
      </c>
      <c r="G1891" s="252" t="s">
        <v>2665</v>
      </c>
      <c r="H1891" s="252" t="s">
        <v>5073</v>
      </c>
      <c r="I1891" s="252">
        <v>5</v>
      </c>
      <c r="J1891" s="255">
        <v>1</v>
      </c>
      <c r="K1891" s="255">
        <v>1</v>
      </c>
      <c r="L1891" s="255"/>
      <c r="M1891" s="256">
        <v>1.7759999999999998E-3</v>
      </c>
      <c r="N1891" s="249">
        <v>1890</v>
      </c>
    </row>
    <row r="1892" spans="1:14" x14ac:dyDescent="0.25">
      <c r="A1892" s="252" t="s">
        <v>134</v>
      </c>
      <c r="B1892" s="252" t="s">
        <v>4131</v>
      </c>
      <c r="C1892" s="253">
        <v>0</v>
      </c>
      <c r="D1892" s="252">
        <v>39792</v>
      </c>
      <c r="E1892" s="252" t="s">
        <v>192</v>
      </c>
      <c r="F1892" s="254" t="s">
        <v>4933</v>
      </c>
      <c r="G1892" s="252" t="s">
        <v>2667</v>
      </c>
      <c r="H1892" s="252" t="s">
        <v>5074</v>
      </c>
      <c r="I1892" s="252">
        <v>5</v>
      </c>
      <c r="J1892" s="255">
        <v>1</v>
      </c>
      <c r="K1892" s="255">
        <v>1</v>
      </c>
      <c r="L1892" s="255"/>
      <c r="M1892" s="256">
        <v>8.9999999999999992E-5</v>
      </c>
      <c r="N1892" s="249">
        <v>1891</v>
      </c>
    </row>
    <row r="1893" spans="1:14" x14ac:dyDescent="0.25">
      <c r="A1893" s="252" t="s">
        <v>134</v>
      </c>
      <c r="B1893" s="252" t="s">
        <v>4131</v>
      </c>
      <c r="C1893" s="253">
        <v>0</v>
      </c>
      <c r="D1893" s="252">
        <v>39792</v>
      </c>
      <c r="E1893" s="252" t="s">
        <v>192</v>
      </c>
      <c r="F1893" s="254" t="s">
        <v>4933</v>
      </c>
      <c r="G1893" s="252" t="s">
        <v>2668</v>
      </c>
      <c r="H1893" s="252" t="s">
        <v>5075</v>
      </c>
      <c r="I1893" s="252">
        <v>5</v>
      </c>
      <c r="J1893" s="255">
        <v>1</v>
      </c>
      <c r="K1893" s="255">
        <v>1</v>
      </c>
      <c r="L1893" s="255"/>
      <c r="M1893" s="256">
        <v>1.302E-3</v>
      </c>
      <c r="N1893" s="249">
        <v>1892</v>
      </c>
    </row>
    <row r="1894" spans="1:14" x14ac:dyDescent="0.25">
      <c r="A1894" s="252" t="s">
        <v>134</v>
      </c>
      <c r="B1894" s="252" t="s">
        <v>4131</v>
      </c>
      <c r="C1894" s="253">
        <v>0</v>
      </c>
      <c r="D1894" s="252">
        <v>39792</v>
      </c>
      <c r="E1894" s="252" t="s">
        <v>192</v>
      </c>
      <c r="F1894" s="254" t="s">
        <v>4933</v>
      </c>
      <c r="G1894" s="252" t="s">
        <v>2670</v>
      </c>
      <c r="H1894" s="252" t="s">
        <v>5076</v>
      </c>
      <c r="I1894" s="252">
        <v>5</v>
      </c>
      <c r="J1894" s="255">
        <v>1</v>
      </c>
      <c r="K1894" s="255">
        <v>1</v>
      </c>
      <c r="L1894" s="255"/>
      <c r="M1894" s="256">
        <v>1.8839999999999998E-3</v>
      </c>
      <c r="N1894" s="249">
        <v>1893</v>
      </c>
    </row>
    <row r="1895" spans="1:14" x14ac:dyDescent="0.25">
      <c r="A1895" s="252" t="s">
        <v>134</v>
      </c>
      <c r="B1895" s="252" t="s">
        <v>4131</v>
      </c>
      <c r="C1895" s="253">
        <v>0</v>
      </c>
      <c r="D1895" s="252">
        <v>39792</v>
      </c>
      <c r="E1895" s="252" t="s">
        <v>192</v>
      </c>
      <c r="F1895" s="254" t="s">
        <v>4933</v>
      </c>
      <c r="G1895" s="252" t="s">
        <v>2672</v>
      </c>
      <c r="H1895" s="252" t="s">
        <v>5077</v>
      </c>
      <c r="I1895" s="252">
        <v>5</v>
      </c>
      <c r="J1895" s="255">
        <v>1</v>
      </c>
      <c r="K1895" s="255">
        <v>1</v>
      </c>
      <c r="L1895" s="255"/>
      <c r="M1895" s="256">
        <v>8.7300000000000008E-4</v>
      </c>
      <c r="N1895" s="249">
        <v>1894</v>
      </c>
    </row>
    <row r="1896" spans="1:14" x14ac:dyDescent="0.25">
      <c r="A1896" s="252" t="s">
        <v>134</v>
      </c>
      <c r="B1896" s="252" t="s">
        <v>4131</v>
      </c>
      <c r="C1896" s="253">
        <v>0</v>
      </c>
      <c r="D1896" s="252">
        <v>39792</v>
      </c>
      <c r="E1896" s="252" t="s">
        <v>192</v>
      </c>
      <c r="F1896" s="254" t="s">
        <v>4933</v>
      </c>
      <c r="G1896" s="252" t="s">
        <v>2674</v>
      </c>
      <c r="H1896" s="252" t="s">
        <v>5078</v>
      </c>
      <c r="I1896" s="252">
        <v>5</v>
      </c>
      <c r="J1896" s="255">
        <v>1</v>
      </c>
      <c r="K1896" s="255">
        <v>1</v>
      </c>
      <c r="L1896" s="255"/>
      <c r="M1896" s="256">
        <v>4.4999999999999999E-4</v>
      </c>
      <c r="N1896" s="249">
        <v>1895</v>
      </c>
    </row>
    <row r="1897" spans="1:14" x14ac:dyDescent="0.25">
      <c r="A1897" s="252" t="s">
        <v>134</v>
      </c>
      <c r="B1897" s="252" t="s">
        <v>4131</v>
      </c>
      <c r="C1897" s="253">
        <v>0</v>
      </c>
      <c r="D1897" s="252">
        <v>39792</v>
      </c>
      <c r="E1897" s="252" t="s">
        <v>192</v>
      </c>
      <c r="F1897" s="254" t="s">
        <v>4933</v>
      </c>
      <c r="G1897" s="252" t="s">
        <v>2676</v>
      </c>
      <c r="H1897" s="252" t="s">
        <v>5079</v>
      </c>
      <c r="I1897" s="252">
        <v>5</v>
      </c>
      <c r="J1897" s="255">
        <v>1</v>
      </c>
      <c r="K1897" s="255">
        <v>1</v>
      </c>
      <c r="L1897" s="255"/>
      <c r="M1897" s="256">
        <v>2.4899999999999998E-4</v>
      </c>
      <c r="N1897" s="249">
        <v>1896</v>
      </c>
    </row>
    <row r="1898" spans="1:14" x14ac:dyDescent="0.25">
      <c r="A1898" s="252" t="s">
        <v>134</v>
      </c>
      <c r="B1898" s="252" t="s">
        <v>4131</v>
      </c>
      <c r="C1898" s="253">
        <v>0</v>
      </c>
      <c r="D1898" s="252">
        <v>39792</v>
      </c>
      <c r="E1898" s="252" t="s">
        <v>192</v>
      </c>
      <c r="F1898" s="254" t="s">
        <v>4933</v>
      </c>
      <c r="G1898" s="252" t="s">
        <v>2678</v>
      </c>
      <c r="H1898" s="252" t="s">
        <v>5080</v>
      </c>
      <c r="I1898" s="252">
        <v>5</v>
      </c>
      <c r="J1898" s="255">
        <v>1</v>
      </c>
      <c r="K1898" s="255">
        <v>1</v>
      </c>
      <c r="L1898" s="255"/>
      <c r="M1898" s="256">
        <v>9.5399999999999999E-4</v>
      </c>
      <c r="N1898" s="249">
        <v>1897</v>
      </c>
    </row>
    <row r="1899" spans="1:14" x14ac:dyDescent="0.25">
      <c r="A1899" s="252" t="s">
        <v>134</v>
      </c>
      <c r="B1899" s="252" t="s">
        <v>4131</v>
      </c>
      <c r="C1899" s="253">
        <v>0</v>
      </c>
      <c r="D1899" s="252">
        <v>39792</v>
      </c>
      <c r="E1899" s="252" t="s">
        <v>192</v>
      </c>
      <c r="F1899" s="254" t="s">
        <v>4933</v>
      </c>
      <c r="G1899" s="252" t="s">
        <v>2680</v>
      </c>
      <c r="H1899" s="252" t="s">
        <v>5081</v>
      </c>
      <c r="I1899" s="252">
        <v>5</v>
      </c>
      <c r="J1899" s="255">
        <v>1</v>
      </c>
      <c r="K1899" s="255">
        <v>1</v>
      </c>
      <c r="L1899" s="255"/>
      <c r="M1899" s="256">
        <v>9.5399999999999999E-4</v>
      </c>
      <c r="N1899" s="249">
        <v>1898</v>
      </c>
    </row>
    <row r="1900" spans="1:14" x14ac:dyDescent="0.25">
      <c r="A1900" s="252" t="s">
        <v>134</v>
      </c>
      <c r="B1900" s="252" t="s">
        <v>4131</v>
      </c>
      <c r="C1900" s="253">
        <v>0</v>
      </c>
      <c r="D1900" s="252">
        <v>39792</v>
      </c>
      <c r="E1900" s="252" t="s">
        <v>192</v>
      </c>
      <c r="F1900" s="254" t="s">
        <v>4933</v>
      </c>
      <c r="G1900" s="252" t="s">
        <v>2682</v>
      </c>
      <c r="H1900" s="252" t="s">
        <v>5082</v>
      </c>
      <c r="I1900" s="252">
        <v>5</v>
      </c>
      <c r="J1900" s="255">
        <v>1</v>
      </c>
      <c r="K1900" s="255">
        <v>1</v>
      </c>
      <c r="L1900" s="255"/>
      <c r="M1900" s="256">
        <v>2.4899999999999998E-4</v>
      </c>
      <c r="N1900" s="249">
        <v>1899</v>
      </c>
    </row>
    <row r="1901" spans="1:14" x14ac:dyDescent="0.25">
      <c r="A1901" s="252" t="s">
        <v>134</v>
      </c>
      <c r="B1901" s="252" t="s">
        <v>4131</v>
      </c>
      <c r="C1901" s="253">
        <v>0</v>
      </c>
      <c r="D1901" s="252">
        <v>39792</v>
      </c>
      <c r="E1901" s="252" t="s">
        <v>192</v>
      </c>
      <c r="F1901" s="254" t="s">
        <v>4933</v>
      </c>
      <c r="G1901" s="252" t="s">
        <v>2690</v>
      </c>
      <c r="H1901" s="252" t="s">
        <v>5083</v>
      </c>
      <c r="I1901" s="252">
        <v>5</v>
      </c>
      <c r="J1901" s="255">
        <v>1</v>
      </c>
      <c r="K1901" s="255">
        <v>1</v>
      </c>
      <c r="L1901" s="255"/>
      <c r="M1901" s="256">
        <v>8.9999999999999992E-5</v>
      </c>
      <c r="N1901" s="249">
        <v>1900</v>
      </c>
    </row>
    <row r="1902" spans="1:14" x14ac:dyDescent="0.25">
      <c r="A1902" s="252" t="s">
        <v>134</v>
      </c>
      <c r="B1902" s="252" t="s">
        <v>4131</v>
      </c>
      <c r="C1902" s="253">
        <v>0</v>
      </c>
      <c r="D1902" s="252">
        <v>39792</v>
      </c>
      <c r="E1902" s="252" t="s">
        <v>192</v>
      </c>
      <c r="F1902" s="254" t="s">
        <v>4933</v>
      </c>
      <c r="G1902" s="252" t="s">
        <v>2692</v>
      </c>
      <c r="H1902" s="252" t="s">
        <v>5084</v>
      </c>
      <c r="I1902" s="252">
        <v>5</v>
      </c>
      <c r="J1902" s="255">
        <v>1</v>
      </c>
      <c r="K1902" s="255">
        <v>1</v>
      </c>
      <c r="L1902" s="255"/>
      <c r="M1902" s="256">
        <v>5.8199999999999994E-4</v>
      </c>
      <c r="N1902" s="249">
        <v>1901</v>
      </c>
    </row>
    <row r="1903" spans="1:14" x14ac:dyDescent="0.25">
      <c r="A1903" s="252" t="s">
        <v>134</v>
      </c>
      <c r="B1903" s="252" t="s">
        <v>4131</v>
      </c>
      <c r="C1903" s="253">
        <v>0</v>
      </c>
      <c r="D1903" s="252">
        <v>39792</v>
      </c>
      <c r="E1903" s="252" t="s">
        <v>192</v>
      </c>
      <c r="F1903" s="254" t="s">
        <v>4933</v>
      </c>
      <c r="G1903" s="252" t="s">
        <v>2693</v>
      </c>
      <c r="H1903" s="252" t="s">
        <v>5085</v>
      </c>
      <c r="I1903" s="252">
        <v>5</v>
      </c>
      <c r="J1903" s="255">
        <v>1</v>
      </c>
      <c r="K1903" s="255">
        <v>1</v>
      </c>
      <c r="L1903" s="255"/>
      <c r="M1903" s="256">
        <v>5.8199999999999994E-4</v>
      </c>
      <c r="N1903" s="249">
        <v>1902</v>
      </c>
    </row>
    <row r="1904" spans="1:14" x14ac:dyDescent="0.25">
      <c r="A1904" s="252" t="s">
        <v>134</v>
      </c>
      <c r="B1904" s="252" t="s">
        <v>4131</v>
      </c>
      <c r="C1904" s="253">
        <v>0</v>
      </c>
      <c r="D1904" s="252">
        <v>39792</v>
      </c>
      <c r="E1904" s="252" t="s">
        <v>192</v>
      </c>
      <c r="F1904" s="254" t="s">
        <v>4933</v>
      </c>
      <c r="G1904" s="252" t="s">
        <v>2694</v>
      </c>
      <c r="H1904" s="252" t="s">
        <v>5086</v>
      </c>
      <c r="I1904" s="252">
        <v>5</v>
      </c>
      <c r="J1904" s="255">
        <v>1</v>
      </c>
      <c r="K1904" s="255">
        <v>1</v>
      </c>
      <c r="L1904" s="255"/>
      <c r="M1904" s="256">
        <v>2.7329999999999998E-3</v>
      </c>
      <c r="N1904" s="249">
        <v>1903</v>
      </c>
    </row>
    <row r="1905" spans="1:14" x14ac:dyDescent="0.25">
      <c r="A1905" s="252" t="s">
        <v>134</v>
      </c>
      <c r="B1905" s="252" t="s">
        <v>4131</v>
      </c>
      <c r="C1905" s="253">
        <v>0</v>
      </c>
      <c r="D1905" s="252">
        <v>39792</v>
      </c>
      <c r="E1905" s="252" t="s">
        <v>192</v>
      </c>
      <c r="F1905" s="254" t="s">
        <v>4933</v>
      </c>
      <c r="G1905" s="252" t="s">
        <v>2697</v>
      </c>
      <c r="H1905" s="252" t="s">
        <v>5087</v>
      </c>
      <c r="I1905" s="252">
        <v>5</v>
      </c>
      <c r="J1905" s="255">
        <v>1</v>
      </c>
      <c r="K1905" s="255">
        <v>1</v>
      </c>
      <c r="L1905" s="255"/>
      <c r="M1905" s="256">
        <v>1.8059999999999997E-3</v>
      </c>
      <c r="N1905" s="249">
        <v>1904</v>
      </c>
    </row>
    <row r="1906" spans="1:14" x14ac:dyDescent="0.25">
      <c r="A1906" s="252" t="s">
        <v>134</v>
      </c>
      <c r="B1906" s="252" t="s">
        <v>4131</v>
      </c>
      <c r="C1906" s="253">
        <v>0</v>
      </c>
      <c r="D1906" s="252">
        <v>39792</v>
      </c>
      <c r="E1906" s="252" t="s">
        <v>192</v>
      </c>
      <c r="F1906" s="254" t="s">
        <v>4933</v>
      </c>
      <c r="G1906" s="252" t="s">
        <v>2699</v>
      </c>
      <c r="H1906" s="252" t="s">
        <v>5088</v>
      </c>
      <c r="I1906" s="252">
        <v>5</v>
      </c>
      <c r="J1906" s="255">
        <v>1</v>
      </c>
      <c r="K1906" s="255">
        <v>1</v>
      </c>
      <c r="L1906" s="255"/>
      <c r="M1906" s="256">
        <v>8.9999999999999992E-5</v>
      </c>
      <c r="N1906" s="249">
        <v>1905</v>
      </c>
    </row>
    <row r="1907" spans="1:14" x14ac:dyDescent="0.25">
      <c r="A1907" s="252" t="s">
        <v>134</v>
      </c>
      <c r="B1907" s="252" t="s">
        <v>4131</v>
      </c>
      <c r="C1907" s="253">
        <v>0</v>
      </c>
      <c r="D1907" s="252">
        <v>39792</v>
      </c>
      <c r="E1907" s="252" t="s">
        <v>192</v>
      </c>
      <c r="F1907" s="254" t="s">
        <v>4933</v>
      </c>
      <c r="G1907" s="252" t="s">
        <v>5089</v>
      </c>
      <c r="H1907" s="252" t="s">
        <v>5090</v>
      </c>
      <c r="I1907" s="252">
        <v>5</v>
      </c>
      <c r="J1907" s="255">
        <v>1</v>
      </c>
      <c r="K1907" s="255">
        <v>1</v>
      </c>
      <c r="L1907" s="255"/>
      <c r="M1907" s="256">
        <v>6.4499999999999996E-4</v>
      </c>
      <c r="N1907" s="249">
        <v>1906</v>
      </c>
    </row>
    <row r="1908" spans="1:14" x14ac:dyDescent="0.25">
      <c r="A1908" s="252" t="s">
        <v>134</v>
      </c>
      <c r="B1908" s="252" t="s">
        <v>4131</v>
      </c>
      <c r="C1908" s="253">
        <v>0</v>
      </c>
      <c r="D1908" s="252">
        <v>39792</v>
      </c>
      <c r="E1908" s="252" t="s">
        <v>192</v>
      </c>
      <c r="F1908" s="254" t="s">
        <v>4933</v>
      </c>
      <c r="G1908" s="252" t="s">
        <v>5091</v>
      </c>
      <c r="H1908" s="252" t="s">
        <v>5092</v>
      </c>
      <c r="I1908" s="252">
        <v>5</v>
      </c>
      <c r="J1908" s="255">
        <v>1</v>
      </c>
      <c r="K1908" s="255">
        <v>1</v>
      </c>
      <c r="L1908" s="255"/>
      <c r="M1908" s="256">
        <v>6.4499999999999996E-4</v>
      </c>
      <c r="N1908" s="249">
        <v>1907</v>
      </c>
    </row>
    <row r="1909" spans="1:14" x14ac:dyDescent="0.25">
      <c r="A1909" s="252" t="s">
        <v>134</v>
      </c>
      <c r="B1909" s="252" t="s">
        <v>4131</v>
      </c>
      <c r="C1909" s="253">
        <v>0</v>
      </c>
      <c r="D1909" s="252">
        <v>39792</v>
      </c>
      <c r="E1909" s="252" t="s">
        <v>192</v>
      </c>
      <c r="F1909" s="254" t="s">
        <v>4933</v>
      </c>
      <c r="G1909" s="252" t="s">
        <v>5093</v>
      </c>
      <c r="H1909" s="252" t="s">
        <v>5094</v>
      </c>
      <c r="I1909" s="252">
        <v>5</v>
      </c>
      <c r="J1909" s="255">
        <v>1</v>
      </c>
      <c r="K1909" s="255">
        <v>1</v>
      </c>
      <c r="L1909" s="255"/>
      <c r="M1909" s="256">
        <v>8.9999999999999992E-5</v>
      </c>
      <c r="N1909" s="249">
        <v>1908</v>
      </c>
    </row>
    <row r="1910" spans="1:14" x14ac:dyDescent="0.25">
      <c r="A1910" s="252" t="s">
        <v>134</v>
      </c>
      <c r="B1910" s="252" t="s">
        <v>4131</v>
      </c>
      <c r="C1910" s="253">
        <v>0</v>
      </c>
      <c r="D1910" s="252">
        <v>39792</v>
      </c>
      <c r="E1910" s="252" t="s">
        <v>192</v>
      </c>
      <c r="F1910" s="254" t="s">
        <v>4933</v>
      </c>
      <c r="G1910" s="252" t="s">
        <v>5095</v>
      </c>
      <c r="H1910" s="252" t="s">
        <v>5096</v>
      </c>
      <c r="I1910" s="252">
        <v>5</v>
      </c>
      <c r="J1910" s="255">
        <v>1</v>
      </c>
      <c r="K1910" s="255">
        <v>1</v>
      </c>
      <c r="L1910" s="255"/>
      <c r="M1910" s="256">
        <v>1.8059999999999997E-3</v>
      </c>
      <c r="N1910" s="249">
        <v>1909</v>
      </c>
    </row>
    <row r="1911" spans="1:14" x14ac:dyDescent="0.25">
      <c r="A1911" s="252" t="s">
        <v>134</v>
      </c>
      <c r="B1911" s="252" t="s">
        <v>4131</v>
      </c>
      <c r="C1911" s="253">
        <v>0</v>
      </c>
      <c r="D1911" s="252">
        <v>39792</v>
      </c>
      <c r="E1911" s="252" t="s">
        <v>192</v>
      </c>
      <c r="F1911" s="254" t="s">
        <v>4933</v>
      </c>
      <c r="G1911" s="252" t="s">
        <v>5097</v>
      </c>
      <c r="H1911" s="252" t="s">
        <v>5098</v>
      </c>
      <c r="I1911" s="252">
        <v>5</v>
      </c>
      <c r="J1911" s="255">
        <v>1</v>
      </c>
      <c r="K1911" s="255">
        <v>1</v>
      </c>
      <c r="L1911" s="255"/>
      <c r="M1911" s="256">
        <v>8.9999999999999992E-5</v>
      </c>
      <c r="N1911" s="249">
        <v>1910</v>
      </c>
    </row>
    <row r="1912" spans="1:14" x14ac:dyDescent="0.25">
      <c r="A1912" s="252" t="s">
        <v>134</v>
      </c>
      <c r="B1912" s="252" t="s">
        <v>4131</v>
      </c>
      <c r="C1912" s="253">
        <v>0</v>
      </c>
      <c r="D1912" s="252">
        <v>39792</v>
      </c>
      <c r="E1912" s="252" t="s">
        <v>192</v>
      </c>
      <c r="F1912" s="254" t="s">
        <v>4933</v>
      </c>
      <c r="G1912" s="252" t="s">
        <v>5099</v>
      </c>
      <c r="H1912" s="252" t="s">
        <v>5100</v>
      </c>
      <c r="I1912" s="252">
        <v>5</v>
      </c>
      <c r="J1912" s="255">
        <v>1</v>
      </c>
      <c r="K1912" s="255">
        <v>1</v>
      </c>
      <c r="L1912" s="255"/>
      <c r="M1912" s="256">
        <v>1.8059999999999997E-3</v>
      </c>
      <c r="N1912" s="249">
        <v>1911</v>
      </c>
    </row>
    <row r="1913" spans="1:14" x14ac:dyDescent="0.25">
      <c r="A1913" s="252" t="s">
        <v>134</v>
      </c>
      <c r="B1913" s="252" t="s">
        <v>4131</v>
      </c>
      <c r="C1913" s="253">
        <v>0</v>
      </c>
      <c r="D1913" s="252">
        <v>39792</v>
      </c>
      <c r="E1913" s="252" t="s">
        <v>192</v>
      </c>
      <c r="F1913" s="254" t="s">
        <v>4933</v>
      </c>
      <c r="G1913" s="252" t="s">
        <v>5101</v>
      </c>
      <c r="H1913" s="252" t="s">
        <v>5102</v>
      </c>
      <c r="I1913" s="252">
        <v>5</v>
      </c>
      <c r="J1913" s="255">
        <v>1</v>
      </c>
      <c r="K1913" s="255">
        <v>1</v>
      </c>
      <c r="L1913" s="255"/>
      <c r="M1913" s="256">
        <v>1.134E-3</v>
      </c>
      <c r="N1913" s="249">
        <v>1912</v>
      </c>
    </row>
    <row r="1914" spans="1:14" x14ac:dyDescent="0.25">
      <c r="A1914" s="252" t="s">
        <v>134</v>
      </c>
      <c r="B1914" s="252" t="s">
        <v>4131</v>
      </c>
      <c r="C1914" s="253">
        <v>0</v>
      </c>
      <c r="D1914" s="252">
        <v>39792</v>
      </c>
      <c r="E1914" s="252" t="s">
        <v>1591</v>
      </c>
      <c r="F1914" s="254" t="s">
        <v>4933</v>
      </c>
      <c r="G1914" s="252" t="s">
        <v>5103</v>
      </c>
      <c r="H1914" s="252" t="s">
        <v>5104</v>
      </c>
      <c r="I1914" s="252">
        <v>5</v>
      </c>
      <c r="J1914" s="255">
        <v>1</v>
      </c>
      <c r="K1914" s="255">
        <v>1</v>
      </c>
      <c r="L1914" s="255"/>
      <c r="M1914" s="256">
        <v>7.9199999999999995E-4</v>
      </c>
      <c r="N1914" s="249">
        <v>1913</v>
      </c>
    </row>
    <row r="1915" spans="1:14" x14ac:dyDescent="0.25">
      <c r="A1915" s="252" t="s">
        <v>134</v>
      </c>
      <c r="B1915" s="252" t="s">
        <v>4131</v>
      </c>
      <c r="C1915" s="253">
        <v>0</v>
      </c>
      <c r="D1915" s="252">
        <v>39792</v>
      </c>
      <c r="E1915" s="252" t="s">
        <v>190</v>
      </c>
      <c r="F1915" s="254" t="s">
        <v>4933</v>
      </c>
      <c r="G1915" s="252" t="s">
        <v>5105</v>
      </c>
      <c r="H1915" s="252" t="s">
        <v>5106</v>
      </c>
      <c r="I1915" s="252">
        <v>5</v>
      </c>
      <c r="J1915" s="255">
        <v>1</v>
      </c>
      <c r="K1915" s="255">
        <v>1</v>
      </c>
      <c r="L1915" s="255"/>
      <c r="M1915" s="256">
        <v>2.4899999999999998E-4</v>
      </c>
      <c r="N1915" s="249">
        <v>1914</v>
      </c>
    </row>
    <row r="1916" spans="1:14" x14ac:dyDescent="0.25">
      <c r="A1916" s="252" t="s">
        <v>134</v>
      </c>
      <c r="B1916" s="252" t="s">
        <v>4131</v>
      </c>
      <c r="C1916" s="253">
        <v>0</v>
      </c>
      <c r="D1916" s="252">
        <v>39792</v>
      </c>
      <c r="E1916" s="252" t="s">
        <v>190</v>
      </c>
      <c r="F1916" s="254" t="s">
        <v>4933</v>
      </c>
      <c r="G1916" s="252" t="s">
        <v>5107</v>
      </c>
      <c r="H1916" s="252" t="s">
        <v>5108</v>
      </c>
      <c r="I1916" s="252">
        <v>5</v>
      </c>
      <c r="J1916" s="255">
        <v>1</v>
      </c>
      <c r="K1916" s="255">
        <v>1</v>
      </c>
      <c r="L1916" s="255"/>
      <c r="M1916" s="256">
        <v>2.4899999999999998E-4</v>
      </c>
      <c r="N1916" s="249">
        <v>1915</v>
      </c>
    </row>
    <row r="1917" spans="1:14" x14ac:dyDescent="0.25">
      <c r="A1917" s="252" t="s">
        <v>134</v>
      </c>
      <c r="B1917" s="252" t="s">
        <v>4131</v>
      </c>
      <c r="C1917" s="253">
        <v>0</v>
      </c>
      <c r="D1917" s="252">
        <v>39792</v>
      </c>
      <c r="E1917" s="252" t="s">
        <v>1591</v>
      </c>
      <c r="F1917" s="254" t="s">
        <v>4933</v>
      </c>
      <c r="G1917" s="252" t="s">
        <v>5109</v>
      </c>
      <c r="H1917" s="252" t="s">
        <v>5110</v>
      </c>
      <c r="I1917" s="252">
        <v>5</v>
      </c>
      <c r="J1917" s="255">
        <v>1</v>
      </c>
      <c r="K1917" s="255">
        <v>1</v>
      </c>
      <c r="L1917" s="255"/>
      <c r="M1917" s="256">
        <v>1.6200000000000001E-4</v>
      </c>
      <c r="N1917" s="249">
        <v>1916</v>
      </c>
    </row>
    <row r="1918" spans="1:14" x14ac:dyDescent="0.25">
      <c r="A1918" s="252" t="s">
        <v>134</v>
      </c>
      <c r="B1918" s="252" t="s">
        <v>4131</v>
      </c>
      <c r="C1918" s="253">
        <v>0</v>
      </c>
      <c r="D1918" s="252">
        <v>39792</v>
      </c>
      <c r="E1918" s="252" t="s">
        <v>1591</v>
      </c>
      <c r="F1918" s="254" t="s">
        <v>4933</v>
      </c>
      <c r="G1918" s="252" t="s">
        <v>5111</v>
      </c>
      <c r="H1918" s="252" t="s">
        <v>5112</v>
      </c>
      <c r="I1918" s="252">
        <v>5</v>
      </c>
      <c r="J1918" s="255">
        <v>1</v>
      </c>
      <c r="K1918" s="255">
        <v>1</v>
      </c>
      <c r="L1918" s="255"/>
      <c r="M1918" s="256">
        <v>1.6200000000000001E-4</v>
      </c>
      <c r="N1918" s="249">
        <v>1917</v>
      </c>
    </row>
    <row r="1919" spans="1:14" x14ac:dyDescent="0.25">
      <c r="A1919" s="252" t="s">
        <v>134</v>
      </c>
      <c r="B1919" s="252" t="s">
        <v>4131</v>
      </c>
      <c r="C1919" s="253">
        <v>0</v>
      </c>
      <c r="D1919" s="252">
        <v>39792</v>
      </c>
      <c r="E1919" s="252" t="s">
        <v>1591</v>
      </c>
      <c r="F1919" s="254" t="s">
        <v>4933</v>
      </c>
      <c r="G1919" s="252" t="s">
        <v>5113</v>
      </c>
      <c r="H1919" s="252" t="s">
        <v>5114</v>
      </c>
      <c r="I1919" s="252">
        <v>5</v>
      </c>
      <c r="J1919" s="255">
        <v>1</v>
      </c>
      <c r="K1919" s="255">
        <v>1</v>
      </c>
      <c r="L1919" s="255"/>
      <c r="M1919" s="256">
        <v>7.9199999999999995E-4</v>
      </c>
      <c r="N1919" s="249">
        <v>1918</v>
      </c>
    </row>
    <row r="1920" spans="1:14" x14ac:dyDescent="0.25">
      <c r="A1920" s="252" t="s">
        <v>134</v>
      </c>
      <c r="B1920" s="252" t="s">
        <v>4131</v>
      </c>
      <c r="C1920" s="253">
        <v>0</v>
      </c>
      <c r="D1920" s="252">
        <v>39792</v>
      </c>
      <c r="E1920" s="252" t="s">
        <v>190</v>
      </c>
      <c r="F1920" s="254" t="s">
        <v>4933</v>
      </c>
      <c r="G1920" s="252" t="s">
        <v>5115</v>
      </c>
      <c r="H1920" s="252" t="s">
        <v>5116</v>
      </c>
      <c r="I1920" s="252">
        <v>5</v>
      </c>
      <c r="J1920" s="255">
        <v>1</v>
      </c>
      <c r="K1920" s="255">
        <v>1</v>
      </c>
      <c r="L1920" s="255"/>
      <c r="M1920" s="256">
        <v>2.4899999999999998E-4</v>
      </c>
      <c r="N1920" s="249">
        <v>1919</v>
      </c>
    </row>
    <row r="1921" spans="1:14" x14ac:dyDescent="0.25">
      <c r="A1921" s="252" t="s">
        <v>134</v>
      </c>
      <c r="B1921" s="252" t="s">
        <v>4131</v>
      </c>
      <c r="C1921" s="253">
        <v>0</v>
      </c>
      <c r="D1921" s="252">
        <v>39792</v>
      </c>
      <c r="E1921" s="252" t="s">
        <v>190</v>
      </c>
      <c r="F1921" s="254" t="s">
        <v>4933</v>
      </c>
      <c r="G1921" s="252" t="s">
        <v>5117</v>
      </c>
      <c r="H1921" s="252" t="s">
        <v>5118</v>
      </c>
      <c r="I1921" s="252">
        <v>5</v>
      </c>
      <c r="J1921" s="255">
        <v>1</v>
      </c>
      <c r="K1921" s="255">
        <v>1</v>
      </c>
      <c r="L1921" s="255"/>
      <c r="M1921" s="256">
        <v>2.4899999999999998E-4</v>
      </c>
      <c r="N1921" s="249">
        <v>1920</v>
      </c>
    </row>
    <row r="1922" spans="1:14" x14ac:dyDescent="0.25">
      <c r="A1922" s="252" t="s">
        <v>134</v>
      </c>
      <c r="B1922" s="252" t="s">
        <v>4131</v>
      </c>
      <c r="C1922" s="253">
        <v>0</v>
      </c>
      <c r="D1922" s="252">
        <v>39792</v>
      </c>
      <c r="E1922" s="252" t="s">
        <v>1591</v>
      </c>
      <c r="F1922" s="254" t="s">
        <v>4933</v>
      </c>
      <c r="G1922" s="252" t="s">
        <v>5119</v>
      </c>
      <c r="H1922" s="252" t="s">
        <v>5120</v>
      </c>
      <c r="I1922" s="252">
        <v>5</v>
      </c>
      <c r="J1922" s="255">
        <v>1</v>
      </c>
      <c r="K1922" s="255">
        <v>1</v>
      </c>
      <c r="L1922" s="255"/>
      <c r="M1922" s="256">
        <v>7.9199999999999995E-4</v>
      </c>
      <c r="N1922" s="249">
        <v>1921</v>
      </c>
    </row>
    <row r="1923" spans="1:14" x14ac:dyDescent="0.25">
      <c r="A1923" s="252" t="s">
        <v>134</v>
      </c>
      <c r="B1923" s="252" t="s">
        <v>4131</v>
      </c>
      <c r="C1923" s="253">
        <v>0</v>
      </c>
      <c r="D1923" s="252">
        <v>39792</v>
      </c>
      <c r="E1923" s="252" t="s">
        <v>190</v>
      </c>
      <c r="F1923" s="254" t="s">
        <v>4933</v>
      </c>
      <c r="G1923" s="252" t="s">
        <v>5121</v>
      </c>
      <c r="H1923" s="252" t="s">
        <v>5122</v>
      </c>
      <c r="I1923" s="252">
        <v>5</v>
      </c>
      <c r="J1923" s="255">
        <v>1</v>
      </c>
      <c r="K1923" s="255">
        <v>1</v>
      </c>
      <c r="L1923" s="255"/>
      <c r="M1923" s="256">
        <v>2.4899999999999998E-4</v>
      </c>
      <c r="N1923" s="249">
        <v>1922</v>
      </c>
    </row>
    <row r="1924" spans="1:14" x14ac:dyDescent="0.25">
      <c r="A1924" s="252" t="s">
        <v>134</v>
      </c>
      <c r="B1924" s="252" t="s">
        <v>4131</v>
      </c>
      <c r="C1924" s="253">
        <v>0</v>
      </c>
      <c r="D1924" s="252">
        <v>39792</v>
      </c>
      <c r="E1924" s="252" t="s">
        <v>190</v>
      </c>
      <c r="F1924" s="254" t="s">
        <v>4933</v>
      </c>
      <c r="G1924" s="252" t="s">
        <v>5123</v>
      </c>
      <c r="H1924" s="252" t="s">
        <v>5124</v>
      </c>
      <c r="I1924" s="252">
        <v>5</v>
      </c>
      <c r="J1924" s="255">
        <v>1</v>
      </c>
      <c r="K1924" s="255">
        <v>1</v>
      </c>
      <c r="L1924" s="255"/>
      <c r="M1924" s="256">
        <v>2.4899999999999998E-4</v>
      </c>
      <c r="N1924" s="249">
        <v>1923</v>
      </c>
    </row>
    <row r="1925" spans="1:14" x14ac:dyDescent="0.25">
      <c r="A1925" s="252" t="s">
        <v>134</v>
      </c>
      <c r="B1925" s="252" t="s">
        <v>4131</v>
      </c>
      <c r="C1925" s="253">
        <v>0</v>
      </c>
      <c r="D1925" s="252">
        <v>39792</v>
      </c>
      <c r="E1925" s="252" t="s">
        <v>1591</v>
      </c>
      <c r="F1925" s="254" t="s">
        <v>4933</v>
      </c>
      <c r="G1925" s="252" t="s">
        <v>5125</v>
      </c>
      <c r="H1925" s="252" t="s">
        <v>5126</v>
      </c>
      <c r="I1925" s="252">
        <v>5</v>
      </c>
      <c r="J1925" s="255">
        <v>1</v>
      </c>
      <c r="K1925" s="255">
        <v>1</v>
      </c>
      <c r="L1925" s="255"/>
      <c r="M1925" s="256">
        <v>7.9199999999999995E-4</v>
      </c>
      <c r="N1925" s="249">
        <v>1924</v>
      </c>
    </row>
    <row r="1926" spans="1:14" x14ac:dyDescent="0.25">
      <c r="A1926" s="252" t="s">
        <v>134</v>
      </c>
      <c r="B1926" s="252" t="s">
        <v>4131</v>
      </c>
      <c r="C1926" s="253">
        <v>0</v>
      </c>
      <c r="D1926" s="252">
        <v>39792</v>
      </c>
      <c r="E1926" s="252" t="s">
        <v>190</v>
      </c>
      <c r="F1926" s="254" t="s">
        <v>4933</v>
      </c>
      <c r="G1926" s="252" t="s">
        <v>5127</v>
      </c>
      <c r="H1926" s="252" t="s">
        <v>5128</v>
      </c>
      <c r="I1926" s="252">
        <v>5</v>
      </c>
      <c r="J1926" s="255">
        <v>1</v>
      </c>
      <c r="K1926" s="255">
        <v>1</v>
      </c>
      <c r="L1926" s="255"/>
      <c r="M1926" s="256">
        <v>2.4899999999999998E-4</v>
      </c>
      <c r="N1926" s="249">
        <v>1925</v>
      </c>
    </row>
    <row r="1927" spans="1:14" x14ac:dyDescent="0.25">
      <c r="A1927" s="252" t="s">
        <v>134</v>
      </c>
      <c r="B1927" s="252" t="s">
        <v>4131</v>
      </c>
      <c r="C1927" s="253">
        <v>0</v>
      </c>
      <c r="D1927" s="252">
        <v>39792</v>
      </c>
      <c r="E1927" s="252" t="s">
        <v>190</v>
      </c>
      <c r="F1927" s="254" t="s">
        <v>4933</v>
      </c>
      <c r="G1927" s="252" t="s">
        <v>5129</v>
      </c>
      <c r="H1927" s="252" t="s">
        <v>5130</v>
      </c>
      <c r="I1927" s="252">
        <v>5</v>
      </c>
      <c r="J1927" s="255">
        <v>1</v>
      </c>
      <c r="K1927" s="255">
        <v>1</v>
      </c>
      <c r="L1927" s="255"/>
      <c r="M1927" s="256">
        <v>2.4899999999999998E-4</v>
      </c>
      <c r="N1927" s="249">
        <v>1926</v>
      </c>
    </row>
    <row r="1928" spans="1:14" x14ac:dyDescent="0.25">
      <c r="A1928" s="252" t="s">
        <v>134</v>
      </c>
      <c r="B1928" s="252" t="s">
        <v>4131</v>
      </c>
      <c r="C1928" s="253">
        <v>0</v>
      </c>
      <c r="D1928" s="252">
        <v>39792</v>
      </c>
      <c r="E1928" s="252" t="s">
        <v>1591</v>
      </c>
      <c r="F1928" s="254" t="s">
        <v>4933</v>
      </c>
      <c r="G1928" s="252" t="s">
        <v>5131</v>
      </c>
      <c r="H1928" s="252" t="s">
        <v>5132</v>
      </c>
      <c r="I1928" s="252">
        <v>5</v>
      </c>
      <c r="J1928" s="255">
        <v>1</v>
      </c>
      <c r="K1928" s="255">
        <v>1</v>
      </c>
      <c r="L1928" s="255"/>
      <c r="M1928" s="256">
        <v>7.9199999999999995E-4</v>
      </c>
      <c r="N1928" s="249">
        <v>1927</v>
      </c>
    </row>
    <row r="1929" spans="1:14" x14ac:dyDescent="0.25">
      <c r="A1929" s="252" t="s">
        <v>134</v>
      </c>
      <c r="B1929" s="252" t="s">
        <v>4131</v>
      </c>
      <c r="C1929" s="253">
        <v>0</v>
      </c>
      <c r="D1929" s="252">
        <v>39792</v>
      </c>
      <c r="E1929" s="252" t="s">
        <v>190</v>
      </c>
      <c r="F1929" s="254" t="s">
        <v>4933</v>
      </c>
      <c r="G1929" s="252" t="s">
        <v>5133</v>
      </c>
      <c r="H1929" s="252" t="s">
        <v>5134</v>
      </c>
      <c r="I1929" s="252">
        <v>5</v>
      </c>
      <c r="J1929" s="255">
        <v>1</v>
      </c>
      <c r="K1929" s="255">
        <v>1</v>
      </c>
      <c r="L1929" s="255"/>
      <c r="M1929" s="256">
        <v>2.4899999999999998E-4</v>
      </c>
      <c r="N1929" s="249">
        <v>1928</v>
      </c>
    </row>
    <row r="1930" spans="1:14" x14ac:dyDescent="0.25">
      <c r="A1930" s="252" t="s">
        <v>134</v>
      </c>
      <c r="B1930" s="252" t="s">
        <v>4131</v>
      </c>
      <c r="C1930" s="253">
        <v>0</v>
      </c>
      <c r="D1930" s="252">
        <v>39792</v>
      </c>
      <c r="E1930" s="252" t="s">
        <v>190</v>
      </c>
      <c r="F1930" s="254" t="s">
        <v>4933</v>
      </c>
      <c r="G1930" s="252" t="s">
        <v>5135</v>
      </c>
      <c r="H1930" s="252" t="s">
        <v>5136</v>
      </c>
      <c r="I1930" s="252">
        <v>5</v>
      </c>
      <c r="J1930" s="255">
        <v>1</v>
      </c>
      <c r="K1930" s="255">
        <v>1</v>
      </c>
      <c r="L1930" s="255"/>
      <c r="M1930" s="256">
        <v>2.4899999999999998E-4</v>
      </c>
      <c r="N1930" s="249">
        <v>1929</v>
      </c>
    </row>
    <row r="1931" spans="1:14" x14ac:dyDescent="0.25">
      <c r="A1931" s="252" t="s">
        <v>134</v>
      </c>
      <c r="B1931" s="252" t="s">
        <v>4131</v>
      </c>
      <c r="C1931" s="253">
        <v>0</v>
      </c>
      <c r="D1931" s="252">
        <v>39792</v>
      </c>
      <c r="E1931" s="252" t="s">
        <v>190</v>
      </c>
      <c r="F1931" s="254" t="s">
        <v>4933</v>
      </c>
      <c r="G1931" s="252" t="s">
        <v>5137</v>
      </c>
      <c r="H1931" s="252" t="s">
        <v>5138</v>
      </c>
      <c r="I1931" s="252">
        <v>5</v>
      </c>
      <c r="J1931" s="255">
        <v>1</v>
      </c>
      <c r="K1931" s="255">
        <v>1</v>
      </c>
      <c r="L1931" s="255"/>
      <c r="M1931" s="256">
        <v>1.5600000000000002E-4</v>
      </c>
      <c r="N1931" s="249">
        <v>1930</v>
      </c>
    </row>
    <row r="1932" spans="1:14" x14ac:dyDescent="0.25">
      <c r="A1932" s="252" t="s">
        <v>134</v>
      </c>
      <c r="B1932" s="252" t="s">
        <v>4131</v>
      </c>
      <c r="C1932" s="253">
        <v>0</v>
      </c>
      <c r="D1932" s="252">
        <v>39792</v>
      </c>
      <c r="E1932" s="252" t="s">
        <v>190</v>
      </c>
      <c r="F1932" s="254" t="s">
        <v>4933</v>
      </c>
      <c r="G1932" s="252" t="s">
        <v>5139</v>
      </c>
      <c r="H1932" s="252" t="s">
        <v>5140</v>
      </c>
      <c r="I1932" s="252">
        <v>5</v>
      </c>
      <c r="J1932" s="255">
        <v>1</v>
      </c>
      <c r="K1932" s="255">
        <v>1</v>
      </c>
      <c r="L1932" s="255"/>
      <c r="M1932" s="256">
        <v>1.5600000000000002E-4</v>
      </c>
      <c r="N1932" s="249">
        <v>1931</v>
      </c>
    </row>
    <row r="1933" spans="1:14" x14ac:dyDescent="0.25">
      <c r="A1933" s="252" t="s">
        <v>134</v>
      </c>
      <c r="B1933" s="252" t="s">
        <v>4131</v>
      </c>
      <c r="C1933" s="253">
        <v>0</v>
      </c>
      <c r="D1933" s="252">
        <v>39792</v>
      </c>
      <c r="E1933" s="252" t="s">
        <v>1591</v>
      </c>
      <c r="F1933" s="254" t="s">
        <v>4933</v>
      </c>
      <c r="G1933" s="252" t="s">
        <v>5141</v>
      </c>
      <c r="H1933" s="252" t="s">
        <v>5142</v>
      </c>
      <c r="I1933" s="252">
        <v>5</v>
      </c>
      <c r="J1933" s="255">
        <v>1</v>
      </c>
      <c r="K1933" s="255">
        <v>1</v>
      </c>
      <c r="L1933" s="255"/>
      <c r="M1933" s="256">
        <v>7.9199999999999995E-4</v>
      </c>
      <c r="N1933" s="249">
        <v>1932</v>
      </c>
    </row>
    <row r="1934" spans="1:14" x14ac:dyDescent="0.25">
      <c r="A1934" s="252" t="s">
        <v>134</v>
      </c>
      <c r="B1934" s="252" t="s">
        <v>4131</v>
      </c>
      <c r="C1934" s="253">
        <v>0</v>
      </c>
      <c r="D1934" s="252">
        <v>39792</v>
      </c>
      <c r="E1934" s="252" t="s">
        <v>190</v>
      </c>
      <c r="F1934" s="254" t="s">
        <v>4933</v>
      </c>
      <c r="G1934" s="252" t="s">
        <v>5143</v>
      </c>
      <c r="H1934" s="252" t="s">
        <v>5144</v>
      </c>
      <c r="I1934" s="252">
        <v>5</v>
      </c>
      <c r="J1934" s="255">
        <v>1</v>
      </c>
      <c r="K1934" s="255">
        <v>1</v>
      </c>
      <c r="L1934" s="255"/>
      <c r="M1934" s="256">
        <v>2.4899999999999998E-4</v>
      </c>
      <c r="N1934" s="249">
        <v>1933</v>
      </c>
    </row>
    <row r="1935" spans="1:14" x14ac:dyDescent="0.25">
      <c r="A1935" s="252" t="s">
        <v>134</v>
      </c>
      <c r="B1935" s="252" t="s">
        <v>4131</v>
      </c>
      <c r="C1935" s="253">
        <v>0</v>
      </c>
      <c r="D1935" s="252">
        <v>39792</v>
      </c>
      <c r="E1935" s="252" t="s">
        <v>190</v>
      </c>
      <c r="F1935" s="254" t="s">
        <v>4933</v>
      </c>
      <c r="G1935" s="252" t="s">
        <v>5145</v>
      </c>
      <c r="H1935" s="252" t="s">
        <v>5146</v>
      </c>
      <c r="I1935" s="252">
        <v>5</v>
      </c>
      <c r="J1935" s="255">
        <v>1</v>
      </c>
      <c r="K1935" s="255">
        <v>1</v>
      </c>
      <c r="L1935" s="255"/>
      <c r="M1935" s="256">
        <v>2.4899999999999998E-4</v>
      </c>
      <c r="N1935" s="249">
        <v>1934</v>
      </c>
    </row>
    <row r="1936" spans="1:14" x14ac:dyDescent="0.25">
      <c r="A1936" s="252" t="s">
        <v>134</v>
      </c>
      <c r="B1936" s="252" t="s">
        <v>4131</v>
      </c>
      <c r="C1936" s="253">
        <v>0</v>
      </c>
      <c r="D1936" s="252">
        <v>39792</v>
      </c>
      <c r="E1936" s="252" t="s">
        <v>1591</v>
      </c>
      <c r="F1936" s="254" t="s">
        <v>4933</v>
      </c>
      <c r="G1936" s="252" t="s">
        <v>5147</v>
      </c>
      <c r="H1936" s="252" t="s">
        <v>5148</v>
      </c>
      <c r="I1936" s="252">
        <v>5</v>
      </c>
      <c r="J1936" s="255">
        <v>1</v>
      </c>
      <c r="K1936" s="255">
        <v>1</v>
      </c>
      <c r="L1936" s="255"/>
      <c r="M1936" s="256">
        <v>7.9199999999999995E-4</v>
      </c>
      <c r="N1936" s="249">
        <v>1935</v>
      </c>
    </row>
    <row r="1937" spans="1:14" x14ac:dyDescent="0.25">
      <c r="A1937" s="252" t="s">
        <v>134</v>
      </c>
      <c r="B1937" s="252" t="s">
        <v>4131</v>
      </c>
      <c r="C1937" s="253">
        <v>0</v>
      </c>
      <c r="D1937" s="252">
        <v>39792</v>
      </c>
      <c r="E1937" s="252" t="s">
        <v>190</v>
      </c>
      <c r="F1937" s="254" t="s">
        <v>4933</v>
      </c>
      <c r="G1937" s="252" t="s">
        <v>5149</v>
      </c>
      <c r="H1937" s="252" t="s">
        <v>5150</v>
      </c>
      <c r="I1937" s="252">
        <v>5</v>
      </c>
      <c r="J1937" s="255">
        <v>1</v>
      </c>
      <c r="K1937" s="255">
        <v>1</v>
      </c>
      <c r="L1937" s="255"/>
      <c r="M1937" s="256">
        <v>2.4899999999999998E-4</v>
      </c>
      <c r="N1937" s="249">
        <v>1936</v>
      </c>
    </row>
    <row r="1938" spans="1:14" x14ac:dyDescent="0.25">
      <c r="A1938" s="252" t="s">
        <v>134</v>
      </c>
      <c r="B1938" s="252" t="s">
        <v>4131</v>
      </c>
      <c r="C1938" s="253">
        <v>0</v>
      </c>
      <c r="D1938" s="252">
        <v>39792</v>
      </c>
      <c r="E1938" s="252" t="s">
        <v>190</v>
      </c>
      <c r="F1938" s="254" t="s">
        <v>4933</v>
      </c>
      <c r="G1938" s="252" t="s">
        <v>5151</v>
      </c>
      <c r="H1938" s="252" t="s">
        <v>5152</v>
      </c>
      <c r="I1938" s="252">
        <v>5</v>
      </c>
      <c r="J1938" s="255">
        <v>1</v>
      </c>
      <c r="K1938" s="255">
        <v>1</v>
      </c>
      <c r="L1938" s="255"/>
      <c r="M1938" s="256">
        <v>2.4899999999999998E-4</v>
      </c>
      <c r="N1938" s="249">
        <v>1937</v>
      </c>
    </row>
    <row r="1939" spans="1:14" x14ac:dyDescent="0.25">
      <c r="A1939" s="252" t="s">
        <v>134</v>
      </c>
      <c r="B1939" s="252" t="s">
        <v>4131</v>
      </c>
      <c r="C1939" s="253">
        <v>0</v>
      </c>
      <c r="D1939" s="252">
        <v>39792</v>
      </c>
      <c r="E1939" s="252" t="s">
        <v>1591</v>
      </c>
      <c r="F1939" s="254" t="s">
        <v>4933</v>
      </c>
      <c r="G1939" s="252" t="s">
        <v>5153</v>
      </c>
      <c r="H1939" s="252" t="s">
        <v>5154</v>
      </c>
      <c r="I1939" s="252">
        <v>5</v>
      </c>
      <c r="J1939" s="255">
        <v>1</v>
      </c>
      <c r="K1939" s="255">
        <v>1</v>
      </c>
      <c r="L1939" s="255"/>
      <c r="M1939" s="256">
        <v>7.9199999999999995E-4</v>
      </c>
      <c r="N1939" s="249">
        <v>1938</v>
      </c>
    </row>
    <row r="1940" spans="1:14" x14ac:dyDescent="0.25">
      <c r="A1940" s="252" t="s">
        <v>134</v>
      </c>
      <c r="B1940" s="252" t="s">
        <v>4131</v>
      </c>
      <c r="C1940" s="253">
        <v>0</v>
      </c>
      <c r="D1940" s="252">
        <v>39792</v>
      </c>
      <c r="E1940" s="252" t="s">
        <v>190</v>
      </c>
      <c r="F1940" s="254" t="s">
        <v>4933</v>
      </c>
      <c r="G1940" s="252" t="s">
        <v>5155</v>
      </c>
      <c r="H1940" s="252" t="s">
        <v>5156</v>
      </c>
      <c r="I1940" s="252">
        <v>5</v>
      </c>
      <c r="J1940" s="255">
        <v>1</v>
      </c>
      <c r="K1940" s="255">
        <v>1</v>
      </c>
      <c r="L1940" s="255"/>
      <c r="M1940" s="256">
        <v>2.4899999999999998E-4</v>
      </c>
      <c r="N1940" s="249">
        <v>1939</v>
      </c>
    </row>
    <row r="1941" spans="1:14" x14ac:dyDescent="0.25">
      <c r="A1941" s="252" t="s">
        <v>134</v>
      </c>
      <c r="B1941" s="252" t="s">
        <v>4131</v>
      </c>
      <c r="C1941" s="253">
        <v>0</v>
      </c>
      <c r="D1941" s="252">
        <v>39792</v>
      </c>
      <c r="E1941" s="252" t="s">
        <v>190</v>
      </c>
      <c r="F1941" s="254" t="s">
        <v>4933</v>
      </c>
      <c r="G1941" s="252" t="s">
        <v>5157</v>
      </c>
      <c r="H1941" s="252" t="s">
        <v>5158</v>
      </c>
      <c r="I1941" s="252">
        <v>5</v>
      </c>
      <c r="J1941" s="255">
        <v>1</v>
      </c>
      <c r="K1941" s="255">
        <v>1</v>
      </c>
      <c r="L1941" s="255"/>
      <c r="M1941" s="256">
        <v>2.4899999999999998E-4</v>
      </c>
      <c r="N1941" s="249">
        <v>1940</v>
      </c>
    </row>
    <row r="1942" spans="1:14" x14ac:dyDescent="0.25">
      <c r="A1942" s="252" t="s">
        <v>134</v>
      </c>
      <c r="B1942" s="252" t="s">
        <v>4131</v>
      </c>
      <c r="C1942" s="253">
        <v>0</v>
      </c>
      <c r="D1942" s="252">
        <v>39792</v>
      </c>
      <c r="E1942" s="252" t="s">
        <v>1591</v>
      </c>
      <c r="F1942" s="254" t="s">
        <v>4933</v>
      </c>
      <c r="G1942" s="252" t="s">
        <v>5159</v>
      </c>
      <c r="H1942" s="252" t="s">
        <v>5160</v>
      </c>
      <c r="I1942" s="252">
        <v>5</v>
      </c>
      <c r="J1942" s="255">
        <v>1</v>
      </c>
      <c r="K1942" s="255">
        <v>1</v>
      </c>
      <c r="L1942" s="255"/>
      <c r="M1942" s="256">
        <v>7.9199999999999995E-4</v>
      </c>
      <c r="N1942" s="249">
        <v>1941</v>
      </c>
    </row>
    <row r="1943" spans="1:14" x14ac:dyDescent="0.25">
      <c r="A1943" s="252" t="s">
        <v>134</v>
      </c>
      <c r="B1943" s="252" t="s">
        <v>4131</v>
      </c>
      <c r="C1943" s="253">
        <v>0</v>
      </c>
      <c r="D1943" s="252">
        <v>39792</v>
      </c>
      <c r="E1943" s="252" t="s">
        <v>190</v>
      </c>
      <c r="F1943" s="254" t="s">
        <v>4933</v>
      </c>
      <c r="G1943" s="252" t="s">
        <v>5161</v>
      </c>
      <c r="H1943" s="252" t="s">
        <v>5162</v>
      </c>
      <c r="I1943" s="252">
        <v>5</v>
      </c>
      <c r="J1943" s="255">
        <v>1</v>
      </c>
      <c r="K1943" s="255">
        <v>1</v>
      </c>
      <c r="L1943" s="255"/>
      <c r="M1943" s="256">
        <v>1.5899999999999999E-4</v>
      </c>
      <c r="N1943" s="249">
        <v>1942</v>
      </c>
    </row>
    <row r="1944" spans="1:14" x14ac:dyDescent="0.25">
      <c r="A1944" s="252" t="s">
        <v>134</v>
      </c>
      <c r="B1944" s="252" t="s">
        <v>4131</v>
      </c>
      <c r="C1944" s="253">
        <v>0</v>
      </c>
      <c r="D1944" s="252">
        <v>39792</v>
      </c>
      <c r="E1944" s="252" t="s">
        <v>190</v>
      </c>
      <c r="F1944" s="254" t="s">
        <v>4933</v>
      </c>
      <c r="G1944" s="252" t="s">
        <v>5163</v>
      </c>
      <c r="H1944" s="252" t="s">
        <v>5164</v>
      </c>
      <c r="I1944" s="252">
        <v>5</v>
      </c>
      <c r="J1944" s="255">
        <v>1</v>
      </c>
      <c r="K1944" s="255">
        <v>1</v>
      </c>
      <c r="L1944" s="255"/>
      <c r="M1944" s="256">
        <v>1.5899999999999999E-4</v>
      </c>
      <c r="N1944" s="249">
        <v>1943</v>
      </c>
    </row>
    <row r="1945" spans="1:14" x14ac:dyDescent="0.25">
      <c r="A1945" s="252" t="s">
        <v>134</v>
      </c>
      <c r="B1945" s="252" t="s">
        <v>4131</v>
      </c>
      <c r="C1945" s="253">
        <v>0</v>
      </c>
      <c r="D1945" s="252">
        <v>39792</v>
      </c>
      <c r="E1945" s="252" t="s">
        <v>1591</v>
      </c>
      <c r="F1945" s="254" t="s">
        <v>4933</v>
      </c>
      <c r="G1945" s="252" t="s">
        <v>5165</v>
      </c>
      <c r="H1945" s="252" t="s">
        <v>5166</v>
      </c>
      <c r="I1945" s="252">
        <v>5</v>
      </c>
      <c r="J1945" s="255">
        <v>1</v>
      </c>
      <c r="K1945" s="255">
        <v>1</v>
      </c>
      <c r="L1945" s="255"/>
      <c r="M1945" s="256">
        <v>7.9199999999999995E-4</v>
      </c>
      <c r="N1945" s="249">
        <v>1944</v>
      </c>
    </row>
    <row r="1946" spans="1:14" x14ac:dyDescent="0.25">
      <c r="A1946" s="252" t="s">
        <v>134</v>
      </c>
      <c r="B1946" s="252" t="s">
        <v>4131</v>
      </c>
      <c r="C1946" s="253">
        <v>0</v>
      </c>
      <c r="D1946" s="252">
        <v>39792</v>
      </c>
      <c r="E1946" s="252" t="s">
        <v>190</v>
      </c>
      <c r="F1946" s="254" t="s">
        <v>4933</v>
      </c>
      <c r="G1946" s="252" t="s">
        <v>5167</v>
      </c>
      <c r="H1946" s="252" t="s">
        <v>5168</v>
      </c>
      <c r="I1946" s="252">
        <v>5</v>
      </c>
      <c r="J1946" s="255">
        <v>1</v>
      </c>
      <c r="K1946" s="255">
        <v>1</v>
      </c>
      <c r="L1946" s="255"/>
      <c r="M1946" s="256">
        <v>2.4899999999999998E-4</v>
      </c>
      <c r="N1946" s="249">
        <v>1945</v>
      </c>
    </row>
    <row r="1947" spans="1:14" x14ac:dyDescent="0.25">
      <c r="A1947" s="252" t="s">
        <v>134</v>
      </c>
      <c r="B1947" s="252" t="s">
        <v>4131</v>
      </c>
      <c r="C1947" s="253">
        <v>0</v>
      </c>
      <c r="D1947" s="252">
        <v>39792</v>
      </c>
      <c r="E1947" s="252" t="s">
        <v>190</v>
      </c>
      <c r="F1947" s="254" t="s">
        <v>4933</v>
      </c>
      <c r="G1947" s="252" t="s">
        <v>5169</v>
      </c>
      <c r="H1947" s="252" t="s">
        <v>5170</v>
      </c>
      <c r="I1947" s="252">
        <v>5</v>
      </c>
      <c r="J1947" s="255">
        <v>1</v>
      </c>
      <c r="K1947" s="255">
        <v>1</v>
      </c>
      <c r="L1947" s="255"/>
      <c r="M1947" s="256">
        <v>2.4899999999999998E-4</v>
      </c>
      <c r="N1947" s="249">
        <v>1946</v>
      </c>
    </row>
    <row r="1948" spans="1:14" x14ac:dyDescent="0.25">
      <c r="A1948" s="252" t="s">
        <v>134</v>
      </c>
      <c r="B1948" s="252" t="s">
        <v>4131</v>
      </c>
      <c r="C1948" s="253">
        <v>0</v>
      </c>
      <c r="D1948" s="252">
        <v>39792</v>
      </c>
      <c r="E1948" s="252" t="s">
        <v>1591</v>
      </c>
      <c r="F1948" s="254" t="s">
        <v>4933</v>
      </c>
      <c r="G1948" s="252" t="s">
        <v>5171</v>
      </c>
      <c r="H1948" s="252" t="s">
        <v>5172</v>
      </c>
      <c r="I1948" s="252">
        <v>5</v>
      </c>
      <c r="J1948" s="255">
        <v>1</v>
      </c>
      <c r="K1948" s="255">
        <v>1</v>
      </c>
      <c r="L1948" s="255"/>
      <c r="M1948" s="256">
        <v>7.9199999999999995E-4</v>
      </c>
      <c r="N1948" s="249">
        <v>1947</v>
      </c>
    </row>
    <row r="1949" spans="1:14" x14ac:dyDescent="0.25">
      <c r="A1949" s="252" t="s">
        <v>134</v>
      </c>
      <c r="B1949" s="252" t="s">
        <v>4131</v>
      </c>
      <c r="C1949" s="253">
        <v>0</v>
      </c>
      <c r="D1949" s="252">
        <v>39792</v>
      </c>
      <c r="E1949" s="252" t="s">
        <v>190</v>
      </c>
      <c r="F1949" s="254" t="s">
        <v>4933</v>
      </c>
      <c r="G1949" s="252" t="s">
        <v>5173</v>
      </c>
      <c r="H1949" s="252" t="s">
        <v>5174</v>
      </c>
      <c r="I1949" s="252">
        <v>5</v>
      </c>
      <c r="J1949" s="255">
        <v>1</v>
      </c>
      <c r="K1949" s="255">
        <v>1</v>
      </c>
      <c r="L1949" s="255"/>
      <c r="M1949" s="256">
        <v>2.4899999999999998E-4</v>
      </c>
      <c r="N1949" s="249">
        <v>1948</v>
      </c>
    </row>
    <row r="1950" spans="1:14" x14ac:dyDescent="0.25">
      <c r="A1950" s="252" t="s">
        <v>134</v>
      </c>
      <c r="B1950" s="252" t="s">
        <v>4131</v>
      </c>
      <c r="C1950" s="253">
        <v>0</v>
      </c>
      <c r="D1950" s="252">
        <v>39792</v>
      </c>
      <c r="E1950" s="252" t="s">
        <v>190</v>
      </c>
      <c r="F1950" s="254" t="s">
        <v>4933</v>
      </c>
      <c r="G1950" s="252" t="s">
        <v>5175</v>
      </c>
      <c r="H1950" s="252" t="s">
        <v>5176</v>
      </c>
      <c r="I1950" s="252">
        <v>5</v>
      </c>
      <c r="J1950" s="255">
        <v>1</v>
      </c>
      <c r="K1950" s="255">
        <v>1</v>
      </c>
      <c r="L1950" s="255"/>
      <c r="M1950" s="256">
        <v>2.4899999999999998E-4</v>
      </c>
      <c r="N1950" s="249">
        <v>1949</v>
      </c>
    </row>
    <row r="1951" spans="1:14" x14ac:dyDescent="0.25">
      <c r="A1951" s="252" t="s">
        <v>134</v>
      </c>
      <c r="B1951" s="252" t="s">
        <v>4131</v>
      </c>
      <c r="C1951" s="253">
        <v>0</v>
      </c>
      <c r="D1951" s="252">
        <v>39792</v>
      </c>
      <c r="E1951" s="252" t="s">
        <v>1591</v>
      </c>
      <c r="F1951" s="254" t="s">
        <v>4933</v>
      </c>
      <c r="G1951" s="252" t="s">
        <v>5177</v>
      </c>
      <c r="H1951" s="252" t="s">
        <v>5178</v>
      </c>
      <c r="I1951" s="252">
        <v>5</v>
      </c>
      <c r="J1951" s="255">
        <v>1</v>
      </c>
      <c r="K1951" s="255">
        <v>1</v>
      </c>
      <c r="L1951" s="255"/>
      <c r="M1951" s="256">
        <v>7.9199999999999995E-4</v>
      </c>
      <c r="N1951" s="249">
        <v>1950</v>
      </c>
    </row>
    <row r="1952" spans="1:14" x14ac:dyDescent="0.25">
      <c r="A1952" s="252" t="s">
        <v>134</v>
      </c>
      <c r="B1952" s="252" t="s">
        <v>4131</v>
      </c>
      <c r="C1952" s="253">
        <v>0</v>
      </c>
      <c r="D1952" s="252">
        <v>39792</v>
      </c>
      <c r="E1952" s="252" t="s">
        <v>190</v>
      </c>
      <c r="F1952" s="254" t="s">
        <v>4933</v>
      </c>
      <c r="G1952" s="252" t="s">
        <v>5179</v>
      </c>
      <c r="H1952" s="252" t="s">
        <v>5180</v>
      </c>
      <c r="I1952" s="252">
        <v>5</v>
      </c>
      <c r="J1952" s="255">
        <v>1</v>
      </c>
      <c r="K1952" s="255">
        <v>1</v>
      </c>
      <c r="L1952" s="255"/>
      <c r="M1952" s="256">
        <v>2.4899999999999998E-4</v>
      </c>
      <c r="N1952" s="249">
        <v>1951</v>
      </c>
    </row>
    <row r="1953" spans="1:14" x14ac:dyDescent="0.25">
      <c r="A1953" s="252" t="s">
        <v>134</v>
      </c>
      <c r="B1953" s="252" t="s">
        <v>4131</v>
      </c>
      <c r="C1953" s="253">
        <v>0</v>
      </c>
      <c r="D1953" s="252">
        <v>39792</v>
      </c>
      <c r="E1953" s="252" t="s">
        <v>190</v>
      </c>
      <c r="F1953" s="254" t="s">
        <v>4933</v>
      </c>
      <c r="G1953" s="252" t="s">
        <v>5181</v>
      </c>
      <c r="H1953" s="252" t="s">
        <v>5182</v>
      </c>
      <c r="I1953" s="252">
        <v>5</v>
      </c>
      <c r="J1953" s="255">
        <v>1</v>
      </c>
      <c r="K1953" s="255">
        <v>1</v>
      </c>
      <c r="L1953" s="255"/>
      <c r="M1953" s="256">
        <v>2.4899999999999998E-4</v>
      </c>
      <c r="N1953" s="249">
        <v>1952</v>
      </c>
    </row>
    <row r="1954" spans="1:14" x14ac:dyDescent="0.25">
      <c r="A1954" s="252" t="s">
        <v>134</v>
      </c>
      <c r="B1954" s="252" t="s">
        <v>4131</v>
      </c>
      <c r="C1954" s="253">
        <v>0</v>
      </c>
      <c r="D1954" s="252">
        <v>39792</v>
      </c>
      <c r="E1954" s="252" t="s">
        <v>1591</v>
      </c>
      <c r="F1954" s="254" t="s">
        <v>4933</v>
      </c>
      <c r="G1954" s="252" t="s">
        <v>5183</v>
      </c>
      <c r="H1954" s="252" t="s">
        <v>5184</v>
      </c>
      <c r="I1954" s="252">
        <v>5</v>
      </c>
      <c r="J1954" s="255">
        <v>1</v>
      </c>
      <c r="K1954" s="255">
        <v>1</v>
      </c>
      <c r="L1954" s="255"/>
      <c r="M1954" s="256">
        <v>7.9199999999999995E-4</v>
      </c>
      <c r="N1954" s="249">
        <v>1953</v>
      </c>
    </row>
    <row r="1955" spans="1:14" x14ac:dyDescent="0.25">
      <c r="A1955" s="252" t="s">
        <v>134</v>
      </c>
      <c r="B1955" s="252" t="s">
        <v>4131</v>
      </c>
      <c r="C1955" s="253">
        <v>0</v>
      </c>
      <c r="D1955" s="252">
        <v>39792</v>
      </c>
      <c r="E1955" s="252" t="s">
        <v>190</v>
      </c>
      <c r="F1955" s="254" t="s">
        <v>4933</v>
      </c>
      <c r="G1955" s="252" t="s">
        <v>5185</v>
      </c>
      <c r="H1955" s="252" t="s">
        <v>5186</v>
      </c>
      <c r="I1955" s="252">
        <v>5</v>
      </c>
      <c r="J1955" s="255">
        <v>1</v>
      </c>
      <c r="K1955" s="255">
        <v>1</v>
      </c>
      <c r="L1955" s="255"/>
      <c r="M1955" s="256">
        <v>2.4899999999999998E-4</v>
      </c>
      <c r="N1955" s="249">
        <v>1954</v>
      </c>
    </row>
    <row r="1956" spans="1:14" x14ac:dyDescent="0.25">
      <c r="A1956" s="252" t="s">
        <v>134</v>
      </c>
      <c r="B1956" s="252" t="s">
        <v>4131</v>
      </c>
      <c r="C1956" s="253">
        <v>0</v>
      </c>
      <c r="D1956" s="252">
        <v>39792</v>
      </c>
      <c r="E1956" s="252" t="s">
        <v>190</v>
      </c>
      <c r="F1956" s="254" t="s">
        <v>4933</v>
      </c>
      <c r="G1956" s="252" t="s">
        <v>5187</v>
      </c>
      <c r="H1956" s="252" t="s">
        <v>5188</v>
      </c>
      <c r="I1956" s="252">
        <v>5</v>
      </c>
      <c r="J1956" s="255">
        <v>1</v>
      </c>
      <c r="K1956" s="255">
        <v>1</v>
      </c>
      <c r="L1956" s="255"/>
      <c r="M1956" s="256">
        <v>2.4899999999999998E-4</v>
      </c>
      <c r="N1956" s="249">
        <v>1955</v>
      </c>
    </row>
    <row r="1957" spans="1:14" x14ac:dyDescent="0.25">
      <c r="A1957" s="252" t="s">
        <v>134</v>
      </c>
      <c r="B1957" s="252" t="s">
        <v>4131</v>
      </c>
      <c r="C1957" s="253">
        <v>0</v>
      </c>
      <c r="D1957" s="252">
        <v>39792</v>
      </c>
      <c r="E1957" s="252" t="s">
        <v>145</v>
      </c>
      <c r="F1957" s="254" t="s">
        <v>4933</v>
      </c>
      <c r="G1957" s="252" t="s">
        <v>5189</v>
      </c>
      <c r="H1957" s="252" t="s">
        <v>5190</v>
      </c>
      <c r="I1957" s="252">
        <v>5</v>
      </c>
      <c r="J1957" s="255">
        <v>1</v>
      </c>
      <c r="K1957" s="255">
        <v>1</v>
      </c>
      <c r="L1957" s="255"/>
      <c r="M1957" s="256">
        <v>1.5899999999999999E-4</v>
      </c>
      <c r="N1957" s="249">
        <v>1956</v>
      </c>
    </row>
    <row r="1958" spans="1:14" x14ac:dyDescent="0.25">
      <c r="A1958" s="252" t="s">
        <v>134</v>
      </c>
      <c r="B1958" s="252" t="s">
        <v>4131</v>
      </c>
      <c r="C1958" s="253">
        <v>0</v>
      </c>
      <c r="D1958" s="252">
        <v>39792</v>
      </c>
      <c r="E1958" s="252" t="s">
        <v>190</v>
      </c>
      <c r="F1958" s="254" t="s">
        <v>4933</v>
      </c>
      <c r="G1958" s="252" t="s">
        <v>5191</v>
      </c>
      <c r="H1958" s="252" t="s">
        <v>5192</v>
      </c>
      <c r="I1958" s="252">
        <v>5</v>
      </c>
      <c r="J1958" s="255">
        <v>1</v>
      </c>
      <c r="K1958" s="255">
        <v>1</v>
      </c>
      <c r="L1958" s="255"/>
      <c r="M1958" s="256">
        <v>1.5899999999999999E-4</v>
      </c>
      <c r="N1958" s="249">
        <v>1957</v>
      </c>
    </row>
    <row r="1959" spans="1:14" x14ac:dyDescent="0.25">
      <c r="A1959" s="252" t="s">
        <v>134</v>
      </c>
      <c r="B1959" s="252" t="s">
        <v>4131</v>
      </c>
      <c r="C1959" s="253">
        <v>0</v>
      </c>
      <c r="D1959" s="252">
        <v>39792</v>
      </c>
      <c r="E1959" s="252" t="s">
        <v>145</v>
      </c>
      <c r="F1959" s="254" t="s">
        <v>4933</v>
      </c>
      <c r="G1959" s="252" t="s">
        <v>5193</v>
      </c>
      <c r="H1959" s="252" t="s">
        <v>5194</v>
      </c>
      <c r="I1959" s="252">
        <v>5</v>
      </c>
      <c r="J1959" s="255">
        <v>1</v>
      </c>
      <c r="K1959" s="255">
        <v>1</v>
      </c>
      <c r="L1959" s="255"/>
      <c r="M1959" s="256">
        <v>1.5899999999999999E-4</v>
      </c>
      <c r="N1959" s="249">
        <v>1958</v>
      </c>
    </row>
    <row r="1960" spans="1:14" x14ac:dyDescent="0.25">
      <c r="A1960" s="252" t="s">
        <v>134</v>
      </c>
      <c r="B1960" s="252" t="s">
        <v>4131</v>
      </c>
      <c r="C1960" s="253">
        <v>0</v>
      </c>
      <c r="D1960" s="252">
        <v>39792</v>
      </c>
      <c r="E1960" s="252" t="s">
        <v>190</v>
      </c>
      <c r="F1960" s="254" t="s">
        <v>4933</v>
      </c>
      <c r="G1960" s="252" t="s">
        <v>5195</v>
      </c>
      <c r="H1960" s="252" t="s">
        <v>5196</v>
      </c>
      <c r="I1960" s="252">
        <v>5</v>
      </c>
      <c r="J1960" s="255">
        <v>1</v>
      </c>
      <c r="K1960" s="255">
        <v>1</v>
      </c>
      <c r="L1960" s="255"/>
      <c r="M1960" s="256">
        <v>1.5899999999999999E-4</v>
      </c>
      <c r="N1960" s="249">
        <v>1959</v>
      </c>
    </row>
    <row r="1961" spans="1:14" x14ac:dyDescent="0.25">
      <c r="A1961" s="252" t="s">
        <v>134</v>
      </c>
      <c r="B1961" s="252" t="s">
        <v>4131</v>
      </c>
      <c r="C1961" s="253">
        <v>0</v>
      </c>
      <c r="D1961" s="252">
        <v>39792</v>
      </c>
      <c r="E1961" s="252" t="s">
        <v>145</v>
      </c>
      <c r="F1961" s="254" t="s">
        <v>4933</v>
      </c>
      <c r="G1961" s="252" t="s">
        <v>5197</v>
      </c>
      <c r="H1961" s="252" t="s">
        <v>5198</v>
      </c>
      <c r="I1961" s="252">
        <v>5</v>
      </c>
      <c r="J1961" s="255">
        <v>1</v>
      </c>
      <c r="K1961" s="255">
        <v>1</v>
      </c>
      <c r="L1961" s="255"/>
      <c r="M1961" s="256">
        <v>7.9199999999999995E-4</v>
      </c>
      <c r="N1961" s="249">
        <v>1960</v>
      </c>
    </row>
    <row r="1962" spans="1:14" x14ac:dyDescent="0.25">
      <c r="A1962" s="252" t="s">
        <v>134</v>
      </c>
      <c r="B1962" s="252" t="s">
        <v>4131</v>
      </c>
      <c r="C1962" s="253">
        <v>0</v>
      </c>
      <c r="D1962" s="252">
        <v>39792</v>
      </c>
      <c r="E1962" s="252" t="s">
        <v>190</v>
      </c>
      <c r="F1962" s="254" t="s">
        <v>4933</v>
      </c>
      <c r="G1962" s="252" t="s">
        <v>5199</v>
      </c>
      <c r="H1962" s="252" t="s">
        <v>5200</v>
      </c>
      <c r="I1962" s="252">
        <v>5</v>
      </c>
      <c r="J1962" s="255">
        <v>1</v>
      </c>
      <c r="K1962" s="255">
        <v>1</v>
      </c>
      <c r="L1962" s="255"/>
      <c r="M1962" s="256">
        <v>2.4899999999999998E-4</v>
      </c>
      <c r="N1962" s="249">
        <v>1961</v>
      </c>
    </row>
    <row r="1963" spans="1:14" x14ac:dyDescent="0.25">
      <c r="A1963" s="252" t="s">
        <v>134</v>
      </c>
      <c r="B1963" s="252" t="s">
        <v>4131</v>
      </c>
      <c r="C1963" s="253">
        <v>0</v>
      </c>
      <c r="D1963" s="252">
        <v>39792</v>
      </c>
      <c r="E1963" s="252" t="s">
        <v>190</v>
      </c>
      <c r="F1963" s="254" t="s">
        <v>4933</v>
      </c>
      <c r="G1963" s="252" t="s">
        <v>5201</v>
      </c>
      <c r="H1963" s="252" t="s">
        <v>5202</v>
      </c>
      <c r="I1963" s="252">
        <v>5</v>
      </c>
      <c r="J1963" s="255">
        <v>1</v>
      </c>
      <c r="K1963" s="255">
        <v>1</v>
      </c>
      <c r="L1963" s="255"/>
      <c r="M1963" s="256">
        <v>2.4899999999999998E-4</v>
      </c>
      <c r="N1963" s="249">
        <v>1962</v>
      </c>
    </row>
    <row r="1964" spans="1:14" x14ac:dyDescent="0.25">
      <c r="A1964" s="252" t="s">
        <v>134</v>
      </c>
      <c r="B1964" s="252" t="s">
        <v>4131</v>
      </c>
      <c r="C1964" s="253">
        <v>0</v>
      </c>
      <c r="D1964" s="252">
        <v>39792</v>
      </c>
      <c r="E1964" s="252" t="s">
        <v>145</v>
      </c>
      <c r="F1964" s="254" t="s">
        <v>4933</v>
      </c>
      <c r="G1964" s="252" t="s">
        <v>5203</v>
      </c>
      <c r="H1964" s="252" t="s">
        <v>5204</v>
      </c>
      <c r="I1964" s="252">
        <v>5</v>
      </c>
      <c r="J1964" s="255">
        <v>1</v>
      </c>
      <c r="K1964" s="255">
        <v>1</v>
      </c>
      <c r="L1964" s="255"/>
      <c r="M1964" s="256">
        <v>1.5899999999999999E-4</v>
      </c>
      <c r="N1964" s="249">
        <v>1963</v>
      </c>
    </row>
    <row r="1965" spans="1:14" x14ac:dyDescent="0.25">
      <c r="A1965" s="252" t="s">
        <v>134</v>
      </c>
      <c r="B1965" s="252" t="s">
        <v>4131</v>
      </c>
      <c r="C1965" s="253">
        <v>0</v>
      </c>
      <c r="D1965" s="252">
        <v>39792</v>
      </c>
      <c r="E1965" s="252" t="s">
        <v>190</v>
      </c>
      <c r="F1965" s="254" t="s">
        <v>4933</v>
      </c>
      <c r="G1965" s="252" t="s">
        <v>5205</v>
      </c>
      <c r="H1965" s="252" t="s">
        <v>5206</v>
      </c>
      <c r="I1965" s="252">
        <v>5</v>
      </c>
      <c r="J1965" s="255">
        <v>1</v>
      </c>
      <c r="K1965" s="255">
        <v>1</v>
      </c>
      <c r="L1965" s="255"/>
      <c r="M1965" s="256">
        <v>1.5899999999999999E-4</v>
      </c>
      <c r="N1965" s="249">
        <v>1964</v>
      </c>
    </row>
    <row r="1966" spans="1:14" x14ac:dyDescent="0.25">
      <c r="A1966" s="252" t="s">
        <v>134</v>
      </c>
      <c r="B1966" s="252" t="s">
        <v>4131</v>
      </c>
      <c r="C1966" s="253">
        <v>0</v>
      </c>
      <c r="D1966" s="252">
        <v>39792</v>
      </c>
      <c r="E1966" s="252" t="s">
        <v>145</v>
      </c>
      <c r="F1966" s="254" t="s">
        <v>4933</v>
      </c>
      <c r="G1966" s="252" t="s">
        <v>5207</v>
      </c>
      <c r="H1966" s="252" t="s">
        <v>5208</v>
      </c>
      <c r="I1966" s="252">
        <v>5</v>
      </c>
      <c r="J1966" s="255">
        <v>1</v>
      </c>
      <c r="K1966" s="255">
        <v>1</v>
      </c>
      <c r="L1966" s="255"/>
      <c r="M1966" s="256">
        <v>1.5899999999999999E-4</v>
      </c>
      <c r="N1966" s="249">
        <v>1965</v>
      </c>
    </row>
    <row r="1967" spans="1:14" x14ac:dyDescent="0.25">
      <c r="A1967" s="252" t="s">
        <v>134</v>
      </c>
      <c r="B1967" s="252" t="s">
        <v>4131</v>
      </c>
      <c r="C1967" s="253">
        <v>0</v>
      </c>
      <c r="D1967" s="252">
        <v>39792</v>
      </c>
      <c r="E1967" s="252" t="s">
        <v>190</v>
      </c>
      <c r="F1967" s="254" t="s">
        <v>4933</v>
      </c>
      <c r="G1967" s="252" t="s">
        <v>5209</v>
      </c>
      <c r="H1967" s="252" t="s">
        <v>5210</v>
      </c>
      <c r="I1967" s="252">
        <v>5</v>
      </c>
      <c r="J1967" s="255">
        <v>1</v>
      </c>
      <c r="K1967" s="255">
        <v>1</v>
      </c>
      <c r="L1967" s="255"/>
      <c r="M1967" s="256">
        <v>1.5899999999999999E-4</v>
      </c>
      <c r="N1967" s="249">
        <v>1966</v>
      </c>
    </row>
    <row r="1968" spans="1:14" x14ac:dyDescent="0.25">
      <c r="A1968" s="252" t="s">
        <v>134</v>
      </c>
      <c r="B1968" s="252" t="s">
        <v>4131</v>
      </c>
      <c r="C1968" s="253">
        <v>0</v>
      </c>
      <c r="D1968" s="252">
        <v>39792</v>
      </c>
      <c r="E1968" s="252" t="s">
        <v>190</v>
      </c>
      <c r="F1968" s="254" t="s">
        <v>4933</v>
      </c>
      <c r="G1968" s="252" t="s">
        <v>5211</v>
      </c>
      <c r="H1968" s="252" t="s">
        <v>5212</v>
      </c>
      <c r="I1968" s="252">
        <v>5</v>
      </c>
      <c r="J1968" s="255">
        <v>1</v>
      </c>
      <c r="K1968" s="255">
        <v>1</v>
      </c>
      <c r="L1968" s="255"/>
      <c r="M1968" s="256">
        <v>2.4899999999999998E-4</v>
      </c>
      <c r="N1968" s="249">
        <v>1967</v>
      </c>
    </row>
    <row r="1969" spans="1:14" x14ac:dyDescent="0.25">
      <c r="A1969" s="252" t="s">
        <v>134</v>
      </c>
      <c r="B1969" s="252" t="s">
        <v>4131</v>
      </c>
      <c r="C1969" s="253">
        <v>0</v>
      </c>
      <c r="D1969" s="252">
        <v>39792</v>
      </c>
      <c r="E1969" s="252" t="s">
        <v>190</v>
      </c>
      <c r="F1969" s="254" t="s">
        <v>4933</v>
      </c>
      <c r="G1969" s="252" t="s">
        <v>5213</v>
      </c>
      <c r="H1969" s="252" t="s">
        <v>5214</v>
      </c>
      <c r="I1969" s="252">
        <v>5</v>
      </c>
      <c r="J1969" s="255">
        <v>1</v>
      </c>
      <c r="K1969" s="255">
        <v>1</v>
      </c>
      <c r="L1969" s="255"/>
      <c r="M1969" s="256">
        <v>2.4899999999999998E-4</v>
      </c>
      <c r="N1969" s="249">
        <v>1968</v>
      </c>
    </row>
    <row r="1970" spans="1:14" x14ac:dyDescent="0.25">
      <c r="A1970" s="252" t="s">
        <v>134</v>
      </c>
      <c r="B1970" s="252" t="s">
        <v>4131</v>
      </c>
      <c r="C1970" s="253">
        <v>0</v>
      </c>
      <c r="D1970" s="252">
        <v>39792</v>
      </c>
      <c r="E1970" s="252" t="s">
        <v>145</v>
      </c>
      <c r="F1970" s="254" t="s">
        <v>4933</v>
      </c>
      <c r="G1970" s="252" t="s">
        <v>5215</v>
      </c>
      <c r="H1970" s="252" t="s">
        <v>5216</v>
      </c>
      <c r="I1970" s="252">
        <v>5</v>
      </c>
      <c r="J1970" s="255">
        <v>1</v>
      </c>
      <c r="K1970" s="255">
        <v>1</v>
      </c>
      <c r="L1970" s="255"/>
      <c r="M1970" s="256">
        <v>1.5899999999999999E-4</v>
      </c>
      <c r="N1970" s="249">
        <v>1969</v>
      </c>
    </row>
    <row r="1971" spans="1:14" x14ac:dyDescent="0.25">
      <c r="A1971" s="252" t="s">
        <v>134</v>
      </c>
      <c r="B1971" s="252" t="s">
        <v>4131</v>
      </c>
      <c r="C1971" s="253">
        <v>0</v>
      </c>
      <c r="D1971" s="252">
        <v>39792</v>
      </c>
      <c r="E1971" s="252" t="s">
        <v>190</v>
      </c>
      <c r="F1971" s="254" t="s">
        <v>4933</v>
      </c>
      <c r="G1971" s="252" t="s">
        <v>5217</v>
      </c>
      <c r="H1971" s="252" t="s">
        <v>5218</v>
      </c>
      <c r="I1971" s="252">
        <v>5</v>
      </c>
      <c r="J1971" s="255">
        <v>1</v>
      </c>
      <c r="K1971" s="255">
        <v>1</v>
      </c>
      <c r="L1971" s="255"/>
      <c r="M1971" s="256">
        <v>1.5899999999999999E-4</v>
      </c>
      <c r="N1971" s="249">
        <v>1970</v>
      </c>
    </row>
    <row r="1972" spans="1:14" x14ac:dyDescent="0.25">
      <c r="A1972" s="252" t="s">
        <v>134</v>
      </c>
      <c r="B1972" s="252" t="s">
        <v>4131</v>
      </c>
      <c r="C1972" s="253">
        <v>0</v>
      </c>
      <c r="D1972" s="252">
        <v>39792</v>
      </c>
      <c r="E1972" s="252" t="s">
        <v>145</v>
      </c>
      <c r="F1972" s="254" t="s">
        <v>4933</v>
      </c>
      <c r="G1972" s="252" t="s">
        <v>5219</v>
      </c>
      <c r="H1972" s="252" t="s">
        <v>5220</v>
      </c>
      <c r="I1972" s="252">
        <v>5</v>
      </c>
      <c r="J1972" s="255">
        <v>1</v>
      </c>
      <c r="K1972" s="255">
        <v>1</v>
      </c>
      <c r="L1972" s="255"/>
      <c r="M1972" s="256">
        <v>1.5899999999999999E-4</v>
      </c>
      <c r="N1972" s="249">
        <v>1971</v>
      </c>
    </row>
    <row r="1973" spans="1:14" x14ac:dyDescent="0.25">
      <c r="A1973" s="252" t="s">
        <v>134</v>
      </c>
      <c r="B1973" s="252" t="s">
        <v>4131</v>
      </c>
      <c r="C1973" s="253">
        <v>0</v>
      </c>
      <c r="D1973" s="252">
        <v>39792</v>
      </c>
      <c r="E1973" s="252" t="s">
        <v>190</v>
      </c>
      <c r="F1973" s="254" t="s">
        <v>4933</v>
      </c>
      <c r="G1973" s="252" t="s">
        <v>5221</v>
      </c>
      <c r="H1973" s="252" t="s">
        <v>5222</v>
      </c>
      <c r="I1973" s="252">
        <v>5</v>
      </c>
      <c r="J1973" s="255">
        <v>1</v>
      </c>
      <c r="K1973" s="255">
        <v>1</v>
      </c>
      <c r="L1973" s="255"/>
      <c r="M1973" s="256">
        <v>1.5899999999999999E-4</v>
      </c>
      <c r="N1973" s="249">
        <v>1972</v>
      </c>
    </row>
    <row r="1974" spans="1:14" x14ac:dyDescent="0.25">
      <c r="A1974" s="252" t="s">
        <v>134</v>
      </c>
      <c r="B1974" s="252" t="s">
        <v>4131</v>
      </c>
      <c r="C1974" s="253">
        <v>0</v>
      </c>
      <c r="D1974" s="252">
        <v>39792</v>
      </c>
      <c r="E1974" s="252" t="s">
        <v>145</v>
      </c>
      <c r="F1974" s="254" t="s">
        <v>4933</v>
      </c>
      <c r="G1974" s="252" t="s">
        <v>5223</v>
      </c>
      <c r="H1974" s="252" t="s">
        <v>5224</v>
      </c>
      <c r="I1974" s="252">
        <v>5</v>
      </c>
      <c r="J1974" s="255">
        <v>1</v>
      </c>
      <c r="K1974" s="255">
        <v>1</v>
      </c>
      <c r="L1974" s="255"/>
      <c r="M1974" s="256">
        <v>1.5899999999999999E-4</v>
      </c>
      <c r="N1974" s="249">
        <v>1973</v>
      </c>
    </row>
    <row r="1975" spans="1:14" x14ac:dyDescent="0.25">
      <c r="A1975" s="252" t="s">
        <v>134</v>
      </c>
      <c r="B1975" s="252" t="s">
        <v>4131</v>
      </c>
      <c r="C1975" s="253">
        <v>0</v>
      </c>
      <c r="D1975" s="252">
        <v>39792</v>
      </c>
      <c r="E1975" s="252" t="s">
        <v>190</v>
      </c>
      <c r="F1975" s="254" t="s">
        <v>4933</v>
      </c>
      <c r="G1975" s="252" t="s">
        <v>5225</v>
      </c>
      <c r="H1975" s="252" t="s">
        <v>5226</v>
      </c>
      <c r="I1975" s="252">
        <v>5</v>
      </c>
      <c r="J1975" s="255">
        <v>1</v>
      </c>
      <c r="K1975" s="255">
        <v>1</v>
      </c>
      <c r="L1975" s="255"/>
      <c r="M1975" s="256">
        <v>1.5899999999999999E-4</v>
      </c>
      <c r="N1975" s="249">
        <v>1974</v>
      </c>
    </row>
    <row r="1976" spans="1:14" x14ac:dyDescent="0.25">
      <c r="A1976" s="252" t="s">
        <v>134</v>
      </c>
      <c r="B1976" s="252" t="s">
        <v>4131</v>
      </c>
      <c r="C1976" s="253">
        <v>0</v>
      </c>
      <c r="D1976" s="252">
        <v>39792</v>
      </c>
      <c r="E1976" s="252" t="s">
        <v>145</v>
      </c>
      <c r="F1976" s="254" t="s">
        <v>4933</v>
      </c>
      <c r="G1976" s="252" t="s">
        <v>5227</v>
      </c>
      <c r="H1976" s="252" t="s">
        <v>5228</v>
      </c>
      <c r="I1976" s="252">
        <v>5</v>
      </c>
      <c r="J1976" s="255">
        <v>1</v>
      </c>
      <c r="K1976" s="255">
        <v>1</v>
      </c>
      <c r="L1976" s="255"/>
      <c r="M1976" s="256">
        <v>1.5899999999999999E-4</v>
      </c>
      <c r="N1976" s="249">
        <v>1975</v>
      </c>
    </row>
    <row r="1977" spans="1:14" x14ac:dyDescent="0.25">
      <c r="A1977" s="252" t="s">
        <v>134</v>
      </c>
      <c r="B1977" s="252" t="s">
        <v>4131</v>
      </c>
      <c r="C1977" s="253">
        <v>0</v>
      </c>
      <c r="D1977" s="252">
        <v>39792</v>
      </c>
      <c r="E1977" s="252" t="s">
        <v>190</v>
      </c>
      <c r="F1977" s="254" t="s">
        <v>4933</v>
      </c>
      <c r="G1977" s="252" t="s">
        <v>5229</v>
      </c>
      <c r="H1977" s="252" t="s">
        <v>5230</v>
      </c>
      <c r="I1977" s="252">
        <v>5</v>
      </c>
      <c r="J1977" s="255">
        <v>1</v>
      </c>
      <c r="K1977" s="255">
        <v>1</v>
      </c>
      <c r="L1977" s="255"/>
      <c r="M1977" s="256">
        <v>1.5899999999999999E-4</v>
      </c>
      <c r="N1977" s="249">
        <v>1976</v>
      </c>
    </row>
    <row r="1978" spans="1:14" x14ac:dyDescent="0.25">
      <c r="A1978" s="252" t="s">
        <v>134</v>
      </c>
      <c r="B1978" s="252" t="s">
        <v>4131</v>
      </c>
      <c r="C1978" s="253">
        <v>0</v>
      </c>
      <c r="D1978" s="252">
        <v>39792</v>
      </c>
      <c r="E1978" s="252" t="s">
        <v>3039</v>
      </c>
      <c r="F1978" s="254" t="s">
        <v>4933</v>
      </c>
      <c r="G1978" s="252" t="s">
        <v>5231</v>
      </c>
      <c r="H1978" s="252" t="s">
        <v>5232</v>
      </c>
      <c r="I1978" s="252">
        <v>5</v>
      </c>
      <c r="J1978" s="255">
        <v>1</v>
      </c>
      <c r="K1978" s="255">
        <v>1</v>
      </c>
      <c r="L1978" s="255"/>
      <c r="M1978" s="256">
        <v>1.5899999999999999E-4</v>
      </c>
      <c r="N1978" s="249">
        <v>1977</v>
      </c>
    </row>
    <row r="1979" spans="1:14" x14ac:dyDescent="0.25">
      <c r="A1979" s="252" t="s">
        <v>134</v>
      </c>
      <c r="B1979" s="252" t="s">
        <v>4131</v>
      </c>
      <c r="C1979" s="253">
        <v>0</v>
      </c>
      <c r="D1979" s="252">
        <v>39792</v>
      </c>
      <c r="E1979" s="252" t="s">
        <v>3039</v>
      </c>
      <c r="F1979" s="254" t="s">
        <v>4933</v>
      </c>
      <c r="G1979" s="252" t="s">
        <v>5233</v>
      </c>
      <c r="H1979" s="252" t="s">
        <v>5234</v>
      </c>
      <c r="I1979" s="252">
        <v>5</v>
      </c>
      <c r="J1979" s="255">
        <v>1</v>
      </c>
      <c r="K1979" s="255">
        <v>1</v>
      </c>
      <c r="L1979" s="255"/>
      <c r="M1979" s="256">
        <v>1.0589999999999998E-3</v>
      </c>
      <c r="N1979" s="249">
        <v>1978</v>
      </c>
    </row>
    <row r="1980" spans="1:14" x14ac:dyDescent="0.25">
      <c r="A1980" s="252" t="s">
        <v>134</v>
      </c>
      <c r="B1980" s="252" t="s">
        <v>4131</v>
      </c>
      <c r="C1980" s="253">
        <v>0</v>
      </c>
      <c r="D1980" s="252">
        <v>39792</v>
      </c>
      <c r="E1980" s="252" t="s">
        <v>3039</v>
      </c>
      <c r="F1980" s="254" t="s">
        <v>4933</v>
      </c>
      <c r="G1980" s="252" t="s">
        <v>5235</v>
      </c>
      <c r="H1980" s="252" t="s">
        <v>5236</v>
      </c>
      <c r="I1980" s="252">
        <v>5</v>
      </c>
      <c r="J1980" s="255">
        <v>1</v>
      </c>
      <c r="K1980" s="255">
        <v>1</v>
      </c>
      <c r="L1980" s="255"/>
      <c r="M1980" s="256">
        <v>2.04E-4</v>
      </c>
      <c r="N1980" s="249">
        <v>1979</v>
      </c>
    </row>
    <row r="1981" spans="1:14" x14ac:dyDescent="0.25">
      <c r="A1981" s="252" t="s">
        <v>134</v>
      </c>
      <c r="B1981" s="252" t="s">
        <v>4131</v>
      </c>
      <c r="C1981" s="253">
        <v>0</v>
      </c>
      <c r="D1981" s="252">
        <v>39792</v>
      </c>
      <c r="E1981" s="252" t="s">
        <v>3039</v>
      </c>
      <c r="F1981" s="254" t="s">
        <v>4933</v>
      </c>
      <c r="G1981" s="252" t="s">
        <v>5237</v>
      </c>
      <c r="H1981" s="252" t="s">
        <v>5238</v>
      </c>
      <c r="I1981" s="252">
        <v>5</v>
      </c>
      <c r="J1981" s="255">
        <v>1</v>
      </c>
      <c r="K1981" s="255">
        <v>1</v>
      </c>
      <c r="L1981" s="255"/>
      <c r="M1981" s="256">
        <v>1.0589999999999998E-3</v>
      </c>
      <c r="N1981" s="249">
        <v>1980</v>
      </c>
    </row>
    <row r="1982" spans="1:14" x14ac:dyDescent="0.25">
      <c r="A1982" s="252" t="s">
        <v>134</v>
      </c>
      <c r="B1982" s="252" t="s">
        <v>4131</v>
      </c>
      <c r="C1982" s="253">
        <v>0</v>
      </c>
      <c r="D1982" s="252">
        <v>39792</v>
      </c>
      <c r="E1982" s="252" t="s">
        <v>3039</v>
      </c>
      <c r="F1982" s="254" t="s">
        <v>4933</v>
      </c>
      <c r="G1982" s="252" t="s">
        <v>5239</v>
      </c>
      <c r="H1982" s="252" t="s">
        <v>5240</v>
      </c>
      <c r="I1982" s="252">
        <v>5</v>
      </c>
      <c r="J1982" s="255">
        <v>1</v>
      </c>
      <c r="K1982" s="255">
        <v>1</v>
      </c>
      <c r="L1982" s="255"/>
      <c r="M1982" s="256">
        <v>2.04E-4</v>
      </c>
      <c r="N1982" s="249">
        <v>1981</v>
      </c>
    </row>
    <row r="1983" spans="1:14" x14ac:dyDescent="0.25">
      <c r="A1983" s="252" t="s">
        <v>134</v>
      </c>
      <c r="B1983" s="252" t="s">
        <v>4131</v>
      </c>
      <c r="C1983" s="253">
        <v>0</v>
      </c>
      <c r="D1983" s="252">
        <v>39792</v>
      </c>
      <c r="E1983" s="252" t="s">
        <v>3039</v>
      </c>
      <c r="F1983" s="254" t="s">
        <v>4933</v>
      </c>
      <c r="G1983" s="252" t="s">
        <v>5241</v>
      </c>
      <c r="H1983" s="252" t="s">
        <v>5242</v>
      </c>
      <c r="I1983" s="252">
        <v>5</v>
      </c>
      <c r="J1983" s="255">
        <v>1</v>
      </c>
      <c r="K1983" s="255">
        <v>1</v>
      </c>
      <c r="L1983" s="255"/>
      <c r="M1983" s="256">
        <v>1.6200000000000001E-4</v>
      </c>
      <c r="N1983" s="249">
        <v>1982</v>
      </c>
    </row>
    <row r="1984" spans="1:14" x14ac:dyDescent="0.25">
      <c r="A1984" s="252" t="s">
        <v>134</v>
      </c>
      <c r="B1984" s="252" t="s">
        <v>4131</v>
      </c>
      <c r="C1984" s="253">
        <v>0</v>
      </c>
      <c r="D1984" s="252">
        <v>39792</v>
      </c>
      <c r="E1984" s="252" t="s">
        <v>3039</v>
      </c>
      <c r="F1984" s="254" t="s">
        <v>4933</v>
      </c>
      <c r="G1984" s="252" t="s">
        <v>5243</v>
      </c>
      <c r="H1984" s="252" t="s">
        <v>5244</v>
      </c>
      <c r="I1984" s="252">
        <v>5</v>
      </c>
      <c r="J1984" s="255">
        <v>1</v>
      </c>
      <c r="K1984" s="255">
        <v>1</v>
      </c>
      <c r="L1984" s="255"/>
      <c r="M1984" s="256">
        <v>1.6200000000000001E-4</v>
      </c>
      <c r="N1984" s="249">
        <v>1983</v>
      </c>
    </row>
    <row r="1985" spans="1:14" x14ac:dyDescent="0.25">
      <c r="A1985" s="252" t="s">
        <v>134</v>
      </c>
      <c r="B1985" s="252" t="s">
        <v>4131</v>
      </c>
      <c r="C1985" s="253">
        <v>0</v>
      </c>
      <c r="D1985" s="252">
        <v>39792</v>
      </c>
      <c r="E1985" s="252" t="s">
        <v>3039</v>
      </c>
      <c r="F1985" s="254" t="s">
        <v>4933</v>
      </c>
      <c r="G1985" s="252" t="s">
        <v>5245</v>
      </c>
      <c r="H1985" s="252" t="s">
        <v>5246</v>
      </c>
      <c r="I1985" s="252">
        <v>5</v>
      </c>
      <c r="J1985" s="255">
        <v>1</v>
      </c>
      <c r="K1985" s="255">
        <v>1</v>
      </c>
      <c r="L1985" s="255"/>
      <c r="M1985" s="256">
        <v>1.6200000000000001E-4</v>
      </c>
      <c r="N1985" s="249">
        <v>1984</v>
      </c>
    </row>
    <row r="1986" spans="1:14" x14ac:dyDescent="0.25">
      <c r="A1986" s="252" t="s">
        <v>134</v>
      </c>
      <c r="B1986" s="252" t="s">
        <v>4131</v>
      </c>
      <c r="C1986" s="253">
        <v>0</v>
      </c>
      <c r="D1986" s="252">
        <v>39792</v>
      </c>
      <c r="E1986" s="252" t="s">
        <v>3039</v>
      </c>
      <c r="F1986" s="254" t="s">
        <v>4933</v>
      </c>
      <c r="G1986" s="252" t="s">
        <v>5247</v>
      </c>
      <c r="H1986" s="252" t="s">
        <v>5248</v>
      </c>
      <c r="I1986" s="252">
        <v>5</v>
      </c>
      <c r="J1986" s="255">
        <v>1</v>
      </c>
      <c r="K1986" s="255">
        <v>1</v>
      </c>
      <c r="L1986" s="255"/>
      <c r="M1986" s="256">
        <v>1.6200000000000001E-4</v>
      </c>
      <c r="N1986" s="249">
        <v>1985</v>
      </c>
    </row>
    <row r="1987" spans="1:14" x14ac:dyDescent="0.25">
      <c r="A1987" s="252" t="s">
        <v>134</v>
      </c>
      <c r="B1987" s="252" t="s">
        <v>4131</v>
      </c>
      <c r="C1987" s="253">
        <v>0</v>
      </c>
      <c r="D1987" s="252">
        <v>39792</v>
      </c>
      <c r="E1987" s="252" t="s">
        <v>3039</v>
      </c>
      <c r="F1987" s="254" t="s">
        <v>4933</v>
      </c>
      <c r="G1987" s="252" t="s">
        <v>5249</v>
      </c>
      <c r="H1987" s="252" t="s">
        <v>5250</v>
      </c>
      <c r="I1987" s="252">
        <v>5</v>
      </c>
      <c r="J1987" s="255">
        <v>1</v>
      </c>
      <c r="K1987" s="255">
        <v>1</v>
      </c>
      <c r="L1987" s="255"/>
      <c r="M1987" s="256">
        <v>1.5899999999999999E-4</v>
      </c>
      <c r="N1987" s="249">
        <v>1986</v>
      </c>
    </row>
    <row r="1988" spans="1:14" x14ac:dyDescent="0.25">
      <c r="A1988" s="252" t="s">
        <v>134</v>
      </c>
      <c r="B1988" s="252" t="s">
        <v>4131</v>
      </c>
      <c r="C1988" s="253">
        <v>0</v>
      </c>
      <c r="D1988" s="252">
        <v>39792</v>
      </c>
      <c r="E1988" s="252" t="s">
        <v>3039</v>
      </c>
      <c r="F1988" s="254" t="s">
        <v>4933</v>
      </c>
      <c r="G1988" s="252" t="s">
        <v>5251</v>
      </c>
      <c r="H1988" s="252" t="s">
        <v>5252</v>
      </c>
      <c r="I1988" s="252">
        <v>5</v>
      </c>
      <c r="J1988" s="255">
        <v>1</v>
      </c>
      <c r="K1988" s="255">
        <v>1</v>
      </c>
      <c r="L1988" s="255"/>
      <c r="M1988" s="256">
        <v>1.5600000000000002E-4</v>
      </c>
      <c r="N1988" s="249">
        <v>1987</v>
      </c>
    </row>
    <row r="1989" spans="1:14" x14ac:dyDescent="0.25">
      <c r="A1989" s="252" t="s">
        <v>134</v>
      </c>
      <c r="B1989" s="252" t="s">
        <v>4131</v>
      </c>
      <c r="C1989" s="253">
        <v>0</v>
      </c>
      <c r="D1989" s="252">
        <v>39792</v>
      </c>
      <c r="E1989" s="252" t="s">
        <v>3039</v>
      </c>
      <c r="F1989" s="254" t="s">
        <v>4933</v>
      </c>
      <c r="G1989" s="252" t="s">
        <v>5253</v>
      </c>
      <c r="H1989" s="252" t="s">
        <v>5254</v>
      </c>
      <c r="I1989" s="252">
        <v>5</v>
      </c>
      <c r="J1989" s="255">
        <v>1</v>
      </c>
      <c r="K1989" s="255">
        <v>1</v>
      </c>
      <c r="L1989" s="255"/>
      <c r="M1989" s="256">
        <v>1.6200000000000001E-4</v>
      </c>
      <c r="N1989" s="249">
        <v>1988</v>
      </c>
    </row>
    <row r="1990" spans="1:14" x14ac:dyDescent="0.25">
      <c r="A1990" s="252" t="s">
        <v>134</v>
      </c>
      <c r="B1990" s="252" t="s">
        <v>4131</v>
      </c>
      <c r="C1990" s="253">
        <v>0</v>
      </c>
      <c r="D1990" s="252">
        <v>39792</v>
      </c>
      <c r="E1990" s="252" t="s">
        <v>3039</v>
      </c>
      <c r="F1990" s="254" t="s">
        <v>4933</v>
      </c>
      <c r="G1990" s="252" t="s">
        <v>5255</v>
      </c>
      <c r="H1990" s="252" t="s">
        <v>5256</v>
      </c>
      <c r="I1990" s="252">
        <v>5</v>
      </c>
      <c r="J1990" s="255">
        <v>1</v>
      </c>
      <c r="K1990" s="255">
        <v>1</v>
      </c>
      <c r="L1990" s="255"/>
      <c r="M1990" s="256">
        <v>1.6200000000000001E-4</v>
      </c>
      <c r="N1990" s="249">
        <v>1989</v>
      </c>
    </row>
    <row r="1991" spans="1:14" x14ac:dyDescent="0.25">
      <c r="A1991" s="252" t="s">
        <v>134</v>
      </c>
      <c r="B1991" s="252" t="s">
        <v>4131</v>
      </c>
      <c r="C1991" s="253">
        <v>0</v>
      </c>
      <c r="D1991" s="252">
        <v>39792</v>
      </c>
      <c r="E1991" s="252" t="s">
        <v>3039</v>
      </c>
      <c r="F1991" s="254" t="s">
        <v>4933</v>
      </c>
      <c r="G1991" s="252" t="s">
        <v>5257</v>
      </c>
      <c r="H1991" s="252" t="s">
        <v>5258</v>
      </c>
      <c r="I1991" s="252">
        <v>5</v>
      </c>
      <c r="J1991" s="255">
        <v>1</v>
      </c>
      <c r="K1991" s="255">
        <v>1</v>
      </c>
      <c r="L1991" s="255"/>
      <c r="M1991" s="256">
        <v>1.6200000000000001E-4</v>
      </c>
      <c r="N1991" s="249">
        <v>1990</v>
      </c>
    </row>
    <row r="1992" spans="1:14" x14ac:dyDescent="0.25">
      <c r="A1992" s="252" t="s">
        <v>134</v>
      </c>
      <c r="B1992" s="252" t="s">
        <v>4131</v>
      </c>
      <c r="C1992" s="253">
        <v>0</v>
      </c>
      <c r="D1992" s="252">
        <v>39792</v>
      </c>
      <c r="E1992" s="252" t="s">
        <v>3039</v>
      </c>
      <c r="F1992" s="254" t="s">
        <v>4933</v>
      </c>
      <c r="G1992" s="252" t="s">
        <v>5259</v>
      </c>
      <c r="H1992" s="252" t="s">
        <v>5260</v>
      </c>
      <c r="I1992" s="252">
        <v>5</v>
      </c>
      <c r="J1992" s="255">
        <v>1</v>
      </c>
      <c r="K1992" s="255">
        <v>1</v>
      </c>
      <c r="L1992" s="255"/>
      <c r="M1992" s="256">
        <v>1.5899999999999999E-4</v>
      </c>
      <c r="N1992" s="249">
        <v>1991</v>
      </c>
    </row>
    <row r="1993" spans="1:14" x14ac:dyDescent="0.25">
      <c r="A1993" s="252" t="s">
        <v>134</v>
      </c>
      <c r="B1993" s="252" t="s">
        <v>4131</v>
      </c>
      <c r="C1993" s="253">
        <v>0</v>
      </c>
      <c r="D1993" s="252">
        <v>39792</v>
      </c>
      <c r="E1993" s="252" t="s">
        <v>3039</v>
      </c>
      <c r="F1993" s="254" t="s">
        <v>4933</v>
      </c>
      <c r="G1993" s="252" t="s">
        <v>5261</v>
      </c>
      <c r="H1993" s="252" t="s">
        <v>5262</v>
      </c>
      <c r="I1993" s="252">
        <v>5</v>
      </c>
      <c r="J1993" s="255">
        <v>1</v>
      </c>
      <c r="K1993" s="255">
        <v>1</v>
      </c>
      <c r="L1993" s="255"/>
      <c r="M1993" s="256">
        <v>1.5899999999999999E-4</v>
      </c>
      <c r="N1993" s="249">
        <v>1992</v>
      </c>
    </row>
    <row r="1994" spans="1:14" x14ac:dyDescent="0.25">
      <c r="A1994" s="252" t="s">
        <v>134</v>
      </c>
      <c r="B1994" s="252" t="s">
        <v>4131</v>
      </c>
      <c r="C1994" s="253">
        <v>0</v>
      </c>
      <c r="D1994" s="252">
        <v>39792</v>
      </c>
      <c r="E1994" s="252" t="s">
        <v>3039</v>
      </c>
      <c r="F1994" s="254" t="s">
        <v>4933</v>
      </c>
      <c r="G1994" s="252" t="s">
        <v>5263</v>
      </c>
      <c r="H1994" s="252" t="s">
        <v>5264</v>
      </c>
      <c r="I1994" s="252">
        <v>5</v>
      </c>
      <c r="J1994" s="255">
        <v>1</v>
      </c>
      <c r="K1994" s="255">
        <v>1</v>
      </c>
      <c r="L1994" s="255"/>
      <c r="M1994" s="256">
        <v>1.6200000000000001E-4</v>
      </c>
      <c r="N1994" s="249">
        <v>1993</v>
      </c>
    </row>
    <row r="1995" spans="1:14" x14ac:dyDescent="0.25">
      <c r="A1995" s="252" t="s">
        <v>134</v>
      </c>
      <c r="B1995" s="252" t="s">
        <v>4131</v>
      </c>
      <c r="C1995" s="253">
        <v>0</v>
      </c>
      <c r="D1995" s="252">
        <v>39792</v>
      </c>
      <c r="E1995" s="252" t="s">
        <v>3039</v>
      </c>
      <c r="F1995" s="254" t="s">
        <v>4933</v>
      </c>
      <c r="G1995" s="252" t="s">
        <v>5265</v>
      </c>
      <c r="H1995" s="252" t="s">
        <v>5266</v>
      </c>
      <c r="I1995" s="252">
        <v>5</v>
      </c>
      <c r="J1995" s="255">
        <v>1</v>
      </c>
      <c r="K1995" s="255">
        <v>1</v>
      </c>
      <c r="L1995" s="255"/>
      <c r="M1995" s="256">
        <v>1.5899999999999999E-4</v>
      </c>
      <c r="N1995" s="249">
        <v>1994</v>
      </c>
    </row>
    <row r="1996" spans="1:14" x14ac:dyDescent="0.25">
      <c r="A1996" s="252" t="s">
        <v>134</v>
      </c>
      <c r="B1996" s="252" t="s">
        <v>4131</v>
      </c>
      <c r="C1996" s="253">
        <v>0</v>
      </c>
      <c r="D1996" s="252">
        <v>39792</v>
      </c>
      <c r="E1996" s="252" t="s">
        <v>3039</v>
      </c>
      <c r="F1996" s="254" t="s">
        <v>4933</v>
      </c>
      <c r="G1996" s="252" t="s">
        <v>5267</v>
      </c>
      <c r="H1996" s="252" t="s">
        <v>5268</v>
      </c>
      <c r="I1996" s="252">
        <v>5</v>
      </c>
      <c r="J1996" s="255">
        <v>1</v>
      </c>
      <c r="K1996" s="255">
        <v>1</v>
      </c>
      <c r="L1996" s="255"/>
      <c r="M1996" s="256">
        <v>1.6200000000000001E-4</v>
      </c>
      <c r="N1996" s="249">
        <v>1995</v>
      </c>
    </row>
    <row r="1997" spans="1:14" x14ac:dyDescent="0.25">
      <c r="A1997" s="252" t="s">
        <v>134</v>
      </c>
      <c r="B1997" s="252" t="s">
        <v>4131</v>
      </c>
      <c r="C1997" s="253">
        <v>0</v>
      </c>
      <c r="D1997" s="252">
        <v>39792</v>
      </c>
      <c r="E1997" s="252" t="s">
        <v>3039</v>
      </c>
      <c r="F1997" s="254" t="s">
        <v>4933</v>
      </c>
      <c r="G1997" s="252" t="s">
        <v>5269</v>
      </c>
      <c r="H1997" s="252" t="s">
        <v>5270</v>
      </c>
      <c r="I1997" s="252">
        <v>5</v>
      </c>
      <c r="J1997" s="255">
        <v>1</v>
      </c>
      <c r="K1997" s="255">
        <v>1</v>
      </c>
      <c r="L1997" s="255"/>
      <c r="M1997" s="256">
        <v>1.6200000000000001E-4</v>
      </c>
      <c r="N1997" s="249">
        <v>1996</v>
      </c>
    </row>
    <row r="1998" spans="1:14" x14ac:dyDescent="0.25">
      <c r="A1998" s="252" t="s">
        <v>134</v>
      </c>
      <c r="B1998" s="252" t="s">
        <v>4131</v>
      </c>
      <c r="C1998" s="253">
        <v>0</v>
      </c>
      <c r="D1998" s="252">
        <v>39792</v>
      </c>
      <c r="E1998" s="252" t="s">
        <v>3039</v>
      </c>
      <c r="F1998" s="254" t="s">
        <v>4933</v>
      </c>
      <c r="G1998" s="252" t="s">
        <v>5271</v>
      </c>
      <c r="H1998" s="252" t="s">
        <v>5272</v>
      </c>
      <c r="I1998" s="252">
        <v>5</v>
      </c>
      <c r="J1998" s="255">
        <v>1</v>
      </c>
      <c r="K1998" s="255">
        <v>1</v>
      </c>
      <c r="L1998" s="255"/>
      <c r="M1998" s="256">
        <v>1.5899999999999999E-4</v>
      </c>
      <c r="N1998" s="249">
        <v>1997</v>
      </c>
    </row>
    <row r="1999" spans="1:14" x14ac:dyDescent="0.25">
      <c r="A1999" s="252" t="s">
        <v>134</v>
      </c>
      <c r="B1999" s="252" t="s">
        <v>4131</v>
      </c>
      <c r="C1999" s="253">
        <v>0</v>
      </c>
      <c r="D1999" s="252">
        <v>39792</v>
      </c>
      <c r="E1999" s="252" t="s">
        <v>3039</v>
      </c>
      <c r="F1999" s="254" t="s">
        <v>4933</v>
      </c>
      <c r="G1999" s="252" t="s">
        <v>5273</v>
      </c>
      <c r="H1999" s="252" t="s">
        <v>5274</v>
      </c>
      <c r="I1999" s="252">
        <v>5</v>
      </c>
      <c r="J1999" s="255">
        <v>1</v>
      </c>
      <c r="K1999" s="255">
        <v>1</v>
      </c>
      <c r="L1999" s="255"/>
      <c r="M1999" s="256">
        <v>1.5600000000000002E-4</v>
      </c>
      <c r="N1999" s="249">
        <v>1998</v>
      </c>
    </row>
    <row r="2000" spans="1:14" x14ac:dyDescent="0.25">
      <c r="A2000" s="252" t="s">
        <v>134</v>
      </c>
      <c r="B2000" s="252" t="s">
        <v>4131</v>
      </c>
      <c r="C2000" s="253">
        <v>0</v>
      </c>
      <c r="D2000" s="252">
        <v>39792</v>
      </c>
      <c r="E2000" s="252" t="s">
        <v>3039</v>
      </c>
      <c r="F2000" s="254" t="s">
        <v>4933</v>
      </c>
      <c r="G2000" s="252" t="s">
        <v>5275</v>
      </c>
      <c r="H2000" s="252" t="s">
        <v>5276</v>
      </c>
      <c r="I2000" s="252">
        <v>5</v>
      </c>
      <c r="J2000" s="255">
        <v>1</v>
      </c>
      <c r="K2000" s="255">
        <v>1</v>
      </c>
      <c r="L2000" s="255"/>
      <c r="M2000" s="256">
        <v>1.5600000000000002E-4</v>
      </c>
      <c r="N2000" s="249">
        <v>1999</v>
      </c>
    </row>
    <row r="2001" spans="1:14" x14ac:dyDescent="0.25">
      <c r="A2001" s="252" t="s">
        <v>134</v>
      </c>
      <c r="B2001" s="252" t="s">
        <v>4131</v>
      </c>
      <c r="C2001" s="253">
        <v>0</v>
      </c>
      <c r="D2001" s="252">
        <v>39792</v>
      </c>
      <c r="E2001" s="252" t="s">
        <v>3039</v>
      </c>
      <c r="F2001" s="254" t="s">
        <v>4933</v>
      </c>
      <c r="G2001" s="252" t="s">
        <v>5277</v>
      </c>
      <c r="H2001" s="252" t="s">
        <v>5278</v>
      </c>
      <c r="I2001" s="252">
        <v>5</v>
      </c>
      <c r="J2001" s="255">
        <v>1</v>
      </c>
      <c r="K2001" s="255">
        <v>1</v>
      </c>
      <c r="L2001" s="255"/>
      <c r="M2001" s="256">
        <v>1.5899999999999999E-4</v>
      </c>
      <c r="N2001" s="249">
        <v>2000</v>
      </c>
    </row>
    <row r="2002" spans="1:14" x14ac:dyDescent="0.25">
      <c r="A2002" s="252" t="s">
        <v>134</v>
      </c>
      <c r="B2002" s="252" t="s">
        <v>4131</v>
      </c>
      <c r="C2002" s="253">
        <v>0</v>
      </c>
      <c r="D2002" s="252">
        <v>39792</v>
      </c>
      <c r="E2002" s="252" t="s">
        <v>3039</v>
      </c>
      <c r="F2002" s="254" t="s">
        <v>4933</v>
      </c>
      <c r="G2002" s="252" t="s">
        <v>5279</v>
      </c>
      <c r="H2002" s="252" t="s">
        <v>5280</v>
      </c>
      <c r="I2002" s="252">
        <v>5</v>
      </c>
      <c r="J2002" s="255">
        <v>1</v>
      </c>
      <c r="K2002" s="255">
        <v>1</v>
      </c>
      <c r="L2002" s="255"/>
      <c r="M2002" s="256">
        <v>1.8900000000000001E-4</v>
      </c>
      <c r="N2002" s="249">
        <v>2001</v>
      </c>
    </row>
    <row r="2003" spans="1:14" x14ac:dyDescent="0.25">
      <c r="A2003" s="252" t="s">
        <v>134</v>
      </c>
      <c r="B2003" s="252" t="s">
        <v>4131</v>
      </c>
      <c r="C2003" s="253">
        <v>0</v>
      </c>
      <c r="D2003" s="252">
        <v>39792</v>
      </c>
      <c r="E2003" s="252" t="s">
        <v>3039</v>
      </c>
      <c r="F2003" s="254" t="s">
        <v>4933</v>
      </c>
      <c r="G2003" s="252" t="s">
        <v>5281</v>
      </c>
      <c r="H2003" s="252" t="s">
        <v>5282</v>
      </c>
      <c r="I2003" s="252">
        <v>5</v>
      </c>
      <c r="J2003" s="255">
        <v>1</v>
      </c>
      <c r="K2003" s="255">
        <v>1</v>
      </c>
      <c r="L2003" s="255"/>
      <c r="M2003" s="256">
        <v>1.8900000000000001E-4</v>
      </c>
      <c r="N2003" s="249">
        <v>2002</v>
      </c>
    </row>
    <row r="2004" spans="1:14" x14ac:dyDescent="0.25">
      <c r="A2004" s="252" t="s">
        <v>134</v>
      </c>
      <c r="B2004" s="252" t="s">
        <v>4131</v>
      </c>
      <c r="C2004" s="253">
        <v>0</v>
      </c>
      <c r="D2004" s="252">
        <v>39792</v>
      </c>
      <c r="E2004" s="252" t="s">
        <v>3039</v>
      </c>
      <c r="F2004" s="254" t="s">
        <v>4933</v>
      </c>
      <c r="G2004" s="252" t="s">
        <v>5283</v>
      </c>
      <c r="H2004" s="252" t="s">
        <v>5284</v>
      </c>
      <c r="I2004" s="252">
        <v>5</v>
      </c>
      <c r="J2004" s="255">
        <v>1</v>
      </c>
      <c r="K2004" s="255">
        <v>1</v>
      </c>
      <c r="L2004" s="255"/>
      <c r="M2004" s="256">
        <v>1.8900000000000001E-4</v>
      </c>
      <c r="N2004" s="249">
        <v>2003</v>
      </c>
    </row>
    <row r="2005" spans="1:14" x14ac:dyDescent="0.25">
      <c r="A2005" s="252" t="s">
        <v>134</v>
      </c>
      <c r="B2005" s="252" t="s">
        <v>4131</v>
      </c>
      <c r="C2005" s="253">
        <v>0</v>
      </c>
      <c r="D2005" s="252">
        <v>39792</v>
      </c>
      <c r="E2005" s="252" t="s">
        <v>3039</v>
      </c>
      <c r="F2005" s="254" t="s">
        <v>4933</v>
      </c>
      <c r="G2005" s="252" t="s">
        <v>5285</v>
      </c>
      <c r="H2005" s="252" t="s">
        <v>5286</v>
      </c>
      <c r="I2005" s="252">
        <v>5</v>
      </c>
      <c r="J2005" s="255">
        <v>1</v>
      </c>
      <c r="K2005" s="255">
        <v>1</v>
      </c>
      <c r="L2005" s="255"/>
      <c r="M2005" s="256">
        <v>1.8900000000000001E-4</v>
      </c>
      <c r="N2005" s="249">
        <v>2004</v>
      </c>
    </row>
    <row r="2006" spans="1:14" x14ac:dyDescent="0.25">
      <c r="A2006" s="252" t="s">
        <v>134</v>
      </c>
      <c r="B2006" s="252" t="s">
        <v>4131</v>
      </c>
      <c r="C2006" s="253">
        <v>0</v>
      </c>
      <c r="D2006" s="252">
        <v>39792</v>
      </c>
      <c r="E2006" s="252" t="s">
        <v>3039</v>
      </c>
      <c r="F2006" s="254" t="s">
        <v>4933</v>
      </c>
      <c r="G2006" s="252" t="s">
        <v>5287</v>
      </c>
      <c r="H2006" s="252" t="s">
        <v>5288</v>
      </c>
      <c r="I2006" s="252">
        <v>5</v>
      </c>
      <c r="J2006" s="255">
        <v>1</v>
      </c>
      <c r="K2006" s="255">
        <v>1</v>
      </c>
      <c r="L2006" s="255"/>
      <c r="M2006" s="256">
        <v>1.5899999999999999E-4</v>
      </c>
      <c r="N2006" s="249">
        <v>2005</v>
      </c>
    </row>
    <row r="2007" spans="1:14" x14ac:dyDescent="0.25">
      <c r="A2007" s="252" t="s">
        <v>134</v>
      </c>
      <c r="B2007" s="252" t="s">
        <v>4131</v>
      </c>
      <c r="C2007" s="253">
        <v>0</v>
      </c>
      <c r="D2007" s="252">
        <v>39792</v>
      </c>
      <c r="E2007" s="252" t="s">
        <v>3039</v>
      </c>
      <c r="F2007" s="254" t="s">
        <v>4933</v>
      </c>
      <c r="G2007" s="252" t="s">
        <v>5289</v>
      </c>
      <c r="H2007" s="252" t="s">
        <v>5290</v>
      </c>
      <c r="I2007" s="252">
        <v>5</v>
      </c>
      <c r="J2007" s="255">
        <v>1</v>
      </c>
      <c r="K2007" s="255">
        <v>1</v>
      </c>
      <c r="L2007" s="255"/>
      <c r="M2007" s="256">
        <v>1.5899999999999999E-4</v>
      </c>
      <c r="N2007" s="249">
        <v>2006</v>
      </c>
    </row>
    <row r="2008" spans="1:14" x14ac:dyDescent="0.25">
      <c r="A2008" s="252" t="s">
        <v>134</v>
      </c>
      <c r="B2008" s="252" t="s">
        <v>4131</v>
      </c>
      <c r="C2008" s="253">
        <v>0</v>
      </c>
      <c r="D2008" s="252">
        <v>39792</v>
      </c>
      <c r="E2008" s="252" t="s">
        <v>3039</v>
      </c>
      <c r="F2008" s="254" t="s">
        <v>4933</v>
      </c>
      <c r="G2008" s="252" t="s">
        <v>5291</v>
      </c>
      <c r="H2008" s="252" t="s">
        <v>5292</v>
      </c>
      <c r="I2008" s="252">
        <v>5</v>
      </c>
      <c r="J2008" s="255">
        <v>1</v>
      </c>
      <c r="K2008" s="255">
        <v>1</v>
      </c>
      <c r="L2008" s="255"/>
      <c r="M2008" s="256">
        <v>1.8900000000000001E-4</v>
      </c>
      <c r="N2008" s="249">
        <v>2007</v>
      </c>
    </row>
    <row r="2009" spans="1:14" x14ac:dyDescent="0.25">
      <c r="A2009" s="252" t="s">
        <v>134</v>
      </c>
      <c r="B2009" s="252" t="s">
        <v>4131</v>
      </c>
      <c r="C2009" s="253">
        <v>0</v>
      </c>
      <c r="D2009" s="252">
        <v>39792</v>
      </c>
      <c r="E2009" s="252" t="s">
        <v>3039</v>
      </c>
      <c r="F2009" s="254" t="s">
        <v>4933</v>
      </c>
      <c r="G2009" s="252" t="s">
        <v>5293</v>
      </c>
      <c r="H2009" s="252" t="s">
        <v>5294</v>
      </c>
      <c r="I2009" s="252">
        <v>5</v>
      </c>
      <c r="J2009" s="255">
        <v>1</v>
      </c>
      <c r="K2009" s="255">
        <v>1</v>
      </c>
      <c r="L2009" s="255"/>
      <c r="M2009" s="256">
        <v>1.8900000000000001E-4</v>
      </c>
      <c r="N2009" s="249">
        <v>2008</v>
      </c>
    </row>
    <row r="2010" spans="1:14" x14ac:dyDescent="0.25">
      <c r="A2010" s="252" t="s">
        <v>134</v>
      </c>
      <c r="B2010" s="252" t="s">
        <v>4131</v>
      </c>
      <c r="C2010" s="253">
        <v>0</v>
      </c>
      <c r="D2010" s="252">
        <v>39792</v>
      </c>
      <c r="E2010" s="252" t="s">
        <v>3039</v>
      </c>
      <c r="F2010" s="254" t="s">
        <v>4933</v>
      </c>
      <c r="G2010" s="252" t="s">
        <v>5295</v>
      </c>
      <c r="H2010" s="252" t="s">
        <v>5296</v>
      </c>
      <c r="I2010" s="252">
        <v>5</v>
      </c>
      <c r="J2010" s="255">
        <v>1</v>
      </c>
      <c r="K2010" s="255">
        <v>1</v>
      </c>
      <c r="L2010" s="255"/>
      <c r="M2010" s="256">
        <v>1.8900000000000001E-4</v>
      </c>
      <c r="N2010" s="249">
        <v>2009</v>
      </c>
    </row>
    <row r="2011" spans="1:14" x14ac:dyDescent="0.25">
      <c r="A2011" s="252" t="s">
        <v>134</v>
      </c>
      <c r="B2011" s="252" t="s">
        <v>4131</v>
      </c>
      <c r="C2011" s="253">
        <v>0</v>
      </c>
      <c r="D2011" s="252">
        <v>39792</v>
      </c>
      <c r="E2011" s="252" t="s">
        <v>3039</v>
      </c>
      <c r="F2011" s="254" t="s">
        <v>4933</v>
      </c>
      <c r="G2011" s="252" t="s">
        <v>5297</v>
      </c>
      <c r="H2011" s="252" t="s">
        <v>5298</v>
      </c>
      <c r="I2011" s="252">
        <v>5</v>
      </c>
      <c r="J2011" s="255">
        <v>1</v>
      </c>
      <c r="K2011" s="255">
        <v>1</v>
      </c>
      <c r="L2011" s="255"/>
      <c r="M2011" s="256">
        <v>1.8900000000000001E-4</v>
      </c>
      <c r="N2011" s="249">
        <v>2010</v>
      </c>
    </row>
    <row r="2012" spans="1:14" x14ac:dyDescent="0.25">
      <c r="A2012" s="252" t="s">
        <v>134</v>
      </c>
      <c r="B2012" s="252" t="s">
        <v>4131</v>
      </c>
      <c r="C2012" s="253">
        <v>0</v>
      </c>
      <c r="D2012" s="252">
        <v>39792</v>
      </c>
      <c r="E2012" s="252" t="s">
        <v>3039</v>
      </c>
      <c r="F2012" s="254" t="s">
        <v>4933</v>
      </c>
      <c r="G2012" s="252" t="s">
        <v>5299</v>
      </c>
      <c r="H2012" s="252" t="s">
        <v>5300</v>
      </c>
      <c r="I2012" s="252">
        <v>5</v>
      </c>
      <c r="J2012" s="255">
        <v>1</v>
      </c>
      <c r="K2012" s="255">
        <v>1</v>
      </c>
      <c r="L2012" s="255"/>
      <c r="M2012" s="256">
        <v>1.5899999999999999E-4</v>
      </c>
      <c r="N2012" s="249">
        <v>2011</v>
      </c>
    </row>
    <row r="2013" spans="1:14" x14ac:dyDescent="0.25">
      <c r="A2013" s="252" t="s">
        <v>134</v>
      </c>
      <c r="B2013" s="252" t="s">
        <v>4131</v>
      </c>
      <c r="C2013" s="253">
        <v>0</v>
      </c>
      <c r="D2013" s="252">
        <v>39792</v>
      </c>
      <c r="E2013" s="252" t="s">
        <v>3039</v>
      </c>
      <c r="F2013" s="254" t="s">
        <v>4933</v>
      </c>
      <c r="G2013" s="252" t="s">
        <v>5301</v>
      </c>
      <c r="H2013" s="252" t="s">
        <v>5302</v>
      </c>
      <c r="I2013" s="252">
        <v>5</v>
      </c>
      <c r="J2013" s="255">
        <v>1</v>
      </c>
      <c r="K2013" s="255">
        <v>1</v>
      </c>
      <c r="L2013" s="255"/>
      <c r="M2013" s="256">
        <v>1.5899999999999999E-4</v>
      </c>
      <c r="N2013" s="249">
        <v>2012</v>
      </c>
    </row>
    <row r="2014" spans="1:14" x14ac:dyDescent="0.25">
      <c r="A2014" s="252" t="s">
        <v>134</v>
      </c>
      <c r="B2014" s="252" t="s">
        <v>4131</v>
      </c>
      <c r="C2014" s="253">
        <v>0</v>
      </c>
      <c r="D2014" s="252">
        <v>39792</v>
      </c>
      <c r="E2014" s="252" t="s">
        <v>3039</v>
      </c>
      <c r="F2014" s="254" t="s">
        <v>4933</v>
      </c>
      <c r="G2014" s="252" t="s">
        <v>5303</v>
      </c>
      <c r="H2014" s="252" t="s">
        <v>5304</v>
      </c>
      <c r="I2014" s="252">
        <v>5</v>
      </c>
      <c r="J2014" s="255">
        <v>1</v>
      </c>
      <c r="K2014" s="255">
        <v>1</v>
      </c>
      <c r="L2014" s="255"/>
      <c r="M2014" s="256">
        <v>1.8900000000000001E-4</v>
      </c>
      <c r="N2014" s="249">
        <v>2013</v>
      </c>
    </row>
    <row r="2015" spans="1:14" x14ac:dyDescent="0.25">
      <c r="A2015" s="252" t="s">
        <v>134</v>
      </c>
      <c r="B2015" s="252" t="s">
        <v>4131</v>
      </c>
      <c r="C2015" s="253">
        <v>0</v>
      </c>
      <c r="D2015" s="252">
        <v>39792</v>
      </c>
      <c r="E2015" s="252" t="s">
        <v>3039</v>
      </c>
      <c r="F2015" s="254" t="s">
        <v>4933</v>
      </c>
      <c r="G2015" s="252" t="s">
        <v>5305</v>
      </c>
      <c r="H2015" s="252" t="s">
        <v>5306</v>
      </c>
      <c r="I2015" s="252">
        <v>5</v>
      </c>
      <c r="J2015" s="255">
        <v>1</v>
      </c>
      <c r="K2015" s="255">
        <v>1</v>
      </c>
      <c r="L2015" s="255"/>
      <c r="M2015" s="256">
        <v>1.8900000000000001E-4</v>
      </c>
      <c r="N2015" s="249">
        <v>2014</v>
      </c>
    </row>
    <row r="2016" spans="1:14" x14ac:dyDescent="0.25">
      <c r="A2016" s="252" t="s">
        <v>134</v>
      </c>
      <c r="B2016" s="252" t="s">
        <v>4131</v>
      </c>
      <c r="C2016" s="253">
        <v>0</v>
      </c>
      <c r="D2016" s="252">
        <v>39792</v>
      </c>
      <c r="E2016" s="252" t="s">
        <v>3039</v>
      </c>
      <c r="F2016" s="254" t="s">
        <v>4933</v>
      </c>
      <c r="G2016" s="252" t="s">
        <v>5307</v>
      </c>
      <c r="H2016" s="252" t="s">
        <v>5308</v>
      </c>
      <c r="I2016" s="252">
        <v>5</v>
      </c>
      <c r="J2016" s="255">
        <v>1</v>
      </c>
      <c r="K2016" s="255">
        <v>1</v>
      </c>
      <c r="L2016" s="255"/>
      <c r="M2016" s="256">
        <v>1.8900000000000001E-4</v>
      </c>
      <c r="N2016" s="249">
        <v>2015</v>
      </c>
    </row>
    <row r="2017" spans="1:14" x14ac:dyDescent="0.25">
      <c r="A2017" s="252" t="s">
        <v>134</v>
      </c>
      <c r="B2017" s="252" t="s">
        <v>4131</v>
      </c>
      <c r="C2017" s="253">
        <v>0</v>
      </c>
      <c r="D2017" s="252">
        <v>39792</v>
      </c>
      <c r="E2017" s="252" t="s">
        <v>3039</v>
      </c>
      <c r="F2017" s="254" t="s">
        <v>4933</v>
      </c>
      <c r="G2017" s="252" t="s">
        <v>5309</v>
      </c>
      <c r="H2017" s="252" t="s">
        <v>5310</v>
      </c>
      <c r="I2017" s="252">
        <v>5</v>
      </c>
      <c r="J2017" s="255">
        <v>1</v>
      </c>
      <c r="K2017" s="255">
        <v>1</v>
      </c>
      <c r="L2017" s="255"/>
      <c r="M2017" s="256">
        <v>1.8900000000000001E-4</v>
      </c>
      <c r="N2017" s="249">
        <v>2016</v>
      </c>
    </row>
    <row r="2018" spans="1:14" x14ac:dyDescent="0.25">
      <c r="A2018" s="252" t="s">
        <v>134</v>
      </c>
      <c r="B2018" s="252" t="s">
        <v>4131</v>
      </c>
      <c r="C2018" s="253">
        <v>0</v>
      </c>
      <c r="D2018" s="252">
        <v>39792</v>
      </c>
      <c r="E2018" s="252" t="s">
        <v>3039</v>
      </c>
      <c r="F2018" s="254" t="s">
        <v>4933</v>
      </c>
      <c r="G2018" s="252" t="s">
        <v>5311</v>
      </c>
      <c r="H2018" s="252" t="s">
        <v>5312</v>
      </c>
      <c r="I2018" s="252">
        <v>5</v>
      </c>
      <c r="J2018" s="255">
        <v>1</v>
      </c>
      <c r="K2018" s="255">
        <v>1</v>
      </c>
      <c r="L2018" s="255"/>
      <c r="M2018" s="256">
        <v>1.5899999999999999E-4</v>
      </c>
      <c r="N2018" s="249">
        <v>2017</v>
      </c>
    </row>
    <row r="2019" spans="1:14" x14ac:dyDescent="0.25">
      <c r="A2019" s="252" t="s">
        <v>134</v>
      </c>
      <c r="B2019" s="252" t="s">
        <v>4131</v>
      </c>
      <c r="C2019" s="253">
        <v>0</v>
      </c>
      <c r="D2019" s="252">
        <v>39792</v>
      </c>
      <c r="E2019" s="252" t="s">
        <v>3039</v>
      </c>
      <c r="F2019" s="254" t="s">
        <v>4933</v>
      </c>
      <c r="G2019" s="252" t="s">
        <v>5313</v>
      </c>
      <c r="H2019" s="252" t="s">
        <v>5314</v>
      </c>
      <c r="I2019" s="252">
        <v>5</v>
      </c>
      <c r="J2019" s="255">
        <v>1</v>
      </c>
      <c r="K2019" s="255">
        <v>1</v>
      </c>
      <c r="L2019" s="255"/>
      <c r="M2019" s="256">
        <v>1.5899999999999999E-4</v>
      </c>
      <c r="N2019" s="249">
        <v>2018</v>
      </c>
    </row>
    <row r="2020" spans="1:14" x14ac:dyDescent="0.25">
      <c r="A2020" s="252" t="s">
        <v>134</v>
      </c>
      <c r="B2020" s="252" t="s">
        <v>4131</v>
      </c>
      <c r="C2020" s="253">
        <v>0</v>
      </c>
      <c r="D2020" s="252">
        <v>39792</v>
      </c>
      <c r="E2020" s="252" t="s">
        <v>3039</v>
      </c>
      <c r="F2020" s="254" t="s">
        <v>4933</v>
      </c>
      <c r="G2020" s="252" t="s">
        <v>5315</v>
      </c>
      <c r="H2020" s="252" t="s">
        <v>5316</v>
      </c>
      <c r="I2020" s="252">
        <v>5</v>
      </c>
      <c r="J2020" s="255">
        <v>1</v>
      </c>
      <c r="K2020" s="255">
        <v>1</v>
      </c>
      <c r="L2020" s="255"/>
      <c r="M2020" s="256">
        <v>1.5899999999999999E-4</v>
      </c>
      <c r="N2020" s="249">
        <v>2019</v>
      </c>
    </row>
    <row r="2021" spans="1:14" x14ac:dyDescent="0.25">
      <c r="A2021" s="252" t="s">
        <v>134</v>
      </c>
      <c r="B2021" s="252" t="s">
        <v>4131</v>
      </c>
      <c r="C2021" s="253">
        <v>0</v>
      </c>
      <c r="D2021" s="252">
        <v>39792</v>
      </c>
      <c r="E2021" s="252" t="s">
        <v>3039</v>
      </c>
      <c r="F2021" s="254" t="s">
        <v>4933</v>
      </c>
      <c r="G2021" s="252" t="s">
        <v>5317</v>
      </c>
      <c r="H2021" s="252" t="s">
        <v>5318</v>
      </c>
      <c r="I2021" s="252">
        <v>5</v>
      </c>
      <c r="J2021" s="255">
        <v>1</v>
      </c>
      <c r="K2021" s="255">
        <v>1</v>
      </c>
      <c r="L2021" s="255"/>
      <c r="M2021" s="256">
        <v>1.5899999999999999E-4</v>
      </c>
      <c r="N2021" s="249">
        <v>2020</v>
      </c>
    </row>
    <row r="2022" spans="1:14" x14ac:dyDescent="0.25">
      <c r="A2022" s="252" t="s">
        <v>134</v>
      </c>
      <c r="B2022" s="252" t="s">
        <v>4131</v>
      </c>
      <c r="C2022" s="253">
        <v>0</v>
      </c>
      <c r="D2022" s="252">
        <v>39792</v>
      </c>
      <c r="E2022" s="252" t="s">
        <v>3039</v>
      </c>
      <c r="F2022" s="254" t="s">
        <v>4933</v>
      </c>
      <c r="G2022" s="252" t="s">
        <v>5319</v>
      </c>
      <c r="H2022" s="252" t="s">
        <v>5320</v>
      </c>
      <c r="I2022" s="252">
        <v>5</v>
      </c>
      <c r="J2022" s="255">
        <v>1</v>
      </c>
      <c r="K2022" s="255">
        <v>1</v>
      </c>
      <c r="L2022" s="255"/>
      <c r="M2022" s="256">
        <v>1.0589999999999998E-3</v>
      </c>
      <c r="N2022" s="249">
        <v>2021</v>
      </c>
    </row>
    <row r="2023" spans="1:14" x14ac:dyDescent="0.25">
      <c r="A2023" s="252" t="s">
        <v>134</v>
      </c>
      <c r="B2023" s="252" t="s">
        <v>4131</v>
      </c>
      <c r="C2023" s="253">
        <v>0</v>
      </c>
      <c r="D2023" s="252">
        <v>39792</v>
      </c>
      <c r="E2023" s="252" t="s">
        <v>3039</v>
      </c>
      <c r="F2023" s="254" t="s">
        <v>4933</v>
      </c>
      <c r="G2023" s="252" t="s">
        <v>5321</v>
      </c>
      <c r="H2023" s="252" t="s">
        <v>5322</v>
      </c>
      <c r="I2023" s="252">
        <v>5</v>
      </c>
      <c r="J2023" s="255">
        <v>1</v>
      </c>
      <c r="K2023" s="255">
        <v>1</v>
      </c>
      <c r="L2023" s="255"/>
      <c r="M2023" s="256">
        <v>2.04E-4</v>
      </c>
      <c r="N2023" s="249">
        <v>2022</v>
      </c>
    </row>
    <row r="2024" spans="1:14" x14ac:dyDescent="0.25">
      <c r="A2024" s="252" t="s">
        <v>134</v>
      </c>
      <c r="B2024" s="252" t="s">
        <v>4131</v>
      </c>
      <c r="C2024" s="253">
        <v>0</v>
      </c>
      <c r="D2024" s="252">
        <v>39792</v>
      </c>
      <c r="E2024" s="252" t="s">
        <v>3039</v>
      </c>
      <c r="F2024" s="254" t="s">
        <v>4933</v>
      </c>
      <c r="G2024" s="252" t="s">
        <v>5323</v>
      </c>
      <c r="H2024" s="252" t="s">
        <v>5324</v>
      </c>
      <c r="I2024" s="252">
        <v>5</v>
      </c>
      <c r="J2024" s="255">
        <v>1</v>
      </c>
      <c r="K2024" s="255">
        <v>1</v>
      </c>
      <c r="L2024" s="255"/>
      <c r="M2024" s="256">
        <v>1.0589999999999998E-3</v>
      </c>
      <c r="N2024" s="249">
        <v>2023</v>
      </c>
    </row>
    <row r="2025" spans="1:14" x14ac:dyDescent="0.25">
      <c r="A2025" s="252" t="s">
        <v>134</v>
      </c>
      <c r="B2025" s="252" t="s">
        <v>4131</v>
      </c>
      <c r="C2025" s="253">
        <v>0</v>
      </c>
      <c r="D2025" s="252">
        <v>39792</v>
      </c>
      <c r="E2025" s="252" t="s">
        <v>3039</v>
      </c>
      <c r="F2025" s="254" t="s">
        <v>4933</v>
      </c>
      <c r="G2025" s="252" t="s">
        <v>5325</v>
      </c>
      <c r="H2025" s="252" t="s">
        <v>5326</v>
      </c>
      <c r="I2025" s="252">
        <v>5</v>
      </c>
      <c r="J2025" s="255">
        <v>1</v>
      </c>
      <c r="K2025" s="255">
        <v>1</v>
      </c>
      <c r="L2025" s="255"/>
      <c r="M2025" s="256">
        <v>2.04E-4</v>
      </c>
      <c r="N2025" s="249">
        <v>2024</v>
      </c>
    </row>
    <row r="2026" spans="1:14" x14ac:dyDescent="0.25">
      <c r="A2026" s="252" t="s">
        <v>134</v>
      </c>
      <c r="B2026" s="252" t="s">
        <v>4131</v>
      </c>
      <c r="C2026" s="253">
        <v>0</v>
      </c>
      <c r="D2026" s="252">
        <v>39792</v>
      </c>
      <c r="E2026" s="252" t="s">
        <v>3039</v>
      </c>
      <c r="F2026" s="254" t="s">
        <v>4933</v>
      </c>
      <c r="G2026" s="252" t="s">
        <v>5327</v>
      </c>
      <c r="H2026" s="252" t="s">
        <v>5328</v>
      </c>
      <c r="I2026" s="252">
        <v>5</v>
      </c>
      <c r="J2026" s="255">
        <v>1</v>
      </c>
      <c r="K2026" s="255">
        <v>1</v>
      </c>
      <c r="L2026" s="255"/>
      <c r="M2026" s="256">
        <v>1.5899999999999999E-4</v>
      </c>
      <c r="N2026" s="249">
        <v>2025</v>
      </c>
    </row>
    <row r="2027" spans="1:14" x14ac:dyDescent="0.25">
      <c r="A2027" s="252" t="s">
        <v>134</v>
      </c>
      <c r="B2027" s="252" t="s">
        <v>4131</v>
      </c>
      <c r="C2027" s="253">
        <v>0</v>
      </c>
      <c r="D2027" s="252">
        <v>39792</v>
      </c>
      <c r="E2027" s="252" t="s">
        <v>3039</v>
      </c>
      <c r="F2027" s="254" t="s">
        <v>4933</v>
      </c>
      <c r="G2027" s="252" t="s">
        <v>5329</v>
      </c>
      <c r="H2027" s="252" t="s">
        <v>5330</v>
      </c>
      <c r="I2027" s="252">
        <v>5</v>
      </c>
      <c r="J2027" s="255">
        <v>1</v>
      </c>
      <c r="K2027" s="255">
        <v>1</v>
      </c>
      <c r="L2027" s="255"/>
      <c r="M2027" s="256">
        <v>1.5899999999999999E-4</v>
      </c>
      <c r="N2027" s="249">
        <v>2026</v>
      </c>
    </row>
    <row r="2028" spans="1:14" x14ac:dyDescent="0.25">
      <c r="A2028" s="252" t="s">
        <v>134</v>
      </c>
      <c r="B2028" s="252" t="s">
        <v>4131</v>
      </c>
      <c r="C2028" s="253">
        <v>0</v>
      </c>
      <c r="D2028" s="252">
        <v>39792</v>
      </c>
      <c r="E2028" s="252" t="s">
        <v>3039</v>
      </c>
      <c r="F2028" s="254" t="s">
        <v>4933</v>
      </c>
      <c r="G2028" s="252" t="s">
        <v>5331</v>
      </c>
      <c r="H2028" s="252" t="s">
        <v>5332</v>
      </c>
      <c r="I2028" s="252">
        <v>5</v>
      </c>
      <c r="J2028" s="255">
        <v>1</v>
      </c>
      <c r="K2028" s="255">
        <v>1</v>
      </c>
      <c r="L2028" s="255"/>
      <c r="M2028" s="256">
        <v>1.6200000000000001E-4</v>
      </c>
      <c r="N2028" s="249">
        <v>2027</v>
      </c>
    </row>
    <row r="2029" spans="1:14" x14ac:dyDescent="0.25">
      <c r="A2029" s="252" t="s">
        <v>134</v>
      </c>
      <c r="B2029" s="252" t="s">
        <v>4131</v>
      </c>
      <c r="C2029" s="253">
        <v>0</v>
      </c>
      <c r="D2029" s="252">
        <v>39792</v>
      </c>
      <c r="E2029" s="252" t="s">
        <v>3039</v>
      </c>
      <c r="F2029" s="254" t="s">
        <v>4933</v>
      </c>
      <c r="G2029" s="252" t="s">
        <v>5333</v>
      </c>
      <c r="H2029" s="252" t="s">
        <v>5334</v>
      </c>
      <c r="I2029" s="252">
        <v>5</v>
      </c>
      <c r="J2029" s="255">
        <v>1</v>
      </c>
      <c r="K2029" s="255">
        <v>1</v>
      </c>
      <c r="L2029" s="255"/>
      <c r="M2029" s="256">
        <v>1.6200000000000001E-4</v>
      </c>
      <c r="N2029" s="249">
        <v>2028</v>
      </c>
    </row>
    <row r="2030" spans="1:14" x14ac:dyDescent="0.25">
      <c r="A2030" s="252" t="s">
        <v>134</v>
      </c>
      <c r="B2030" s="252" t="s">
        <v>4131</v>
      </c>
      <c r="C2030" s="253">
        <v>0</v>
      </c>
      <c r="D2030" s="252">
        <v>39792</v>
      </c>
      <c r="E2030" s="252" t="s">
        <v>3039</v>
      </c>
      <c r="F2030" s="254" t="s">
        <v>4933</v>
      </c>
      <c r="G2030" s="252" t="s">
        <v>5335</v>
      </c>
      <c r="H2030" s="252" t="s">
        <v>5336</v>
      </c>
      <c r="I2030" s="252">
        <v>5</v>
      </c>
      <c r="J2030" s="255">
        <v>1</v>
      </c>
      <c r="K2030" s="255">
        <v>1</v>
      </c>
      <c r="L2030" s="255"/>
      <c r="M2030" s="256">
        <v>1.5899999999999999E-4</v>
      </c>
      <c r="N2030" s="249">
        <v>2029</v>
      </c>
    </row>
    <row r="2031" spans="1:14" x14ac:dyDescent="0.25">
      <c r="A2031" s="252" t="s">
        <v>134</v>
      </c>
      <c r="B2031" s="252" t="s">
        <v>4131</v>
      </c>
      <c r="C2031" s="253">
        <v>0</v>
      </c>
      <c r="D2031" s="252">
        <v>39792</v>
      </c>
      <c r="E2031" s="252" t="s">
        <v>3039</v>
      </c>
      <c r="F2031" s="254" t="s">
        <v>4933</v>
      </c>
      <c r="G2031" s="252" t="s">
        <v>5337</v>
      </c>
      <c r="H2031" s="252" t="s">
        <v>5338</v>
      </c>
      <c r="I2031" s="252">
        <v>5</v>
      </c>
      <c r="J2031" s="255">
        <v>1</v>
      </c>
      <c r="K2031" s="255">
        <v>1</v>
      </c>
      <c r="L2031" s="255"/>
      <c r="M2031" s="256">
        <v>1.5899999999999999E-4</v>
      </c>
      <c r="N2031" s="249">
        <v>2030</v>
      </c>
    </row>
    <row r="2032" spans="1:14" x14ac:dyDescent="0.25">
      <c r="A2032" s="252" t="s">
        <v>134</v>
      </c>
      <c r="B2032" s="252" t="s">
        <v>4131</v>
      </c>
      <c r="C2032" s="253">
        <v>0</v>
      </c>
      <c r="D2032" s="252">
        <v>39792</v>
      </c>
      <c r="E2032" s="252" t="s">
        <v>3039</v>
      </c>
      <c r="F2032" s="254" t="s">
        <v>4933</v>
      </c>
      <c r="G2032" s="252" t="s">
        <v>5339</v>
      </c>
      <c r="H2032" s="252" t="s">
        <v>5340</v>
      </c>
      <c r="I2032" s="252">
        <v>5</v>
      </c>
      <c r="J2032" s="255">
        <v>1</v>
      </c>
      <c r="K2032" s="255">
        <v>1</v>
      </c>
      <c r="L2032" s="255"/>
      <c r="M2032" s="256">
        <v>1.6200000000000001E-4</v>
      </c>
      <c r="N2032" s="249">
        <v>2031</v>
      </c>
    </row>
    <row r="2033" spans="1:14" x14ac:dyDescent="0.25">
      <c r="A2033" s="252" t="s">
        <v>134</v>
      </c>
      <c r="B2033" s="252" t="s">
        <v>4131</v>
      </c>
      <c r="C2033" s="253">
        <v>0</v>
      </c>
      <c r="D2033" s="252">
        <v>39792</v>
      </c>
      <c r="E2033" s="252" t="s">
        <v>3039</v>
      </c>
      <c r="F2033" s="254" t="s">
        <v>4933</v>
      </c>
      <c r="G2033" s="252" t="s">
        <v>5341</v>
      </c>
      <c r="H2033" s="252" t="s">
        <v>5342</v>
      </c>
      <c r="I2033" s="252">
        <v>5</v>
      </c>
      <c r="J2033" s="255">
        <v>1</v>
      </c>
      <c r="K2033" s="255">
        <v>1</v>
      </c>
      <c r="L2033" s="255"/>
      <c r="M2033" s="256">
        <v>1.5899999999999999E-4</v>
      </c>
      <c r="N2033" s="249">
        <v>2032</v>
      </c>
    </row>
    <row r="2034" spans="1:14" x14ac:dyDescent="0.25">
      <c r="A2034" s="252" t="s">
        <v>134</v>
      </c>
      <c r="B2034" s="252" t="s">
        <v>4131</v>
      </c>
      <c r="C2034" s="253">
        <v>0</v>
      </c>
      <c r="D2034" s="252">
        <v>39792</v>
      </c>
      <c r="E2034" s="252" t="s">
        <v>3039</v>
      </c>
      <c r="F2034" s="254" t="s">
        <v>4933</v>
      </c>
      <c r="G2034" s="252" t="s">
        <v>5343</v>
      </c>
      <c r="H2034" s="252" t="s">
        <v>5344</v>
      </c>
      <c r="I2034" s="252">
        <v>5</v>
      </c>
      <c r="J2034" s="255">
        <v>1</v>
      </c>
      <c r="K2034" s="255">
        <v>1</v>
      </c>
      <c r="L2034" s="255"/>
      <c r="M2034" s="256">
        <v>1.5899999999999999E-4</v>
      </c>
      <c r="N2034" s="249">
        <v>2033</v>
      </c>
    </row>
    <row r="2035" spans="1:14" x14ac:dyDescent="0.25">
      <c r="A2035" s="252" t="s">
        <v>134</v>
      </c>
      <c r="B2035" s="252" t="s">
        <v>4131</v>
      </c>
      <c r="C2035" s="253">
        <v>0</v>
      </c>
      <c r="D2035" s="252">
        <v>39792</v>
      </c>
      <c r="E2035" s="252" t="s">
        <v>3039</v>
      </c>
      <c r="F2035" s="254" t="s">
        <v>4933</v>
      </c>
      <c r="G2035" s="252" t="s">
        <v>5345</v>
      </c>
      <c r="H2035" s="252" t="s">
        <v>5346</v>
      </c>
      <c r="I2035" s="252">
        <v>5</v>
      </c>
      <c r="J2035" s="255">
        <v>1</v>
      </c>
      <c r="K2035" s="255">
        <v>1</v>
      </c>
      <c r="L2035" s="255"/>
      <c r="M2035" s="256">
        <v>1.6200000000000001E-4</v>
      </c>
      <c r="N2035" s="249">
        <v>2034</v>
      </c>
    </row>
    <row r="2036" spans="1:14" x14ac:dyDescent="0.25">
      <c r="A2036" s="252" t="s">
        <v>134</v>
      </c>
      <c r="B2036" s="252" t="s">
        <v>4131</v>
      </c>
      <c r="C2036" s="253">
        <v>0</v>
      </c>
      <c r="D2036" s="252">
        <v>39792</v>
      </c>
      <c r="E2036" s="252" t="s">
        <v>3039</v>
      </c>
      <c r="F2036" s="254" t="s">
        <v>4933</v>
      </c>
      <c r="G2036" s="252" t="s">
        <v>5347</v>
      </c>
      <c r="H2036" s="252" t="s">
        <v>5348</v>
      </c>
      <c r="I2036" s="252">
        <v>5</v>
      </c>
      <c r="J2036" s="255">
        <v>1</v>
      </c>
      <c r="K2036" s="255">
        <v>1</v>
      </c>
      <c r="L2036" s="255"/>
      <c r="M2036" s="256">
        <v>1.6200000000000001E-4</v>
      </c>
      <c r="N2036" s="249">
        <v>2035</v>
      </c>
    </row>
    <row r="2037" spans="1:14" x14ac:dyDescent="0.25">
      <c r="A2037" s="252" t="s">
        <v>134</v>
      </c>
      <c r="B2037" s="252" t="s">
        <v>1229</v>
      </c>
      <c r="C2037" s="253" t="s">
        <v>214</v>
      </c>
      <c r="D2037" s="252">
        <v>50592</v>
      </c>
      <c r="E2037" s="252" t="s">
        <v>191</v>
      </c>
      <c r="F2037" s="254" t="s">
        <v>5349</v>
      </c>
      <c r="G2037" s="252" t="s">
        <v>5350</v>
      </c>
      <c r="H2037" s="252" t="s">
        <v>5351</v>
      </c>
      <c r="I2037" s="252">
        <v>7</v>
      </c>
      <c r="J2037" s="255">
        <v>1</v>
      </c>
      <c r="K2037" s="255">
        <v>1</v>
      </c>
      <c r="L2037" s="255"/>
      <c r="M2037" s="256">
        <v>4.0410000000000003E-3</v>
      </c>
      <c r="N2037" s="249">
        <v>2036</v>
      </c>
    </row>
    <row r="2038" spans="1:14" x14ac:dyDescent="0.25">
      <c r="A2038" s="252" t="s">
        <v>134</v>
      </c>
      <c r="B2038" s="252" t="s">
        <v>1229</v>
      </c>
      <c r="C2038" s="253" t="s">
        <v>214</v>
      </c>
      <c r="D2038" s="252">
        <v>50592</v>
      </c>
      <c r="E2038" s="252" t="s">
        <v>190</v>
      </c>
      <c r="F2038" s="254" t="s">
        <v>5349</v>
      </c>
      <c r="G2038" s="252" t="s">
        <v>5352</v>
      </c>
      <c r="H2038" s="252" t="s">
        <v>5353</v>
      </c>
      <c r="I2038" s="252">
        <v>7</v>
      </c>
      <c r="J2038" s="255">
        <v>1</v>
      </c>
      <c r="K2038" s="255">
        <v>1</v>
      </c>
      <c r="L2038" s="255"/>
      <c r="M2038" s="256">
        <v>3.738E-3</v>
      </c>
      <c r="N2038" s="249">
        <v>2037</v>
      </c>
    </row>
    <row r="2039" spans="1:14" x14ac:dyDescent="0.25">
      <c r="A2039" s="252" t="s">
        <v>134</v>
      </c>
      <c r="B2039" s="252" t="s">
        <v>1229</v>
      </c>
      <c r="C2039" s="253" t="s">
        <v>214</v>
      </c>
      <c r="D2039" s="252">
        <v>50592</v>
      </c>
      <c r="E2039" s="252" t="s">
        <v>190</v>
      </c>
      <c r="F2039" s="254" t="s">
        <v>5349</v>
      </c>
      <c r="G2039" s="252" t="s">
        <v>5354</v>
      </c>
      <c r="H2039" s="252" t="s">
        <v>5355</v>
      </c>
      <c r="I2039" s="252">
        <v>7</v>
      </c>
      <c r="J2039" s="255">
        <v>1</v>
      </c>
      <c r="K2039" s="255">
        <v>1</v>
      </c>
      <c r="L2039" s="255"/>
      <c r="M2039" s="256">
        <v>3.738E-3</v>
      </c>
      <c r="N2039" s="249">
        <v>2038</v>
      </c>
    </row>
    <row r="2040" spans="1:14" x14ac:dyDescent="0.25">
      <c r="A2040" s="252" t="s">
        <v>134</v>
      </c>
      <c r="B2040" s="252" t="s">
        <v>1229</v>
      </c>
      <c r="C2040" s="253" t="s">
        <v>214</v>
      </c>
      <c r="D2040" s="252">
        <v>50592</v>
      </c>
      <c r="E2040" s="252" t="s">
        <v>191</v>
      </c>
      <c r="F2040" s="254" t="s">
        <v>5349</v>
      </c>
      <c r="G2040" s="252" t="s">
        <v>5356</v>
      </c>
      <c r="H2040" s="252" t="s">
        <v>5357</v>
      </c>
      <c r="I2040" s="252">
        <v>7</v>
      </c>
      <c r="J2040" s="255">
        <v>1</v>
      </c>
      <c r="K2040" s="255">
        <v>1</v>
      </c>
      <c r="L2040" s="255"/>
      <c r="M2040" s="256">
        <v>4.0410000000000003E-3</v>
      </c>
      <c r="N2040" s="249">
        <v>2039</v>
      </c>
    </row>
    <row r="2041" spans="1:14" x14ac:dyDescent="0.25">
      <c r="A2041" s="252" t="s">
        <v>134</v>
      </c>
      <c r="B2041" s="252" t="s">
        <v>1229</v>
      </c>
      <c r="C2041" s="253" t="s">
        <v>214</v>
      </c>
      <c r="D2041" s="252">
        <v>50592</v>
      </c>
      <c r="E2041" s="252" t="s">
        <v>190</v>
      </c>
      <c r="F2041" s="254" t="s">
        <v>5349</v>
      </c>
      <c r="G2041" s="252" t="s">
        <v>5358</v>
      </c>
      <c r="H2041" s="252" t="s">
        <v>5359</v>
      </c>
      <c r="I2041" s="252">
        <v>7</v>
      </c>
      <c r="J2041" s="255">
        <v>1</v>
      </c>
      <c r="K2041" s="255">
        <v>1</v>
      </c>
      <c r="L2041" s="255"/>
      <c r="M2041" s="256">
        <v>3.738E-3</v>
      </c>
      <c r="N2041" s="249">
        <v>2040</v>
      </c>
    </row>
    <row r="2042" spans="1:14" x14ac:dyDescent="0.25">
      <c r="A2042" s="252" t="s">
        <v>134</v>
      </c>
      <c r="B2042" s="252" t="s">
        <v>1229</v>
      </c>
      <c r="C2042" s="253" t="s">
        <v>214</v>
      </c>
      <c r="D2042" s="252">
        <v>50592</v>
      </c>
      <c r="E2042" s="252" t="s">
        <v>190</v>
      </c>
      <c r="F2042" s="254" t="s">
        <v>5349</v>
      </c>
      <c r="G2042" s="252" t="s">
        <v>5360</v>
      </c>
      <c r="H2042" s="252" t="s">
        <v>5361</v>
      </c>
      <c r="I2042" s="252">
        <v>7</v>
      </c>
      <c r="J2042" s="255">
        <v>1</v>
      </c>
      <c r="K2042" s="255">
        <v>1</v>
      </c>
      <c r="L2042" s="255"/>
      <c r="M2042" s="256">
        <v>3.738E-3</v>
      </c>
      <c r="N2042" s="249">
        <v>2041</v>
      </c>
    </row>
    <row r="2043" spans="1:14" x14ac:dyDescent="0.25">
      <c r="A2043" s="252" t="s">
        <v>134</v>
      </c>
      <c r="B2043" s="252" t="s">
        <v>1229</v>
      </c>
      <c r="C2043" s="253" t="s">
        <v>214</v>
      </c>
      <c r="D2043" s="252">
        <v>50592</v>
      </c>
      <c r="E2043" s="252" t="s">
        <v>191</v>
      </c>
      <c r="F2043" s="254" t="s">
        <v>5349</v>
      </c>
      <c r="G2043" s="252" t="s">
        <v>5362</v>
      </c>
      <c r="H2043" s="252" t="s">
        <v>5363</v>
      </c>
      <c r="I2043" s="252">
        <v>7</v>
      </c>
      <c r="J2043" s="255">
        <v>1</v>
      </c>
      <c r="K2043" s="255">
        <v>1</v>
      </c>
      <c r="L2043" s="255"/>
      <c r="M2043" s="256">
        <v>4.0410000000000003E-3</v>
      </c>
      <c r="N2043" s="249">
        <v>2042</v>
      </c>
    </row>
    <row r="2044" spans="1:14" x14ac:dyDescent="0.25">
      <c r="A2044" s="252" t="s">
        <v>134</v>
      </c>
      <c r="B2044" s="252" t="s">
        <v>1229</v>
      </c>
      <c r="C2044" s="253" t="s">
        <v>214</v>
      </c>
      <c r="D2044" s="252">
        <v>50592</v>
      </c>
      <c r="E2044" s="252" t="s">
        <v>190</v>
      </c>
      <c r="F2044" s="254" t="s">
        <v>5349</v>
      </c>
      <c r="G2044" s="252" t="s">
        <v>5364</v>
      </c>
      <c r="H2044" s="252" t="s">
        <v>5365</v>
      </c>
      <c r="I2044" s="252">
        <v>7</v>
      </c>
      <c r="J2044" s="255">
        <v>1</v>
      </c>
      <c r="K2044" s="255">
        <v>1</v>
      </c>
      <c r="L2044" s="255"/>
      <c r="M2044" s="256">
        <v>3.738E-3</v>
      </c>
      <c r="N2044" s="249">
        <v>2043</v>
      </c>
    </row>
    <row r="2045" spans="1:14" x14ac:dyDescent="0.25">
      <c r="A2045" s="252" t="s">
        <v>134</v>
      </c>
      <c r="B2045" s="252" t="s">
        <v>1229</v>
      </c>
      <c r="C2045" s="253" t="s">
        <v>214</v>
      </c>
      <c r="D2045" s="252">
        <v>50592</v>
      </c>
      <c r="E2045" s="252" t="s">
        <v>190</v>
      </c>
      <c r="F2045" s="254" t="s">
        <v>5349</v>
      </c>
      <c r="G2045" s="252" t="s">
        <v>5366</v>
      </c>
      <c r="H2045" s="252" t="s">
        <v>5367</v>
      </c>
      <c r="I2045" s="252">
        <v>7</v>
      </c>
      <c r="J2045" s="255">
        <v>1</v>
      </c>
      <c r="K2045" s="255">
        <v>1</v>
      </c>
      <c r="L2045" s="255"/>
      <c r="M2045" s="256">
        <v>3.738E-3</v>
      </c>
      <c r="N2045" s="249">
        <v>2044</v>
      </c>
    </row>
    <row r="2046" spans="1:14" x14ac:dyDescent="0.25">
      <c r="A2046" s="252" t="s">
        <v>134</v>
      </c>
      <c r="B2046" s="252" t="s">
        <v>1229</v>
      </c>
      <c r="C2046" s="253" t="s">
        <v>214</v>
      </c>
      <c r="D2046" s="252">
        <v>50592</v>
      </c>
      <c r="E2046" s="252" t="s">
        <v>191</v>
      </c>
      <c r="F2046" s="254" t="s">
        <v>5349</v>
      </c>
      <c r="G2046" s="252" t="s">
        <v>5368</v>
      </c>
      <c r="H2046" s="252" t="s">
        <v>5369</v>
      </c>
      <c r="I2046" s="252">
        <v>7</v>
      </c>
      <c r="J2046" s="255">
        <v>1</v>
      </c>
      <c r="K2046" s="255">
        <v>1</v>
      </c>
      <c r="L2046" s="255"/>
      <c r="M2046" s="256">
        <v>4.0410000000000003E-3</v>
      </c>
      <c r="N2046" s="249">
        <v>2045</v>
      </c>
    </row>
    <row r="2047" spans="1:14" x14ac:dyDescent="0.25">
      <c r="A2047" s="252" t="s">
        <v>134</v>
      </c>
      <c r="B2047" s="252" t="s">
        <v>1229</v>
      </c>
      <c r="C2047" s="253" t="s">
        <v>214</v>
      </c>
      <c r="D2047" s="252">
        <v>50592</v>
      </c>
      <c r="E2047" s="252" t="s">
        <v>190</v>
      </c>
      <c r="F2047" s="254" t="s">
        <v>5349</v>
      </c>
      <c r="G2047" s="252" t="s">
        <v>5370</v>
      </c>
      <c r="H2047" s="252" t="s">
        <v>5371</v>
      </c>
      <c r="I2047" s="252">
        <v>7</v>
      </c>
      <c r="J2047" s="255">
        <v>1</v>
      </c>
      <c r="K2047" s="255">
        <v>1</v>
      </c>
      <c r="L2047" s="255"/>
      <c r="M2047" s="256">
        <v>3.738E-3</v>
      </c>
      <c r="N2047" s="249">
        <v>2046</v>
      </c>
    </row>
    <row r="2048" spans="1:14" x14ac:dyDescent="0.25">
      <c r="A2048" s="252" t="s">
        <v>134</v>
      </c>
      <c r="B2048" s="252" t="s">
        <v>1229</v>
      </c>
      <c r="C2048" s="253" t="s">
        <v>214</v>
      </c>
      <c r="D2048" s="252">
        <v>50592</v>
      </c>
      <c r="E2048" s="252" t="s">
        <v>190</v>
      </c>
      <c r="F2048" s="254" t="s">
        <v>5349</v>
      </c>
      <c r="G2048" s="252" t="s">
        <v>5372</v>
      </c>
      <c r="H2048" s="252" t="s">
        <v>5373</v>
      </c>
      <c r="I2048" s="252">
        <v>7</v>
      </c>
      <c r="J2048" s="255">
        <v>1</v>
      </c>
      <c r="K2048" s="255">
        <v>1</v>
      </c>
      <c r="L2048" s="255"/>
      <c r="M2048" s="256">
        <v>3.738E-3</v>
      </c>
      <c r="N2048" s="249">
        <v>2047</v>
      </c>
    </row>
    <row r="2049" spans="1:14" x14ac:dyDescent="0.25">
      <c r="A2049" s="252" t="s">
        <v>134</v>
      </c>
      <c r="B2049" s="252" t="s">
        <v>1229</v>
      </c>
      <c r="C2049" s="253" t="s">
        <v>214</v>
      </c>
      <c r="D2049" s="252">
        <v>50592</v>
      </c>
      <c r="E2049" s="252" t="s">
        <v>191</v>
      </c>
      <c r="F2049" s="254" t="s">
        <v>5349</v>
      </c>
      <c r="G2049" s="252" t="s">
        <v>5374</v>
      </c>
      <c r="H2049" s="252" t="s">
        <v>5375</v>
      </c>
      <c r="I2049" s="252">
        <v>7</v>
      </c>
      <c r="J2049" s="255">
        <v>1</v>
      </c>
      <c r="K2049" s="255">
        <v>1</v>
      </c>
      <c r="L2049" s="255"/>
      <c r="M2049" s="256">
        <v>4.0410000000000003E-3</v>
      </c>
      <c r="N2049" s="249">
        <v>2048</v>
      </c>
    </row>
    <row r="2050" spans="1:14" x14ac:dyDescent="0.25">
      <c r="A2050" s="252" t="s">
        <v>134</v>
      </c>
      <c r="B2050" s="252" t="s">
        <v>1229</v>
      </c>
      <c r="C2050" s="253" t="s">
        <v>214</v>
      </c>
      <c r="D2050" s="252">
        <v>50592</v>
      </c>
      <c r="E2050" s="252" t="s">
        <v>190</v>
      </c>
      <c r="F2050" s="254" t="s">
        <v>5349</v>
      </c>
      <c r="G2050" s="252" t="s">
        <v>5376</v>
      </c>
      <c r="H2050" s="252" t="s">
        <v>5377</v>
      </c>
      <c r="I2050" s="252">
        <v>7</v>
      </c>
      <c r="J2050" s="255">
        <v>1</v>
      </c>
      <c r="K2050" s="255">
        <v>1</v>
      </c>
      <c r="L2050" s="255"/>
      <c r="M2050" s="256">
        <v>3.738E-3</v>
      </c>
      <c r="N2050" s="249">
        <v>2049</v>
      </c>
    </row>
    <row r="2051" spans="1:14" x14ac:dyDescent="0.25">
      <c r="A2051" s="252" t="s">
        <v>134</v>
      </c>
      <c r="B2051" s="252" t="s">
        <v>1229</v>
      </c>
      <c r="C2051" s="253" t="s">
        <v>214</v>
      </c>
      <c r="D2051" s="252">
        <v>50592</v>
      </c>
      <c r="E2051" s="252" t="s">
        <v>190</v>
      </c>
      <c r="F2051" s="254" t="s">
        <v>5349</v>
      </c>
      <c r="G2051" s="252" t="s">
        <v>5378</v>
      </c>
      <c r="H2051" s="252" t="s">
        <v>5379</v>
      </c>
      <c r="I2051" s="252">
        <v>7</v>
      </c>
      <c r="J2051" s="255">
        <v>1</v>
      </c>
      <c r="K2051" s="255">
        <v>1</v>
      </c>
      <c r="L2051" s="255"/>
      <c r="M2051" s="256">
        <v>3.738E-3</v>
      </c>
      <c r="N2051" s="249">
        <v>2050</v>
      </c>
    </row>
    <row r="2052" spans="1:14" x14ac:dyDescent="0.25">
      <c r="A2052" s="252" t="s">
        <v>134</v>
      </c>
      <c r="B2052" s="252" t="s">
        <v>1229</v>
      </c>
      <c r="C2052" s="253" t="s">
        <v>214</v>
      </c>
      <c r="D2052" s="252">
        <v>50592</v>
      </c>
      <c r="E2052" s="252" t="s">
        <v>191</v>
      </c>
      <c r="F2052" s="254" t="s">
        <v>5349</v>
      </c>
      <c r="G2052" s="252" t="s">
        <v>5380</v>
      </c>
      <c r="H2052" s="252" t="s">
        <v>5381</v>
      </c>
      <c r="I2052" s="252">
        <v>7</v>
      </c>
      <c r="J2052" s="255">
        <v>1</v>
      </c>
      <c r="K2052" s="255">
        <v>1</v>
      </c>
      <c r="L2052" s="255"/>
      <c r="M2052" s="256">
        <v>4.9650000000000007E-3</v>
      </c>
      <c r="N2052" s="249">
        <v>2051</v>
      </c>
    </row>
    <row r="2053" spans="1:14" x14ac:dyDescent="0.25">
      <c r="A2053" s="252" t="s">
        <v>134</v>
      </c>
      <c r="B2053" s="252" t="s">
        <v>1229</v>
      </c>
      <c r="C2053" s="253" t="s">
        <v>214</v>
      </c>
      <c r="D2053" s="252">
        <v>50592</v>
      </c>
      <c r="E2053" s="252" t="s">
        <v>190</v>
      </c>
      <c r="F2053" s="254" t="s">
        <v>5349</v>
      </c>
      <c r="G2053" s="252" t="s">
        <v>5382</v>
      </c>
      <c r="H2053" s="252" t="s">
        <v>5383</v>
      </c>
      <c r="I2053" s="252">
        <v>7</v>
      </c>
      <c r="J2053" s="255">
        <v>1</v>
      </c>
      <c r="K2053" s="255">
        <v>1</v>
      </c>
      <c r="L2053" s="255"/>
      <c r="M2053" s="256">
        <v>3.2880000000000001E-3</v>
      </c>
      <c r="N2053" s="249">
        <v>2052</v>
      </c>
    </row>
    <row r="2054" spans="1:14" x14ac:dyDescent="0.25">
      <c r="A2054" s="252" t="s">
        <v>134</v>
      </c>
      <c r="B2054" s="252" t="s">
        <v>1229</v>
      </c>
      <c r="C2054" s="253" t="s">
        <v>214</v>
      </c>
      <c r="D2054" s="252">
        <v>50592</v>
      </c>
      <c r="E2054" s="252" t="s">
        <v>190</v>
      </c>
      <c r="F2054" s="254" t="s">
        <v>5349</v>
      </c>
      <c r="G2054" s="252" t="s">
        <v>5384</v>
      </c>
      <c r="H2054" s="252" t="s">
        <v>5385</v>
      </c>
      <c r="I2054" s="252">
        <v>7</v>
      </c>
      <c r="J2054" s="255">
        <v>1</v>
      </c>
      <c r="K2054" s="255">
        <v>1</v>
      </c>
      <c r="L2054" s="255"/>
      <c r="M2054" s="256">
        <v>3.2849999999999997E-3</v>
      </c>
      <c r="N2054" s="249">
        <v>2053</v>
      </c>
    </row>
    <row r="2055" spans="1:14" x14ac:dyDescent="0.25">
      <c r="A2055" s="252" t="s">
        <v>134</v>
      </c>
      <c r="B2055" s="252" t="s">
        <v>1229</v>
      </c>
      <c r="C2055" s="253" t="s">
        <v>214</v>
      </c>
      <c r="D2055" s="252">
        <v>50592</v>
      </c>
      <c r="E2055" s="252" t="s">
        <v>205</v>
      </c>
      <c r="F2055" s="254" t="s">
        <v>5386</v>
      </c>
      <c r="G2055" s="252" t="s">
        <v>5387</v>
      </c>
      <c r="H2055" s="252" t="s">
        <v>5388</v>
      </c>
      <c r="I2055" s="252">
        <v>7</v>
      </c>
      <c r="J2055" s="255">
        <v>1</v>
      </c>
      <c r="K2055" s="255">
        <v>1</v>
      </c>
      <c r="L2055" s="255"/>
      <c r="M2055" s="256">
        <v>5.8920000000000005E-3</v>
      </c>
      <c r="N2055" s="249">
        <v>2054</v>
      </c>
    </row>
    <row r="2056" spans="1:14" x14ac:dyDescent="0.25">
      <c r="A2056" s="252" t="s">
        <v>134</v>
      </c>
      <c r="B2056" s="252" t="s">
        <v>1229</v>
      </c>
      <c r="C2056" s="253" t="s">
        <v>214</v>
      </c>
      <c r="D2056" s="252">
        <v>50592</v>
      </c>
      <c r="E2056" s="252" t="s">
        <v>205</v>
      </c>
      <c r="F2056" s="254" t="s">
        <v>5386</v>
      </c>
      <c r="G2056" s="252" t="s">
        <v>5389</v>
      </c>
      <c r="H2056" s="252" t="s">
        <v>5390</v>
      </c>
      <c r="I2056" s="252">
        <v>7</v>
      </c>
      <c r="J2056" s="255">
        <v>1</v>
      </c>
      <c r="K2056" s="255">
        <v>1</v>
      </c>
      <c r="L2056" s="255"/>
      <c r="M2056" s="256">
        <v>6.9869999999999993E-3</v>
      </c>
      <c r="N2056" s="249">
        <v>2055</v>
      </c>
    </row>
    <row r="2057" spans="1:14" x14ac:dyDescent="0.25">
      <c r="A2057" s="252" t="s">
        <v>134</v>
      </c>
      <c r="B2057" s="252" t="s">
        <v>1229</v>
      </c>
      <c r="C2057" s="253" t="s">
        <v>214</v>
      </c>
      <c r="D2057" s="252">
        <v>50592</v>
      </c>
      <c r="E2057" s="252" t="s">
        <v>205</v>
      </c>
      <c r="F2057" s="254" t="s">
        <v>5386</v>
      </c>
      <c r="G2057" s="252" t="s">
        <v>5391</v>
      </c>
      <c r="H2057" s="252" t="s">
        <v>5392</v>
      </c>
      <c r="I2057" s="252">
        <v>7</v>
      </c>
      <c r="J2057" s="255">
        <v>1</v>
      </c>
      <c r="K2057" s="255">
        <v>1</v>
      </c>
      <c r="L2057" s="255"/>
      <c r="M2057" s="256">
        <v>6.9869999999999993E-3</v>
      </c>
      <c r="N2057" s="249">
        <v>2056</v>
      </c>
    </row>
    <row r="2058" spans="1:14" x14ac:dyDescent="0.25">
      <c r="A2058" s="252" t="s">
        <v>134</v>
      </c>
      <c r="B2058" s="252" t="s">
        <v>1229</v>
      </c>
      <c r="C2058" s="253" t="s">
        <v>214</v>
      </c>
      <c r="D2058" s="252">
        <v>50592</v>
      </c>
      <c r="E2058" s="252" t="s">
        <v>1230</v>
      </c>
      <c r="F2058" s="254" t="s">
        <v>5386</v>
      </c>
      <c r="G2058" s="252" t="s">
        <v>5393</v>
      </c>
      <c r="H2058" s="252" t="s">
        <v>5394</v>
      </c>
      <c r="I2058" s="252">
        <v>7</v>
      </c>
      <c r="J2058" s="255">
        <v>1</v>
      </c>
      <c r="K2058" s="255">
        <v>1</v>
      </c>
      <c r="L2058" s="255"/>
      <c r="M2058" s="256">
        <v>5.8139999999999989E-3</v>
      </c>
      <c r="N2058" s="249">
        <v>2057</v>
      </c>
    </row>
    <row r="2059" spans="1:14" x14ac:dyDescent="0.25">
      <c r="A2059" s="252" t="s">
        <v>134</v>
      </c>
      <c r="B2059" s="252" t="s">
        <v>1229</v>
      </c>
      <c r="C2059" s="253" t="s">
        <v>214</v>
      </c>
      <c r="D2059" s="252">
        <v>50592</v>
      </c>
      <c r="E2059" s="252" t="s">
        <v>205</v>
      </c>
      <c r="F2059" s="254" t="s">
        <v>5395</v>
      </c>
      <c r="G2059" s="252" t="s">
        <v>5396</v>
      </c>
      <c r="H2059" s="252" t="s">
        <v>5397</v>
      </c>
      <c r="I2059" s="252">
        <v>7</v>
      </c>
      <c r="J2059" s="255">
        <v>1</v>
      </c>
      <c r="K2059" s="255">
        <v>1</v>
      </c>
      <c r="L2059" s="255"/>
      <c r="M2059" s="256">
        <v>4.8989999999999988E-3</v>
      </c>
      <c r="N2059" s="249">
        <v>2058</v>
      </c>
    </row>
    <row r="2060" spans="1:14" x14ac:dyDescent="0.25">
      <c r="A2060" s="252" t="s">
        <v>134</v>
      </c>
      <c r="B2060" s="252" t="s">
        <v>1229</v>
      </c>
      <c r="C2060" s="253" t="s">
        <v>214</v>
      </c>
      <c r="D2060" s="252">
        <v>50592</v>
      </c>
      <c r="E2060" s="252" t="s">
        <v>205</v>
      </c>
      <c r="F2060" s="254" t="s">
        <v>5395</v>
      </c>
      <c r="G2060" s="252" t="s">
        <v>5398</v>
      </c>
      <c r="H2060" s="252" t="s">
        <v>5399</v>
      </c>
      <c r="I2060" s="252">
        <v>7</v>
      </c>
      <c r="J2060" s="255">
        <v>1</v>
      </c>
      <c r="K2060" s="255">
        <v>1</v>
      </c>
      <c r="L2060" s="255"/>
      <c r="M2060" s="256">
        <v>8.0190000000000001E-3</v>
      </c>
      <c r="N2060" s="249">
        <v>2059</v>
      </c>
    </row>
    <row r="2061" spans="1:14" x14ac:dyDescent="0.25">
      <c r="A2061" s="252" t="s">
        <v>134</v>
      </c>
      <c r="B2061" s="252" t="s">
        <v>1229</v>
      </c>
      <c r="C2061" s="253" t="s">
        <v>214</v>
      </c>
      <c r="D2061" s="252">
        <v>50592</v>
      </c>
      <c r="E2061" s="252" t="s">
        <v>205</v>
      </c>
      <c r="F2061" s="254" t="s">
        <v>5395</v>
      </c>
      <c r="G2061" s="252" t="s">
        <v>1314</v>
      </c>
      <c r="H2061" s="252" t="s">
        <v>5400</v>
      </c>
      <c r="I2061" s="252">
        <v>7</v>
      </c>
      <c r="J2061" s="255">
        <v>1</v>
      </c>
      <c r="K2061" s="255">
        <v>1</v>
      </c>
      <c r="L2061" s="255"/>
      <c r="M2061" s="256">
        <v>9.3030000000000005E-3</v>
      </c>
      <c r="N2061" s="249">
        <v>2060</v>
      </c>
    </row>
    <row r="2062" spans="1:14" x14ac:dyDescent="0.25">
      <c r="A2062" s="252" t="s">
        <v>134</v>
      </c>
      <c r="B2062" s="252" t="s">
        <v>1229</v>
      </c>
      <c r="C2062" s="253" t="s">
        <v>214</v>
      </c>
      <c r="D2062" s="252">
        <v>50592</v>
      </c>
      <c r="E2062" s="252" t="s">
        <v>1230</v>
      </c>
      <c r="F2062" s="254" t="s">
        <v>5395</v>
      </c>
      <c r="G2062" s="252" t="s">
        <v>5401</v>
      </c>
      <c r="H2062" s="252" t="s">
        <v>5402</v>
      </c>
      <c r="I2062" s="252">
        <v>7</v>
      </c>
      <c r="J2062" s="255">
        <v>1</v>
      </c>
      <c r="K2062" s="255">
        <v>1</v>
      </c>
      <c r="L2062" s="255"/>
      <c r="M2062" s="256">
        <v>5.8139999999999989E-3</v>
      </c>
      <c r="N2062" s="249">
        <v>2061</v>
      </c>
    </row>
    <row r="2063" spans="1:14" x14ac:dyDescent="0.25">
      <c r="A2063" s="252" t="s">
        <v>134</v>
      </c>
      <c r="B2063" s="252" t="s">
        <v>1229</v>
      </c>
      <c r="C2063" s="253" t="s">
        <v>214</v>
      </c>
      <c r="D2063" s="252">
        <v>50592</v>
      </c>
      <c r="E2063" s="252" t="s">
        <v>1230</v>
      </c>
      <c r="F2063" s="254" t="s">
        <v>5395</v>
      </c>
      <c r="G2063" s="252" t="s">
        <v>5403</v>
      </c>
      <c r="H2063" s="252" t="s">
        <v>5404</v>
      </c>
      <c r="I2063" s="252">
        <v>7</v>
      </c>
      <c r="J2063" s="255">
        <v>1</v>
      </c>
      <c r="K2063" s="255">
        <v>1</v>
      </c>
      <c r="L2063" s="255"/>
      <c r="M2063" s="256">
        <v>5.8139999999999989E-3</v>
      </c>
      <c r="N2063" s="249">
        <v>2062</v>
      </c>
    </row>
    <row r="2064" spans="1:14" x14ac:dyDescent="0.25">
      <c r="A2064" s="252" t="s">
        <v>134</v>
      </c>
      <c r="B2064" s="252" t="s">
        <v>1229</v>
      </c>
      <c r="C2064" s="253" t="s">
        <v>214</v>
      </c>
      <c r="D2064" s="252">
        <v>50592</v>
      </c>
      <c r="E2064" s="252" t="s">
        <v>205</v>
      </c>
      <c r="F2064" s="254" t="s">
        <v>5405</v>
      </c>
      <c r="G2064" s="252" t="s">
        <v>2702</v>
      </c>
      <c r="H2064" s="252" t="s">
        <v>5406</v>
      </c>
      <c r="I2064" s="252">
        <v>7</v>
      </c>
      <c r="J2064" s="255">
        <v>1</v>
      </c>
      <c r="K2064" s="255">
        <v>1</v>
      </c>
      <c r="L2064" s="255"/>
      <c r="M2064" s="256">
        <v>5.8920000000000005E-3</v>
      </c>
      <c r="N2064" s="249">
        <v>2063</v>
      </c>
    </row>
    <row r="2065" spans="1:14" x14ac:dyDescent="0.25">
      <c r="A2065" s="252" t="s">
        <v>134</v>
      </c>
      <c r="B2065" s="252" t="s">
        <v>1229</v>
      </c>
      <c r="C2065" s="253" t="s">
        <v>214</v>
      </c>
      <c r="D2065" s="252">
        <v>50592</v>
      </c>
      <c r="E2065" s="252" t="s">
        <v>205</v>
      </c>
      <c r="F2065" s="254" t="s">
        <v>5405</v>
      </c>
      <c r="G2065" s="252" t="s">
        <v>2703</v>
      </c>
      <c r="H2065" s="252" t="s">
        <v>5407</v>
      </c>
      <c r="I2065" s="252">
        <v>7</v>
      </c>
      <c r="J2065" s="255">
        <v>1</v>
      </c>
      <c r="K2065" s="255">
        <v>1</v>
      </c>
      <c r="L2065" s="255"/>
      <c r="M2065" s="256">
        <v>6.9869999999999993E-3</v>
      </c>
      <c r="N2065" s="249">
        <v>2064</v>
      </c>
    </row>
    <row r="2066" spans="1:14" x14ac:dyDescent="0.25">
      <c r="A2066" s="252" t="s">
        <v>134</v>
      </c>
      <c r="B2066" s="252" t="s">
        <v>1229</v>
      </c>
      <c r="C2066" s="253" t="s">
        <v>214</v>
      </c>
      <c r="D2066" s="252">
        <v>50592</v>
      </c>
      <c r="E2066" s="252" t="s">
        <v>205</v>
      </c>
      <c r="F2066" s="254" t="s">
        <v>5405</v>
      </c>
      <c r="G2066" s="252" t="s">
        <v>5408</v>
      </c>
      <c r="H2066" s="252" t="s">
        <v>5409</v>
      </c>
      <c r="I2066" s="252">
        <v>7</v>
      </c>
      <c r="J2066" s="255">
        <v>1</v>
      </c>
      <c r="K2066" s="255">
        <v>1</v>
      </c>
      <c r="L2066" s="255"/>
      <c r="M2066" s="256">
        <v>6.9869999999999993E-3</v>
      </c>
      <c r="N2066" s="249">
        <v>2065</v>
      </c>
    </row>
    <row r="2067" spans="1:14" x14ac:dyDescent="0.25">
      <c r="A2067" s="252" t="s">
        <v>134</v>
      </c>
      <c r="B2067" s="252" t="s">
        <v>1229</v>
      </c>
      <c r="C2067" s="253" t="s">
        <v>214</v>
      </c>
      <c r="D2067" s="252">
        <v>50592</v>
      </c>
      <c r="E2067" s="252" t="s">
        <v>1230</v>
      </c>
      <c r="F2067" s="254" t="s">
        <v>5405</v>
      </c>
      <c r="G2067" s="252" t="s">
        <v>5410</v>
      </c>
      <c r="H2067" s="252" t="s">
        <v>5411</v>
      </c>
      <c r="I2067" s="252">
        <v>7</v>
      </c>
      <c r="J2067" s="255">
        <v>1</v>
      </c>
      <c r="K2067" s="255">
        <v>1</v>
      </c>
      <c r="L2067" s="255"/>
      <c r="M2067" s="256">
        <v>5.8139999999999989E-3</v>
      </c>
      <c r="N2067" s="249">
        <v>2066</v>
      </c>
    </row>
    <row r="2068" spans="1:14" x14ac:dyDescent="0.25">
      <c r="A2068" s="252" t="s">
        <v>134</v>
      </c>
      <c r="B2068" s="252" t="s">
        <v>1229</v>
      </c>
      <c r="C2068" s="253" t="s">
        <v>214</v>
      </c>
      <c r="D2068" s="252">
        <v>50592</v>
      </c>
      <c r="E2068" s="252" t="s">
        <v>205</v>
      </c>
      <c r="F2068" s="254" t="s">
        <v>5412</v>
      </c>
      <c r="G2068" s="252" t="s">
        <v>5413</v>
      </c>
      <c r="H2068" s="252" t="s">
        <v>5414</v>
      </c>
      <c r="I2068" s="252">
        <v>7</v>
      </c>
      <c r="J2068" s="255">
        <v>1</v>
      </c>
      <c r="K2068" s="255">
        <v>1</v>
      </c>
      <c r="L2068" s="255"/>
      <c r="M2068" s="256">
        <v>4.8989999999999988E-3</v>
      </c>
      <c r="N2068" s="249">
        <v>2067</v>
      </c>
    </row>
    <row r="2069" spans="1:14" x14ac:dyDescent="0.25">
      <c r="A2069" s="252" t="s">
        <v>134</v>
      </c>
      <c r="B2069" s="252" t="s">
        <v>1229</v>
      </c>
      <c r="C2069" s="253" t="s">
        <v>214</v>
      </c>
      <c r="D2069" s="252">
        <v>50592</v>
      </c>
      <c r="E2069" s="252" t="s">
        <v>205</v>
      </c>
      <c r="F2069" s="254" t="s">
        <v>5412</v>
      </c>
      <c r="G2069" s="252" t="s">
        <v>5415</v>
      </c>
      <c r="H2069" s="252" t="s">
        <v>5416</v>
      </c>
      <c r="I2069" s="252">
        <v>7</v>
      </c>
      <c r="J2069" s="255">
        <v>1</v>
      </c>
      <c r="K2069" s="255">
        <v>1</v>
      </c>
      <c r="L2069" s="255"/>
      <c r="M2069" s="256">
        <v>8.0190000000000001E-3</v>
      </c>
      <c r="N2069" s="249">
        <v>2068</v>
      </c>
    </row>
    <row r="2070" spans="1:14" x14ac:dyDescent="0.25">
      <c r="A2070" s="252" t="s">
        <v>134</v>
      </c>
      <c r="B2070" s="252" t="s">
        <v>1229</v>
      </c>
      <c r="C2070" s="253" t="s">
        <v>214</v>
      </c>
      <c r="D2070" s="252">
        <v>50592</v>
      </c>
      <c r="E2070" s="252" t="s">
        <v>205</v>
      </c>
      <c r="F2070" s="254" t="s">
        <v>5412</v>
      </c>
      <c r="G2070" s="252" t="s">
        <v>5417</v>
      </c>
      <c r="H2070" s="252" t="s">
        <v>5418</v>
      </c>
      <c r="I2070" s="252">
        <v>7</v>
      </c>
      <c r="J2070" s="255">
        <v>1</v>
      </c>
      <c r="K2070" s="255">
        <v>1</v>
      </c>
      <c r="L2070" s="255"/>
      <c r="M2070" s="256">
        <v>9.3030000000000005E-3</v>
      </c>
      <c r="N2070" s="249">
        <v>2069</v>
      </c>
    </row>
    <row r="2071" spans="1:14" x14ac:dyDescent="0.25">
      <c r="A2071" s="252" t="s">
        <v>134</v>
      </c>
      <c r="B2071" s="252" t="s">
        <v>1229</v>
      </c>
      <c r="C2071" s="253" t="s">
        <v>214</v>
      </c>
      <c r="D2071" s="252">
        <v>50592</v>
      </c>
      <c r="E2071" s="252" t="s">
        <v>205</v>
      </c>
      <c r="F2071" s="254" t="s">
        <v>5412</v>
      </c>
      <c r="G2071" s="252" t="s">
        <v>5419</v>
      </c>
      <c r="H2071" s="252" t="s">
        <v>5420</v>
      </c>
      <c r="I2071" s="252">
        <v>7</v>
      </c>
      <c r="J2071" s="255">
        <v>1</v>
      </c>
      <c r="K2071" s="255">
        <v>1</v>
      </c>
      <c r="L2071" s="255"/>
      <c r="M2071" s="256">
        <v>5.8139999999999989E-3</v>
      </c>
      <c r="N2071" s="249">
        <v>2070</v>
      </c>
    </row>
    <row r="2072" spans="1:14" x14ac:dyDescent="0.25">
      <c r="A2072" s="252" t="s">
        <v>134</v>
      </c>
      <c r="B2072" s="252" t="s">
        <v>1229</v>
      </c>
      <c r="C2072" s="253" t="s">
        <v>214</v>
      </c>
      <c r="D2072" s="252">
        <v>50592</v>
      </c>
      <c r="E2072" s="252" t="s">
        <v>205</v>
      </c>
      <c r="F2072" s="254" t="s">
        <v>5412</v>
      </c>
      <c r="G2072" s="252" t="s">
        <v>5421</v>
      </c>
      <c r="H2072" s="252" t="s">
        <v>5422</v>
      </c>
      <c r="I2072" s="252">
        <v>7</v>
      </c>
      <c r="J2072" s="255">
        <v>1</v>
      </c>
      <c r="K2072" s="255">
        <v>1</v>
      </c>
      <c r="L2072" s="255"/>
      <c r="M2072" s="256">
        <v>5.6010000000000009E-3</v>
      </c>
      <c r="N2072" s="249">
        <v>2071</v>
      </c>
    </row>
    <row r="2073" spans="1:14" x14ac:dyDescent="0.25">
      <c r="A2073" s="252" t="s">
        <v>134</v>
      </c>
      <c r="B2073" s="252" t="s">
        <v>1229</v>
      </c>
      <c r="C2073" s="253" t="s">
        <v>214</v>
      </c>
      <c r="D2073" s="252">
        <v>50592</v>
      </c>
      <c r="E2073" s="252" t="s">
        <v>205</v>
      </c>
      <c r="F2073" s="254" t="s">
        <v>5423</v>
      </c>
      <c r="G2073" s="252" t="s">
        <v>5424</v>
      </c>
      <c r="H2073" s="252" t="s">
        <v>5425</v>
      </c>
      <c r="I2073" s="252">
        <v>7</v>
      </c>
      <c r="J2073" s="255">
        <v>1</v>
      </c>
      <c r="K2073" s="255">
        <v>1</v>
      </c>
      <c r="L2073" s="255"/>
      <c r="M2073" s="256">
        <v>5.3939999999999995E-3</v>
      </c>
      <c r="N2073" s="249">
        <v>2072</v>
      </c>
    </row>
    <row r="2074" spans="1:14" x14ac:dyDescent="0.25">
      <c r="A2074" s="252" t="s">
        <v>134</v>
      </c>
      <c r="B2074" s="252" t="s">
        <v>1229</v>
      </c>
      <c r="C2074" s="253" t="s">
        <v>214</v>
      </c>
      <c r="D2074" s="252">
        <v>50592</v>
      </c>
      <c r="E2074" s="252" t="s">
        <v>205</v>
      </c>
      <c r="F2074" s="254" t="s">
        <v>5423</v>
      </c>
      <c r="G2074" s="252" t="s">
        <v>5426</v>
      </c>
      <c r="H2074" s="252" t="s">
        <v>5427</v>
      </c>
      <c r="I2074" s="252">
        <v>7</v>
      </c>
      <c r="J2074" s="255">
        <v>1</v>
      </c>
      <c r="K2074" s="255">
        <v>1</v>
      </c>
      <c r="L2074" s="255"/>
      <c r="M2074" s="256">
        <v>6.0329999999999993E-3</v>
      </c>
      <c r="N2074" s="249">
        <v>2073</v>
      </c>
    </row>
    <row r="2075" spans="1:14" x14ac:dyDescent="0.25">
      <c r="A2075" s="252" t="s">
        <v>134</v>
      </c>
      <c r="B2075" s="252" t="s">
        <v>1229</v>
      </c>
      <c r="C2075" s="253" t="s">
        <v>214</v>
      </c>
      <c r="D2075" s="252">
        <v>50592</v>
      </c>
      <c r="E2075" s="252" t="s">
        <v>205</v>
      </c>
      <c r="F2075" s="254" t="s">
        <v>5423</v>
      </c>
      <c r="G2075" s="252" t="s">
        <v>5428</v>
      </c>
      <c r="H2075" s="252" t="s">
        <v>5429</v>
      </c>
      <c r="I2075" s="252">
        <v>7</v>
      </c>
      <c r="J2075" s="255">
        <v>1</v>
      </c>
      <c r="K2075" s="255">
        <v>1</v>
      </c>
      <c r="L2075" s="255"/>
      <c r="M2075" s="256">
        <v>6.9869999999999993E-3</v>
      </c>
      <c r="N2075" s="249">
        <v>2074</v>
      </c>
    </row>
    <row r="2076" spans="1:14" x14ac:dyDescent="0.25">
      <c r="A2076" s="252" t="s">
        <v>134</v>
      </c>
      <c r="B2076" s="252" t="s">
        <v>1229</v>
      </c>
      <c r="C2076" s="253" t="s">
        <v>214</v>
      </c>
      <c r="D2076" s="252">
        <v>50592</v>
      </c>
      <c r="E2076" s="252" t="s">
        <v>1230</v>
      </c>
      <c r="F2076" s="254" t="s">
        <v>5423</v>
      </c>
      <c r="G2076" s="252" t="s">
        <v>5430</v>
      </c>
      <c r="H2076" s="252" t="s">
        <v>5431</v>
      </c>
      <c r="I2076" s="252">
        <v>7</v>
      </c>
      <c r="J2076" s="255">
        <v>1</v>
      </c>
      <c r="K2076" s="255">
        <v>1</v>
      </c>
      <c r="L2076" s="255"/>
      <c r="M2076" s="256">
        <v>5.1749999999999999E-3</v>
      </c>
      <c r="N2076" s="249">
        <v>2075</v>
      </c>
    </row>
    <row r="2077" spans="1:14" x14ac:dyDescent="0.25">
      <c r="A2077" s="252" t="s">
        <v>183</v>
      </c>
      <c r="B2077" s="252" t="s">
        <v>5432</v>
      </c>
      <c r="C2077" s="253">
        <v>0</v>
      </c>
      <c r="D2077" s="252" t="s">
        <v>5433</v>
      </c>
      <c r="E2077" s="252" t="s">
        <v>5434</v>
      </c>
      <c r="F2077" s="254" t="s">
        <v>5435</v>
      </c>
      <c r="G2077" s="252" t="s">
        <v>5436</v>
      </c>
      <c r="H2077" s="252" t="s">
        <v>5437</v>
      </c>
      <c r="I2077" s="252">
        <v>12</v>
      </c>
      <c r="J2077" s="255">
        <v>1</v>
      </c>
      <c r="K2077" s="255">
        <v>1</v>
      </c>
      <c r="L2077" s="255"/>
      <c r="M2077" s="256">
        <v>2.0985E-2</v>
      </c>
      <c r="N2077" s="249">
        <v>2076</v>
      </c>
    </row>
    <row r="2078" spans="1:14" x14ac:dyDescent="0.25">
      <c r="A2078" s="252" t="s">
        <v>183</v>
      </c>
      <c r="B2078" s="252" t="s">
        <v>5432</v>
      </c>
      <c r="C2078" s="253">
        <v>0</v>
      </c>
      <c r="D2078" s="252" t="s">
        <v>5433</v>
      </c>
      <c r="E2078" s="252" t="s">
        <v>5434</v>
      </c>
      <c r="F2078" s="254" t="s">
        <v>5435</v>
      </c>
      <c r="G2078" s="252" t="s">
        <v>5438</v>
      </c>
      <c r="H2078" s="252" t="s">
        <v>5439</v>
      </c>
      <c r="I2078" s="252">
        <v>12</v>
      </c>
      <c r="J2078" s="255">
        <v>1</v>
      </c>
      <c r="K2078" s="255">
        <v>1</v>
      </c>
      <c r="L2078" s="255"/>
      <c r="M2078" s="256">
        <v>2.9307E-2</v>
      </c>
      <c r="N2078" s="249">
        <v>2077</v>
      </c>
    </row>
    <row r="2079" spans="1:14" x14ac:dyDescent="0.25">
      <c r="A2079" s="252" t="s">
        <v>183</v>
      </c>
      <c r="B2079" s="252" t="s">
        <v>5432</v>
      </c>
      <c r="C2079" s="253">
        <v>0</v>
      </c>
      <c r="D2079" s="252" t="s">
        <v>5433</v>
      </c>
      <c r="E2079" s="252" t="s">
        <v>5434</v>
      </c>
      <c r="F2079" s="254" t="s">
        <v>5435</v>
      </c>
      <c r="G2079" s="252" t="s">
        <v>5440</v>
      </c>
      <c r="H2079" s="252" t="s">
        <v>5441</v>
      </c>
      <c r="I2079" s="252">
        <v>12</v>
      </c>
      <c r="J2079" s="255">
        <v>1</v>
      </c>
      <c r="K2079" s="255">
        <v>1</v>
      </c>
      <c r="L2079" s="255"/>
      <c r="M2079" s="256">
        <v>2.0985E-2</v>
      </c>
      <c r="N2079" s="249">
        <v>2078</v>
      </c>
    </row>
    <row r="2080" spans="1:14" x14ac:dyDescent="0.25">
      <c r="A2080" s="252" t="s">
        <v>183</v>
      </c>
      <c r="B2080" s="252" t="s">
        <v>5432</v>
      </c>
      <c r="C2080" s="253">
        <v>0</v>
      </c>
      <c r="D2080" s="252" t="s">
        <v>5433</v>
      </c>
      <c r="E2080" s="252" t="s">
        <v>5434</v>
      </c>
      <c r="F2080" s="254" t="s">
        <v>5435</v>
      </c>
      <c r="G2080" s="252" t="s">
        <v>5442</v>
      </c>
      <c r="H2080" s="252" t="s">
        <v>5443</v>
      </c>
      <c r="I2080" s="252">
        <v>12</v>
      </c>
      <c r="J2080" s="255">
        <v>1</v>
      </c>
      <c r="K2080" s="255">
        <v>1</v>
      </c>
      <c r="L2080" s="255"/>
      <c r="M2080" s="256">
        <v>2.0985E-2</v>
      </c>
      <c r="N2080" s="249">
        <v>2079</v>
      </c>
    </row>
    <row r="2081" spans="1:14" x14ac:dyDescent="0.25">
      <c r="A2081" s="252" t="s">
        <v>183</v>
      </c>
      <c r="B2081" s="252" t="s">
        <v>5432</v>
      </c>
      <c r="C2081" s="253">
        <v>0</v>
      </c>
      <c r="D2081" s="252" t="s">
        <v>5433</v>
      </c>
      <c r="E2081" s="252" t="s">
        <v>5434</v>
      </c>
      <c r="F2081" s="254" t="s">
        <v>5435</v>
      </c>
      <c r="G2081" s="252" t="s">
        <v>5444</v>
      </c>
      <c r="H2081" s="252" t="s">
        <v>5445</v>
      </c>
      <c r="I2081" s="252">
        <v>12</v>
      </c>
      <c r="J2081" s="255">
        <v>1</v>
      </c>
      <c r="K2081" s="255">
        <v>1</v>
      </c>
      <c r="L2081" s="255"/>
      <c r="M2081" s="256">
        <v>2.4329999999999997E-2</v>
      </c>
      <c r="N2081" s="249">
        <v>2080</v>
      </c>
    </row>
    <row r="2082" spans="1:14" x14ac:dyDescent="0.25">
      <c r="A2082" s="252" t="s">
        <v>183</v>
      </c>
      <c r="B2082" s="252" t="s">
        <v>5432</v>
      </c>
      <c r="C2082" s="253">
        <v>0</v>
      </c>
      <c r="D2082" s="252" t="s">
        <v>5433</v>
      </c>
      <c r="E2082" s="252" t="s">
        <v>192</v>
      </c>
      <c r="F2082" s="254" t="s">
        <v>5435</v>
      </c>
      <c r="G2082" s="252" t="s">
        <v>5446</v>
      </c>
      <c r="H2082" s="252" t="s">
        <v>5447</v>
      </c>
      <c r="I2082" s="252">
        <v>12</v>
      </c>
      <c r="J2082" s="255">
        <v>1</v>
      </c>
      <c r="K2082" s="255">
        <v>1</v>
      </c>
      <c r="L2082" s="255"/>
      <c r="M2082" s="256">
        <v>6.5099999999999999E-4</v>
      </c>
      <c r="N2082" s="249">
        <v>2081</v>
      </c>
    </row>
    <row r="2083" spans="1:14" x14ac:dyDescent="0.25">
      <c r="A2083" s="252" t="s">
        <v>183</v>
      </c>
      <c r="B2083" s="252" t="s">
        <v>5432</v>
      </c>
      <c r="C2083" s="253">
        <v>0</v>
      </c>
      <c r="D2083" s="252" t="s">
        <v>5433</v>
      </c>
      <c r="E2083" s="252" t="s">
        <v>192</v>
      </c>
      <c r="F2083" s="254" t="s">
        <v>5435</v>
      </c>
      <c r="G2083" s="252" t="s">
        <v>5448</v>
      </c>
      <c r="H2083" s="252" t="s">
        <v>5449</v>
      </c>
      <c r="I2083" s="252">
        <v>12</v>
      </c>
      <c r="J2083" s="255">
        <v>1</v>
      </c>
      <c r="K2083" s="255">
        <v>1</v>
      </c>
      <c r="L2083" s="255"/>
      <c r="M2083" s="256">
        <v>1.5659999999999999E-3</v>
      </c>
      <c r="N2083" s="249">
        <v>2082</v>
      </c>
    </row>
    <row r="2084" spans="1:14" x14ac:dyDescent="0.25">
      <c r="A2084" s="252" t="s">
        <v>183</v>
      </c>
      <c r="B2084" s="252" t="s">
        <v>5432</v>
      </c>
      <c r="C2084" s="253">
        <v>0</v>
      </c>
      <c r="D2084" s="252" t="s">
        <v>5433</v>
      </c>
      <c r="E2084" s="252" t="s">
        <v>192</v>
      </c>
      <c r="F2084" s="254" t="s">
        <v>5435</v>
      </c>
      <c r="G2084" s="252" t="s">
        <v>5450</v>
      </c>
      <c r="H2084" s="252" t="s">
        <v>5451</v>
      </c>
      <c r="I2084" s="252">
        <v>12</v>
      </c>
      <c r="J2084" s="255">
        <v>1</v>
      </c>
      <c r="K2084" s="255">
        <v>1</v>
      </c>
      <c r="L2084" s="255"/>
      <c r="M2084" s="256">
        <v>1.8059999999999997E-3</v>
      </c>
      <c r="N2084" s="249">
        <v>2083</v>
      </c>
    </row>
    <row r="2085" spans="1:14" x14ac:dyDescent="0.25">
      <c r="A2085" s="252" t="s">
        <v>183</v>
      </c>
      <c r="B2085" s="252" t="s">
        <v>5432</v>
      </c>
      <c r="C2085" s="253">
        <v>0</v>
      </c>
      <c r="D2085" s="252" t="s">
        <v>5433</v>
      </c>
      <c r="E2085" s="252" t="s">
        <v>192</v>
      </c>
      <c r="F2085" s="254" t="s">
        <v>5435</v>
      </c>
      <c r="G2085" s="252" t="s">
        <v>5452</v>
      </c>
      <c r="H2085" s="252" t="s">
        <v>5453</v>
      </c>
      <c r="I2085" s="252">
        <v>12</v>
      </c>
      <c r="J2085" s="255">
        <v>1</v>
      </c>
      <c r="K2085" s="255">
        <v>1</v>
      </c>
      <c r="L2085" s="255"/>
      <c r="M2085" s="256">
        <v>5.4000000000000001E-4</v>
      </c>
      <c r="N2085" s="249">
        <v>2084</v>
      </c>
    </row>
    <row r="2086" spans="1:14" x14ac:dyDescent="0.25">
      <c r="A2086" s="252" t="s">
        <v>183</v>
      </c>
      <c r="B2086" s="252" t="s">
        <v>5432</v>
      </c>
      <c r="C2086" s="253">
        <v>0</v>
      </c>
      <c r="D2086" s="252" t="s">
        <v>5433</v>
      </c>
      <c r="E2086" s="252" t="s">
        <v>192</v>
      </c>
      <c r="F2086" s="254" t="s">
        <v>5435</v>
      </c>
      <c r="G2086" s="252" t="s">
        <v>5454</v>
      </c>
      <c r="H2086" s="252" t="s">
        <v>5455</v>
      </c>
      <c r="I2086" s="252">
        <v>12</v>
      </c>
      <c r="J2086" s="255">
        <v>1</v>
      </c>
      <c r="K2086" s="255">
        <v>1</v>
      </c>
      <c r="L2086" s="255"/>
      <c r="M2086" s="256">
        <v>5.4000000000000001E-4</v>
      </c>
      <c r="N2086" s="249">
        <v>2085</v>
      </c>
    </row>
    <row r="2087" spans="1:14" x14ac:dyDescent="0.25">
      <c r="A2087" s="252" t="s">
        <v>183</v>
      </c>
      <c r="B2087" s="252" t="s">
        <v>5432</v>
      </c>
      <c r="C2087" s="253">
        <v>0</v>
      </c>
      <c r="D2087" s="252" t="s">
        <v>5433</v>
      </c>
      <c r="E2087" s="252" t="s">
        <v>192</v>
      </c>
      <c r="F2087" s="254" t="s">
        <v>5435</v>
      </c>
      <c r="G2087" s="252" t="s">
        <v>5456</v>
      </c>
      <c r="H2087" s="252" t="s">
        <v>5457</v>
      </c>
      <c r="I2087" s="252">
        <v>12</v>
      </c>
      <c r="J2087" s="255">
        <v>1</v>
      </c>
      <c r="K2087" s="255">
        <v>1</v>
      </c>
      <c r="L2087" s="255"/>
      <c r="M2087" s="256">
        <v>3.7500000000000001E-4</v>
      </c>
      <c r="N2087" s="249">
        <v>2086</v>
      </c>
    </row>
    <row r="2088" spans="1:14" x14ac:dyDescent="0.25">
      <c r="A2088" s="252" t="s">
        <v>183</v>
      </c>
      <c r="B2088" s="252" t="s">
        <v>5432</v>
      </c>
      <c r="C2088" s="253">
        <v>0</v>
      </c>
      <c r="D2088" s="252" t="s">
        <v>5433</v>
      </c>
      <c r="E2088" s="252" t="s">
        <v>192</v>
      </c>
      <c r="F2088" s="254" t="s">
        <v>5435</v>
      </c>
      <c r="G2088" s="252" t="s">
        <v>5458</v>
      </c>
      <c r="H2088" s="252" t="s">
        <v>5459</v>
      </c>
      <c r="I2088" s="252">
        <v>12</v>
      </c>
      <c r="J2088" s="255">
        <v>1</v>
      </c>
      <c r="K2088" s="255">
        <v>1</v>
      </c>
      <c r="L2088" s="255"/>
      <c r="M2088" s="256">
        <v>3.5279999999999999E-3</v>
      </c>
      <c r="N2088" s="249">
        <v>2087</v>
      </c>
    </row>
    <row r="2089" spans="1:14" x14ac:dyDescent="0.25">
      <c r="A2089" s="252" t="s">
        <v>183</v>
      </c>
      <c r="B2089" s="252" t="s">
        <v>5432</v>
      </c>
      <c r="C2089" s="253">
        <v>0</v>
      </c>
      <c r="D2089" s="252" t="s">
        <v>5433</v>
      </c>
      <c r="E2089" s="252" t="s">
        <v>192</v>
      </c>
      <c r="F2089" s="254" t="s">
        <v>5435</v>
      </c>
      <c r="G2089" s="252" t="s">
        <v>5460</v>
      </c>
      <c r="H2089" s="252" t="s">
        <v>5461</v>
      </c>
      <c r="I2089" s="252">
        <v>12</v>
      </c>
      <c r="J2089" s="255">
        <v>1</v>
      </c>
      <c r="K2089" s="255">
        <v>1</v>
      </c>
      <c r="L2089" s="255"/>
      <c r="M2089" s="256">
        <v>1.3200000000000001E-4</v>
      </c>
      <c r="N2089" s="249">
        <v>2088</v>
      </c>
    </row>
    <row r="2090" spans="1:14" x14ac:dyDescent="0.25">
      <c r="A2090" s="252" t="s">
        <v>183</v>
      </c>
      <c r="B2090" s="252" t="s">
        <v>5432</v>
      </c>
      <c r="C2090" s="253">
        <v>0</v>
      </c>
      <c r="D2090" s="252" t="s">
        <v>5433</v>
      </c>
      <c r="E2090" s="252" t="s">
        <v>192</v>
      </c>
      <c r="F2090" s="254" t="s">
        <v>5435</v>
      </c>
      <c r="G2090" s="252" t="s">
        <v>5462</v>
      </c>
      <c r="H2090" s="252" t="s">
        <v>5463</v>
      </c>
      <c r="I2090" s="252">
        <v>12</v>
      </c>
      <c r="J2090" s="255">
        <v>1</v>
      </c>
      <c r="K2090" s="255">
        <v>1</v>
      </c>
      <c r="L2090" s="255"/>
      <c r="M2090" s="256">
        <v>1.5659999999999999E-3</v>
      </c>
      <c r="N2090" s="249">
        <v>2089</v>
      </c>
    </row>
    <row r="2091" spans="1:14" x14ac:dyDescent="0.25">
      <c r="A2091" s="252" t="s">
        <v>183</v>
      </c>
      <c r="B2091" s="252" t="s">
        <v>5432</v>
      </c>
      <c r="C2091" s="253">
        <v>0</v>
      </c>
      <c r="D2091" s="252" t="s">
        <v>5433</v>
      </c>
      <c r="E2091" s="252" t="s">
        <v>192</v>
      </c>
      <c r="F2091" s="254" t="s">
        <v>5435</v>
      </c>
      <c r="G2091" s="252" t="s">
        <v>5464</v>
      </c>
      <c r="H2091" s="252" t="s">
        <v>5465</v>
      </c>
      <c r="I2091" s="252">
        <v>12</v>
      </c>
      <c r="J2091" s="255">
        <v>1</v>
      </c>
      <c r="K2091" s="255">
        <v>1</v>
      </c>
      <c r="L2091" s="255"/>
      <c r="M2091" s="256">
        <v>1.8059999999999997E-3</v>
      </c>
      <c r="N2091" s="249">
        <v>2090</v>
      </c>
    </row>
    <row r="2092" spans="1:14" x14ac:dyDescent="0.25">
      <c r="A2092" s="252" t="s">
        <v>183</v>
      </c>
      <c r="B2092" s="252" t="s">
        <v>5432</v>
      </c>
      <c r="C2092" s="253">
        <v>0</v>
      </c>
      <c r="D2092" s="252" t="s">
        <v>5433</v>
      </c>
      <c r="E2092" s="252" t="s">
        <v>192</v>
      </c>
      <c r="F2092" s="254" t="s">
        <v>5435</v>
      </c>
      <c r="G2092" s="252" t="s">
        <v>5466</v>
      </c>
      <c r="H2092" s="252" t="s">
        <v>5467</v>
      </c>
      <c r="I2092" s="252">
        <v>12</v>
      </c>
      <c r="J2092" s="255">
        <v>1</v>
      </c>
      <c r="K2092" s="255">
        <v>1</v>
      </c>
      <c r="L2092" s="255"/>
      <c r="M2092" s="256">
        <v>2.2499999999999999E-4</v>
      </c>
      <c r="N2092" s="249">
        <v>2091</v>
      </c>
    </row>
    <row r="2093" spans="1:14" x14ac:dyDescent="0.25">
      <c r="A2093" s="252" t="s">
        <v>183</v>
      </c>
      <c r="B2093" s="252" t="s">
        <v>5432</v>
      </c>
      <c r="C2093" s="253">
        <v>0</v>
      </c>
      <c r="D2093" s="252" t="s">
        <v>5433</v>
      </c>
      <c r="E2093" s="252" t="s">
        <v>192</v>
      </c>
      <c r="F2093" s="254" t="s">
        <v>5435</v>
      </c>
      <c r="G2093" s="252" t="s">
        <v>5468</v>
      </c>
      <c r="H2093" s="252" t="s">
        <v>5469</v>
      </c>
      <c r="I2093" s="252">
        <v>12</v>
      </c>
      <c r="J2093" s="255">
        <v>1</v>
      </c>
      <c r="K2093" s="255">
        <v>1</v>
      </c>
      <c r="L2093" s="255"/>
      <c r="M2093" s="256">
        <v>2.2499999999999999E-4</v>
      </c>
      <c r="N2093" s="249">
        <v>2092</v>
      </c>
    </row>
    <row r="2094" spans="1:14" x14ac:dyDescent="0.25">
      <c r="A2094" s="252" t="s">
        <v>183</v>
      </c>
      <c r="B2094" s="252" t="s">
        <v>5432</v>
      </c>
      <c r="C2094" s="253">
        <v>0</v>
      </c>
      <c r="D2094" s="252" t="s">
        <v>5433</v>
      </c>
      <c r="E2094" s="252" t="s">
        <v>192</v>
      </c>
      <c r="F2094" s="254" t="s">
        <v>5435</v>
      </c>
      <c r="G2094" s="252" t="s">
        <v>5470</v>
      </c>
      <c r="H2094" s="252" t="s">
        <v>5471</v>
      </c>
      <c r="I2094" s="252">
        <v>12</v>
      </c>
      <c r="J2094" s="255">
        <v>1</v>
      </c>
      <c r="K2094" s="255">
        <v>1</v>
      </c>
      <c r="L2094" s="255"/>
      <c r="M2094" s="256">
        <v>3.7500000000000001E-4</v>
      </c>
      <c r="N2094" s="249">
        <v>2093</v>
      </c>
    </row>
    <row r="2095" spans="1:14" x14ac:dyDescent="0.25">
      <c r="A2095" s="252" t="s">
        <v>183</v>
      </c>
      <c r="B2095" s="252" t="s">
        <v>5432</v>
      </c>
      <c r="C2095" s="253">
        <v>0</v>
      </c>
      <c r="D2095" s="252" t="s">
        <v>5433</v>
      </c>
      <c r="E2095" s="252" t="s">
        <v>192</v>
      </c>
      <c r="F2095" s="254" t="s">
        <v>5435</v>
      </c>
      <c r="G2095" s="252" t="s">
        <v>5472</v>
      </c>
      <c r="H2095" s="252" t="s">
        <v>5473</v>
      </c>
      <c r="I2095" s="252">
        <v>12</v>
      </c>
      <c r="J2095" s="255">
        <v>1</v>
      </c>
      <c r="K2095" s="255">
        <v>1</v>
      </c>
      <c r="L2095" s="255"/>
      <c r="M2095" s="256">
        <v>1.2539999999999999E-3</v>
      </c>
      <c r="N2095" s="249">
        <v>2094</v>
      </c>
    </row>
    <row r="2096" spans="1:14" x14ac:dyDescent="0.25">
      <c r="A2096" s="252" t="s">
        <v>183</v>
      </c>
      <c r="B2096" s="252" t="s">
        <v>5432</v>
      </c>
      <c r="C2096" s="253">
        <v>0</v>
      </c>
      <c r="D2096" s="252" t="s">
        <v>5433</v>
      </c>
      <c r="E2096" s="252" t="s">
        <v>192</v>
      </c>
      <c r="F2096" s="254" t="s">
        <v>5435</v>
      </c>
      <c r="G2096" s="252" t="s">
        <v>5474</v>
      </c>
      <c r="H2096" s="252" t="s">
        <v>5475</v>
      </c>
      <c r="I2096" s="252">
        <v>12</v>
      </c>
      <c r="J2096" s="255">
        <v>1</v>
      </c>
      <c r="K2096" s="255">
        <v>1</v>
      </c>
      <c r="L2096" s="255"/>
      <c r="M2096" s="256">
        <v>2.1090000000000002E-3</v>
      </c>
      <c r="N2096" s="249">
        <v>2095</v>
      </c>
    </row>
    <row r="2097" spans="1:14" x14ac:dyDescent="0.25">
      <c r="A2097" s="252" t="s">
        <v>183</v>
      </c>
      <c r="B2097" s="252" t="s">
        <v>5432</v>
      </c>
      <c r="C2097" s="253">
        <v>0</v>
      </c>
      <c r="D2097" s="252" t="s">
        <v>5433</v>
      </c>
      <c r="E2097" s="252" t="s">
        <v>192</v>
      </c>
      <c r="F2097" s="254" t="s">
        <v>5435</v>
      </c>
      <c r="G2097" s="252" t="s">
        <v>5476</v>
      </c>
      <c r="H2097" s="252" t="s">
        <v>5477</v>
      </c>
      <c r="I2097" s="252">
        <v>12</v>
      </c>
      <c r="J2097" s="255">
        <v>1</v>
      </c>
      <c r="K2097" s="255">
        <v>1</v>
      </c>
      <c r="L2097" s="255"/>
      <c r="M2097" s="256">
        <v>1.8059999999999997E-3</v>
      </c>
      <c r="N2097" s="249">
        <v>2096</v>
      </c>
    </row>
    <row r="2098" spans="1:14" x14ac:dyDescent="0.25">
      <c r="A2098" s="252" t="s">
        <v>183</v>
      </c>
      <c r="B2098" s="252" t="s">
        <v>5432</v>
      </c>
      <c r="C2098" s="253">
        <v>0</v>
      </c>
      <c r="D2098" s="252" t="s">
        <v>5433</v>
      </c>
      <c r="E2098" s="252" t="s">
        <v>192</v>
      </c>
      <c r="F2098" s="254" t="s">
        <v>5435</v>
      </c>
      <c r="G2098" s="252" t="s">
        <v>5478</v>
      </c>
      <c r="H2098" s="252" t="s">
        <v>5479</v>
      </c>
      <c r="I2098" s="252">
        <v>12</v>
      </c>
      <c r="J2098" s="255">
        <v>1</v>
      </c>
      <c r="K2098" s="255">
        <v>1</v>
      </c>
      <c r="L2098" s="255"/>
      <c r="M2098" s="256">
        <v>1.8059999999999997E-3</v>
      </c>
      <c r="N2098" s="249">
        <v>2097</v>
      </c>
    </row>
    <row r="2099" spans="1:14" x14ac:dyDescent="0.25">
      <c r="A2099" s="252" t="s">
        <v>183</v>
      </c>
      <c r="B2099" s="252" t="s">
        <v>5432</v>
      </c>
      <c r="C2099" s="253">
        <v>0</v>
      </c>
      <c r="D2099" s="252" t="s">
        <v>5433</v>
      </c>
      <c r="E2099" s="252" t="s">
        <v>192</v>
      </c>
      <c r="F2099" s="254" t="s">
        <v>5435</v>
      </c>
      <c r="G2099" s="252" t="s">
        <v>5480</v>
      </c>
      <c r="H2099" s="252" t="s">
        <v>5481</v>
      </c>
      <c r="I2099" s="252">
        <v>12</v>
      </c>
      <c r="J2099" s="255">
        <v>1</v>
      </c>
      <c r="K2099" s="255">
        <v>1</v>
      </c>
      <c r="L2099" s="255"/>
      <c r="M2099" s="256">
        <v>1.2779999999999998E-3</v>
      </c>
      <c r="N2099" s="249">
        <v>2098</v>
      </c>
    </row>
    <row r="2100" spans="1:14" x14ac:dyDescent="0.25">
      <c r="A2100" s="252" t="s">
        <v>183</v>
      </c>
      <c r="B2100" s="252" t="s">
        <v>5432</v>
      </c>
      <c r="C2100" s="253">
        <v>0</v>
      </c>
      <c r="D2100" s="252" t="s">
        <v>5433</v>
      </c>
      <c r="E2100" s="252" t="s">
        <v>192</v>
      </c>
      <c r="F2100" s="254" t="s">
        <v>5435</v>
      </c>
      <c r="G2100" s="252" t="s">
        <v>5482</v>
      </c>
      <c r="H2100" s="252" t="s">
        <v>5483</v>
      </c>
      <c r="I2100" s="252">
        <v>12</v>
      </c>
      <c r="J2100" s="255">
        <v>1</v>
      </c>
      <c r="K2100" s="255">
        <v>1</v>
      </c>
      <c r="L2100" s="255"/>
      <c r="M2100" s="256">
        <v>4.8000000000000001E-4</v>
      </c>
      <c r="N2100" s="249">
        <v>2099</v>
      </c>
    </row>
    <row r="2101" spans="1:14" x14ac:dyDescent="0.25">
      <c r="A2101" s="252" t="s">
        <v>183</v>
      </c>
      <c r="B2101" s="252" t="s">
        <v>5432</v>
      </c>
      <c r="C2101" s="253">
        <v>0</v>
      </c>
      <c r="D2101" s="252" t="s">
        <v>5433</v>
      </c>
      <c r="E2101" s="252" t="s">
        <v>192</v>
      </c>
      <c r="F2101" s="254" t="s">
        <v>5435</v>
      </c>
      <c r="G2101" s="252" t="s">
        <v>5484</v>
      </c>
      <c r="H2101" s="252" t="s">
        <v>5485</v>
      </c>
      <c r="I2101" s="252">
        <v>12</v>
      </c>
      <c r="J2101" s="255">
        <v>1</v>
      </c>
      <c r="K2101" s="255">
        <v>1</v>
      </c>
      <c r="L2101" s="255"/>
      <c r="M2101" s="256">
        <v>1.2149999999999999E-3</v>
      </c>
      <c r="N2101" s="249">
        <v>2100</v>
      </c>
    </row>
    <row r="2102" spans="1:14" x14ac:dyDescent="0.25">
      <c r="A2102" s="252" t="s">
        <v>183</v>
      </c>
      <c r="B2102" s="252" t="s">
        <v>5432</v>
      </c>
      <c r="C2102" s="253">
        <v>0</v>
      </c>
      <c r="D2102" s="252" t="s">
        <v>5433</v>
      </c>
      <c r="E2102" s="252" t="s">
        <v>192</v>
      </c>
      <c r="F2102" s="254" t="s">
        <v>5435</v>
      </c>
      <c r="G2102" s="252" t="s">
        <v>5486</v>
      </c>
      <c r="H2102" s="252" t="s">
        <v>5487</v>
      </c>
      <c r="I2102" s="252">
        <v>12</v>
      </c>
      <c r="J2102" s="255">
        <v>1</v>
      </c>
      <c r="K2102" s="255">
        <v>1</v>
      </c>
      <c r="L2102" s="255"/>
      <c r="M2102" s="256">
        <v>1.2149999999999999E-3</v>
      </c>
      <c r="N2102" s="249">
        <v>2101</v>
      </c>
    </row>
    <row r="2103" spans="1:14" x14ac:dyDescent="0.25">
      <c r="A2103" s="252" t="s">
        <v>183</v>
      </c>
      <c r="B2103" s="252" t="s">
        <v>5432</v>
      </c>
      <c r="C2103" s="253">
        <v>0</v>
      </c>
      <c r="D2103" s="252" t="s">
        <v>5433</v>
      </c>
      <c r="E2103" s="252" t="s">
        <v>192</v>
      </c>
      <c r="F2103" s="254" t="s">
        <v>5435</v>
      </c>
      <c r="G2103" s="252" t="s">
        <v>5488</v>
      </c>
      <c r="H2103" s="252" t="s">
        <v>5489</v>
      </c>
      <c r="I2103" s="252">
        <v>12</v>
      </c>
      <c r="J2103" s="255">
        <v>1</v>
      </c>
      <c r="K2103" s="255">
        <v>1</v>
      </c>
      <c r="L2103" s="255"/>
      <c r="M2103" s="256">
        <v>6.96E-4</v>
      </c>
      <c r="N2103" s="249">
        <v>2102</v>
      </c>
    </row>
    <row r="2104" spans="1:14" x14ac:dyDescent="0.25">
      <c r="A2104" s="252" t="s">
        <v>183</v>
      </c>
      <c r="B2104" s="252" t="s">
        <v>5432</v>
      </c>
      <c r="C2104" s="253">
        <v>0</v>
      </c>
      <c r="D2104" s="252" t="s">
        <v>5433</v>
      </c>
      <c r="E2104" s="252" t="s">
        <v>192</v>
      </c>
      <c r="F2104" s="254" t="s">
        <v>5435</v>
      </c>
      <c r="G2104" s="252" t="s">
        <v>5490</v>
      </c>
      <c r="H2104" s="252" t="s">
        <v>5491</v>
      </c>
      <c r="I2104" s="252">
        <v>12</v>
      </c>
      <c r="J2104" s="255">
        <v>1</v>
      </c>
      <c r="K2104" s="255">
        <v>1</v>
      </c>
      <c r="L2104" s="255"/>
      <c r="M2104" s="256">
        <v>4.8000000000000001E-4</v>
      </c>
      <c r="N2104" s="249">
        <v>2103</v>
      </c>
    </row>
    <row r="2105" spans="1:14" x14ac:dyDescent="0.25">
      <c r="A2105" s="252" t="s">
        <v>183</v>
      </c>
      <c r="B2105" s="252" t="s">
        <v>5432</v>
      </c>
      <c r="C2105" s="253">
        <v>0</v>
      </c>
      <c r="D2105" s="252" t="s">
        <v>5433</v>
      </c>
      <c r="E2105" s="252" t="s">
        <v>192</v>
      </c>
      <c r="F2105" s="254" t="s">
        <v>5435</v>
      </c>
      <c r="G2105" s="252" t="s">
        <v>5492</v>
      </c>
      <c r="H2105" s="252" t="s">
        <v>5493</v>
      </c>
      <c r="I2105" s="252">
        <v>12</v>
      </c>
      <c r="J2105" s="255">
        <v>1</v>
      </c>
      <c r="K2105" s="255">
        <v>1</v>
      </c>
      <c r="L2105" s="255"/>
      <c r="M2105" s="256">
        <v>5.6429999999999996E-3</v>
      </c>
      <c r="N2105" s="249">
        <v>2104</v>
      </c>
    </row>
    <row r="2106" spans="1:14" x14ac:dyDescent="0.25">
      <c r="A2106" s="252" t="s">
        <v>183</v>
      </c>
      <c r="B2106" s="252" t="s">
        <v>5432</v>
      </c>
      <c r="C2106" s="253">
        <v>0</v>
      </c>
      <c r="D2106" s="252" t="s">
        <v>5433</v>
      </c>
      <c r="E2106" s="252" t="s">
        <v>5434</v>
      </c>
      <c r="F2106" s="254" t="s">
        <v>5435</v>
      </c>
      <c r="G2106" s="252" t="s">
        <v>5494</v>
      </c>
      <c r="H2106" s="252" t="s">
        <v>5495</v>
      </c>
      <c r="I2106" s="252">
        <v>12</v>
      </c>
      <c r="J2106" s="255">
        <v>1</v>
      </c>
      <c r="K2106" s="255">
        <v>1</v>
      </c>
      <c r="L2106" s="255"/>
      <c r="M2106" s="256">
        <v>3.0746999999999997E-2</v>
      </c>
      <c r="N2106" s="249">
        <v>2105</v>
      </c>
    </row>
    <row r="2107" spans="1:14" x14ac:dyDescent="0.25">
      <c r="A2107" s="252" t="s">
        <v>183</v>
      </c>
      <c r="B2107" s="252" t="s">
        <v>5432</v>
      </c>
      <c r="C2107" s="253">
        <v>0</v>
      </c>
      <c r="D2107" s="252" t="s">
        <v>5433</v>
      </c>
      <c r="E2107" s="252" t="s">
        <v>5434</v>
      </c>
      <c r="F2107" s="254" t="s">
        <v>5435</v>
      </c>
      <c r="G2107" s="252" t="s">
        <v>5496</v>
      </c>
      <c r="H2107" s="252" t="s">
        <v>5497</v>
      </c>
      <c r="I2107" s="252">
        <v>12</v>
      </c>
      <c r="J2107" s="255">
        <v>1</v>
      </c>
      <c r="K2107" s="255">
        <v>1</v>
      </c>
      <c r="L2107" s="255"/>
      <c r="M2107" s="256">
        <v>3.5429999999999996E-2</v>
      </c>
      <c r="N2107" s="249">
        <v>2106</v>
      </c>
    </row>
    <row r="2108" spans="1:14" x14ac:dyDescent="0.25">
      <c r="A2108" s="252" t="s">
        <v>183</v>
      </c>
      <c r="B2108" s="252" t="s">
        <v>5432</v>
      </c>
      <c r="C2108" s="253">
        <v>0</v>
      </c>
      <c r="D2108" s="252" t="s">
        <v>5433</v>
      </c>
      <c r="E2108" s="252" t="s">
        <v>5434</v>
      </c>
      <c r="F2108" s="254" t="s">
        <v>5435</v>
      </c>
      <c r="G2108" s="252" t="s">
        <v>5498</v>
      </c>
      <c r="H2108" s="252" t="s">
        <v>5499</v>
      </c>
      <c r="I2108" s="252">
        <v>12</v>
      </c>
      <c r="J2108" s="255">
        <v>1</v>
      </c>
      <c r="K2108" s="255">
        <v>1</v>
      </c>
      <c r="L2108" s="255"/>
      <c r="M2108" s="256">
        <v>3.5429999999999996E-2</v>
      </c>
      <c r="N2108" s="249">
        <v>2107</v>
      </c>
    </row>
    <row r="2109" spans="1:14" x14ac:dyDescent="0.25">
      <c r="A2109" s="252" t="s">
        <v>183</v>
      </c>
      <c r="B2109" s="252" t="s">
        <v>5432</v>
      </c>
      <c r="C2109" s="253">
        <v>0</v>
      </c>
      <c r="D2109" s="252" t="s">
        <v>5433</v>
      </c>
      <c r="E2109" s="252" t="s">
        <v>192</v>
      </c>
      <c r="F2109" s="254" t="s">
        <v>5435</v>
      </c>
      <c r="G2109" s="252" t="s">
        <v>5500</v>
      </c>
      <c r="H2109" s="252" t="s">
        <v>5501</v>
      </c>
      <c r="I2109" s="252">
        <v>12</v>
      </c>
      <c r="J2109" s="255">
        <v>1</v>
      </c>
      <c r="K2109" s="255">
        <v>1</v>
      </c>
      <c r="L2109" s="255"/>
      <c r="M2109" s="256">
        <v>1.8059999999999997E-3</v>
      </c>
      <c r="N2109" s="249">
        <v>2108</v>
      </c>
    </row>
    <row r="2110" spans="1:14" x14ac:dyDescent="0.25">
      <c r="A2110" s="252" t="s">
        <v>183</v>
      </c>
      <c r="B2110" s="252" t="s">
        <v>5432</v>
      </c>
      <c r="C2110" s="253">
        <v>0</v>
      </c>
      <c r="D2110" s="252" t="s">
        <v>5433</v>
      </c>
      <c r="E2110" s="252" t="s">
        <v>192</v>
      </c>
      <c r="F2110" s="254" t="s">
        <v>5435</v>
      </c>
      <c r="G2110" s="252" t="s">
        <v>5502</v>
      </c>
      <c r="H2110" s="252" t="s">
        <v>5503</v>
      </c>
      <c r="I2110" s="252">
        <v>12</v>
      </c>
      <c r="J2110" s="255">
        <v>1</v>
      </c>
      <c r="K2110" s="255">
        <v>1</v>
      </c>
      <c r="L2110" s="255"/>
      <c r="M2110" s="256">
        <v>1.5659999999999999E-3</v>
      </c>
      <c r="N2110" s="249">
        <v>2109</v>
      </c>
    </row>
    <row r="2111" spans="1:14" x14ac:dyDescent="0.25">
      <c r="A2111" s="252" t="s">
        <v>183</v>
      </c>
      <c r="B2111" s="252" t="s">
        <v>5432</v>
      </c>
      <c r="C2111" s="253">
        <v>0</v>
      </c>
      <c r="D2111" s="252" t="s">
        <v>5433</v>
      </c>
      <c r="E2111" s="252" t="s">
        <v>192</v>
      </c>
      <c r="F2111" s="254" t="s">
        <v>5435</v>
      </c>
      <c r="G2111" s="252" t="s">
        <v>5504</v>
      </c>
      <c r="H2111" s="252" t="s">
        <v>5505</v>
      </c>
      <c r="I2111" s="252">
        <v>12</v>
      </c>
      <c r="J2111" s="255">
        <v>1</v>
      </c>
      <c r="K2111" s="255">
        <v>1</v>
      </c>
      <c r="L2111" s="255"/>
      <c r="M2111" s="256">
        <v>4.1100000000000002E-4</v>
      </c>
      <c r="N2111" s="249">
        <v>2110</v>
      </c>
    </row>
    <row r="2112" spans="1:14" x14ac:dyDescent="0.25">
      <c r="A2112" s="252" t="s">
        <v>183</v>
      </c>
      <c r="B2112" s="252" t="s">
        <v>5432</v>
      </c>
      <c r="C2112" s="253">
        <v>0</v>
      </c>
      <c r="D2112" s="252" t="s">
        <v>5433</v>
      </c>
      <c r="E2112" s="252" t="s">
        <v>192</v>
      </c>
      <c r="F2112" s="254" t="s">
        <v>5435</v>
      </c>
      <c r="G2112" s="252" t="s">
        <v>5506</v>
      </c>
      <c r="H2112" s="252" t="s">
        <v>5507</v>
      </c>
      <c r="I2112" s="252">
        <v>12</v>
      </c>
      <c r="J2112" s="255">
        <v>1</v>
      </c>
      <c r="K2112" s="255">
        <v>1</v>
      </c>
      <c r="L2112" s="255"/>
      <c r="M2112" s="256">
        <v>3.9599999999999998E-4</v>
      </c>
      <c r="N2112" s="249">
        <v>2111</v>
      </c>
    </row>
    <row r="2113" spans="1:14" x14ac:dyDescent="0.25">
      <c r="A2113" s="252" t="s">
        <v>183</v>
      </c>
      <c r="B2113" s="252" t="s">
        <v>5432</v>
      </c>
      <c r="C2113" s="253">
        <v>0</v>
      </c>
      <c r="D2113" s="252" t="s">
        <v>5433</v>
      </c>
      <c r="E2113" s="252" t="s">
        <v>192</v>
      </c>
      <c r="F2113" s="254" t="s">
        <v>5435</v>
      </c>
      <c r="G2113" s="252" t="s">
        <v>5508</v>
      </c>
      <c r="H2113" s="252" t="s">
        <v>5509</v>
      </c>
      <c r="I2113" s="252">
        <v>12</v>
      </c>
      <c r="J2113" s="255">
        <v>1</v>
      </c>
      <c r="K2113" s="255">
        <v>1</v>
      </c>
      <c r="L2113" s="255"/>
      <c r="M2113" s="256">
        <v>3.9599999999999998E-4</v>
      </c>
      <c r="N2113" s="249">
        <v>2112</v>
      </c>
    </row>
    <row r="2114" spans="1:14" x14ac:dyDescent="0.25">
      <c r="A2114" s="252" t="s">
        <v>183</v>
      </c>
      <c r="B2114" s="252" t="s">
        <v>5432</v>
      </c>
      <c r="C2114" s="253">
        <v>0</v>
      </c>
      <c r="D2114" s="252" t="s">
        <v>5433</v>
      </c>
      <c r="E2114" s="252" t="s">
        <v>192</v>
      </c>
      <c r="F2114" s="254" t="s">
        <v>5435</v>
      </c>
      <c r="G2114" s="252" t="s">
        <v>5510</v>
      </c>
      <c r="H2114" s="252" t="s">
        <v>5511</v>
      </c>
      <c r="I2114" s="252">
        <v>12</v>
      </c>
      <c r="J2114" s="255">
        <v>1</v>
      </c>
      <c r="K2114" s="255">
        <v>1</v>
      </c>
      <c r="L2114" s="255"/>
      <c r="M2114" s="256">
        <v>3.7500000000000001E-4</v>
      </c>
      <c r="N2114" s="249">
        <v>2113</v>
      </c>
    </row>
    <row r="2115" spans="1:14" x14ac:dyDescent="0.25">
      <c r="A2115" s="252" t="s">
        <v>183</v>
      </c>
      <c r="B2115" s="252" t="s">
        <v>5432</v>
      </c>
      <c r="C2115" s="253">
        <v>0</v>
      </c>
      <c r="D2115" s="252" t="s">
        <v>5433</v>
      </c>
      <c r="E2115" s="252" t="s">
        <v>192</v>
      </c>
      <c r="F2115" s="254" t="s">
        <v>5435</v>
      </c>
      <c r="G2115" s="252" t="s">
        <v>5512</v>
      </c>
      <c r="H2115" s="252" t="s">
        <v>5513</v>
      </c>
      <c r="I2115" s="252">
        <v>12</v>
      </c>
      <c r="J2115" s="255">
        <v>1</v>
      </c>
      <c r="K2115" s="255">
        <v>1</v>
      </c>
      <c r="L2115" s="255"/>
      <c r="M2115" s="256">
        <v>1.7159999999999999E-3</v>
      </c>
      <c r="N2115" s="249">
        <v>2114</v>
      </c>
    </row>
    <row r="2116" spans="1:14" x14ac:dyDescent="0.25">
      <c r="A2116" s="252" t="s">
        <v>183</v>
      </c>
      <c r="B2116" s="252" t="s">
        <v>5432</v>
      </c>
      <c r="C2116" s="253">
        <v>0</v>
      </c>
      <c r="D2116" s="252" t="s">
        <v>5433</v>
      </c>
      <c r="E2116" s="252" t="s">
        <v>192</v>
      </c>
      <c r="F2116" s="254" t="s">
        <v>5435</v>
      </c>
      <c r="G2116" s="252" t="s">
        <v>5514</v>
      </c>
      <c r="H2116" s="252" t="s">
        <v>5515</v>
      </c>
      <c r="I2116" s="252">
        <v>12</v>
      </c>
      <c r="J2116" s="255">
        <v>1</v>
      </c>
      <c r="K2116" s="255">
        <v>1</v>
      </c>
      <c r="L2116" s="255"/>
      <c r="M2116" s="256">
        <v>1.8059999999999997E-3</v>
      </c>
      <c r="N2116" s="249">
        <v>2115</v>
      </c>
    </row>
    <row r="2117" spans="1:14" x14ac:dyDescent="0.25">
      <c r="A2117" s="252" t="s">
        <v>183</v>
      </c>
      <c r="B2117" s="252" t="s">
        <v>5432</v>
      </c>
      <c r="C2117" s="253">
        <v>0</v>
      </c>
      <c r="D2117" s="252" t="s">
        <v>5433</v>
      </c>
      <c r="E2117" s="252" t="s">
        <v>192</v>
      </c>
      <c r="F2117" s="254" t="s">
        <v>5435</v>
      </c>
      <c r="G2117" s="252" t="s">
        <v>5516</v>
      </c>
      <c r="H2117" s="252" t="s">
        <v>5517</v>
      </c>
      <c r="I2117" s="252">
        <v>12</v>
      </c>
      <c r="J2117" s="255">
        <v>1</v>
      </c>
      <c r="K2117" s="255">
        <v>1</v>
      </c>
      <c r="L2117" s="255"/>
      <c r="M2117" s="256">
        <v>1.0499999999999999E-3</v>
      </c>
      <c r="N2117" s="249">
        <v>2116</v>
      </c>
    </row>
    <row r="2118" spans="1:14" x14ac:dyDescent="0.25">
      <c r="A2118" s="252" t="s">
        <v>183</v>
      </c>
      <c r="B2118" s="252" t="s">
        <v>5432</v>
      </c>
      <c r="C2118" s="253">
        <v>0</v>
      </c>
      <c r="D2118" s="252" t="s">
        <v>5433</v>
      </c>
      <c r="E2118" s="252" t="s">
        <v>192</v>
      </c>
      <c r="F2118" s="254" t="s">
        <v>5435</v>
      </c>
      <c r="G2118" s="252" t="s">
        <v>5518</v>
      </c>
      <c r="H2118" s="252" t="s">
        <v>5519</v>
      </c>
      <c r="I2118" s="252">
        <v>12</v>
      </c>
      <c r="J2118" s="255">
        <v>1</v>
      </c>
      <c r="K2118" s="255">
        <v>1</v>
      </c>
      <c r="L2118" s="255"/>
      <c r="M2118" s="256">
        <v>1.8059999999999997E-3</v>
      </c>
      <c r="N2118" s="249">
        <v>2117</v>
      </c>
    </row>
    <row r="2119" spans="1:14" x14ac:dyDescent="0.25">
      <c r="A2119" s="252" t="s">
        <v>183</v>
      </c>
      <c r="B2119" s="252" t="s">
        <v>5432</v>
      </c>
      <c r="C2119" s="253">
        <v>0</v>
      </c>
      <c r="D2119" s="252" t="s">
        <v>5433</v>
      </c>
      <c r="E2119" s="252" t="s">
        <v>192</v>
      </c>
      <c r="F2119" s="254" t="s">
        <v>5435</v>
      </c>
      <c r="G2119" s="252" t="s">
        <v>5520</v>
      </c>
      <c r="H2119" s="252" t="s">
        <v>5521</v>
      </c>
      <c r="I2119" s="252">
        <v>12</v>
      </c>
      <c r="J2119" s="255">
        <v>1</v>
      </c>
      <c r="K2119" s="255">
        <v>1</v>
      </c>
      <c r="L2119" s="255"/>
      <c r="M2119" s="256">
        <v>6.3599999999999996E-4</v>
      </c>
      <c r="N2119" s="249">
        <v>2118</v>
      </c>
    </row>
    <row r="2120" spans="1:14" x14ac:dyDescent="0.25">
      <c r="A2120" s="252" t="s">
        <v>183</v>
      </c>
      <c r="B2120" s="252" t="s">
        <v>5432</v>
      </c>
      <c r="C2120" s="253">
        <v>0</v>
      </c>
      <c r="D2120" s="252" t="s">
        <v>5433</v>
      </c>
      <c r="E2120" s="252" t="s">
        <v>192</v>
      </c>
      <c r="F2120" s="254" t="s">
        <v>5435</v>
      </c>
      <c r="G2120" s="252" t="s">
        <v>5522</v>
      </c>
      <c r="H2120" s="252" t="s">
        <v>5523</v>
      </c>
      <c r="I2120" s="252">
        <v>12</v>
      </c>
      <c r="J2120" s="255">
        <v>1</v>
      </c>
      <c r="K2120" s="255">
        <v>1</v>
      </c>
      <c r="L2120" s="255"/>
      <c r="M2120" s="256">
        <v>6.3599999999999996E-4</v>
      </c>
      <c r="N2120" s="249">
        <v>2119</v>
      </c>
    </row>
    <row r="2121" spans="1:14" x14ac:dyDescent="0.25">
      <c r="A2121" s="252" t="s">
        <v>183</v>
      </c>
      <c r="B2121" s="252" t="s">
        <v>5432</v>
      </c>
      <c r="C2121" s="253">
        <v>0</v>
      </c>
      <c r="D2121" s="252" t="s">
        <v>5433</v>
      </c>
      <c r="E2121" s="252" t="s">
        <v>192</v>
      </c>
      <c r="F2121" s="254" t="s">
        <v>5435</v>
      </c>
      <c r="G2121" s="252" t="s">
        <v>5524</v>
      </c>
      <c r="H2121" s="252" t="s">
        <v>5525</v>
      </c>
      <c r="I2121" s="252">
        <v>12</v>
      </c>
      <c r="J2121" s="255">
        <v>1</v>
      </c>
      <c r="K2121" s="255">
        <v>1</v>
      </c>
      <c r="L2121" s="255"/>
      <c r="M2121" s="256">
        <v>3.1109999999999996E-3</v>
      </c>
      <c r="N2121" s="249">
        <v>2120</v>
      </c>
    </row>
    <row r="2122" spans="1:14" x14ac:dyDescent="0.25">
      <c r="A2122" s="252" t="s">
        <v>183</v>
      </c>
      <c r="B2122" s="252" t="s">
        <v>5432</v>
      </c>
      <c r="C2122" s="253">
        <v>0</v>
      </c>
      <c r="D2122" s="252" t="s">
        <v>5433</v>
      </c>
      <c r="E2122" s="252" t="s">
        <v>5434</v>
      </c>
      <c r="F2122" s="254" t="s">
        <v>5435</v>
      </c>
      <c r="G2122" s="252" t="s">
        <v>5526</v>
      </c>
      <c r="H2122" s="252" t="s">
        <v>5527</v>
      </c>
      <c r="I2122" s="252">
        <v>12</v>
      </c>
      <c r="J2122" s="255">
        <v>1</v>
      </c>
      <c r="K2122" s="255">
        <v>1</v>
      </c>
      <c r="L2122" s="255"/>
      <c r="M2122" s="256">
        <v>3.5429999999999996E-2</v>
      </c>
      <c r="N2122" s="249">
        <v>2121</v>
      </c>
    </row>
    <row r="2123" spans="1:14" x14ac:dyDescent="0.25">
      <c r="A2123" s="252" t="s">
        <v>183</v>
      </c>
      <c r="B2123" s="252" t="s">
        <v>5432</v>
      </c>
      <c r="C2123" s="253">
        <v>0</v>
      </c>
      <c r="D2123" s="252">
        <v>34255</v>
      </c>
      <c r="E2123" s="252" t="s">
        <v>5528</v>
      </c>
      <c r="F2123" s="254" t="s">
        <v>5529</v>
      </c>
      <c r="G2123" s="252" t="s">
        <v>5530</v>
      </c>
      <c r="H2123" s="252" t="s">
        <v>5531</v>
      </c>
      <c r="I2123" s="252">
        <v>12</v>
      </c>
      <c r="J2123" s="255">
        <v>1</v>
      </c>
      <c r="K2123" s="255">
        <v>1</v>
      </c>
      <c r="L2123" s="255"/>
      <c r="M2123" s="256">
        <v>1.9514999999999998E-2</v>
      </c>
      <c r="N2123" s="249">
        <v>2122</v>
      </c>
    </row>
    <row r="2124" spans="1:14" x14ac:dyDescent="0.25">
      <c r="A2124" s="252" t="s">
        <v>183</v>
      </c>
      <c r="B2124" s="252" t="s">
        <v>5432</v>
      </c>
      <c r="C2124" s="253">
        <v>0</v>
      </c>
      <c r="D2124" s="252">
        <v>34255</v>
      </c>
      <c r="E2124" s="252" t="s">
        <v>5528</v>
      </c>
      <c r="F2124" s="254" t="s">
        <v>5529</v>
      </c>
      <c r="G2124" s="252" t="s">
        <v>5532</v>
      </c>
      <c r="H2124" s="252" t="s">
        <v>5533</v>
      </c>
      <c r="I2124" s="252">
        <v>12</v>
      </c>
      <c r="J2124" s="255">
        <v>1</v>
      </c>
      <c r="K2124" s="255">
        <v>1</v>
      </c>
      <c r="L2124" s="255"/>
      <c r="M2124" s="256">
        <v>1.9919999999999998E-3</v>
      </c>
      <c r="N2124" s="249">
        <v>2123</v>
      </c>
    </row>
    <row r="2125" spans="1:14" x14ac:dyDescent="0.25">
      <c r="A2125" s="252" t="s">
        <v>183</v>
      </c>
      <c r="B2125" s="252" t="s">
        <v>5432</v>
      </c>
      <c r="C2125" s="253">
        <v>0</v>
      </c>
      <c r="D2125" s="252">
        <v>34255</v>
      </c>
      <c r="E2125" s="252" t="s">
        <v>5528</v>
      </c>
      <c r="F2125" s="254" t="s">
        <v>5529</v>
      </c>
      <c r="G2125" s="252" t="s">
        <v>5534</v>
      </c>
      <c r="H2125" s="252" t="s">
        <v>5535</v>
      </c>
      <c r="I2125" s="252">
        <v>12</v>
      </c>
      <c r="J2125" s="255">
        <v>1</v>
      </c>
      <c r="K2125" s="255">
        <v>1</v>
      </c>
      <c r="L2125" s="255"/>
      <c r="M2125" s="256">
        <v>4.4399999999999995E-4</v>
      </c>
      <c r="N2125" s="249">
        <v>2124</v>
      </c>
    </row>
    <row r="2126" spans="1:14" x14ac:dyDescent="0.25">
      <c r="A2126" s="252" t="s">
        <v>183</v>
      </c>
      <c r="B2126" s="252" t="s">
        <v>5432</v>
      </c>
      <c r="C2126" s="253">
        <v>0</v>
      </c>
      <c r="D2126" s="252">
        <v>34255</v>
      </c>
      <c r="E2126" s="252" t="s">
        <v>3059</v>
      </c>
      <c r="F2126" s="254" t="s">
        <v>5529</v>
      </c>
      <c r="G2126" s="252" t="s">
        <v>5536</v>
      </c>
      <c r="H2126" s="252" t="s">
        <v>5537</v>
      </c>
      <c r="I2126" s="252">
        <v>12</v>
      </c>
      <c r="J2126" s="255">
        <v>1</v>
      </c>
      <c r="K2126" s="255">
        <v>1</v>
      </c>
      <c r="L2126" s="255"/>
      <c r="M2126" s="256">
        <v>1.8E-3</v>
      </c>
      <c r="N2126" s="249">
        <v>2125</v>
      </c>
    </row>
    <row r="2127" spans="1:14" x14ac:dyDescent="0.25">
      <c r="A2127" s="252" t="s">
        <v>183</v>
      </c>
      <c r="B2127" s="252" t="s">
        <v>5432</v>
      </c>
      <c r="C2127" s="253">
        <v>0</v>
      </c>
      <c r="D2127" s="252">
        <v>34255</v>
      </c>
      <c r="E2127" s="252" t="s">
        <v>3059</v>
      </c>
      <c r="F2127" s="254" t="s">
        <v>5529</v>
      </c>
      <c r="G2127" s="252" t="s">
        <v>5538</v>
      </c>
      <c r="H2127" s="252" t="s">
        <v>5539</v>
      </c>
      <c r="I2127" s="252">
        <v>12</v>
      </c>
      <c r="J2127" s="255">
        <v>1</v>
      </c>
      <c r="K2127" s="255">
        <v>1</v>
      </c>
      <c r="L2127" s="255"/>
      <c r="M2127" s="256">
        <v>1.8E-3</v>
      </c>
      <c r="N2127" s="249">
        <v>2126</v>
      </c>
    </row>
    <row r="2128" spans="1:14" x14ac:dyDescent="0.25">
      <c r="A2128" s="252" t="s">
        <v>183</v>
      </c>
      <c r="B2128" s="252" t="s">
        <v>5432</v>
      </c>
      <c r="C2128" s="253">
        <v>0</v>
      </c>
      <c r="D2128" s="252">
        <v>34255</v>
      </c>
      <c r="E2128" s="252" t="s">
        <v>3059</v>
      </c>
      <c r="F2128" s="254" t="s">
        <v>5529</v>
      </c>
      <c r="G2128" s="252" t="s">
        <v>5540</v>
      </c>
      <c r="H2128" s="252" t="s">
        <v>5541</v>
      </c>
      <c r="I2128" s="252">
        <v>12</v>
      </c>
      <c r="J2128" s="255">
        <v>1</v>
      </c>
      <c r="K2128" s="255">
        <v>1</v>
      </c>
      <c r="L2128" s="255"/>
      <c r="M2128" s="256">
        <v>1.8E-3</v>
      </c>
      <c r="N2128" s="249">
        <v>2127</v>
      </c>
    </row>
    <row r="2129" spans="1:14" x14ac:dyDescent="0.25">
      <c r="A2129" s="252" t="s">
        <v>183</v>
      </c>
      <c r="B2129" s="252" t="s">
        <v>5432</v>
      </c>
      <c r="C2129" s="253">
        <v>0</v>
      </c>
      <c r="D2129" s="252">
        <v>34255</v>
      </c>
      <c r="E2129" s="252" t="s">
        <v>3059</v>
      </c>
      <c r="F2129" s="254" t="s">
        <v>5529</v>
      </c>
      <c r="G2129" s="252" t="s">
        <v>5542</v>
      </c>
      <c r="H2129" s="252" t="s">
        <v>5543</v>
      </c>
      <c r="I2129" s="252">
        <v>12</v>
      </c>
      <c r="J2129" s="255">
        <v>1</v>
      </c>
      <c r="K2129" s="255">
        <v>1</v>
      </c>
      <c r="L2129" s="255"/>
      <c r="M2129" s="256">
        <v>3.6749999999999999E-3</v>
      </c>
      <c r="N2129" s="249">
        <v>2128</v>
      </c>
    </row>
    <row r="2130" spans="1:14" x14ac:dyDescent="0.25">
      <c r="A2130" s="252" t="s">
        <v>183</v>
      </c>
      <c r="B2130" s="252" t="s">
        <v>5432</v>
      </c>
      <c r="C2130" s="253">
        <v>0</v>
      </c>
      <c r="D2130" s="252">
        <v>34255</v>
      </c>
      <c r="E2130" s="252" t="s">
        <v>3059</v>
      </c>
      <c r="F2130" s="254" t="s">
        <v>5529</v>
      </c>
      <c r="G2130" s="252" t="s">
        <v>5544</v>
      </c>
      <c r="H2130" s="252" t="s">
        <v>5545</v>
      </c>
      <c r="I2130" s="252">
        <v>12</v>
      </c>
      <c r="J2130" s="255">
        <v>1</v>
      </c>
      <c r="K2130" s="255">
        <v>1</v>
      </c>
      <c r="L2130" s="255"/>
      <c r="M2130" s="256">
        <v>5.3700000000000004E-4</v>
      </c>
      <c r="N2130" s="249">
        <v>2129</v>
      </c>
    </row>
    <row r="2131" spans="1:14" x14ac:dyDescent="0.25">
      <c r="A2131" s="252" t="s">
        <v>183</v>
      </c>
      <c r="B2131" s="252" t="s">
        <v>5432</v>
      </c>
      <c r="C2131" s="253">
        <v>0</v>
      </c>
      <c r="D2131" s="252">
        <v>34255</v>
      </c>
      <c r="E2131" s="252" t="s">
        <v>3059</v>
      </c>
      <c r="F2131" s="254" t="s">
        <v>5529</v>
      </c>
      <c r="G2131" s="252" t="s">
        <v>5546</v>
      </c>
      <c r="H2131" s="252" t="s">
        <v>5547</v>
      </c>
      <c r="I2131" s="252">
        <v>12</v>
      </c>
      <c r="J2131" s="255">
        <v>1</v>
      </c>
      <c r="K2131" s="255">
        <v>1</v>
      </c>
      <c r="L2131" s="255"/>
      <c r="M2131" s="256">
        <v>9.8999999999999994E-5</v>
      </c>
      <c r="N2131" s="249">
        <v>2130</v>
      </c>
    </row>
    <row r="2132" spans="1:14" x14ac:dyDescent="0.25">
      <c r="A2132" s="252" t="s">
        <v>183</v>
      </c>
      <c r="B2132" s="252" t="s">
        <v>5432</v>
      </c>
      <c r="C2132" s="253">
        <v>0</v>
      </c>
      <c r="D2132" s="252">
        <v>34255</v>
      </c>
      <c r="E2132" s="252" t="s">
        <v>3059</v>
      </c>
      <c r="F2132" s="254" t="s">
        <v>5529</v>
      </c>
      <c r="G2132" s="252" t="s">
        <v>5548</v>
      </c>
      <c r="H2132" s="252" t="s">
        <v>5549</v>
      </c>
      <c r="I2132" s="252">
        <v>12</v>
      </c>
      <c r="J2132" s="255">
        <v>1</v>
      </c>
      <c r="K2132" s="255">
        <v>1</v>
      </c>
      <c r="L2132" s="255"/>
      <c r="M2132" s="256">
        <v>5.3399999999999997E-4</v>
      </c>
      <c r="N2132" s="249">
        <v>2131</v>
      </c>
    </row>
    <row r="2133" spans="1:14" x14ac:dyDescent="0.25">
      <c r="A2133" s="252" t="s">
        <v>183</v>
      </c>
      <c r="B2133" s="252" t="s">
        <v>5432</v>
      </c>
      <c r="C2133" s="253">
        <v>0</v>
      </c>
      <c r="D2133" s="252">
        <v>34255</v>
      </c>
      <c r="E2133" s="252" t="s">
        <v>3059</v>
      </c>
      <c r="F2133" s="254" t="s">
        <v>5529</v>
      </c>
      <c r="G2133" s="252" t="s">
        <v>5550</v>
      </c>
      <c r="H2133" s="252" t="s">
        <v>5551</v>
      </c>
      <c r="I2133" s="252">
        <v>12</v>
      </c>
      <c r="J2133" s="255">
        <v>1</v>
      </c>
      <c r="K2133" s="255">
        <v>1</v>
      </c>
      <c r="L2133" s="255"/>
      <c r="M2133" s="256">
        <v>5.7899999999999998E-4</v>
      </c>
      <c r="N2133" s="249">
        <v>2132</v>
      </c>
    </row>
    <row r="2134" spans="1:14" x14ac:dyDescent="0.25">
      <c r="A2134" s="252" t="s">
        <v>183</v>
      </c>
      <c r="B2134" s="252" t="s">
        <v>5432</v>
      </c>
      <c r="C2134" s="253">
        <v>0</v>
      </c>
      <c r="D2134" s="252">
        <v>34255</v>
      </c>
      <c r="E2134" s="252" t="s">
        <v>3059</v>
      </c>
      <c r="F2134" s="254" t="s">
        <v>5529</v>
      </c>
      <c r="G2134" s="252" t="s">
        <v>5552</v>
      </c>
      <c r="H2134" s="252" t="s">
        <v>5553</v>
      </c>
      <c r="I2134" s="252">
        <v>12</v>
      </c>
      <c r="J2134" s="255">
        <v>1</v>
      </c>
      <c r="K2134" s="255">
        <v>1</v>
      </c>
      <c r="L2134" s="255"/>
      <c r="M2134" s="256">
        <v>5.6399999999999994E-4</v>
      </c>
      <c r="N2134" s="249">
        <v>2133</v>
      </c>
    </row>
    <row r="2135" spans="1:14" x14ac:dyDescent="0.25">
      <c r="A2135" s="252" t="s">
        <v>183</v>
      </c>
      <c r="B2135" s="252" t="s">
        <v>5432</v>
      </c>
      <c r="C2135" s="253">
        <v>0</v>
      </c>
      <c r="D2135" s="252">
        <v>34255</v>
      </c>
      <c r="E2135" s="252" t="s">
        <v>3059</v>
      </c>
      <c r="F2135" s="254" t="s">
        <v>5529</v>
      </c>
      <c r="G2135" s="252" t="s">
        <v>5554</v>
      </c>
      <c r="H2135" s="252" t="s">
        <v>5555</v>
      </c>
      <c r="I2135" s="252">
        <v>12</v>
      </c>
      <c r="J2135" s="255">
        <v>1</v>
      </c>
      <c r="K2135" s="255">
        <v>1</v>
      </c>
      <c r="L2135" s="255"/>
      <c r="M2135" s="256">
        <v>1.8900000000000001E-4</v>
      </c>
      <c r="N2135" s="249">
        <v>2134</v>
      </c>
    </row>
    <row r="2136" spans="1:14" x14ac:dyDescent="0.25">
      <c r="A2136" s="252" t="s">
        <v>183</v>
      </c>
      <c r="B2136" s="252" t="s">
        <v>5432</v>
      </c>
      <c r="C2136" s="253">
        <v>0</v>
      </c>
      <c r="D2136" s="252">
        <v>34255</v>
      </c>
      <c r="E2136" s="252" t="s">
        <v>3059</v>
      </c>
      <c r="F2136" s="254" t="s">
        <v>5529</v>
      </c>
      <c r="G2136" s="252" t="s">
        <v>5556</v>
      </c>
      <c r="H2136" s="252" t="s">
        <v>5557</v>
      </c>
      <c r="I2136" s="252">
        <v>12</v>
      </c>
      <c r="J2136" s="255">
        <v>1</v>
      </c>
      <c r="K2136" s="255">
        <v>1</v>
      </c>
      <c r="L2136" s="255"/>
      <c r="M2136" s="256">
        <v>1.8900000000000001E-4</v>
      </c>
      <c r="N2136" s="249">
        <v>2135</v>
      </c>
    </row>
    <row r="2137" spans="1:14" x14ac:dyDescent="0.25">
      <c r="A2137" s="252" t="s">
        <v>183</v>
      </c>
      <c r="B2137" s="252" t="s">
        <v>5432</v>
      </c>
      <c r="C2137" s="253">
        <v>0</v>
      </c>
      <c r="D2137" s="252">
        <v>34255</v>
      </c>
      <c r="E2137" s="252" t="s">
        <v>3059</v>
      </c>
      <c r="F2137" s="254" t="s">
        <v>5529</v>
      </c>
      <c r="G2137" s="252" t="s">
        <v>5558</v>
      </c>
      <c r="H2137" s="252" t="s">
        <v>5559</v>
      </c>
      <c r="I2137" s="252">
        <v>12</v>
      </c>
      <c r="J2137" s="255">
        <v>1</v>
      </c>
      <c r="K2137" s="255">
        <v>1</v>
      </c>
      <c r="L2137" s="255"/>
      <c r="M2137" s="256">
        <v>5.5800000000000001E-4</v>
      </c>
      <c r="N2137" s="249">
        <v>2136</v>
      </c>
    </row>
    <row r="2138" spans="1:14" x14ac:dyDescent="0.25">
      <c r="A2138" s="252" t="s">
        <v>183</v>
      </c>
      <c r="B2138" s="252" t="s">
        <v>5432</v>
      </c>
      <c r="C2138" s="253">
        <v>0</v>
      </c>
      <c r="D2138" s="252">
        <v>34255</v>
      </c>
      <c r="E2138" s="252" t="s">
        <v>3059</v>
      </c>
      <c r="F2138" s="254" t="s">
        <v>5529</v>
      </c>
      <c r="G2138" s="252" t="s">
        <v>5560</v>
      </c>
      <c r="H2138" s="252" t="s">
        <v>5561</v>
      </c>
      <c r="I2138" s="252">
        <v>12</v>
      </c>
      <c r="J2138" s="255">
        <v>1</v>
      </c>
      <c r="K2138" s="255">
        <v>1</v>
      </c>
      <c r="L2138" s="255"/>
      <c r="M2138" s="256">
        <v>2.6369999999999996E-3</v>
      </c>
      <c r="N2138" s="249">
        <v>2137</v>
      </c>
    </row>
    <row r="2139" spans="1:14" x14ac:dyDescent="0.25">
      <c r="A2139" s="252" t="s">
        <v>183</v>
      </c>
      <c r="B2139" s="252" t="s">
        <v>5432</v>
      </c>
      <c r="C2139" s="253">
        <v>0</v>
      </c>
      <c r="D2139" s="252">
        <v>34255</v>
      </c>
      <c r="E2139" s="252" t="s">
        <v>3059</v>
      </c>
      <c r="F2139" s="254" t="s">
        <v>5529</v>
      </c>
      <c r="G2139" s="252" t="s">
        <v>5562</v>
      </c>
      <c r="H2139" s="252" t="s">
        <v>5563</v>
      </c>
      <c r="I2139" s="252">
        <v>12</v>
      </c>
      <c r="J2139" s="255">
        <v>1</v>
      </c>
      <c r="K2139" s="255">
        <v>1</v>
      </c>
      <c r="L2139" s="255"/>
      <c r="M2139" s="256">
        <v>1.8149999999999998E-3</v>
      </c>
      <c r="N2139" s="249">
        <v>2138</v>
      </c>
    </row>
    <row r="2140" spans="1:14" x14ac:dyDescent="0.25">
      <c r="A2140" s="252" t="s">
        <v>183</v>
      </c>
      <c r="B2140" s="252" t="s">
        <v>5432</v>
      </c>
      <c r="C2140" s="253">
        <v>0</v>
      </c>
      <c r="D2140" s="252">
        <v>34255</v>
      </c>
      <c r="E2140" s="252" t="s">
        <v>3059</v>
      </c>
      <c r="F2140" s="254" t="s">
        <v>5529</v>
      </c>
      <c r="G2140" s="252" t="s">
        <v>5564</v>
      </c>
      <c r="H2140" s="252" t="s">
        <v>5565</v>
      </c>
      <c r="I2140" s="252">
        <v>12</v>
      </c>
      <c r="J2140" s="255">
        <v>1</v>
      </c>
      <c r="K2140" s="255">
        <v>1</v>
      </c>
      <c r="L2140" s="255"/>
      <c r="M2140" s="256">
        <v>3.6749999999999999E-3</v>
      </c>
      <c r="N2140" s="249">
        <v>2139</v>
      </c>
    </row>
    <row r="2141" spans="1:14" x14ac:dyDescent="0.25">
      <c r="A2141" s="252" t="s">
        <v>183</v>
      </c>
      <c r="B2141" s="252" t="s">
        <v>5432</v>
      </c>
      <c r="C2141" s="253">
        <v>0</v>
      </c>
      <c r="D2141" s="252">
        <v>34255</v>
      </c>
      <c r="E2141" s="252" t="s">
        <v>3059</v>
      </c>
      <c r="F2141" s="254" t="s">
        <v>5529</v>
      </c>
      <c r="G2141" s="252" t="s">
        <v>5566</v>
      </c>
      <c r="H2141" s="252" t="s">
        <v>5567</v>
      </c>
      <c r="I2141" s="252">
        <v>12</v>
      </c>
      <c r="J2141" s="255">
        <v>1</v>
      </c>
      <c r="K2141" s="255">
        <v>1</v>
      </c>
      <c r="L2141" s="255"/>
      <c r="M2141" s="256">
        <v>1.8E-3</v>
      </c>
      <c r="N2141" s="249">
        <v>2140</v>
      </c>
    </row>
    <row r="2142" spans="1:14" x14ac:dyDescent="0.25">
      <c r="A2142" s="252" t="s">
        <v>183</v>
      </c>
      <c r="B2142" s="252" t="s">
        <v>5432</v>
      </c>
      <c r="C2142" s="253">
        <v>0</v>
      </c>
      <c r="D2142" s="252">
        <v>34255</v>
      </c>
      <c r="E2142" s="252" t="s">
        <v>3059</v>
      </c>
      <c r="F2142" s="254" t="s">
        <v>5529</v>
      </c>
      <c r="G2142" s="252" t="s">
        <v>5568</v>
      </c>
      <c r="H2142" s="252" t="s">
        <v>5569</v>
      </c>
      <c r="I2142" s="252">
        <v>12</v>
      </c>
      <c r="J2142" s="255">
        <v>1</v>
      </c>
      <c r="K2142" s="255">
        <v>1</v>
      </c>
      <c r="L2142" s="255"/>
      <c r="M2142" s="256">
        <v>1.8E-3</v>
      </c>
      <c r="N2142" s="249">
        <v>2141</v>
      </c>
    </row>
    <row r="2143" spans="1:14" x14ac:dyDescent="0.25">
      <c r="A2143" s="252" t="s">
        <v>183</v>
      </c>
      <c r="B2143" s="252" t="s">
        <v>5432</v>
      </c>
      <c r="C2143" s="253">
        <v>0</v>
      </c>
      <c r="D2143" s="252">
        <v>34255</v>
      </c>
      <c r="E2143" s="252" t="s">
        <v>3059</v>
      </c>
      <c r="F2143" s="254" t="s">
        <v>5529</v>
      </c>
      <c r="G2143" s="252" t="s">
        <v>5570</v>
      </c>
      <c r="H2143" s="252" t="s">
        <v>5571</v>
      </c>
      <c r="I2143" s="252">
        <v>12</v>
      </c>
      <c r="J2143" s="255">
        <v>1</v>
      </c>
      <c r="K2143" s="255">
        <v>1</v>
      </c>
      <c r="L2143" s="255"/>
      <c r="M2143" s="256">
        <v>1.8E-3</v>
      </c>
      <c r="N2143" s="249">
        <v>2142</v>
      </c>
    </row>
    <row r="2144" spans="1:14" x14ac:dyDescent="0.25">
      <c r="A2144" s="252" t="s">
        <v>183</v>
      </c>
      <c r="B2144" s="252" t="s">
        <v>5432</v>
      </c>
      <c r="C2144" s="253">
        <v>0</v>
      </c>
      <c r="D2144" s="252">
        <v>34255</v>
      </c>
      <c r="E2144" s="252" t="s">
        <v>3059</v>
      </c>
      <c r="F2144" s="254" t="s">
        <v>5529</v>
      </c>
      <c r="G2144" s="252" t="s">
        <v>5572</v>
      </c>
      <c r="H2144" s="252" t="s">
        <v>5573</v>
      </c>
      <c r="I2144" s="252">
        <v>12</v>
      </c>
      <c r="J2144" s="255">
        <v>1</v>
      </c>
      <c r="K2144" s="255">
        <v>1</v>
      </c>
      <c r="L2144" s="255"/>
      <c r="M2144" s="256">
        <v>5.3700000000000004E-4</v>
      </c>
      <c r="N2144" s="249">
        <v>2143</v>
      </c>
    </row>
    <row r="2145" spans="1:14" x14ac:dyDescent="0.25">
      <c r="A2145" s="252" t="s">
        <v>183</v>
      </c>
      <c r="B2145" s="252" t="s">
        <v>5432</v>
      </c>
      <c r="C2145" s="253">
        <v>0</v>
      </c>
      <c r="D2145" s="252">
        <v>34255</v>
      </c>
      <c r="E2145" s="252" t="s">
        <v>3059</v>
      </c>
      <c r="F2145" s="254" t="s">
        <v>5529</v>
      </c>
      <c r="G2145" s="252" t="s">
        <v>5574</v>
      </c>
      <c r="H2145" s="252" t="s">
        <v>5575</v>
      </c>
      <c r="I2145" s="252">
        <v>12</v>
      </c>
      <c r="J2145" s="255">
        <v>1</v>
      </c>
      <c r="K2145" s="255">
        <v>1</v>
      </c>
      <c r="L2145" s="255"/>
      <c r="M2145" s="256">
        <v>9.8999999999999994E-5</v>
      </c>
      <c r="N2145" s="249">
        <v>2144</v>
      </c>
    </row>
    <row r="2146" spans="1:14" x14ac:dyDescent="0.25">
      <c r="A2146" s="252" t="s">
        <v>183</v>
      </c>
      <c r="B2146" s="252" t="s">
        <v>5432</v>
      </c>
      <c r="C2146" s="253">
        <v>0</v>
      </c>
      <c r="D2146" s="252">
        <v>34255</v>
      </c>
      <c r="E2146" s="252" t="s">
        <v>3059</v>
      </c>
      <c r="F2146" s="254" t="s">
        <v>5529</v>
      </c>
      <c r="G2146" s="252" t="s">
        <v>5576</v>
      </c>
      <c r="H2146" s="252" t="s">
        <v>5577</v>
      </c>
      <c r="I2146" s="252">
        <v>12</v>
      </c>
      <c r="J2146" s="255">
        <v>1</v>
      </c>
      <c r="K2146" s="255">
        <v>1</v>
      </c>
      <c r="L2146" s="255"/>
      <c r="M2146" s="256">
        <v>5.3399999999999997E-4</v>
      </c>
      <c r="N2146" s="249">
        <v>2145</v>
      </c>
    </row>
    <row r="2147" spans="1:14" x14ac:dyDescent="0.25">
      <c r="A2147" s="252" t="s">
        <v>183</v>
      </c>
      <c r="B2147" s="252" t="s">
        <v>5432</v>
      </c>
      <c r="C2147" s="253">
        <v>0</v>
      </c>
      <c r="D2147" s="252">
        <v>34255</v>
      </c>
      <c r="E2147" s="252" t="s">
        <v>3059</v>
      </c>
      <c r="F2147" s="254" t="s">
        <v>5529</v>
      </c>
      <c r="G2147" s="252" t="s">
        <v>5578</v>
      </c>
      <c r="H2147" s="252" t="s">
        <v>5579</v>
      </c>
      <c r="I2147" s="252">
        <v>12</v>
      </c>
      <c r="J2147" s="255">
        <v>1</v>
      </c>
      <c r="K2147" s="255">
        <v>1</v>
      </c>
      <c r="L2147" s="255"/>
      <c r="M2147" s="256">
        <v>5.7899999999999998E-4</v>
      </c>
      <c r="N2147" s="249">
        <v>2146</v>
      </c>
    </row>
    <row r="2148" spans="1:14" x14ac:dyDescent="0.25">
      <c r="A2148" s="252" t="s">
        <v>183</v>
      </c>
      <c r="B2148" s="252" t="s">
        <v>5432</v>
      </c>
      <c r="C2148" s="253">
        <v>0</v>
      </c>
      <c r="D2148" s="252">
        <v>34255</v>
      </c>
      <c r="E2148" s="252" t="s">
        <v>3059</v>
      </c>
      <c r="F2148" s="254" t="s">
        <v>5529</v>
      </c>
      <c r="G2148" s="252" t="s">
        <v>5580</v>
      </c>
      <c r="H2148" s="252" t="s">
        <v>5581</v>
      </c>
      <c r="I2148" s="252">
        <v>12</v>
      </c>
      <c r="J2148" s="255">
        <v>1</v>
      </c>
      <c r="K2148" s="255">
        <v>1</v>
      </c>
      <c r="L2148" s="255"/>
      <c r="M2148" s="256">
        <v>5.6399999999999994E-4</v>
      </c>
      <c r="N2148" s="249">
        <v>2147</v>
      </c>
    </row>
    <row r="2149" spans="1:14" x14ac:dyDescent="0.25">
      <c r="A2149" s="252" t="s">
        <v>183</v>
      </c>
      <c r="B2149" s="252" t="s">
        <v>5432</v>
      </c>
      <c r="C2149" s="253">
        <v>0</v>
      </c>
      <c r="D2149" s="252">
        <v>34255</v>
      </c>
      <c r="E2149" s="252" t="s">
        <v>3059</v>
      </c>
      <c r="F2149" s="254" t="s">
        <v>5529</v>
      </c>
      <c r="G2149" s="252" t="s">
        <v>5582</v>
      </c>
      <c r="H2149" s="252" t="s">
        <v>5583</v>
      </c>
      <c r="I2149" s="252">
        <v>12</v>
      </c>
      <c r="J2149" s="255">
        <v>1</v>
      </c>
      <c r="K2149" s="255">
        <v>1</v>
      </c>
      <c r="L2149" s="255"/>
      <c r="M2149" s="256">
        <v>1.8900000000000001E-4</v>
      </c>
      <c r="N2149" s="249">
        <v>2148</v>
      </c>
    </row>
    <row r="2150" spans="1:14" x14ac:dyDescent="0.25">
      <c r="A2150" s="252" t="s">
        <v>183</v>
      </c>
      <c r="B2150" s="252" t="s">
        <v>5432</v>
      </c>
      <c r="C2150" s="253">
        <v>0</v>
      </c>
      <c r="D2150" s="252">
        <v>34255</v>
      </c>
      <c r="E2150" s="252" t="s">
        <v>3059</v>
      </c>
      <c r="F2150" s="254" t="s">
        <v>5529</v>
      </c>
      <c r="G2150" s="252" t="s">
        <v>5584</v>
      </c>
      <c r="H2150" s="252" t="s">
        <v>5585</v>
      </c>
      <c r="I2150" s="252">
        <v>12</v>
      </c>
      <c r="J2150" s="255">
        <v>1</v>
      </c>
      <c r="K2150" s="255">
        <v>1</v>
      </c>
      <c r="L2150" s="255"/>
      <c r="M2150" s="256">
        <v>1.8900000000000001E-4</v>
      </c>
      <c r="N2150" s="249">
        <v>2149</v>
      </c>
    </row>
    <row r="2151" spans="1:14" x14ac:dyDescent="0.25">
      <c r="A2151" s="252" t="s">
        <v>183</v>
      </c>
      <c r="B2151" s="252" t="s">
        <v>5432</v>
      </c>
      <c r="C2151" s="253">
        <v>0</v>
      </c>
      <c r="D2151" s="252">
        <v>34255</v>
      </c>
      <c r="E2151" s="252" t="s">
        <v>3059</v>
      </c>
      <c r="F2151" s="254" t="s">
        <v>5529</v>
      </c>
      <c r="G2151" s="252" t="s">
        <v>5586</v>
      </c>
      <c r="H2151" s="252" t="s">
        <v>5587</v>
      </c>
      <c r="I2151" s="252">
        <v>12</v>
      </c>
      <c r="J2151" s="255">
        <v>1</v>
      </c>
      <c r="K2151" s="255">
        <v>1</v>
      </c>
      <c r="L2151" s="255"/>
      <c r="M2151" s="256">
        <v>5.5800000000000001E-4</v>
      </c>
      <c r="N2151" s="249">
        <v>2150</v>
      </c>
    </row>
    <row r="2152" spans="1:14" x14ac:dyDescent="0.25">
      <c r="A2152" s="252" t="s">
        <v>183</v>
      </c>
      <c r="B2152" s="252" t="s">
        <v>5432</v>
      </c>
      <c r="C2152" s="253">
        <v>0</v>
      </c>
      <c r="D2152" s="252">
        <v>34255</v>
      </c>
      <c r="E2152" s="252" t="s">
        <v>3059</v>
      </c>
      <c r="F2152" s="254" t="s">
        <v>5529</v>
      </c>
      <c r="G2152" s="252" t="s">
        <v>5588</v>
      </c>
      <c r="H2152" s="252" t="s">
        <v>5589</v>
      </c>
      <c r="I2152" s="252">
        <v>12</v>
      </c>
      <c r="J2152" s="255">
        <v>1</v>
      </c>
      <c r="K2152" s="255">
        <v>1</v>
      </c>
      <c r="L2152" s="255"/>
      <c r="M2152" s="256">
        <v>2.6369999999999996E-3</v>
      </c>
      <c r="N2152" s="249">
        <v>2151</v>
      </c>
    </row>
    <row r="2153" spans="1:14" x14ac:dyDescent="0.25">
      <c r="A2153" s="252" t="s">
        <v>183</v>
      </c>
      <c r="B2153" s="252" t="s">
        <v>5432</v>
      </c>
      <c r="C2153" s="253">
        <v>0</v>
      </c>
      <c r="D2153" s="252">
        <v>34255</v>
      </c>
      <c r="E2153" s="252" t="s">
        <v>3059</v>
      </c>
      <c r="F2153" s="254" t="s">
        <v>5529</v>
      </c>
      <c r="G2153" s="252" t="s">
        <v>5590</v>
      </c>
      <c r="H2153" s="252" t="s">
        <v>5591</v>
      </c>
      <c r="I2153" s="252">
        <v>12</v>
      </c>
      <c r="J2153" s="255">
        <v>1</v>
      </c>
      <c r="K2153" s="255">
        <v>1</v>
      </c>
      <c r="L2153" s="255"/>
      <c r="M2153" s="256">
        <v>1.8149999999999998E-3</v>
      </c>
      <c r="N2153" s="249">
        <v>2152</v>
      </c>
    </row>
    <row r="2154" spans="1:14" x14ac:dyDescent="0.25">
      <c r="A2154" s="252" t="s">
        <v>183</v>
      </c>
      <c r="B2154" s="252" t="s">
        <v>5432</v>
      </c>
      <c r="C2154" s="253">
        <v>0</v>
      </c>
      <c r="D2154" s="252">
        <v>34255</v>
      </c>
      <c r="E2154" s="252" t="s">
        <v>5528</v>
      </c>
      <c r="F2154" s="254" t="s">
        <v>5529</v>
      </c>
      <c r="G2154" s="252" t="s">
        <v>5592</v>
      </c>
      <c r="H2154" s="252" t="s">
        <v>5593</v>
      </c>
      <c r="I2154" s="252">
        <v>12</v>
      </c>
      <c r="J2154" s="255">
        <v>1</v>
      </c>
      <c r="K2154" s="255">
        <v>1</v>
      </c>
      <c r="L2154" s="255"/>
      <c r="M2154" s="256">
        <v>1.8989999999999999E-3</v>
      </c>
      <c r="N2154" s="249">
        <v>2153</v>
      </c>
    </row>
    <row r="2155" spans="1:14" x14ac:dyDescent="0.25">
      <c r="A2155" s="252" t="s">
        <v>183</v>
      </c>
      <c r="B2155" s="252" t="s">
        <v>5432</v>
      </c>
      <c r="C2155" s="253">
        <v>0</v>
      </c>
      <c r="D2155" s="252">
        <v>34255</v>
      </c>
      <c r="E2155" s="252" t="s">
        <v>5528</v>
      </c>
      <c r="F2155" s="254" t="s">
        <v>5529</v>
      </c>
      <c r="G2155" s="252" t="s">
        <v>5594</v>
      </c>
      <c r="H2155" s="252" t="s">
        <v>5595</v>
      </c>
      <c r="I2155" s="252">
        <v>12</v>
      </c>
      <c r="J2155" s="255">
        <v>1</v>
      </c>
      <c r="K2155" s="255">
        <v>1</v>
      </c>
      <c r="L2155" s="255"/>
      <c r="M2155" s="256">
        <v>1.9701E-2</v>
      </c>
      <c r="N2155" s="249">
        <v>2154</v>
      </c>
    </row>
    <row r="2156" spans="1:14" x14ac:dyDescent="0.25">
      <c r="A2156" s="252" t="s">
        <v>183</v>
      </c>
      <c r="B2156" s="252" t="s">
        <v>5432</v>
      </c>
      <c r="C2156" s="253">
        <v>0</v>
      </c>
      <c r="D2156" s="252">
        <v>34255</v>
      </c>
      <c r="E2156" s="252" t="s">
        <v>5528</v>
      </c>
      <c r="F2156" s="254" t="s">
        <v>5529</v>
      </c>
      <c r="G2156" s="252" t="s">
        <v>5596</v>
      </c>
      <c r="H2156" s="252" t="s">
        <v>5597</v>
      </c>
      <c r="I2156" s="252">
        <v>12</v>
      </c>
      <c r="J2156" s="255">
        <v>1</v>
      </c>
      <c r="K2156" s="255">
        <v>1</v>
      </c>
      <c r="L2156" s="255"/>
      <c r="M2156" s="256">
        <v>1.9919999999999998E-3</v>
      </c>
      <c r="N2156" s="249">
        <v>2155</v>
      </c>
    </row>
    <row r="2157" spans="1:14" x14ac:dyDescent="0.25">
      <c r="A2157" s="252" t="s">
        <v>183</v>
      </c>
      <c r="B2157" s="252" t="s">
        <v>5432</v>
      </c>
      <c r="C2157" s="253">
        <v>0</v>
      </c>
      <c r="D2157" s="252">
        <v>34255</v>
      </c>
      <c r="E2157" s="252" t="s">
        <v>5528</v>
      </c>
      <c r="F2157" s="254" t="s">
        <v>5529</v>
      </c>
      <c r="G2157" s="252" t="s">
        <v>5598</v>
      </c>
      <c r="H2157" s="252" t="s">
        <v>5599</v>
      </c>
      <c r="I2157" s="252">
        <v>12</v>
      </c>
      <c r="J2157" s="255">
        <v>1</v>
      </c>
      <c r="K2157" s="255">
        <v>1</v>
      </c>
      <c r="L2157" s="255"/>
      <c r="M2157" s="256">
        <v>4.4399999999999995E-4</v>
      </c>
      <c r="N2157" s="249">
        <v>2156</v>
      </c>
    </row>
    <row r="2158" spans="1:14" x14ac:dyDescent="0.25">
      <c r="A2158" s="252" t="s">
        <v>183</v>
      </c>
      <c r="B2158" s="252" t="s">
        <v>5432</v>
      </c>
      <c r="C2158" s="253">
        <v>0</v>
      </c>
      <c r="D2158" s="252">
        <v>34255</v>
      </c>
      <c r="E2158" s="252" t="s">
        <v>5528</v>
      </c>
      <c r="F2158" s="254" t="s">
        <v>5529</v>
      </c>
      <c r="G2158" s="252" t="s">
        <v>5600</v>
      </c>
      <c r="H2158" s="252" t="s">
        <v>5601</v>
      </c>
      <c r="I2158" s="252">
        <v>12</v>
      </c>
      <c r="J2158" s="255">
        <v>1</v>
      </c>
      <c r="K2158" s="255">
        <v>1</v>
      </c>
      <c r="L2158" s="255"/>
      <c r="M2158" s="256">
        <v>1.8989999999999999E-3</v>
      </c>
      <c r="N2158" s="249">
        <v>2157</v>
      </c>
    </row>
    <row r="2159" spans="1:14" x14ac:dyDescent="0.25">
      <c r="A2159" s="252" t="s">
        <v>183</v>
      </c>
      <c r="B2159" s="252" t="s">
        <v>5432</v>
      </c>
      <c r="C2159" s="253">
        <v>0</v>
      </c>
      <c r="D2159" s="252">
        <v>34255</v>
      </c>
      <c r="E2159" s="252" t="s">
        <v>5528</v>
      </c>
      <c r="F2159" s="254" t="s">
        <v>5529</v>
      </c>
      <c r="G2159" s="252" t="s">
        <v>5602</v>
      </c>
      <c r="H2159" s="252" t="s">
        <v>5603</v>
      </c>
      <c r="I2159" s="252">
        <v>12</v>
      </c>
      <c r="J2159" s="255">
        <v>1</v>
      </c>
      <c r="K2159" s="255">
        <v>1</v>
      </c>
      <c r="L2159" s="255"/>
      <c r="M2159" s="256">
        <v>1.9139999999999999E-3</v>
      </c>
      <c r="N2159" s="249">
        <v>2158</v>
      </c>
    </row>
    <row r="2160" spans="1:14" x14ac:dyDescent="0.25">
      <c r="A2160" s="252" t="s">
        <v>183</v>
      </c>
      <c r="B2160" s="252" t="s">
        <v>5432</v>
      </c>
      <c r="C2160" s="253">
        <v>0</v>
      </c>
      <c r="D2160" s="252" t="s">
        <v>5433</v>
      </c>
      <c r="E2160" s="252" t="s">
        <v>5528</v>
      </c>
      <c r="F2160" s="254" t="s">
        <v>5604</v>
      </c>
      <c r="G2160" s="252" t="s">
        <v>5605</v>
      </c>
      <c r="H2160" s="252" t="s">
        <v>5606</v>
      </c>
      <c r="I2160" s="252">
        <v>12</v>
      </c>
      <c r="J2160" s="255">
        <v>1</v>
      </c>
      <c r="K2160" s="255">
        <v>1</v>
      </c>
      <c r="L2160" s="255"/>
      <c r="M2160" s="256">
        <v>2.199E-3</v>
      </c>
      <c r="N2160" s="249">
        <v>2159</v>
      </c>
    </row>
    <row r="2161" spans="1:14" x14ac:dyDescent="0.25">
      <c r="A2161" s="252" t="s">
        <v>183</v>
      </c>
      <c r="B2161" s="252" t="s">
        <v>5432</v>
      </c>
      <c r="C2161" s="253">
        <v>0</v>
      </c>
      <c r="D2161" s="252" t="s">
        <v>5433</v>
      </c>
      <c r="E2161" s="252" t="s">
        <v>5528</v>
      </c>
      <c r="F2161" s="254" t="s">
        <v>5604</v>
      </c>
      <c r="G2161" s="252" t="s">
        <v>5607</v>
      </c>
      <c r="H2161" s="252" t="s">
        <v>5608</v>
      </c>
      <c r="I2161" s="252">
        <v>12</v>
      </c>
      <c r="J2161" s="255">
        <v>1</v>
      </c>
      <c r="K2161" s="255">
        <v>1</v>
      </c>
      <c r="L2161" s="255"/>
      <c r="M2161" s="256">
        <v>1.413E-3</v>
      </c>
      <c r="N2161" s="249">
        <v>2160</v>
      </c>
    </row>
    <row r="2162" spans="1:14" x14ac:dyDescent="0.25">
      <c r="A2162" s="252" t="s">
        <v>183</v>
      </c>
      <c r="B2162" s="252" t="s">
        <v>5432</v>
      </c>
      <c r="C2162" s="253">
        <v>0</v>
      </c>
      <c r="D2162" s="252" t="s">
        <v>5433</v>
      </c>
      <c r="E2162" s="252" t="s">
        <v>5528</v>
      </c>
      <c r="F2162" s="254" t="s">
        <v>5604</v>
      </c>
      <c r="G2162" s="252" t="s">
        <v>5609</v>
      </c>
      <c r="H2162" s="252" t="s">
        <v>5610</v>
      </c>
      <c r="I2162" s="252">
        <v>12</v>
      </c>
      <c r="J2162" s="255">
        <v>1</v>
      </c>
      <c r="K2162" s="255">
        <v>1</v>
      </c>
      <c r="L2162" s="255"/>
      <c r="M2162" s="256">
        <v>4.2959999999999998E-2</v>
      </c>
      <c r="N2162" s="249">
        <v>2161</v>
      </c>
    </row>
    <row r="2163" spans="1:14" x14ac:dyDescent="0.25">
      <c r="A2163" s="252" t="s">
        <v>183</v>
      </c>
      <c r="B2163" s="252" t="s">
        <v>5432</v>
      </c>
      <c r="C2163" s="253">
        <v>0</v>
      </c>
      <c r="D2163" s="252" t="s">
        <v>5433</v>
      </c>
      <c r="E2163" s="252" t="s">
        <v>5528</v>
      </c>
      <c r="F2163" s="254" t="s">
        <v>5604</v>
      </c>
      <c r="G2163" s="252" t="s">
        <v>5611</v>
      </c>
      <c r="H2163" s="252" t="s">
        <v>5612</v>
      </c>
      <c r="I2163" s="252">
        <v>12</v>
      </c>
      <c r="J2163" s="255">
        <v>1</v>
      </c>
      <c r="K2163" s="255">
        <v>1</v>
      </c>
      <c r="L2163" s="255"/>
      <c r="M2163" s="256">
        <v>1.941E-3</v>
      </c>
      <c r="N2163" s="249">
        <v>2162</v>
      </c>
    </row>
    <row r="2164" spans="1:14" x14ac:dyDescent="0.25">
      <c r="A2164" s="252" t="s">
        <v>183</v>
      </c>
      <c r="B2164" s="252" t="s">
        <v>5432</v>
      </c>
      <c r="C2164" s="253">
        <v>0</v>
      </c>
      <c r="D2164" s="252" t="s">
        <v>5433</v>
      </c>
      <c r="E2164" s="252" t="s">
        <v>5528</v>
      </c>
      <c r="F2164" s="254" t="s">
        <v>5604</v>
      </c>
      <c r="G2164" s="252" t="s">
        <v>5613</v>
      </c>
      <c r="H2164" s="252" t="s">
        <v>5614</v>
      </c>
      <c r="I2164" s="252">
        <v>12</v>
      </c>
      <c r="J2164" s="255">
        <v>1</v>
      </c>
      <c r="K2164" s="255">
        <v>1</v>
      </c>
      <c r="L2164" s="255"/>
      <c r="M2164" s="256">
        <v>2.3519999999999999E-3</v>
      </c>
      <c r="N2164" s="249">
        <v>2163</v>
      </c>
    </row>
    <row r="2165" spans="1:14" x14ac:dyDescent="0.25">
      <c r="A2165" s="252" t="s">
        <v>183</v>
      </c>
      <c r="B2165" s="252" t="s">
        <v>5432</v>
      </c>
      <c r="C2165" s="253">
        <v>0</v>
      </c>
      <c r="D2165" s="252" t="s">
        <v>5433</v>
      </c>
      <c r="E2165" s="252" t="s">
        <v>5528</v>
      </c>
      <c r="F2165" s="254" t="s">
        <v>5604</v>
      </c>
      <c r="G2165" s="252" t="s">
        <v>5615</v>
      </c>
      <c r="H2165" s="252" t="s">
        <v>5616</v>
      </c>
      <c r="I2165" s="252">
        <v>12</v>
      </c>
      <c r="J2165" s="255">
        <v>1</v>
      </c>
      <c r="K2165" s="255">
        <v>1</v>
      </c>
      <c r="L2165" s="255"/>
      <c r="M2165" s="256">
        <v>1.92E-3</v>
      </c>
      <c r="N2165" s="249">
        <v>2164</v>
      </c>
    </row>
    <row r="2166" spans="1:14" x14ac:dyDescent="0.25">
      <c r="A2166" s="252" t="s">
        <v>183</v>
      </c>
      <c r="B2166" s="252" t="s">
        <v>5432</v>
      </c>
      <c r="C2166" s="253">
        <v>0</v>
      </c>
      <c r="D2166" s="252" t="s">
        <v>5433</v>
      </c>
      <c r="E2166" s="252" t="s">
        <v>5528</v>
      </c>
      <c r="F2166" s="254" t="s">
        <v>5604</v>
      </c>
      <c r="G2166" s="252" t="s">
        <v>5617</v>
      </c>
      <c r="H2166" s="252" t="s">
        <v>5618</v>
      </c>
      <c r="I2166" s="252">
        <v>12</v>
      </c>
      <c r="J2166" s="255">
        <v>1</v>
      </c>
      <c r="K2166" s="255">
        <v>1</v>
      </c>
      <c r="L2166" s="255"/>
      <c r="M2166" s="256">
        <v>1.92E-3</v>
      </c>
      <c r="N2166" s="249">
        <v>2165</v>
      </c>
    </row>
    <row r="2167" spans="1:14" x14ac:dyDescent="0.25">
      <c r="A2167" s="252" t="s">
        <v>183</v>
      </c>
      <c r="B2167" s="252" t="s">
        <v>5432</v>
      </c>
      <c r="C2167" s="253">
        <v>0</v>
      </c>
      <c r="D2167" s="252" t="s">
        <v>5433</v>
      </c>
      <c r="E2167" s="252" t="s">
        <v>5528</v>
      </c>
      <c r="F2167" s="254" t="s">
        <v>5604</v>
      </c>
      <c r="G2167" s="252" t="s">
        <v>5619</v>
      </c>
      <c r="H2167" s="252" t="s">
        <v>5620</v>
      </c>
      <c r="I2167" s="252">
        <v>12</v>
      </c>
      <c r="J2167" s="255">
        <v>1</v>
      </c>
      <c r="K2167" s="255">
        <v>1</v>
      </c>
      <c r="L2167" s="255"/>
      <c r="M2167" s="256">
        <v>1.92E-3</v>
      </c>
      <c r="N2167" s="249">
        <v>2166</v>
      </c>
    </row>
    <row r="2168" spans="1:14" x14ac:dyDescent="0.25">
      <c r="A2168" s="252" t="s">
        <v>183</v>
      </c>
      <c r="B2168" s="252" t="s">
        <v>5432</v>
      </c>
      <c r="C2168" s="253">
        <v>0</v>
      </c>
      <c r="D2168" s="252" t="s">
        <v>5433</v>
      </c>
      <c r="E2168" s="252" t="s">
        <v>5528</v>
      </c>
      <c r="F2168" s="254" t="s">
        <v>5604</v>
      </c>
      <c r="G2168" s="252" t="s">
        <v>5621</v>
      </c>
      <c r="H2168" s="252" t="s">
        <v>5622</v>
      </c>
      <c r="I2168" s="252">
        <v>12</v>
      </c>
      <c r="J2168" s="255">
        <v>1</v>
      </c>
      <c r="K2168" s="255">
        <v>1</v>
      </c>
      <c r="L2168" s="255"/>
      <c r="M2168" s="256">
        <v>2.199E-3</v>
      </c>
      <c r="N2168" s="249">
        <v>2167</v>
      </c>
    </row>
    <row r="2169" spans="1:14" x14ac:dyDescent="0.25">
      <c r="A2169" s="252" t="s">
        <v>183</v>
      </c>
      <c r="B2169" s="252" t="s">
        <v>5432</v>
      </c>
      <c r="C2169" s="253">
        <v>0</v>
      </c>
      <c r="D2169" s="252" t="s">
        <v>5433</v>
      </c>
      <c r="E2169" s="252" t="s">
        <v>5528</v>
      </c>
      <c r="F2169" s="254" t="s">
        <v>5604</v>
      </c>
      <c r="G2169" s="252" t="s">
        <v>5623</v>
      </c>
      <c r="H2169" s="252" t="s">
        <v>5624</v>
      </c>
      <c r="I2169" s="252">
        <v>12</v>
      </c>
      <c r="J2169" s="255">
        <v>1</v>
      </c>
      <c r="K2169" s="255">
        <v>1</v>
      </c>
      <c r="L2169" s="255"/>
      <c r="M2169" s="256">
        <v>4.2959999999999998E-2</v>
      </c>
      <c r="N2169" s="249">
        <v>2168</v>
      </c>
    </row>
    <row r="2170" spans="1:14" x14ac:dyDescent="0.25">
      <c r="A2170" s="252" t="s">
        <v>183</v>
      </c>
      <c r="B2170" s="252" t="s">
        <v>5432</v>
      </c>
      <c r="C2170" s="253">
        <v>0</v>
      </c>
      <c r="D2170" s="252" t="s">
        <v>5433</v>
      </c>
      <c r="E2170" s="252" t="s">
        <v>5528</v>
      </c>
      <c r="F2170" s="254" t="s">
        <v>5604</v>
      </c>
      <c r="G2170" s="252" t="s">
        <v>5625</v>
      </c>
      <c r="H2170" s="252" t="s">
        <v>5626</v>
      </c>
      <c r="I2170" s="252">
        <v>12</v>
      </c>
      <c r="J2170" s="255">
        <v>1</v>
      </c>
      <c r="K2170" s="255">
        <v>1</v>
      </c>
      <c r="L2170" s="255"/>
      <c r="M2170" s="256">
        <v>1.521E-3</v>
      </c>
      <c r="N2170" s="249">
        <v>2169</v>
      </c>
    </row>
    <row r="2171" spans="1:14" x14ac:dyDescent="0.25">
      <c r="A2171" s="252" t="s">
        <v>183</v>
      </c>
      <c r="B2171" s="252" t="s">
        <v>5432</v>
      </c>
      <c r="C2171" s="253">
        <v>0</v>
      </c>
      <c r="D2171" s="252" t="s">
        <v>5433</v>
      </c>
      <c r="E2171" s="252" t="s">
        <v>5528</v>
      </c>
      <c r="F2171" s="254" t="s">
        <v>5604</v>
      </c>
      <c r="G2171" s="252" t="s">
        <v>5627</v>
      </c>
      <c r="H2171" s="252" t="s">
        <v>5628</v>
      </c>
      <c r="I2171" s="252">
        <v>12</v>
      </c>
      <c r="J2171" s="255">
        <v>1</v>
      </c>
      <c r="K2171" s="255">
        <v>1</v>
      </c>
      <c r="L2171" s="255"/>
      <c r="M2171" s="256">
        <v>1.92E-3</v>
      </c>
      <c r="N2171" s="249">
        <v>2170</v>
      </c>
    </row>
    <row r="2172" spans="1:14" x14ac:dyDescent="0.25">
      <c r="A2172" s="252" t="s">
        <v>183</v>
      </c>
      <c r="B2172" s="252" t="s">
        <v>5432</v>
      </c>
      <c r="C2172" s="253">
        <v>0</v>
      </c>
      <c r="D2172" s="252" t="s">
        <v>5433</v>
      </c>
      <c r="E2172" s="252" t="s">
        <v>3059</v>
      </c>
      <c r="F2172" s="254" t="s">
        <v>5604</v>
      </c>
      <c r="G2172" s="252" t="s">
        <v>5629</v>
      </c>
      <c r="H2172" s="252" t="s">
        <v>5630</v>
      </c>
      <c r="I2172" s="252">
        <v>12</v>
      </c>
      <c r="J2172" s="255">
        <v>1</v>
      </c>
      <c r="K2172" s="255">
        <v>1</v>
      </c>
      <c r="L2172" s="255"/>
      <c r="M2172" s="256">
        <v>1.8E-3</v>
      </c>
      <c r="N2172" s="249">
        <v>2171</v>
      </c>
    </row>
    <row r="2173" spans="1:14" x14ac:dyDescent="0.25">
      <c r="A2173" s="252" t="s">
        <v>183</v>
      </c>
      <c r="B2173" s="252" t="s">
        <v>5432</v>
      </c>
      <c r="C2173" s="253">
        <v>0</v>
      </c>
      <c r="D2173" s="252" t="s">
        <v>5433</v>
      </c>
      <c r="E2173" s="252" t="s">
        <v>3059</v>
      </c>
      <c r="F2173" s="254" t="s">
        <v>5604</v>
      </c>
      <c r="G2173" s="252" t="s">
        <v>5631</v>
      </c>
      <c r="H2173" s="252" t="s">
        <v>5632</v>
      </c>
      <c r="I2173" s="252">
        <v>12</v>
      </c>
      <c r="J2173" s="255">
        <v>1</v>
      </c>
      <c r="K2173" s="255">
        <v>1</v>
      </c>
      <c r="L2173" s="255"/>
      <c r="M2173" s="256">
        <v>1.8E-3</v>
      </c>
      <c r="N2173" s="249">
        <v>2172</v>
      </c>
    </row>
    <row r="2174" spans="1:14" x14ac:dyDescent="0.25">
      <c r="A2174" s="252" t="s">
        <v>183</v>
      </c>
      <c r="B2174" s="252" t="s">
        <v>5432</v>
      </c>
      <c r="C2174" s="253">
        <v>0</v>
      </c>
      <c r="D2174" s="252" t="s">
        <v>5433</v>
      </c>
      <c r="E2174" s="252" t="s">
        <v>3059</v>
      </c>
      <c r="F2174" s="254" t="s">
        <v>5604</v>
      </c>
      <c r="G2174" s="252" t="s">
        <v>5633</v>
      </c>
      <c r="H2174" s="252" t="s">
        <v>5634</v>
      </c>
      <c r="I2174" s="252">
        <v>12</v>
      </c>
      <c r="J2174" s="255">
        <v>1</v>
      </c>
      <c r="K2174" s="255">
        <v>1</v>
      </c>
      <c r="L2174" s="255"/>
      <c r="M2174" s="256">
        <v>1.8E-3</v>
      </c>
      <c r="N2174" s="249">
        <v>2173</v>
      </c>
    </row>
    <row r="2175" spans="1:14" x14ac:dyDescent="0.25">
      <c r="A2175" s="252" t="s">
        <v>183</v>
      </c>
      <c r="B2175" s="252" t="s">
        <v>5432</v>
      </c>
      <c r="C2175" s="253">
        <v>0</v>
      </c>
      <c r="D2175" s="252" t="s">
        <v>5433</v>
      </c>
      <c r="E2175" s="252" t="s">
        <v>3059</v>
      </c>
      <c r="F2175" s="254" t="s">
        <v>5604</v>
      </c>
      <c r="G2175" s="252" t="s">
        <v>5635</v>
      </c>
      <c r="H2175" s="252" t="s">
        <v>5636</v>
      </c>
      <c r="I2175" s="252">
        <v>12</v>
      </c>
      <c r="J2175" s="255">
        <v>1</v>
      </c>
      <c r="K2175" s="255">
        <v>1</v>
      </c>
      <c r="L2175" s="255"/>
      <c r="M2175" s="256">
        <v>1.8E-3</v>
      </c>
      <c r="N2175" s="249">
        <v>2174</v>
      </c>
    </row>
    <row r="2176" spans="1:14" x14ac:dyDescent="0.25">
      <c r="A2176" s="252" t="s">
        <v>183</v>
      </c>
      <c r="B2176" s="252" t="s">
        <v>5432</v>
      </c>
      <c r="C2176" s="253">
        <v>0</v>
      </c>
      <c r="D2176" s="252" t="s">
        <v>5433</v>
      </c>
      <c r="E2176" s="252" t="s">
        <v>3059</v>
      </c>
      <c r="F2176" s="254" t="s">
        <v>5604</v>
      </c>
      <c r="G2176" s="252" t="s">
        <v>5637</v>
      </c>
      <c r="H2176" s="252" t="s">
        <v>5638</v>
      </c>
      <c r="I2176" s="252">
        <v>12</v>
      </c>
      <c r="J2176" s="255">
        <v>1</v>
      </c>
      <c r="K2176" s="255">
        <v>1</v>
      </c>
      <c r="L2176" s="255"/>
      <c r="M2176" s="256">
        <v>1.8E-3</v>
      </c>
      <c r="N2176" s="249">
        <v>2175</v>
      </c>
    </row>
    <row r="2177" spans="1:14" x14ac:dyDescent="0.25">
      <c r="A2177" s="252" t="s">
        <v>183</v>
      </c>
      <c r="B2177" s="252" t="s">
        <v>5432</v>
      </c>
      <c r="C2177" s="253">
        <v>0</v>
      </c>
      <c r="D2177" s="252" t="s">
        <v>5433</v>
      </c>
      <c r="E2177" s="252" t="s">
        <v>3059</v>
      </c>
      <c r="F2177" s="254" t="s">
        <v>5604</v>
      </c>
      <c r="G2177" s="252" t="s">
        <v>5639</v>
      </c>
      <c r="H2177" s="252" t="s">
        <v>5640</v>
      </c>
      <c r="I2177" s="252">
        <v>12</v>
      </c>
      <c r="J2177" s="255">
        <v>1</v>
      </c>
      <c r="K2177" s="255">
        <v>1</v>
      </c>
      <c r="L2177" s="255"/>
      <c r="M2177" s="256">
        <v>8.3610000000000004E-3</v>
      </c>
      <c r="N2177" s="249">
        <v>2176</v>
      </c>
    </row>
    <row r="2178" spans="1:14" x14ac:dyDescent="0.25">
      <c r="A2178" s="252" t="s">
        <v>183</v>
      </c>
      <c r="B2178" s="252" t="s">
        <v>5432</v>
      </c>
      <c r="C2178" s="253">
        <v>0</v>
      </c>
      <c r="D2178" s="252" t="s">
        <v>5433</v>
      </c>
      <c r="E2178" s="252" t="s">
        <v>3059</v>
      </c>
      <c r="F2178" s="254" t="s">
        <v>5604</v>
      </c>
      <c r="G2178" s="252" t="s">
        <v>5641</v>
      </c>
      <c r="H2178" s="252" t="s">
        <v>5642</v>
      </c>
      <c r="I2178" s="252">
        <v>12</v>
      </c>
      <c r="J2178" s="255">
        <v>1</v>
      </c>
      <c r="K2178" s="255">
        <v>1</v>
      </c>
      <c r="L2178" s="255"/>
      <c r="M2178" s="256">
        <v>5.6999999999999998E-4</v>
      </c>
      <c r="N2178" s="249">
        <v>2177</v>
      </c>
    </row>
    <row r="2179" spans="1:14" x14ac:dyDescent="0.25">
      <c r="A2179" s="252" t="s">
        <v>183</v>
      </c>
      <c r="B2179" s="252" t="s">
        <v>5432</v>
      </c>
      <c r="C2179" s="253">
        <v>0</v>
      </c>
      <c r="D2179" s="252" t="s">
        <v>5433</v>
      </c>
      <c r="E2179" s="252" t="s">
        <v>3059</v>
      </c>
      <c r="F2179" s="254" t="s">
        <v>5604</v>
      </c>
      <c r="G2179" s="252" t="s">
        <v>5643</v>
      </c>
      <c r="H2179" s="252" t="s">
        <v>5644</v>
      </c>
      <c r="I2179" s="252">
        <v>12</v>
      </c>
      <c r="J2179" s="255">
        <v>1</v>
      </c>
      <c r="K2179" s="255">
        <v>1</v>
      </c>
      <c r="L2179" s="255"/>
      <c r="M2179" s="256">
        <v>5.3700000000000004E-4</v>
      </c>
      <c r="N2179" s="249">
        <v>2178</v>
      </c>
    </row>
    <row r="2180" spans="1:14" x14ac:dyDescent="0.25">
      <c r="A2180" s="252" t="s">
        <v>183</v>
      </c>
      <c r="B2180" s="252" t="s">
        <v>5432</v>
      </c>
      <c r="C2180" s="253">
        <v>0</v>
      </c>
      <c r="D2180" s="252" t="s">
        <v>5433</v>
      </c>
      <c r="E2180" s="252" t="s">
        <v>3059</v>
      </c>
      <c r="F2180" s="254" t="s">
        <v>5604</v>
      </c>
      <c r="G2180" s="252" t="s">
        <v>5645</v>
      </c>
      <c r="H2180" s="252" t="s">
        <v>5646</v>
      </c>
      <c r="I2180" s="252">
        <v>12</v>
      </c>
      <c r="J2180" s="255">
        <v>1</v>
      </c>
      <c r="K2180" s="255">
        <v>1</v>
      </c>
      <c r="L2180" s="255"/>
      <c r="M2180" s="256">
        <v>5.6999999999999998E-4</v>
      </c>
      <c r="N2180" s="249">
        <v>2179</v>
      </c>
    </row>
    <row r="2181" spans="1:14" x14ac:dyDescent="0.25">
      <c r="A2181" s="252" t="s">
        <v>183</v>
      </c>
      <c r="B2181" s="252" t="s">
        <v>5432</v>
      </c>
      <c r="C2181" s="253">
        <v>0</v>
      </c>
      <c r="D2181" s="252" t="s">
        <v>5433</v>
      </c>
      <c r="E2181" s="252" t="s">
        <v>3059</v>
      </c>
      <c r="F2181" s="254" t="s">
        <v>5604</v>
      </c>
      <c r="G2181" s="252" t="s">
        <v>5647</v>
      </c>
      <c r="H2181" s="252" t="s">
        <v>5648</v>
      </c>
      <c r="I2181" s="252">
        <v>12</v>
      </c>
      <c r="J2181" s="255">
        <v>1</v>
      </c>
      <c r="K2181" s="255">
        <v>1</v>
      </c>
      <c r="L2181" s="255"/>
      <c r="M2181" s="256">
        <v>5.4599999999999994E-4</v>
      </c>
      <c r="N2181" s="249">
        <v>2180</v>
      </c>
    </row>
    <row r="2182" spans="1:14" x14ac:dyDescent="0.25">
      <c r="A2182" s="252" t="s">
        <v>183</v>
      </c>
      <c r="B2182" s="252" t="s">
        <v>5432</v>
      </c>
      <c r="C2182" s="253">
        <v>0</v>
      </c>
      <c r="D2182" s="252" t="s">
        <v>5433</v>
      </c>
      <c r="E2182" s="252" t="s">
        <v>3059</v>
      </c>
      <c r="F2182" s="254" t="s">
        <v>5604</v>
      </c>
      <c r="G2182" s="252" t="s">
        <v>5649</v>
      </c>
      <c r="H2182" s="252" t="s">
        <v>5650</v>
      </c>
      <c r="I2182" s="252">
        <v>12</v>
      </c>
      <c r="J2182" s="255">
        <v>1</v>
      </c>
      <c r="K2182" s="255">
        <v>1</v>
      </c>
      <c r="L2182" s="255"/>
      <c r="M2182" s="256">
        <v>1.0799999999999998E-4</v>
      </c>
      <c r="N2182" s="249">
        <v>2181</v>
      </c>
    </row>
    <row r="2183" spans="1:14" x14ac:dyDescent="0.25">
      <c r="A2183" s="252" t="s">
        <v>183</v>
      </c>
      <c r="B2183" s="252" t="s">
        <v>5432</v>
      </c>
      <c r="C2183" s="253">
        <v>0</v>
      </c>
      <c r="D2183" s="252" t="s">
        <v>5433</v>
      </c>
      <c r="E2183" s="252" t="s">
        <v>3059</v>
      </c>
      <c r="F2183" s="254" t="s">
        <v>5604</v>
      </c>
      <c r="G2183" s="252" t="s">
        <v>5651</v>
      </c>
      <c r="H2183" s="252" t="s">
        <v>5652</v>
      </c>
      <c r="I2183" s="252">
        <v>12</v>
      </c>
      <c r="J2183" s="255">
        <v>1</v>
      </c>
      <c r="K2183" s="255">
        <v>1</v>
      </c>
      <c r="L2183" s="255"/>
      <c r="M2183" s="256">
        <v>2.0100000000000001E-4</v>
      </c>
      <c r="N2183" s="249">
        <v>2182</v>
      </c>
    </row>
    <row r="2184" spans="1:14" x14ac:dyDescent="0.25">
      <c r="A2184" s="252" t="s">
        <v>183</v>
      </c>
      <c r="B2184" s="252" t="s">
        <v>5432</v>
      </c>
      <c r="C2184" s="253">
        <v>0</v>
      </c>
      <c r="D2184" s="252" t="s">
        <v>5433</v>
      </c>
      <c r="E2184" s="252" t="s">
        <v>3059</v>
      </c>
      <c r="F2184" s="254" t="s">
        <v>5604</v>
      </c>
      <c r="G2184" s="252" t="s">
        <v>5653</v>
      </c>
      <c r="H2184" s="252" t="s">
        <v>5654</v>
      </c>
      <c r="I2184" s="252">
        <v>12</v>
      </c>
      <c r="J2184" s="255">
        <v>1</v>
      </c>
      <c r="K2184" s="255">
        <v>1</v>
      </c>
      <c r="L2184" s="255"/>
      <c r="M2184" s="256">
        <v>5.4599999999999994E-4</v>
      </c>
      <c r="N2184" s="249">
        <v>2183</v>
      </c>
    </row>
    <row r="2185" spans="1:14" x14ac:dyDescent="0.25">
      <c r="A2185" s="252" t="s">
        <v>183</v>
      </c>
      <c r="B2185" s="252" t="s">
        <v>5432</v>
      </c>
      <c r="C2185" s="253">
        <v>0</v>
      </c>
      <c r="D2185" s="252" t="s">
        <v>5433</v>
      </c>
      <c r="E2185" s="252" t="s">
        <v>3059</v>
      </c>
      <c r="F2185" s="254" t="s">
        <v>5604</v>
      </c>
      <c r="G2185" s="252" t="s">
        <v>5655</v>
      </c>
      <c r="H2185" s="252" t="s">
        <v>5656</v>
      </c>
      <c r="I2185" s="252">
        <v>12</v>
      </c>
      <c r="J2185" s="255">
        <v>1</v>
      </c>
      <c r="K2185" s="255">
        <v>1</v>
      </c>
      <c r="L2185" s="255"/>
      <c r="M2185" s="256">
        <v>2.0100000000000001E-4</v>
      </c>
      <c r="N2185" s="249">
        <v>2184</v>
      </c>
    </row>
    <row r="2186" spans="1:14" x14ac:dyDescent="0.25">
      <c r="A2186" s="252" t="s">
        <v>183</v>
      </c>
      <c r="B2186" s="252" t="s">
        <v>5432</v>
      </c>
      <c r="C2186" s="253">
        <v>0</v>
      </c>
      <c r="D2186" s="252" t="s">
        <v>5433</v>
      </c>
      <c r="E2186" s="252" t="s">
        <v>3059</v>
      </c>
      <c r="F2186" s="254" t="s">
        <v>5604</v>
      </c>
      <c r="G2186" s="252" t="s">
        <v>5657</v>
      </c>
      <c r="H2186" s="252" t="s">
        <v>5658</v>
      </c>
      <c r="I2186" s="252">
        <v>12</v>
      </c>
      <c r="J2186" s="255">
        <v>1</v>
      </c>
      <c r="K2186" s="255">
        <v>1</v>
      </c>
      <c r="L2186" s="255"/>
      <c r="M2186" s="256">
        <v>5.457E-3</v>
      </c>
      <c r="N2186" s="249">
        <v>2185</v>
      </c>
    </row>
    <row r="2187" spans="1:14" x14ac:dyDescent="0.25">
      <c r="A2187" s="252" t="s">
        <v>183</v>
      </c>
      <c r="B2187" s="252" t="s">
        <v>5432</v>
      </c>
      <c r="C2187" s="253">
        <v>0</v>
      </c>
      <c r="D2187" s="252" t="s">
        <v>5433</v>
      </c>
      <c r="E2187" s="252" t="s">
        <v>3059</v>
      </c>
      <c r="F2187" s="254" t="s">
        <v>5604</v>
      </c>
      <c r="G2187" s="252" t="s">
        <v>5659</v>
      </c>
      <c r="H2187" s="252" t="s">
        <v>5660</v>
      </c>
      <c r="I2187" s="252">
        <v>12</v>
      </c>
      <c r="J2187" s="255">
        <v>1</v>
      </c>
      <c r="K2187" s="255">
        <v>1</v>
      </c>
      <c r="L2187" s="255"/>
      <c r="M2187" s="256">
        <v>4.7190000000000001E-3</v>
      </c>
      <c r="N2187" s="249">
        <v>2186</v>
      </c>
    </row>
    <row r="2188" spans="1:14" x14ac:dyDescent="0.25">
      <c r="A2188" s="252" t="s">
        <v>183</v>
      </c>
      <c r="B2188" s="252" t="s">
        <v>5432</v>
      </c>
      <c r="C2188" s="253">
        <v>0</v>
      </c>
      <c r="D2188" s="252" t="s">
        <v>5433</v>
      </c>
      <c r="E2188" s="252" t="s">
        <v>3059</v>
      </c>
      <c r="F2188" s="254" t="s">
        <v>5604</v>
      </c>
      <c r="G2188" s="252" t="s">
        <v>5661</v>
      </c>
      <c r="H2188" s="252" t="s">
        <v>5662</v>
      </c>
      <c r="I2188" s="252">
        <v>12</v>
      </c>
      <c r="J2188" s="255">
        <v>1</v>
      </c>
      <c r="K2188" s="255">
        <v>1</v>
      </c>
      <c r="L2188" s="255"/>
      <c r="M2188" s="256">
        <v>8.3610000000000004E-3</v>
      </c>
      <c r="N2188" s="249">
        <v>2187</v>
      </c>
    </row>
    <row r="2189" spans="1:14" x14ac:dyDescent="0.25">
      <c r="A2189" s="252" t="s">
        <v>183</v>
      </c>
      <c r="B2189" s="252" t="s">
        <v>5432</v>
      </c>
      <c r="C2189" s="253">
        <v>0</v>
      </c>
      <c r="D2189" s="252" t="s">
        <v>5433</v>
      </c>
      <c r="E2189" s="252" t="s">
        <v>3059</v>
      </c>
      <c r="F2189" s="254" t="s">
        <v>5604</v>
      </c>
      <c r="G2189" s="252" t="s">
        <v>5663</v>
      </c>
      <c r="H2189" s="252" t="s">
        <v>5664</v>
      </c>
      <c r="I2189" s="252">
        <v>12</v>
      </c>
      <c r="J2189" s="255">
        <v>1</v>
      </c>
      <c r="K2189" s="255">
        <v>1</v>
      </c>
      <c r="L2189" s="255"/>
      <c r="M2189" s="256">
        <v>1.8E-3</v>
      </c>
      <c r="N2189" s="249">
        <v>2188</v>
      </c>
    </row>
    <row r="2190" spans="1:14" x14ac:dyDescent="0.25">
      <c r="A2190" s="252" t="s">
        <v>183</v>
      </c>
      <c r="B2190" s="252" t="s">
        <v>5432</v>
      </c>
      <c r="C2190" s="253">
        <v>0</v>
      </c>
      <c r="D2190" s="252" t="s">
        <v>5433</v>
      </c>
      <c r="E2190" s="252" t="s">
        <v>3059</v>
      </c>
      <c r="F2190" s="254" t="s">
        <v>5604</v>
      </c>
      <c r="G2190" s="252" t="s">
        <v>5665</v>
      </c>
      <c r="H2190" s="252" t="s">
        <v>5666</v>
      </c>
      <c r="I2190" s="252">
        <v>12</v>
      </c>
      <c r="J2190" s="255">
        <v>1</v>
      </c>
      <c r="K2190" s="255">
        <v>1</v>
      </c>
      <c r="L2190" s="255"/>
      <c r="M2190" s="256">
        <v>1.8E-3</v>
      </c>
      <c r="N2190" s="249">
        <v>2189</v>
      </c>
    </row>
    <row r="2191" spans="1:14" x14ac:dyDescent="0.25">
      <c r="A2191" s="252" t="s">
        <v>183</v>
      </c>
      <c r="B2191" s="252" t="s">
        <v>5432</v>
      </c>
      <c r="C2191" s="253">
        <v>0</v>
      </c>
      <c r="D2191" s="252" t="s">
        <v>5433</v>
      </c>
      <c r="E2191" s="252" t="s">
        <v>3059</v>
      </c>
      <c r="F2191" s="254" t="s">
        <v>5604</v>
      </c>
      <c r="G2191" s="252" t="s">
        <v>5667</v>
      </c>
      <c r="H2191" s="252" t="s">
        <v>5668</v>
      </c>
      <c r="I2191" s="252">
        <v>12</v>
      </c>
      <c r="J2191" s="255">
        <v>1</v>
      </c>
      <c r="K2191" s="255">
        <v>1</v>
      </c>
      <c r="L2191" s="255"/>
      <c r="M2191" s="256">
        <v>1.8E-3</v>
      </c>
      <c r="N2191" s="249">
        <v>2190</v>
      </c>
    </row>
    <row r="2192" spans="1:14" x14ac:dyDescent="0.25">
      <c r="A2192" s="252" t="s">
        <v>183</v>
      </c>
      <c r="B2192" s="252" t="s">
        <v>5432</v>
      </c>
      <c r="C2192" s="253">
        <v>0</v>
      </c>
      <c r="D2192" s="252" t="s">
        <v>5433</v>
      </c>
      <c r="E2192" s="252" t="s">
        <v>3059</v>
      </c>
      <c r="F2192" s="254" t="s">
        <v>5604</v>
      </c>
      <c r="G2192" s="252" t="s">
        <v>5669</v>
      </c>
      <c r="H2192" s="252" t="s">
        <v>5670</v>
      </c>
      <c r="I2192" s="252">
        <v>12</v>
      </c>
      <c r="J2192" s="255">
        <v>1</v>
      </c>
      <c r="K2192" s="255">
        <v>1</v>
      </c>
      <c r="L2192" s="255"/>
      <c r="M2192" s="256">
        <v>1.8E-3</v>
      </c>
      <c r="N2192" s="249">
        <v>2191</v>
      </c>
    </row>
    <row r="2193" spans="1:14" x14ac:dyDescent="0.25">
      <c r="A2193" s="252" t="s">
        <v>183</v>
      </c>
      <c r="B2193" s="252" t="s">
        <v>5432</v>
      </c>
      <c r="C2193" s="253">
        <v>0</v>
      </c>
      <c r="D2193" s="252" t="s">
        <v>5433</v>
      </c>
      <c r="E2193" s="252" t="s">
        <v>3059</v>
      </c>
      <c r="F2193" s="254" t="s">
        <v>5604</v>
      </c>
      <c r="G2193" s="252" t="s">
        <v>5671</v>
      </c>
      <c r="H2193" s="252" t="s">
        <v>5672</v>
      </c>
      <c r="I2193" s="252">
        <v>12</v>
      </c>
      <c r="J2193" s="255">
        <v>1</v>
      </c>
      <c r="K2193" s="255">
        <v>1</v>
      </c>
      <c r="L2193" s="255"/>
      <c r="M2193" s="256">
        <v>1.8E-3</v>
      </c>
      <c r="N2193" s="249">
        <v>2192</v>
      </c>
    </row>
    <row r="2194" spans="1:14" x14ac:dyDescent="0.25">
      <c r="A2194" s="252" t="s">
        <v>183</v>
      </c>
      <c r="B2194" s="252" t="s">
        <v>5432</v>
      </c>
      <c r="C2194" s="253">
        <v>0</v>
      </c>
      <c r="D2194" s="252" t="s">
        <v>5433</v>
      </c>
      <c r="E2194" s="252" t="s">
        <v>3059</v>
      </c>
      <c r="F2194" s="254" t="s">
        <v>5604</v>
      </c>
      <c r="G2194" s="252" t="s">
        <v>5673</v>
      </c>
      <c r="H2194" s="252" t="s">
        <v>5674</v>
      </c>
      <c r="I2194" s="252">
        <v>12</v>
      </c>
      <c r="J2194" s="255">
        <v>1</v>
      </c>
      <c r="K2194" s="255">
        <v>1</v>
      </c>
      <c r="L2194" s="255"/>
      <c r="M2194" s="256">
        <v>5.6999999999999998E-4</v>
      </c>
      <c r="N2194" s="249">
        <v>2193</v>
      </c>
    </row>
    <row r="2195" spans="1:14" x14ac:dyDescent="0.25">
      <c r="A2195" s="252" t="s">
        <v>183</v>
      </c>
      <c r="B2195" s="252" t="s">
        <v>5432</v>
      </c>
      <c r="C2195" s="253">
        <v>0</v>
      </c>
      <c r="D2195" s="252" t="s">
        <v>5433</v>
      </c>
      <c r="E2195" s="252" t="s">
        <v>3059</v>
      </c>
      <c r="F2195" s="254" t="s">
        <v>5604</v>
      </c>
      <c r="G2195" s="252" t="s">
        <v>5675</v>
      </c>
      <c r="H2195" s="252" t="s">
        <v>5676</v>
      </c>
      <c r="I2195" s="252">
        <v>12</v>
      </c>
      <c r="J2195" s="255">
        <v>1</v>
      </c>
      <c r="K2195" s="255">
        <v>1</v>
      </c>
      <c r="L2195" s="255"/>
      <c r="M2195" s="256">
        <v>5.3700000000000004E-4</v>
      </c>
      <c r="N2195" s="249">
        <v>2194</v>
      </c>
    </row>
    <row r="2196" spans="1:14" x14ac:dyDescent="0.25">
      <c r="A2196" s="252" t="s">
        <v>183</v>
      </c>
      <c r="B2196" s="252" t="s">
        <v>5432</v>
      </c>
      <c r="C2196" s="253">
        <v>0</v>
      </c>
      <c r="D2196" s="252" t="s">
        <v>5433</v>
      </c>
      <c r="E2196" s="252" t="s">
        <v>3059</v>
      </c>
      <c r="F2196" s="254" t="s">
        <v>5604</v>
      </c>
      <c r="G2196" s="252" t="s">
        <v>5677</v>
      </c>
      <c r="H2196" s="252" t="s">
        <v>5678</v>
      </c>
      <c r="I2196" s="252">
        <v>12</v>
      </c>
      <c r="J2196" s="255">
        <v>1</v>
      </c>
      <c r="K2196" s="255">
        <v>1</v>
      </c>
      <c r="L2196" s="255"/>
      <c r="M2196" s="256">
        <v>5.6999999999999998E-4</v>
      </c>
      <c r="N2196" s="249">
        <v>2195</v>
      </c>
    </row>
    <row r="2197" spans="1:14" x14ac:dyDescent="0.25">
      <c r="A2197" s="252" t="s">
        <v>183</v>
      </c>
      <c r="B2197" s="252" t="s">
        <v>5432</v>
      </c>
      <c r="C2197" s="253">
        <v>0</v>
      </c>
      <c r="D2197" s="252" t="s">
        <v>5433</v>
      </c>
      <c r="E2197" s="252" t="s">
        <v>3059</v>
      </c>
      <c r="F2197" s="254" t="s">
        <v>5604</v>
      </c>
      <c r="G2197" s="252" t="s">
        <v>5679</v>
      </c>
      <c r="H2197" s="252" t="s">
        <v>5680</v>
      </c>
      <c r="I2197" s="252">
        <v>12</v>
      </c>
      <c r="J2197" s="255">
        <v>1</v>
      </c>
      <c r="K2197" s="255">
        <v>1</v>
      </c>
      <c r="L2197" s="255"/>
      <c r="M2197" s="256">
        <v>5.4599999999999994E-4</v>
      </c>
      <c r="N2197" s="249">
        <v>2196</v>
      </c>
    </row>
    <row r="2198" spans="1:14" x14ac:dyDescent="0.25">
      <c r="A2198" s="252" t="s">
        <v>183</v>
      </c>
      <c r="B2198" s="252" t="s">
        <v>5432</v>
      </c>
      <c r="C2198" s="253">
        <v>0</v>
      </c>
      <c r="D2198" s="252" t="s">
        <v>5433</v>
      </c>
      <c r="E2198" s="252" t="s">
        <v>3059</v>
      </c>
      <c r="F2198" s="254" t="s">
        <v>5604</v>
      </c>
      <c r="G2198" s="252" t="s">
        <v>5681</v>
      </c>
      <c r="H2198" s="252" t="s">
        <v>5682</v>
      </c>
      <c r="I2198" s="252">
        <v>12</v>
      </c>
      <c r="J2198" s="255">
        <v>1</v>
      </c>
      <c r="K2198" s="255">
        <v>1</v>
      </c>
      <c r="L2198" s="255"/>
      <c r="M2198" s="256">
        <v>1.0799999999999998E-4</v>
      </c>
      <c r="N2198" s="249">
        <v>2197</v>
      </c>
    </row>
    <row r="2199" spans="1:14" x14ac:dyDescent="0.25">
      <c r="A2199" s="252" t="s">
        <v>183</v>
      </c>
      <c r="B2199" s="252" t="s">
        <v>5432</v>
      </c>
      <c r="C2199" s="253">
        <v>0</v>
      </c>
      <c r="D2199" s="252" t="s">
        <v>5433</v>
      </c>
      <c r="E2199" s="252" t="s">
        <v>3059</v>
      </c>
      <c r="F2199" s="254" t="s">
        <v>5604</v>
      </c>
      <c r="G2199" s="252" t="s">
        <v>5683</v>
      </c>
      <c r="H2199" s="252" t="s">
        <v>5684</v>
      </c>
      <c r="I2199" s="252">
        <v>12</v>
      </c>
      <c r="J2199" s="255">
        <v>1</v>
      </c>
      <c r="K2199" s="255">
        <v>1</v>
      </c>
      <c r="L2199" s="255"/>
      <c r="M2199" s="256">
        <v>2.0100000000000001E-4</v>
      </c>
      <c r="N2199" s="249">
        <v>2198</v>
      </c>
    </row>
    <row r="2200" spans="1:14" x14ac:dyDescent="0.25">
      <c r="A2200" s="252" t="s">
        <v>183</v>
      </c>
      <c r="B2200" s="252" t="s">
        <v>5432</v>
      </c>
      <c r="C2200" s="253">
        <v>0</v>
      </c>
      <c r="D2200" s="252" t="s">
        <v>5433</v>
      </c>
      <c r="E2200" s="252" t="s">
        <v>3059</v>
      </c>
      <c r="F2200" s="254" t="s">
        <v>5604</v>
      </c>
      <c r="G2200" s="252" t="s">
        <v>5685</v>
      </c>
      <c r="H2200" s="252" t="s">
        <v>5686</v>
      </c>
      <c r="I2200" s="252">
        <v>12</v>
      </c>
      <c r="J2200" s="255">
        <v>1</v>
      </c>
      <c r="K2200" s="255">
        <v>1</v>
      </c>
      <c r="L2200" s="255"/>
      <c r="M2200" s="256">
        <v>5.4599999999999994E-4</v>
      </c>
      <c r="N2200" s="249">
        <v>2199</v>
      </c>
    </row>
    <row r="2201" spans="1:14" x14ac:dyDescent="0.25">
      <c r="A2201" s="252" t="s">
        <v>183</v>
      </c>
      <c r="B2201" s="252" t="s">
        <v>5432</v>
      </c>
      <c r="C2201" s="253">
        <v>0</v>
      </c>
      <c r="D2201" s="252" t="s">
        <v>5433</v>
      </c>
      <c r="E2201" s="252" t="s">
        <v>3059</v>
      </c>
      <c r="F2201" s="254" t="s">
        <v>5604</v>
      </c>
      <c r="G2201" s="252" t="s">
        <v>5687</v>
      </c>
      <c r="H2201" s="252" t="s">
        <v>5688</v>
      </c>
      <c r="I2201" s="252">
        <v>12</v>
      </c>
      <c r="J2201" s="255">
        <v>1</v>
      </c>
      <c r="K2201" s="255">
        <v>1</v>
      </c>
      <c r="L2201" s="255"/>
      <c r="M2201" s="256">
        <v>2.0100000000000001E-4</v>
      </c>
      <c r="N2201" s="249">
        <v>2200</v>
      </c>
    </row>
    <row r="2202" spans="1:14" x14ac:dyDescent="0.25">
      <c r="A2202" s="252" t="s">
        <v>183</v>
      </c>
      <c r="B2202" s="252" t="s">
        <v>5432</v>
      </c>
      <c r="C2202" s="253">
        <v>0</v>
      </c>
      <c r="D2202" s="252" t="s">
        <v>5433</v>
      </c>
      <c r="E2202" s="252" t="s">
        <v>3059</v>
      </c>
      <c r="F2202" s="254" t="s">
        <v>5604</v>
      </c>
      <c r="G2202" s="252" t="s">
        <v>5689</v>
      </c>
      <c r="H2202" s="252" t="s">
        <v>5690</v>
      </c>
      <c r="I2202" s="252">
        <v>12</v>
      </c>
      <c r="J2202" s="255">
        <v>1</v>
      </c>
      <c r="K2202" s="255">
        <v>1</v>
      </c>
      <c r="L2202" s="255"/>
      <c r="M2202" s="256">
        <v>5.457E-3</v>
      </c>
      <c r="N2202" s="249">
        <v>2201</v>
      </c>
    </row>
    <row r="2203" spans="1:14" x14ac:dyDescent="0.25">
      <c r="A2203" s="252" t="s">
        <v>183</v>
      </c>
      <c r="B2203" s="252" t="s">
        <v>5432</v>
      </c>
      <c r="C2203" s="253">
        <v>0</v>
      </c>
      <c r="D2203" s="252" t="s">
        <v>5433</v>
      </c>
      <c r="E2203" s="252" t="s">
        <v>3059</v>
      </c>
      <c r="F2203" s="254" t="s">
        <v>5604</v>
      </c>
      <c r="G2203" s="252" t="s">
        <v>5691</v>
      </c>
      <c r="H2203" s="252" t="s">
        <v>5692</v>
      </c>
      <c r="I2203" s="252">
        <v>12</v>
      </c>
      <c r="J2203" s="255">
        <v>1</v>
      </c>
      <c r="K2203" s="255">
        <v>1</v>
      </c>
      <c r="L2203" s="255"/>
      <c r="M2203" s="256">
        <v>4.7190000000000001E-3</v>
      </c>
      <c r="N2203" s="249">
        <v>2202</v>
      </c>
    </row>
    <row r="2204" spans="1:14" x14ac:dyDescent="0.25">
      <c r="A2204" s="252" t="s">
        <v>183</v>
      </c>
      <c r="B2204" s="252" t="s">
        <v>5432</v>
      </c>
      <c r="C2204" s="253">
        <v>0</v>
      </c>
      <c r="D2204" s="252" t="s">
        <v>5433</v>
      </c>
      <c r="E2204" s="252" t="s">
        <v>5528</v>
      </c>
      <c r="F2204" s="254" t="s">
        <v>5604</v>
      </c>
      <c r="G2204" s="252" t="s">
        <v>5693</v>
      </c>
      <c r="H2204" s="252" t="s">
        <v>5694</v>
      </c>
      <c r="I2204" s="252">
        <v>12</v>
      </c>
      <c r="J2204" s="255">
        <v>1</v>
      </c>
      <c r="K2204" s="255">
        <v>1</v>
      </c>
      <c r="L2204" s="255"/>
      <c r="M2204" s="256">
        <v>1.92E-3</v>
      </c>
      <c r="N2204" s="249">
        <v>2203</v>
      </c>
    </row>
    <row r="2205" spans="1:14" x14ac:dyDescent="0.25">
      <c r="A2205" s="252" t="s">
        <v>183</v>
      </c>
      <c r="B2205" s="252" t="s">
        <v>5432</v>
      </c>
      <c r="C2205" s="253">
        <v>0</v>
      </c>
      <c r="D2205" s="252" t="s">
        <v>5433</v>
      </c>
      <c r="E2205" s="252" t="s">
        <v>5528</v>
      </c>
      <c r="F2205" s="254" t="s">
        <v>5604</v>
      </c>
      <c r="G2205" s="252" t="s">
        <v>5695</v>
      </c>
      <c r="H2205" s="252" t="s">
        <v>5696</v>
      </c>
      <c r="I2205" s="252">
        <v>12</v>
      </c>
      <c r="J2205" s="255">
        <v>1</v>
      </c>
      <c r="K2205" s="255">
        <v>1</v>
      </c>
      <c r="L2205" s="255"/>
      <c r="M2205" s="256">
        <v>1.941E-3</v>
      </c>
      <c r="N2205" s="249">
        <v>2204</v>
      </c>
    </row>
    <row r="2206" spans="1:14" x14ac:dyDescent="0.25">
      <c r="A2206" s="252" t="s">
        <v>183</v>
      </c>
      <c r="B2206" s="252" t="s">
        <v>5432</v>
      </c>
      <c r="C2206" s="253">
        <v>0</v>
      </c>
      <c r="D2206" s="252">
        <v>39800</v>
      </c>
      <c r="E2206" s="252" t="s">
        <v>5434</v>
      </c>
      <c r="F2206" s="254" t="s">
        <v>5697</v>
      </c>
      <c r="G2206" s="252" t="s">
        <v>5698</v>
      </c>
      <c r="H2206" s="252" t="s">
        <v>5699</v>
      </c>
      <c r="I2206" s="252">
        <v>12</v>
      </c>
      <c r="J2206" s="255">
        <v>1</v>
      </c>
      <c r="K2206" s="255">
        <v>1</v>
      </c>
      <c r="L2206" s="255"/>
      <c r="M2206" s="256">
        <v>1.0499999999999999E-4</v>
      </c>
      <c r="N2206" s="249">
        <v>2205</v>
      </c>
    </row>
    <row r="2207" spans="1:14" x14ac:dyDescent="0.25">
      <c r="A2207" s="252" t="s">
        <v>183</v>
      </c>
      <c r="B2207" s="252" t="s">
        <v>5432</v>
      </c>
      <c r="C2207" s="253">
        <v>0</v>
      </c>
      <c r="D2207" s="252">
        <v>39800</v>
      </c>
      <c r="E2207" s="252" t="s">
        <v>5434</v>
      </c>
      <c r="F2207" s="254" t="s">
        <v>5697</v>
      </c>
      <c r="G2207" s="252" t="s">
        <v>5700</v>
      </c>
      <c r="H2207" s="252" t="s">
        <v>5701</v>
      </c>
      <c r="I2207" s="252">
        <v>12</v>
      </c>
      <c r="J2207" s="255">
        <v>1</v>
      </c>
      <c r="K2207" s="255">
        <v>1</v>
      </c>
      <c r="L2207" s="255"/>
      <c r="M2207" s="256">
        <v>1.0499999999999999E-4</v>
      </c>
      <c r="N2207" s="249">
        <v>2206</v>
      </c>
    </row>
    <row r="2208" spans="1:14" x14ac:dyDescent="0.25">
      <c r="A2208" s="252" t="s">
        <v>183</v>
      </c>
      <c r="B2208" s="252" t="s">
        <v>5432</v>
      </c>
      <c r="C2208" s="253">
        <v>0</v>
      </c>
      <c r="D2208" s="252">
        <v>39800</v>
      </c>
      <c r="E2208" s="252" t="s">
        <v>5528</v>
      </c>
      <c r="F2208" s="254" t="s">
        <v>5702</v>
      </c>
      <c r="G2208" s="252" t="s">
        <v>5703</v>
      </c>
      <c r="H2208" s="252" t="s">
        <v>5704</v>
      </c>
      <c r="I2208" s="252">
        <v>12</v>
      </c>
      <c r="J2208" s="255">
        <v>1</v>
      </c>
      <c r="K2208" s="255">
        <v>1</v>
      </c>
      <c r="L2208" s="255"/>
      <c r="M2208" s="256">
        <v>1.9589999999999998E-3</v>
      </c>
      <c r="N2208" s="249">
        <v>2207</v>
      </c>
    </row>
    <row r="2209" spans="1:14" x14ac:dyDescent="0.25">
      <c r="A2209" s="252" t="s">
        <v>183</v>
      </c>
      <c r="B2209" s="252" t="s">
        <v>5432</v>
      </c>
      <c r="C2209" s="253">
        <v>0</v>
      </c>
      <c r="D2209" s="252">
        <v>39800</v>
      </c>
      <c r="E2209" s="252" t="s">
        <v>5528</v>
      </c>
      <c r="F2209" s="254" t="s">
        <v>5705</v>
      </c>
      <c r="G2209" s="252" t="s">
        <v>5706</v>
      </c>
      <c r="H2209" s="252" t="s">
        <v>5707</v>
      </c>
      <c r="I2209" s="252">
        <v>12</v>
      </c>
      <c r="J2209" s="255">
        <v>1</v>
      </c>
      <c r="K2209" s="255">
        <v>1</v>
      </c>
      <c r="L2209" s="255"/>
      <c r="M2209" s="256">
        <v>1.9589999999999998E-3</v>
      </c>
      <c r="N2209" s="249">
        <v>2208</v>
      </c>
    </row>
    <row r="2210" spans="1:14" x14ac:dyDescent="0.25">
      <c r="A2210" s="252" t="s">
        <v>183</v>
      </c>
      <c r="B2210" s="252" t="s">
        <v>5432</v>
      </c>
      <c r="C2210" s="253">
        <v>0</v>
      </c>
      <c r="D2210" s="252">
        <v>39800</v>
      </c>
      <c r="E2210" s="252" t="s">
        <v>5528</v>
      </c>
      <c r="F2210" s="254" t="s">
        <v>5702</v>
      </c>
      <c r="G2210" s="252" t="s">
        <v>5708</v>
      </c>
      <c r="H2210" s="252" t="s">
        <v>5709</v>
      </c>
      <c r="I2210" s="252">
        <v>12</v>
      </c>
      <c r="J2210" s="255">
        <v>1</v>
      </c>
      <c r="K2210" s="255">
        <v>1</v>
      </c>
      <c r="L2210" s="255"/>
      <c r="M2210" s="256">
        <v>9.9029999999999986E-3</v>
      </c>
      <c r="N2210" s="249">
        <v>2209</v>
      </c>
    </row>
    <row r="2211" spans="1:14" x14ac:dyDescent="0.25">
      <c r="A2211" s="252" t="s">
        <v>183</v>
      </c>
      <c r="B2211" s="252" t="s">
        <v>5432</v>
      </c>
      <c r="C2211" s="253">
        <v>0</v>
      </c>
      <c r="D2211" s="252">
        <v>39800</v>
      </c>
      <c r="E2211" s="252" t="s">
        <v>5528</v>
      </c>
      <c r="F2211" s="254" t="s">
        <v>5702</v>
      </c>
      <c r="G2211" s="252" t="s">
        <v>5710</v>
      </c>
      <c r="H2211" s="252" t="s">
        <v>5711</v>
      </c>
      <c r="I2211" s="252">
        <v>12</v>
      </c>
      <c r="J2211" s="255">
        <v>1</v>
      </c>
      <c r="K2211" s="255">
        <v>1</v>
      </c>
      <c r="L2211" s="255"/>
      <c r="M2211" s="256">
        <v>2.3399999999999996E-3</v>
      </c>
      <c r="N2211" s="249">
        <v>2210</v>
      </c>
    </row>
    <row r="2212" spans="1:14" x14ac:dyDescent="0.25">
      <c r="A2212" s="252" t="s">
        <v>183</v>
      </c>
      <c r="B2212" s="252" t="s">
        <v>5432</v>
      </c>
      <c r="C2212" s="253">
        <v>0</v>
      </c>
      <c r="D2212" s="252">
        <v>39800</v>
      </c>
      <c r="E2212" s="252" t="s">
        <v>5528</v>
      </c>
      <c r="F2212" s="254" t="s">
        <v>5702</v>
      </c>
      <c r="G2212" s="252" t="s">
        <v>5712</v>
      </c>
      <c r="H2212" s="252" t="s">
        <v>5713</v>
      </c>
      <c r="I2212" s="252">
        <v>12</v>
      </c>
      <c r="J2212" s="255">
        <v>1</v>
      </c>
      <c r="K2212" s="255">
        <v>1</v>
      </c>
      <c r="L2212" s="255"/>
      <c r="M2212" s="256">
        <v>9.9029999999999986E-3</v>
      </c>
      <c r="N2212" s="249">
        <v>2211</v>
      </c>
    </row>
    <row r="2213" spans="1:14" x14ac:dyDescent="0.25">
      <c r="A2213" s="252" t="s">
        <v>183</v>
      </c>
      <c r="B2213" s="252" t="s">
        <v>5432</v>
      </c>
      <c r="C2213" s="253">
        <v>0</v>
      </c>
      <c r="D2213" s="252">
        <v>39800</v>
      </c>
      <c r="E2213" s="252" t="s">
        <v>5528</v>
      </c>
      <c r="F2213" s="254" t="s">
        <v>5702</v>
      </c>
      <c r="G2213" s="252" t="s">
        <v>5714</v>
      </c>
      <c r="H2213" s="252" t="s">
        <v>5715</v>
      </c>
      <c r="I2213" s="252">
        <v>12</v>
      </c>
      <c r="J2213" s="255">
        <v>1</v>
      </c>
      <c r="K2213" s="255">
        <v>1</v>
      </c>
      <c r="L2213" s="255"/>
      <c r="M2213" s="256">
        <v>2.3399999999999996E-3</v>
      </c>
      <c r="N2213" s="249">
        <v>2212</v>
      </c>
    </row>
    <row r="2214" spans="1:14" x14ac:dyDescent="0.25">
      <c r="A2214" s="252" t="s">
        <v>183</v>
      </c>
      <c r="B2214" s="252" t="s">
        <v>5432</v>
      </c>
      <c r="C2214" s="253">
        <v>0</v>
      </c>
      <c r="D2214" s="252">
        <v>39800</v>
      </c>
      <c r="E2214" s="252" t="s">
        <v>5528</v>
      </c>
      <c r="F2214" s="254" t="s">
        <v>5705</v>
      </c>
      <c r="G2214" s="252" t="s">
        <v>5716</v>
      </c>
      <c r="H2214" s="252" t="s">
        <v>5717</v>
      </c>
      <c r="I2214" s="252">
        <v>12</v>
      </c>
      <c r="J2214" s="255">
        <v>1</v>
      </c>
      <c r="K2214" s="255">
        <v>1</v>
      </c>
      <c r="L2214" s="255"/>
      <c r="M2214" s="256">
        <v>9.9029999999999986E-3</v>
      </c>
      <c r="N2214" s="249">
        <v>2213</v>
      </c>
    </row>
    <row r="2215" spans="1:14" x14ac:dyDescent="0.25">
      <c r="A2215" s="252" t="s">
        <v>183</v>
      </c>
      <c r="B2215" s="252" t="s">
        <v>5432</v>
      </c>
      <c r="C2215" s="253">
        <v>0</v>
      </c>
      <c r="D2215" s="252">
        <v>39800</v>
      </c>
      <c r="E2215" s="252" t="s">
        <v>5528</v>
      </c>
      <c r="F2215" s="254" t="s">
        <v>5705</v>
      </c>
      <c r="G2215" s="252" t="s">
        <v>5718</v>
      </c>
      <c r="H2215" s="252" t="s">
        <v>5719</v>
      </c>
      <c r="I2215" s="252">
        <v>12</v>
      </c>
      <c r="J2215" s="255">
        <v>1</v>
      </c>
      <c r="K2215" s="255">
        <v>1</v>
      </c>
      <c r="L2215" s="255"/>
      <c r="M2215" s="256">
        <v>2.3399999999999996E-3</v>
      </c>
      <c r="N2215" s="249">
        <v>2214</v>
      </c>
    </row>
    <row r="2216" spans="1:14" x14ac:dyDescent="0.25">
      <c r="A2216" s="252" t="s">
        <v>183</v>
      </c>
      <c r="B2216" s="252" t="s">
        <v>5432</v>
      </c>
      <c r="C2216" s="253">
        <v>0</v>
      </c>
      <c r="D2216" s="252">
        <v>39800</v>
      </c>
      <c r="E2216" s="252" t="s">
        <v>5528</v>
      </c>
      <c r="F2216" s="254" t="s">
        <v>5705</v>
      </c>
      <c r="G2216" s="252" t="s">
        <v>5720</v>
      </c>
      <c r="H2216" s="252" t="s">
        <v>5721</v>
      </c>
      <c r="I2216" s="252">
        <v>12</v>
      </c>
      <c r="J2216" s="255">
        <v>1</v>
      </c>
      <c r="K2216" s="255">
        <v>1</v>
      </c>
      <c r="L2216" s="255"/>
      <c r="M2216" s="256">
        <v>9.9059999999999999E-3</v>
      </c>
      <c r="N2216" s="249">
        <v>2215</v>
      </c>
    </row>
    <row r="2217" spans="1:14" x14ac:dyDescent="0.25">
      <c r="A2217" s="252" t="s">
        <v>183</v>
      </c>
      <c r="B2217" s="252" t="s">
        <v>5432</v>
      </c>
      <c r="C2217" s="253">
        <v>0</v>
      </c>
      <c r="D2217" s="252">
        <v>39800</v>
      </c>
      <c r="E2217" s="252" t="s">
        <v>5528</v>
      </c>
      <c r="F2217" s="254" t="s">
        <v>5705</v>
      </c>
      <c r="G2217" s="252" t="s">
        <v>5722</v>
      </c>
      <c r="H2217" s="252" t="s">
        <v>5723</v>
      </c>
      <c r="I2217" s="252">
        <v>12</v>
      </c>
      <c r="J2217" s="255">
        <v>1</v>
      </c>
      <c r="K2217" s="255">
        <v>1</v>
      </c>
      <c r="L2217" s="255"/>
      <c r="M2217" s="256">
        <v>2.3429999999999996E-3</v>
      </c>
      <c r="N2217" s="249">
        <v>2216</v>
      </c>
    </row>
    <row r="2218" spans="1:14" x14ac:dyDescent="0.25">
      <c r="A2218" s="252" t="s">
        <v>183</v>
      </c>
      <c r="B2218" s="252" t="s">
        <v>5432</v>
      </c>
      <c r="C2218" s="253">
        <v>0</v>
      </c>
      <c r="D2218" s="252">
        <v>39800</v>
      </c>
      <c r="E2218" s="252" t="s">
        <v>3059</v>
      </c>
      <c r="F2218" s="254" t="s">
        <v>5702</v>
      </c>
      <c r="G2218" s="252" t="s">
        <v>5724</v>
      </c>
      <c r="H2218" s="252" t="s">
        <v>5725</v>
      </c>
      <c r="I2218" s="252">
        <v>12</v>
      </c>
      <c r="J2218" s="255">
        <v>1</v>
      </c>
      <c r="K2218" s="255">
        <v>1</v>
      </c>
      <c r="L2218" s="255"/>
      <c r="M2218" s="256">
        <v>1.9379999999999998E-3</v>
      </c>
      <c r="N2218" s="249">
        <v>2217</v>
      </c>
    </row>
    <row r="2219" spans="1:14" x14ac:dyDescent="0.25">
      <c r="A2219" s="252" t="s">
        <v>183</v>
      </c>
      <c r="B2219" s="252" t="s">
        <v>5432</v>
      </c>
      <c r="C2219" s="253">
        <v>0</v>
      </c>
      <c r="D2219" s="252">
        <v>39800</v>
      </c>
      <c r="E2219" s="252" t="s">
        <v>3059</v>
      </c>
      <c r="F2219" s="254" t="s">
        <v>5702</v>
      </c>
      <c r="G2219" s="252" t="s">
        <v>5726</v>
      </c>
      <c r="H2219" s="252" t="s">
        <v>5727</v>
      </c>
      <c r="I2219" s="252">
        <v>12</v>
      </c>
      <c r="J2219" s="255">
        <v>1</v>
      </c>
      <c r="K2219" s="255">
        <v>1</v>
      </c>
      <c r="L2219" s="255"/>
      <c r="M2219" s="256">
        <v>1.8E-3</v>
      </c>
      <c r="N2219" s="249">
        <v>2218</v>
      </c>
    </row>
    <row r="2220" spans="1:14" x14ac:dyDescent="0.25">
      <c r="A2220" s="252" t="s">
        <v>183</v>
      </c>
      <c r="B2220" s="252" t="s">
        <v>5432</v>
      </c>
      <c r="C2220" s="253">
        <v>0</v>
      </c>
      <c r="D2220" s="252">
        <v>39800</v>
      </c>
      <c r="E2220" s="252" t="s">
        <v>3059</v>
      </c>
      <c r="F2220" s="254" t="s">
        <v>5702</v>
      </c>
      <c r="G2220" s="252" t="s">
        <v>5728</v>
      </c>
      <c r="H2220" s="252" t="s">
        <v>5729</v>
      </c>
      <c r="I2220" s="252">
        <v>12</v>
      </c>
      <c r="J2220" s="255">
        <v>1</v>
      </c>
      <c r="K2220" s="255">
        <v>1</v>
      </c>
      <c r="L2220" s="255"/>
      <c r="M2220" s="256">
        <v>1.8E-3</v>
      </c>
      <c r="N2220" s="249">
        <v>2219</v>
      </c>
    </row>
    <row r="2221" spans="1:14" x14ac:dyDescent="0.25">
      <c r="A2221" s="252" t="s">
        <v>183</v>
      </c>
      <c r="B2221" s="252" t="s">
        <v>5432</v>
      </c>
      <c r="C2221" s="253">
        <v>0</v>
      </c>
      <c r="D2221" s="252">
        <v>39800</v>
      </c>
      <c r="E2221" s="252" t="s">
        <v>3059</v>
      </c>
      <c r="F2221" s="254" t="s">
        <v>5702</v>
      </c>
      <c r="G2221" s="252" t="s">
        <v>5730</v>
      </c>
      <c r="H2221" s="252" t="s">
        <v>5731</v>
      </c>
      <c r="I2221" s="252">
        <v>12</v>
      </c>
      <c r="J2221" s="255">
        <v>1</v>
      </c>
      <c r="K2221" s="255">
        <v>1</v>
      </c>
      <c r="L2221" s="255"/>
      <c r="M2221" s="256">
        <v>1.5659999999999999E-3</v>
      </c>
      <c r="N2221" s="249">
        <v>2220</v>
      </c>
    </row>
    <row r="2222" spans="1:14" x14ac:dyDescent="0.25">
      <c r="A2222" s="252" t="s">
        <v>183</v>
      </c>
      <c r="B2222" s="252" t="s">
        <v>5432</v>
      </c>
      <c r="C2222" s="253">
        <v>0</v>
      </c>
      <c r="D2222" s="252">
        <v>39800</v>
      </c>
      <c r="E2222" s="252" t="s">
        <v>3059</v>
      </c>
      <c r="F2222" s="254" t="s">
        <v>5702</v>
      </c>
      <c r="G2222" s="252" t="s">
        <v>5732</v>
      </c>
      <c r="H2222" s="252" t="s">
        <v>5733</v>
      </c>
      <c r="I2222" s="252">
        <v>12</v>
      </c>
      <c r="J2222" s="255">
        <v>1</v>
      </c>
      <c r="K2222" s="255">
        <v>1</v>
      </c>
      <c r="L2222" s="255"/>
      <c r="M2222" s="256">
        <v>7.8299999999999995E-4</v>
      </c>
      <c r="N2222" s="249">
        <v>2221</v>
      </c>
    </row>
    <row r="2223" spans="1:14" x14ac:dyDescent="0.25">
      <c r="A2223" s="252" t="s">
        <v>183</v>
      </c>
      <c r="B2223" s="252" t="s">
        <v>5432</v>
      </c>
      <c r="C2223" s="253">
        <v>0</v>
      </c>
      <c r="D2223" s="252">
        <v>39800</v>
      </c>
      <c r="E2223" s="252" t="s">
        <v>3059</v>
      </c>
      <c r="F2223" s="254" t="s">
        <v>5702</v>
      </c>
      <c r="G2223" s="252" t="s">
        <v>5734</v>
      </c>
      <c r="H2223" s="252" t="s">
        <v>5735</v>
      </c>
      <c r="I2223" s="252">
        <v>12</v>
      </c>
      <c r="J2223" s="255">
        <v>1</v>
      </c>
      <c r="K2223" s="255">
        <v>1</v>
      </c>
      <c r="L2223" s="255"/>
      <c r="M2223" s="256">
        <v>5.6700000000000001E-4</v>
      </c>
      <c r="N2223" s="249">
        <v>2222</v>
      </c>
    </row>
    <row r="2224" spans="1:14" x14ac:dyDescent="0.25">
      <c r="A2224" s="252" t="s">
        <v>183</v>
      </c>
      <c r="B2224" s="252" t="s">
        <v>5432</v>
      </c>
      <c r="C2224" s="253">
        <v>0</v>
      </c>
      <c r="D2224" s="252">
        <v>39800</v>
      </c>
      <c r="E2224" s="252" t="s">
        <v>3059</v>
      </c>
      <c r="F2224" s="254" t="s">
        <v>5702</v>
      </c>
      <c r="G2224" s="252" t="s">
        <v>5736</v>
      </c>
      <c r="H2224" s="252" t="s">
        <v>5737</v>
      </c>
      <c r="I2224" s="252">
        <v>12</v>
      </c>
      <c r="J2224" s="255">
        <v>1</v>
      </c>
      <c r="K2224" s="255">
        <v>1</v>
      </c>
      <c r="L2224" s="255"/>
      <c r="M2224" s="256">
        <v>5.4000000000000001E-4</v>
      </c>
      <c r="N2224" s="249">
        <v>2223</v>
      </c>
    </row>
    <row r="2225" spans="1:14" x14ac:dyDescent="0.25">
      <c r="A2225" s="252" t="s">
        <v>183</v>
      </c>
      <c r="B2225" s="252" t="s">
        <v>5432</v>
      </c>
      <c r="C2225" s="253">
        <v>0</v>
      </c>
      <c r="D2225" s="252">
        <v>39800</v>
      </c>
      <c r="E2225" s="252" t="s">
        <v>3059</v>
      </c>
      <c r="F2225" s="254" t="s">
        <v>5702</v>
      </c>
      <c r="G2225" s="252" t="s">
        <v>5738</v>
      </c>
      <c r="H2225" s="252" t="s">
        <v>5739</v>
      </c>
      <c r="I2225" s="252">
        <v>12</v>
      </c>
      <c r="J2225" s="255">
        <v>1</v>
      </c>
      <c r="K2225" s="255">
        <v>1</v>
      </c>
      <c r="L2225" s="255"/>
      <c r="M2225" s="256">
        <v>5.4900000000000001E-4</v>
      </c>
      <c r="N2225" s="249">
        <v>2224</v>
      </c>
    </row>
    <row r="2226" spans="1:14" x14ac:dyDescent="0.25">
      <c r="A2226" s="252" t="s">
        <v>183</v>
      </c>
      <c r="B2226" s="252" t="s">
        <v>5432</v>
      </c>
      <c r="C2226" s="253">
        <v>0</v>
      </c>
      <c r="D2226" s="252">
        <v>39800</v>
      </c>
      <c r="E2226" s="252" t="s">
        <v>3059</v>
      </c>
      <c r="F2226" s="254" t="s">
        <v>5702</v>
      </c>
      <c r="G2226" s="252" t="s">
        <v>5740</v>
      </c>
      <c r="H2226" s="252" t="s">
        <v>5741</v>
      </c>
      <c r="I2226" s="252">
        <v>12</v>
      </c>
      <c r="J2226" s="255">
        <v>1</v>
      </c>
      <c r="K2226" s="255">
        <v>1</v>
      </c>
      <c r="L2226" s="255"/>
      <c r="M2226" s="256">
        <v>2.0100000000000001E-4</v>
      </c>
      <c r="N2226" s="249">
        <v>2225</v>
      </c>
    </row>
    <row r="2227" spans="1:14" x14ac:dyDescent="0.25">
      <c r="A2227" s="252" t="s">
        <v>183</v>
      </c>
      <c r="B2227" s="252" t="s">
        <v>5432</v>
      </c>
      <c r="C2227" s="253">
        <v>0</v>
      </c>
      <c r="D2227" s="252">
        <v>39800</v>
      </c>
      <c r="E2227" s="252" t="s">
        <v>3059</v>
      </c>
      <c r="F2227" s="254" t="s">
        <v>5702</v>
      </c>
      <c r="G2227" s="252" t="s">
        <v>5742</v>
      </c>
      <c r="H2227" s="252" t="s">
        <v>5743</v>
      </c>
      <c r="I2227" s="252">
        <v>12</v>
      </c>
      <c r="J2227" s="255">
        <v>1</v>
      </c>
      <c r="K2227" s="255">
        <v>1</v>
      </c>
      <c r="L2227" s="255"/>
      <c r="M2227" s="256">
        <v>5.4900000000000001E-4</v>
      </c>
      <c r="N2227" s="249">
        <v>2226</v>
      </c>
    </row>
    <row r="2228" spans="1:14" x14ac:dyDescent="0.25">
      <c r="A2228" s="252" t="s">
        <v>183</v>
      </c>
      <c r="B2228" s="252" t="s">
        <v>5432</v>
      </c>
      <c r="C2228" s="253">
        <v>0</v>
      </c>
      <c r="D2228" s="252">
        <v>39800</v>
      </c>
      <c r="E2228" s="252" t="s">
        <v>3059</v>
      </c>
      <c r="F2228" s="254" t="s">
        <v>5702</v>
      </c>
      <c r="G2228" s="252" t="s">
        <v>5744</v>
      </c>
      <c r="H2228" s="252" t="s">
        <v>5745</v>
      </c>
      <c r="I2228" s="252">
        <v>12</v>
      </c>
      <c r="J2228" s="255">
        <v>1</v>
      </c>
      <c r="K2228" s="255">
        <v>1</v>
      </c>
      <c r="L2228" s="255"/>
      <c r="M2228" s="256">
        <v>2.0100000000000001E-4</v>
      </c>
      <c r="N2228" s="249">
        <v>2227</v>
      </c>
    </row>
    <row r="2229" spans="1:14" x14ac:dyDescent="0.25">
      <c r="A2229" s="252" t="s">
        <v>183</v>
      </c>
      <c r="B2229" s="252" t="s">
        <v>5432</v>
      </c>
      <c r="C2229" s="253">
        <v>0</v>
      </c>
      <c r="D2229" s="252">
        <v>39800</v>
      </c>
      <c r="E2229" s="252" t="s">
        <v>3059</v>
      </c>
      <c r="F2229" s="254" t="s">
        <v>5702</v>
      </c>
      <c r="G2229" s="252" t="s">
        <v>5746</v>
      </c>
      <c r="H2229" s="252" t="s">
        <v>5747</v>
      </c>
      <c r="I2229" s="252">
        <v>12</v>
      </c>
      <c r="J2229" s="255">
        <v>1</v>
      </c>
      <c r="K2229" s="255">
        <v>1</v>
      </c>
      <c r="L2229" s="255"/>
      <c r="M2229" s="256">
        <v>5.6399999999999994E-4</v>
      </c>
      <c r="N2229" s="249">
        <v>2228</v>
      </c>
    </row>
    <row r="2230" spans="1:14" x14ac:dyDescent="0.25">
      <c r="A2230" s="252" t="s">
        <v>183</v>
      </c>
      <c r="B2230" s="252" t="s">
        <v>5432</v>
      </c>
      <c r="C2230" s="253">
        <v>0</v>
      </c>
      <c r="D2230" s="252">
        <v>39800</v>
      </c>
      <c r="E2230" s="252" t="s">
        <v>3059</v>
      </c>
      <c r="F2230" s="254" t="s">
        <v>5702</v>
      </c>
      <c r="G2230" s="252" t="s">
        <v>5748</v>
      </c>
      <c r="H2230" s="252" t="s">
        <v>5749</v>
      </c>
      <c r="I2230" s="252">
        <v>12</v>
      </c>
      <c r="J2230" s="255">
        <v>1</v>
      </c>
      <c r="K2230" s="255">
        <v>1</v>
      </c>
      <c r="L2230" s="255"/>
      <c r="M2230" s="256">
        <v>1.0499999999999999E-4</v>
      </c>
      <c r="N2230" s="249">
        <v>2229</v>
      </c>
    </row>
    <row r="2231" spans="1:14" x14ac:dyDescent="0.25">
      <c r="A2231" s="252" t="s">
        <v>183</v>
      </c>
      <c r="B2231" s="252" t="s">
        <v>5432</v>
      </c>
      <c r="C2231" s="253">
        <v>0</v>
      </c>
      <c r="D2231" s="252">
        <v>39800</v>
      </c>
      <c r="E2231" s="252" t="s">
        <v>3059</v>
      </c>
      <c r="F2231" s="254" t="s">
        <v>5702</v>
      </c>
      <c r="G2231" s="252" t="s">
        <v>5750</v>
      </c>
      <c r="H2231" s="252" t="s">
        <v>5751</v>
      </c>
      <c r="I2231" s="252">
        <v>12</v>
      </c>
      <c r="J2231" s="255">
        <v>1</v>
      </c>
      <c r="K2231" s="255">
        <v>1</v>
      </c>
      <c r="L2231" s="255"/>
      <c r="M2231" s="256">
        <v>1.8E-3</v>
      </c>
      <c r="N2231" s="249">
        <v>2230</v>
      </c>
    </row>
    <row r="2232" spans="1:14" x14ac:dyDescent="0.25">
      <c r="A2232" s="252" t="s">
        <v>183</v>
      </c>
      <c r="B2232" s="252" t="s">
        <v>5432</v>
      </c>
      <c r="C2232" s="253">
        <v>0</v>
      </c>
      <c r="D2232" s="252">
        <v>39800</v>
      </c>
      <c r="E2232" s="252" t="s">
        <v>3059</v>
      </c>
      <c r="F2232" s="254" t="s">
        <v>5702</v>
      </c>
      <c r="G2232" s="252" t="s">
        <v>5752</v>
      </c>
      <c r="H2232" s="252" t="s">
        <v>5753</v>
      </c>
      <c r="I2232" s="252">
        <v>12</v>
      </c>
      <c r="J2232" s="255">
        <v>1</v>
      </c>
      <c r="K2232" s="255">
        <v>1</v>
      </c>
      <c r="L2232" s="255"/>
      <c r="M2232" s="256">
        <v>1.8E-3</v>
      </c>
      <c r="N2232" s="249">
        <v>2231</v>
      </c>
    </row>
    <row r="2233" spans="1:14" x14ac:dyDescent="0.25">
      <c r="A2233" s="252" t="s">
        <v>183</v>
      </c>
      <c r="B2233" s="252" t="s">
        <v>5432</v>
      </c>
      <c r="C2233" s="253">
        <v>0</v>
      </c>
      <c r="D2233" s="252">
        <v>39800</v>
      </c>
      <c r="E2233" s="252" t="s">
        <v>3059</v>
      </c>
      <c r="F2233" s="254" t="s">
        <v>5702</v>
      </c>
      <c r="G2233" s="252" t="s">
        <v>5754</v>
      </c>
      <c r="H2233" s="252" t="s">
        <v>5755</v>
      </c>
      <c r="I2233" s="252">
        <v>12</v>
      </c>
      <c r="J2233" s="255">
        <v>1</v>
      </c>
      <c r="K2233" s="255">
        <v>1</v>
      </c>
      <c r="L2233" s="255"/>
      <c r="M2233" s="256">
        <v>1.9379999999999998E-3</v>
      </c>
      <c r="N2233" s="249">
        <v>2232</v>
      </c>
    </row>
    <row r="2234" spans="1:14" x14ac:dyDescent="0.25">
      <c r="A2234" s="252" t="s">
        <v>183</v>
      </c>
      <c r="B2234" s="252" t="s">
        <v>5432</v>
      </c>
      <c r="C2234" s="253">
        <v>0</v>
      </c>
      <c r="D2234" s="252">
        <v>39800</v>
      </c>
      <c r="E2234" s="252" t="s">
        <v>3059</v>
      </c>
      <c r="F2234" s="254" t="s">
        <v>5702</v>
      </c>
      <c r="G2234" s="252" t="s">
        <v>5756</v>
      </c>
      <c r="H2234" s="252" t="s">
        <v>5757</v>
      </c>
      <c r="I2234" s="252">
        <v>12</v>
      </c>
      <c r="J2234" s="255">
        <v>1</v>
      </c>
      <c r="K2234" s="255">
        <v>1</v>
      </c>
      <c r="L2234" s="255"/>
      <c r="M2234" s="256">
        <v>1.5659999999999999E-3</v>
      </c>
      <c r="N2234" s="249">
        <v>2233</v>
      </c>
    </row>
    <row r="2235" spans="1:14" x14ac:dyDescent="0.25">
      <c r="A2235" s="252" t="s">
        <v>183</v>
      </c>
      <c r="B2235" s="252" t="s">
        <v>5432</v>
      </c>
      <c r="C2235" s="253">
        <v>0</v>
      </c>
      <c r="D2235" s="252">
        <v>39800</v>
      </c>
      <c r="E2235" s="252" t="s">
        <v>3059</v>
      </c>
      <c r="F2235" s="254" t="s">
        <v>5702</v>
      </c>
      <c r="G2235" s="252" t="s">
        <v>5758</v>
      </c>
      <c r="H2235" s="252" t="s">
        <v>5759</v>
      </c>
      <c r="I2235" s="252">
        <v>12</v>
      </c>
      <c r="J2235" s="255">
        <v>1</v>
      </c>
      <c r="K2235" s="255">
        <v>1</v>
      </c>
      <c r="L2235" s="255"/>
      <c r="M2235" s="256">
        <v>7.8299999999999995E-4</v>
      </c>
      <c r="N2235" s="249">
        <v>2234</v>
      </c>
    </row>
    <row r="2236" spans="1:14" x14ac:dyDescent="0.25">
      <c r="A2236" s="252" t="s">
        <v>183</v>
      </c>
      <c r="B2236" s="252" t="s">
        <v>5432</v>
      </c>
      <c r="C2236" s="253">
        <v>0</v>
      </c>
      <c r="D2236" s="252">
        <v>39800</v>
      </c>
      <c r="E2236" s="252" t="s">
        <v>3059</v>
      </c>
      <c r="F2236" s="254" t="s">
        <v>5702</v>
      </c>
      <c r="G2236" s="252" t="s">
        <v>5760</v>
      </c>
      <c r="H2236" s="252" t="s">
        <v>5761</v>
      </c>
      <c r="I2236" s="252">
        <v>12</v>
      </c>
      <c r="J2236" s="255">
        <v>1</v>
      </c>
      <c r="K2236" s="255">
        <v>1</v>
      </c>
      <c r="L2236" s="255"/>
      <c r="M2236" s="256">
        <v>5.6700000000000001E-4</v>
      </c>
      <c r="N2236" s="249">
        <v>2235</v>
      </c>
    </row>
    <row r="2237" spans="1:14" x14ac:dyDescent="0.25">
      <c r="A2237" s="252" t="s">
        <v>183</v>
      </c>
      <c r="B2237" s="252" t="s">
        <v>5432</v>
      </c>
      <c r="C2237" s="253">
        <v>0</v>
      </c>
      <c r="D2237" s="252">
        <v>39800</v>
      </c>
      <c r="E2237" s="252" t="s">
        <v>3059</v>
      </c>
      <c r="F2237" s="254" t="s">
        <v>5702</v>
      </c>
      <c r="G2237" s="252" t="s">
        <v>5762</v>
      </c>
      <c r="H2237" s="252" t="s">
        <v>5763</v>
      </c>
      <c r="I2237" s="252">
        <v>12</v>
      </c>
      <c r="J2237" s="255">
        <v>1</v>
      </c>
      <c r="K2237" s="255">
        <v>1</v>
      </c>
      <c r="L2237" s="255"/>
      <c r="M2237" s="256">
        <v>5.4000000000000001E-4</v>
      </c>
      <c r="N2237" s="249">
        <v>2236</v>
      </c>
    </row>
    <row r="2238" spans="1:14" x14ac:dyDescent="0.25">
      <c r="A2238" s="252" t="s">
        <v>183</v>
      </c>
      <c r="B2238" s="252" t="s">
        <v>5432</v>
      </c>
      <c r="C2238" s="253">
        <v>0</v>
      </c>
      <c r="D2238" s="252">
        <v>39800</v>
      </c>
      <c r="E2238" s="252" t="s">
        <v>3059</v>
      </c>
      <c r="F2238" s="254" t="s">
        <v>5702</v>
      </c>
      <c r="G2238" s="252" t="s">
        <v>5764</v>
      </c>
      <c r="H2238" s="252" t="s">
        <v>5765</v>
      </c>
      <c r="I2238" s="252">
        <v>12</v>
      </c>
      <c r="J2238" s="255">
        <v>1</v>
      </c>
      <c r="K2238" s="255">
        <v>1</v>
      </c>
      <c r="L2238" s="255"/>
      <c r="M2238" s="256">
        <v>5.4900000000000001E-4</v>
      </c>
      <c r="N2238" s="249">
        <v>2237</v>
      </c>
    </row>
    <row r="2239" spans="1:14" x14ac:dyDescent="0.25">
      <c r="A2239" s="252" t="s">
        <v>183</v>
      </c>
      <c r="B2239" s="252" t="s">
        <v>5432</v>
      </c>
      <c r="C2239" s="253">
        <v>0</v>
      </c>
      <c r="D2239" s="252">
        <v>39800</v>
      </c>
      <c r="E2239" s="252" t="s">
        <v>3059</v>
      </c>
      <c r="F2239" s="254" t="s">
        <v>5702</v>
      </c>
      <c r="G2239" s="252" t="s">
        <v>5766</v>
      </c>
      <c r="H2239" s="252" t="s">
        <v>5767</v>
      </c>
      <c r="I2239" s="252">
        <v>12</v>
      </c>
      <c r="J2239" s="255">
        <v>1</v>
      </c>
      <c r="K2239" s="255">
        <v>1</v>
      </c>
      <c r="L2239" s="255"/>
      <c r="M2239" s="256">
        <v>2.0100000000000001E-4</v>
      </c>
      <c r="N2239" s="249">
        <v>2238</v>
      </c>
    </row>
    <row r="2240" spans="1:14" x14ac:dyDescent="0.25">
      <c r="A2240" s="252" t="s">
        <v>183</v>
      </c>
      <c r="B2240" s="252" t="s">
        <v>5432</v>
      </c>
      <c r="C2240" s="253">
        <v>0</v>
      </c>
      <c r="D2240" s="252">
        <v>39800</v>
      </c>
      <c r="E2240" s="252" t="s">
        <v>3059</v>
      </c>
      <c r="F2240" s="254" t="s">
        <v>5702</v>
      </c>
      <c r="G2240" s="252" t="s">
        <v>5768</v>
      </c>
      <c r="H2240" s="252" t="s">
        <v>5769</v>
      </c>
      <c r="I2240" s="252">
        <v>12</v>
      </c>
      <c r="J2240" s="255">
        <v>1</v>
      </c>
      <c r="K2240" s="255">
        <v>1</v>
      </c>
      <c r="L2240" s="255"/>
      <c r="M2240" s="256">
        <v>5.4900000000000001E-4</v>
      </c>
      <c r="N2240" s="249">
        <v>2239</v>
      </c>
    </row>
    <row r="2241" spans="1:14" x14ac:dyDescent="0.25">
      <c r="A2241" s="252" t="s">
        <v>183</v>
      </c>
      <c r="B2241" s="252" t="s">
        <v>5432</v>
      </c>
      <c r="C2241" s="253">
        <v>0</v>
      </c>
      <c r="D2241" s="252">
        <v>39800</v>
      </c>
      <c r="E2241" s="252" t="s">
        <v>3059</v>
      </c>
      <c r="F2241" s="254" t="s">
        <v>5702</v>
      </c>
      <c r="G2241" s="252" t="s">
        <v>5770</v>
      </c>
      <c r="H2241" s="252" t="s">
        <v>5771</v>
      </c>
      <c r="I2241" s="252">
        <v>12</v>
      </c>
      <c r="J2241" s="255">
        <v>1</v>
      </c>
      <c r="K2241" s="255">
        <v>1</v>
      </c>
      <c r="L2241" s="255"/>
      <c r="M2241" s="256">
        <v>2.0100000000000001E-4</v>
      </c>
      <c r="N2241" s="249">
        <v>2240</v>
      </c>
    </row>
    <row r="2242" spans="1:14" x14ac:dyDescent="0.25">
      <c r="A2242" s="252" t="s">
        <v>183</v>
      </c>
      <c r="B2242" s="252" t="s">
        <v>5432</v>
      </c>
      <c r="C2242" s="253">
        <v>0</v>
      </c>
      <c r="D2242" s="252">
        <v>39800</v>
      </c>
      <c r="E2242" s="252" t="s">
        <v>3059</v>
      </c>
      <c r="F2242" s="254" t="s">
        <v>5702</v>
      </c>
      <c r="G2242" s="252" t="s">
        <v>5772</v>
      </c>
      <c r="H2242" s="252" t="s">
        <v>5773</v>
      </c>
      <c r="I2242" s="252">
        <v>12</v>
      </c>
      <c r="J2242" s="255">
        <v>1</v>
      </c>
      <c r="K2242" s="255">
        <v>1</v>
      </c>
      <c r="L2242" s="255"/>
      <c r="M2242" s="256">
        <v>5.6399999999999994E-4</v>
      </c>
      <c r="N2242" s="249">
        <v>2241</v>
      </c>
    </row>
    <row r="2243" spans="1:14" x14ac:dyDescent="0.25">
      <c r="A2243" s="252" t="s">
        <v>183</v>
      </c>
      <c r="B2243" s="252" t="s">
        <v>5432</v>
      </c>
      <c r="C2243" s="253">
        <v>0</v>
      </c>
      <c r="D2243" s="252">
        <v>39800</v>
      </c>
      <c r="E2243" s="252" t="s">
        <v>3059</v>
      </c>
      <c r="F2243" s="254" t="s">
        <v>5705</v>
      </c>
      <c r="G2243" s="252" t="s">
        <v>5774</v>
      </c>
      <c r="H2243" s="252" t="s">
        <v>5775</v>
      </c>
      <c r="I2243" s="252">
        <v>12</v>
      </c>
      <c r="J2243" s="255">
        <v>1</v>
      </c>
      <c r="K2243" s="255">
        <v>1</v>
      </c>
      <c r="L2243" s="255"/>
      <c r="M2243" s="256">
        <v>1.9379999999999998E-3</v>
      </c>
      <c r="N2243" s="249">
        <v>2242</v>
      </c>
    </row>
    <row r="2244" spans="1:14" x14ac:dyDescent="0.25">
      <c r="A2244" s="252" t="s">
        <v>183</v>
      </c>
      <c r="B2244" s="252" t="s">
        <v>5432</v>
      </c>
      <c r="C2244" s="253">
        <v>0</v>
      </c>
      <c r="D2244" s="252">
        <v>39800</v>
      </c>
      <c r="E2244" s="252" t="s">
        <v>3059</v>
      </c>
      <c r="F2244" s="254" t="s">
        <v>5705</v>
      </c>
      <c r="G2244" s="252" t="s">
        <v>5776</v>
      </c>
      <c r="H2244" s="252" t="s">
        <v>5777</v>
      </c>
      <c r="I2244" s="252">
        <v>12</v>
      </c>
      <c r="J2244" s="255">
        <v>1</v>
      </c>
      <c r="K2244" s="255">
        <v>1</v>
      </c>
      <c r="L2244" s="255"/>
      <c r="M2244" s="256">
        <v>1.8E-3</v>
      </c>
      <c r="N2244" s="249">
        <v>2243</v>
      </c>
    </row>
    <row r="2245" spans="1:14" x14ac:dyDescent="0.25">
      <c r="A2245" s="252" t="s">
        <v>183</v>
      </c>
      <c r="B2245" s="252" t="s">
        <v>5432</v>
      </c>
      <c r="C2245" s="253">
        <v>0</v>
      </c>
      <c r="D2245" s="252">
        <v>39800</v>
      </c>
      <c r="E2245" s="252" t="s">
        <v>3059</v>
      </c>
      <c r="F2245" s="254" t="s">
        <v>5705</v>
      </c>
      <c r="G2245" s="252" t="s">
        <v>5778</v>
      </c>
      <c r="H2245" s="252" t="s">
        <v>5779</v>
      </c>
      <c r="I2245" s="252">
        <v>12</v>
      </c>
      <c r="J2245" s="255">
        <v>1</v>
      </c>
      <c r="K2245" s="255">
        <v>1</v>
      </c>
      <c r="L2245" s="255"/>
      <c r="M2245" s="256">
        <v>1.8E-3</v>
      </c>
      <c r="N2245" s="249">
        <v>2244</v>
      </c>
    </row>
    <row r="2246" spans="1:14" x14ac:dyDescent="0.25">
      <c r="A2246" s="252" t="s">
        <v>183</v>
      </c>
      <c r="B2246" s="252" t="s">
        <v>5432</v>
      </c>
      <c r="C2246" s="253">
        <v>0</v>
      </c>
      <c r="D2246" s="252">
        <v>39800</v>
      </c>
      <c r="E2246" s="252" t="s">
        <v>3059</v>
      </c>
      <c r="F2246" s="254" t="s">
        <v>5705</v>
      </c>
      <c r="G2246" s="252" t="s">
        <v>5780</v>
      </c>
      <c r="H2246" s="252" t="s">
        <v>5781</v>
      </c>
      <c r="I2246" s="252">
        <v>12</v>
      </c>
      <c r="J2246" s="255">
        <v>1</v>
      </c>
      <c r="K2246" s="255">
        <v>1</v>
      </c>
      <c r="L2246" s="255"/>
      <c r="M2246" s="256">
        <v>1.5659999999999999E-3</v>
      </c>
      <c r="N2246" s="249">
        <v>2245</v>
      </c>
    </row>
    <row r="2247" spans="1:14" x14ac:dyDescent="0.25">
      <c r="A2247" s="252" t="s">
        <v>183</v>
      </c>
      <c r="B2247" s="252" t="s">
        <v>5432</v>
      </c>
      <c r="C2247" s="253">
        <v>0</v>
      </c>
      <c r="D2247" s="252">
        <v>39800</v>
      </c>
      <c r="E2247" s="252" t="s">
        <v>3059</v>
      </c>
      <c r="F2247" s="254" t="s">
        <v>5705</v>
      </c>
      <c r="G2247" s="252" t="s">
        <v>5782</v>
      </c>
      <c r="H2247" s="252" t="s">
        <v>5783</v>
      </c>
      <c r="I2247" s="252">
        <v>12</v>
      </c>
      <c r="J2247" s="255">
        <v>1</v>
      </c>
      <c r="K2247" s="255">
        <v>1</v>
      </c>
      <c r="L2247" s="255"/>
      <c r="M2247" s="256">
        <v>7.8299999999999995E-4</v>
      </c>
      <c r="N2247" s="249">
        <v>2246</v>
      </c>
    </row>
    <row r="2248" spans="1:14" x14ac:dyDescent="0.25">
      <c r="A2248" s="252" t="s">
        <v>183</v>
      </c>
      <c r="B2248" s="252" t="s">
        <v>5432</v>
      </c>
      <c r="C2248" s="253">
        <v>0</v>
      </c>
      <c r="D2248" s="252">
        <v>39800</v>
      </c>
      <c r="E2248" s="252" t="s">
        <v>3059</v>
      </c>
      <c r="F2248" s="254" t="s">
        <v>5705</v>
      </c>
      <c r="G2248" s="252" t="s">
        <v>5784</v>
      </c>
      <c r="H2248" s="252" t="s">
        <v>5785</v>
      </c>
      <c r="I2248" s="252">
        <v>12</v>
      </c>
      <c r="J2248" s="255">
        <v>1</v>
      </c>
      <c r="K2248" s="255">
        <v>1</v>
      </c>
      <c r="L2248" s="255"/>
      <c r="M2248" s="256">
        <v>5.6700000000000001E-4</v>
      </c>
      <c r="N2248" s="249">
        <v>2247</v>
      </c>
    </row>
    <row r="2249" spans="1:14" x14ac:dyDescent="0.25">
      <c r="A2249" s="252" t="s">
        <v>183</v>
      </c>
      <c r="B2249" s="252" t="s">
        <v>5432</v>
      </c>
      <c r="C2249" s="253">
        <v>0</v>
      </c>
      <c r="D2249" s="252">
        <v>39800</v>
      </c>
      <c r="E2249" s="252" t="s">
        <v>3059</v>
      </c>
      <c r="F2249" s="254" t="s">
        <v>5705</v>
      </c>
      <c r="G2249" s="252" t="s">
        <v>5786</v>
      </c>
      <c r="H2249" s="252" t="s">
        <v>5787</v>
      </c>
      <c r="I2249" s="252">
        <v>12</v>
      </c>
      <c r="J2249" s="255">
        <v>1</v>
      </c>
      <c r="K2249" s="255">
        <v>1</v>
      </c>
      <c r="L2249" s="255"/>
      <c r="M2249" s="256">
        <v>5.4000000000000001E-4</v>
      </c>
      <c r="N2249" s="249">
        <v>2248</v>
      </c>
    </row>
    <row r="2250" spans="1:14" x14ac:dyDescent="0.25">
      <c r="A2250" s="252" t="s">
        <v>183</v>
      </c>
      <c r="B2250" s="252" t="s">
        <v>5432</v>
      </c>
      <c r="C2250" s="253">
        <v>0</v>
      </c>
      <c r="D2250" s="252">
        <v>39800</v>
      </c>
      <c r="E2250" s="252" t="s">
        <v>3059</v>
      </c>
      <c r="F2250" s="254" t="s">
        <v>5705</v>
      </c>
      <c r="G2250" s="252" t="s">
        <v>5788</v>
      </c>
      <c r="H2250" s="252" t="s">
        <v>5789</v>
      </c>
      <c r="I2250" s="252">
        <v>12</v>
      </c>
      <c r="J2250" s="255">
        <v>1</v>
      </c>
      <c r="K2250" s="255">
        <v>1</v>
      </c>
      <c r="L2250" s="255"/>
      <c r="M2250" s="256">
        <v>5.4900000000000001E-4</v>
      </c>
      <c r="N2250" s="249">
        <v>2249</v>
      </c>
    </row>
    <row r="2251" spans="1:14" x14ac:dyDescent="0.25">
      <c r="A2251" s="252" t="s">
        <v>183</v>
      </c>
      <c r="B2251" s="252" t="s">
        <v>5432</v>
      </c>
      <c r="C2251" s="253">
        <v>0</v>
      </c>
      <c r="D2251" s="252">
        <v>39800</v>
      </c>
      <c r="E2251" s="252" t="s">
        <v>3059</v>
      </c>
      <c r="F2251" s="254" t="s">
        <v>5705</v>
      </c>
      <c r="G2251" s="252" t="s">
        <v>5790</v>
      </c>
      <c r="H2251" s="252" t="s">
        <v>5791</v>
      </c>
      <c r="I2251" s="252">
        <v>12</v>
      </c>
      <c r="J2251" s="255">
        <v>1</v>
      </c>
      <c r="K2251" s="255">
        <v>1</v>
      </c>
      <c r="L2251" s="255"/>
      <c r="M2251" s="256">
        <v>2.0100000000000001E-4</v>
      </c>
      <c r="N2251" s="249">
        <v>2250</v>
      </c>
    </row>
    <row r="2252" spans="1:14" x14ac:dyDescent="0.25">
      <c r="A2252" s="252" t="s">
        <v>183</v>
      </c>
      <c r="B2252" s="252" t="s">
        <v>5432</v>
      </c>
      <c r="C2252" s="253">
        <v>0</v>
      </c>
      <c r="D2252" s="252">
        <v>39800</v>
      </c>
      <c r="E2252" s="252" t="s">
        <v>3059</v>
      </c>
      <c r="F2252" s="254" t="s">
        <v>5705</v>
      </c>
      <c r="G2252" s="252" t="s">
        <v>5792</v>
      </c>
      <c r="H2252" s="252" t="s">
        <v>5793</v>
      </c>
      <c r="I2252" s="252">
        <v>12</v>
      </c>
      <c r="J2252" s="255">
        <v>1</v>
      </c>
      <c r="K2252" s="255">
        <v>1</v>
      </c>
      <c r="L2252" s="255"/>
      <c r="M2252" s="256">
        <v>5.4900000000000001E-4</v>
      </c>
      <c r="N2252" s="249">
        <v>2251</v>
      </c>
    </row>
    <row r="2253" spans="1:14" x14ac:dyDescent="0.25">
      <c r="A2253" s="252" t="s">
        <v>183</v>
      </c>
      <c r="B2253" s="252" t="s">
        <v>5432</v>
      </c>
      <c r="C2253" s="253">
        <v>0</v>
      </c>
      <c r="D2253" s="252">
        <v>39800</v>
      </c>
      <c r="E2253" s="252" t="s">
        <v>3059</v>
      </c>
      <c r="F2253" s="254" t="s">
        <v>5705</v>
      </c>
      <c r="G2253" s="252" t="s">
        <v>5794</v>
      </c>
      <c r="H2253" s="252" t="s">
        <v>5795</v>
      </c>
      <c r="I2253" s="252">
        <v>12</v>
      </c>
      <c r="J2253" s="255">
        <v>1</v>
      </c>
      <c r="K2253" s="255">
        <v>1</v>
      </c>
      <c r="L2253" s="255"/>
      <c r="M2253" s="256">
        <v>2.0100000000000001E-4</v>
      </c>
      <c r="N2253" s="249">
        <v>2252</v>
      </c>
    </row>
    <row r="2254" spans="1:14" x14ac:dyDescent="0.25">
      <c r="A2254" s="252" t="s">
        <v>183</v>
      </c>
      <c r="B2254" s="252" t="s">
        <v>5432</v>
      </c>
      <c r="C2254" s="253">
        <v>0</v>
      </c>
      <c r="D2254" s="252">
        <v>39800</v>
      </c>
      <c r="E2254" s="252" t="s">
        <v>3059</v>
      </c>
      <c r="F2254" s="254" t="s">
        <v>5705</v>
      </c>
      <c r="G2254" s="252" t="s">
        <v>5796</v>
      </c>
      <c r="H2254" s="252" t="s">
        <v>5797</v>
      </c>
      <c r="I2254" s="252">
        <v>12</v>
      </c>
      <c r="J2254" s="255">
        <v>1</v>
      </c>
      <c r="K2254" s="255">
        <v>1</v>
      </c>
      <c r="L2254" s="255"/>
      <c r="M2254" s="256">
        <v>5.6399999999999994E-4</v>
      </c>
      <c r="N2254" s="249">
        <v>2253</v>
      </c>
    </row>
    <row r="2255" spans="1:14" x14ac:dyDescent="0.25">
      <c r="A2255" s="252" t="s">
        <v>183</v>
      </c>
      <c r="B2255" s="252" t="s">
        <v>5432</v>
      </c>
      <c r="C2255" s="253">
        <v>0</v>
      </c>
      <c r="D2255" s="252">
        <v>39800</v>
      </c>
      <c r="E2255" s="252" t="s">
        <v>3059</v>
      </c>
      <c r="F2255" s="254" t="s">
        <v>5705</v>
      </c>
      <c r="G2255" s="252" t="s">
        <v>5798</v>
      </c>
      <c r="H2255" s="252" t="s">
        <v>5799</v>
      </c>
      <c r="I2255" s="252">
        <v>12</v>
      </c>
      <c r="J2255" s="255">
        <v>1</v>
      </c>
      <c r="K2255" s="255">
        <v>1</v>
      </c>
      <c r="L2255" s="255"/>
      <c r="M2255" s="256">
        <v>1.0499999999999999E-4</v>
      </c>
      <c r="N2255" s="249">
        <v>2254</v>
      </c>
    </row>
    <row r="2256" spans="1:14" x14ac:dyDescent="0.25">
      <c r="A2256" s="252" t="s">
        <v>183</v>
      </c>
      <c r="B2256" s="252" t="s">
        <v>5432</v>
      </c>
      <c r="C2256" s="253">
        <v>0</v>
      </c>
      <c r="D2256" s="252">
        <v>39800</v>
      </c>
      <c r="E2256" s="252" t="s">
        <v>3059</v>
      </c>
      <c r="F2256" s="254" t="s">
        <v>5705</v>
      </c>
      <c r="G2256" s="252" t="s">
        <v>5800</v>
      </c>
      <c r="H2256" s="252" t="s">
        <v>5801</v>
      </c>
      <c r="I2256" s="252">
        <v>12</v>
      </c>
      <c r="J2256" s="255">
        <v>1</v>
      </c>
      <c r="K2256" s="255">
        <v>1</v>
      </c>
      <c r="L2256" s="255"/>
      <c r="M2256" s="256">
        <v>1.9379999999999998E-3</v>
      </c>
      <c r="N2256" s="249">
        <v>2255</v>
      </c>
    </row>
    <row r="2257" spans="1:14" x14ac:dyDescent="0.25">
      <c r="A2257" s="252" t="s">
        <v>183</v>
      </c>
      <c r="B2257" s="252" t="s">
        <v>5432</v>
      </c>
      <c r="C2257" s="253">
        <v>0</v>
      </c>
      <c r="D2257" s="252">
        <v>39800</v>
      </c>
      <c r="E2257" s="252" t="s">
        <v>3059</v>
      </c>
      <c r="F2257" s="254" t="s">
        <v>5705</v>
      </c>
      <c r="G2257" s="252" t="s">
        <v>5802</v>
      </c>
      <c r="H2257" s="252" t="s">
        <v>5803</v>
      </c>
      <c r="I2257" s="252">
        <v>12</v>
      </c>
      <c r="J2257" s="255">
        <v>1</v>
      </c>
      <c r="K2257" s="255">
        <v>1</v>
      </c>
      <c r="L2257" s="255"/>
      <c r="M2257" s="256">
        <v>1.8E-3</v>
      </c>
      <c r="N2257" s="249">
        <v>2256</v>
      </c>
    </row>
    <row r="2258" spans="1:14" x14ac:dyDescent="0.25">
      <c r="A2258" s="252" t="s">
        <v>183</v>
      </c>
      <c r="B2258" s="252" t="s">
        <v>5432</v>
      </c>
      <c r="C2258" s="253">
        <v>0</v>
      </c>
      <c r="D2258" s="252">
        <v>39800</v>
      </c>
      <c r="E2258" s="252" t="s">
        <v>3059</v>
      </c>
      <c r="F2258" s="254" t="s">
        <v>5705</v>
      </c>
      <c r="G2258" s="252" t="s">
        <v>5804</v>
      </c>
      <c r="H2258" s="252" t="s">
        <v>5805</v>
      </c>
      <c r="I2258" s="252">
        <v>12</v>
      </c>
      <c r="J2258" s="255">
        <v>1</v>
      </c>
      <c r="K2258" s="255">
        <v>1</v>
      </c>
      <c r="L2258" s="255"/>
      <c r="M2258" s="256">
        <v>1.8E-3</v>
      </c>
      <c r="N2258" s="249">
        <v>2257</v>
      </c>
    </row>
    <row r="2259" spans="1:14" x14ac:dyDescent="0.25">
      <c r="A2259" s="252" t="s">
        <v>183</v>
      </c>
      <c r="B2259" s="252" t="s">
        <v>5432</v>
      </c>
      <c r="C2259" s="253">
        <v>0</v>
      </c>
      <c r="D2259" s="252">
        <v>39800</v>
      </c>
      <c r="E2259" s="252" t="s">
        <v>3059</v>
      </c>
      <c r="F2259" s="254" t="s">
        <v>5705</v>
      </c>
      <c r="G2259" s="252" t="s">
        <v>5806</v>
      </c>
      <c r="H2259" s="252" t="s">
        <v>5807</v>
      </c>
      <c r="I2259" s="252">
        <v>12</v>
      </c>
      <c r="J2259" s="255">
        <v>1</v>
      </c>
      <c r="K2259" s="255">
        <v>1</v>
      </c>
      <c r="L2259" s="255"/>
      <c r="M2259" s="256">
        <v>1.5659999999999999E-3</v>
      </c>
      <c r="N2259" s="249">
        <v>2258</v>
      </c>
    </row>
    <row r="2260" spans="1:14" x14ac:dyDescent="0.25">
      <c r="A2260" s="252" t="s">
        <v>183</v>
      </c>
      <c r="B2260" s="252" t="s">
        <v>5432</v>
      </c>
      <c r="C2260" s="253">
        <v>0</v>
      </c>
      <c r="D2260" s="252">
        <v>39800</v>
      </c>
      <c r="E2260" s="252" t="s">
        <v>3059</v>
      </c>
      <c r="F2260" s="254" t="s">
        <v>5705</v>
      </c>
      <c r="G2260" s="252" t="s">
        <v>5808</v>
      </c>
      <c r="H2260" s="252" t="s">
        <v>5809</v>
      </c>
      <c r="I2260" s="252">
        <v>12</v>
      </c>
      <c r="J2260" s="255">
        <v>1</v>
      </c>
      <c r="K2260" s="255">
        <v>1</v>
      </c>
      <c r="L2260" s="255"/>
      <c r="M2260" s="256">
        <v>7.8299999999999995E-4</v>
      </c>
      <c r="N2260" s="249">
        <v>2259</v>
      </c>
    </row>
    <row r="2261" spans="1:14" x14ac:dyDescent="0.25">
      <c r="A2261" s="252" t="s">
        <v>183</v>
      </c>
      <c r="B2261" s="252" t="s">
        <v>5432</v>
      </c>
      <c r="C2261" s="253">
        <v>0</v>
      </c>
      <c r="D2261" s="252">
        <v>39800</v>
      </c>
      <c r="E2261" s="252" t="s">
        <v>3059</v>
      </c>
      <c r="F2261" s="254" t="s">
        <v>5705</v>
      </c>
      <c r="G2261" s="252" t="s">
        <v>5810</v>
      </c>
      <c r="H2261" s="252" t="s">
        <v>5811</v>
      </c>
      <c r="I2261" s="252">
        <v>12</v>
      </c>
      <c r="J2261" s="255">
        <v>1</v>
      </c>
      <c r="K2261" s="255">
        <v>1</v>
      </c>
      <c r="L2261" s="255"/>
      <c r="M2261" s="256">
        <v>5.6700000000000001E-4</v>
      </c>
      <c r="N2261" s="249">
        <v>2260</v>
      </c>
    </row>
    <row r="2262" spans="1:14" x14ac:dyDescent="0.25">
      <c r="A2262" s="252" t="s">
        <v>183</v>
      </c>
      <c r="B2262" s="252" t="s">
        <v>5432</v>
      </c>
      <c r="C2262" s="253">
        <v>0</v>
      </c>
      <c r="D2262" s="252">
        <v>39800</v>
      </c>
      <c r="E2262" s="252" t="s">
        <v>3059</v>
      </c>
      <c r="F2262" s="254" t="s">
        <v>5705</v>
      </c>
      <c r="G2262" s="252" t="s">
        <v>5812</v>
      </c>
      <c r="H2262" s="252" t="s">
        <v>5813</v>
      </c>
      <c r="I2262" s="252">
        <v>12</v>
      </c>
      <c r="J2262" s="255">
        <v>1</v>
      </c>
      <c r="K2262" s="255">
        <v>1</v>
      </c>
      <c r="L2262" s="255"/>
      <c r="M2262" s="256">
        <v>5.4000000000000001E-4</v>
      </c>
      <c r="N2262" s="249">
        <v>2261</v>
      </c>
    </row>
    <row r="2263" spans="1:14" x14ac:dyDescent="0.25">
      <c r="A2263" s="252" t="s">
        <v>183</v>
      </c>
      <c r="B2263" s="252" t="s">
        <v>5432</v>
      </c>
      <c r="C2263" s="253">
        <v>0</v>
      </c>
      <c r="D2263" s="252">
        <v>39800</v>
      </c>
      <c r="E2263" s="252" t="s">
        <v>3059</v>
      </c>
      <c r="F2263" s="254" t="s">
        <v>5705</v>
      </c>
      <c r="G2263" s="252" t="s">
        <v>5814</v>
      </c>
      <c r="H2263" s="252" t="s">
        <v>5815</v>
      </c>
      <c r="I2263" s="252">
        <v>12</v>
      </c>
      <c r="J2263" s="255">
        <v>1</v>
      </c>
      <c r="K2263" s="255">
        <v>1</v>
      </c>
      <c r="L2263" s="255"/>
      <c r="M2263" s="256">
        <v>5.4900000000000001E-4</v>
      </c>
      <c r="N2263" s="249">
        <v>2262</v>
      </c>
    </row>
    <row r="2264" spans="1:14" x14ac:dyDescent="0.25">
      <c r="A2264" s="252" t="s">
        <v>183</v>
      </c>
      <c r="B2264" s="252" t="s">
        <v>5432</v>
      </c>
      <c r="C2264" s="253">
        <v>0</v>
      </c>
      <c r="D2264" s="252">
        <v>39800</v>
      </c>
      <c r="E2264" s="252" t="s">
        <v>3059</v>
      </c>
      <c r="F2264" s="254" t="s">
        <v>5705</v>
      </c>
      <c r="G2264" s="252" t="s">
        <v>5816</v>
      </c>
      <c r="H2264" s="252" t="s">
        <v>5817</v>
      </c>
      <c r="I2264" s="252">
        <v>12</v>
      </c>
      <c r="J2264" s="255">
        <v>1</v>
      </c>
      <c r="K2264" s="255">
        <v>1</v>
      </c>
      <c r="L2264" s="255"/>
      <c r="M2264" s="256">
        <v>2.0100000000000001E-4</v>
      </c>
      <c r="N2264" s="249">
        <v>2263</v>
      </c>
    </row>
    <row r="2265" spans="1:14" x14ac:dyDescent="0.25">
      <c r="A2265" s="252" t="s">
        <v>183</v>
      </c>
      <c r="B2265" s="252" t="s">
        <v>5432</v>
      </c>
      <c r="C2265" s="253">
        <v>0</v>
      </c>
      <c r="D2265" s="252">
        <v>39800</v>
      </c>
      <c r="E2265" s="252" t="s">
        <v>3059</v>
      </c>
      <c r="F2265" s="254" t="s">
        <v>5705</v>
      </c>
      <c r="G2265" s="252" t="s">
        <v>5818</v>
      </c>
      <c r="H2265" s="252" t="s">
        <v>5819</v>
      </c>
      <c r="I2265" s="252">
        <v>12</v>
      </c>
      <c r="J2265" s="255">
        <v>1</v>
      </c>
      <c r="K2265" s="255">
        <v>1</v>
      </c>
      <c r="L2265" s="255"/>
      <c r="M2265" s="256">
        <v>5.4900000000000001E-4</v>
      </c>
      <c r="N2265" s="249">
        <v>2264</v>
      </c>
    </row>
    <row r="2266" spans="1:14" x14ac:dyDescent="0.25">
      <c r="A2266" s="252" t="s">
        <v>183</v>
      </c>
      <c r="B2266" s="252" t="s">
        <v>5432</v>
      </c>
      <c r="C2266" s="253">
        <v>0</v>
      </c>
      <c r="D2266" s="252">
        <v>39800</v>
      </c>
      <c r="E2266" s="252" t="s">
        <v>3059</v>
      </c>
      <c r="F2266" s="254" t="s">
        <v>5705</v>
      </c>
      <c r="G2266" s="252" t="s">
        <v>5820</v>
      </c>
      <c r="H2266" s="252" t="s">
        <v>5821</v>
      </c>
      <c r="I2266" s="252">
        <v>12</v>
      </c>
      <c r="J2266" s="255">
        <v>1</v>
      </c>
      <c r="K2266" s="255">
        <v>1</v>
      </c>
      <c r="L2266" s="255"/>
      <c r="M2266" s="256">
        <v>2.0100000000000001E-4</v>
      </c>
      <c r="N2266" s="249">
        <v>2265</v>
      </c>
    </row>
    <row r="2267" spans="1:14" x14ac:dyDescent="0.25">
      <c r="A2267" s="252" t="s">
        <v>183</v>
      </c>
      <c r="B2267" s="252" t="s">
        <v>5432</v>
      </c>
      <c r="C2267" s="253">
        <v>0</v>
      </c>
      <c r="D2267" s="252">
        <v>39800</v>
      </c>
      <c r="E2267" s="252" t="s">
        <v>3059</v>
      </c>
      <c r="F2267" s="254" t="s">
        <v>5705</v>
      </c>
      <c r="G2267" s="252" t="s">
        <v>5822</v>
      </c>
      <c r="H2267" s="252" t="s">
        <v>5823</v>
      </c>
      <c r="I2267" s="252">
        <v>12</v>
      </c>
      <c r="J2267" s="255">
        <v>1</v>
      </c>
      <c r="K2267" s="255">
        <v>1</v>
      </c>
      <c r="L2267" s="255"/>
      <c r="M2267" s="256">
        <v>5.6399999999999994E-4</v>
      </c>
      <c r="N2267" s="249">
        <v>2266</v>
      </c>
    </row>
    <row r="2268" spans="1:14" x14ac:dyDescent="0.25">
      <c r="A2268" s="252" t="s">
        <v>183</v>
      </c>
      <c r="B2268" s="252" t="s">
        <v>5432</v>
      </c>
      <c r="C2268" s="253">
        <v>0</v>
      </c>
      <c r="D2268" s="252">
        <v>39800</v>
      </c>
      <c r="E2268" s="252" t="s">
        <v>5528</v>
      </c>
      <c r="F2268" s="254" t="s">
        <v>5702</v>
      </c>
      <c r="G2268" s="252" t="s">
        <v>5824</v>
      </c>
      <c r="H2268" s="252" t="s">
        <v>5825</v>
      </c>
      <c r="I2268" s="252">
        <v>12</v>
      </c>
      <c r="J2268" s="255">
        <v>1</v>
      </c>
      <c r="K2268" s="255">
        <v>1</v>
      </c>
      <c r="L2268" s="255"/>
      <c r="M2268" s="256">
        <v>1.7759999999999998E-3</v>
      </c>
      <c r="N2268" s="249">
        <v>2267</v>
      </c>
    </row>
    <row r="2269" spans="1:14" x14ac:dyDescent="0.25">
      <c r="A2269" s="252" t="s">
        <v>183</v>
      </c>
      <c r="B2269" s="252" t="s">
        <v>5432</v>
      </c>
      <c r="C2269" s="253">
        <v>0</v>
      </c>
      <c r="D2269" s="252">
        <v>39800</v>
      </c>
      <c r="E2269" s="252" t="s">
        <v>5528</v>
      </c>
      <c r="F2269" s="254" t="s">
        <v>5705</v>
      </c>
      <c r="G2269" s="252" t="s">
        <v>5826</v>
      </c>
      <c r="H2269" s="252" t="s">
        <v>5827</v>
      </c>
      <c r="I2269" s="252">
        <v>12</v>
      </c>
      <c r="J2269" s="255">
        <v>1</v>
      </c>
      <c r="K2269" s="255">
        <v>1</v>
      </c>
      <c r="L2269" s="255"/>
      <c r="M2269" s="256">
        <v>1.7789999999999998E-3</v>
      </c>
      <c r="N2269" s="249">
        <v>2268</v>
      </c>
    </row>
    <row r="2270" spans="1:14" x14ac:dyDescent="0.25">
      <c r="A2270" s="252" t="s">
        <v>183</v>
      </c>
      <c r="B2270" s="252" t="s">
        <v>5432</v>
      </c>
      <c r="C2270" s="253">
        <v>0</v>
      </c>
      <c r="D2270" s="252">
        <v>40838</v>
      </c>
      <c r="E2270" s="252" t="s">
        <v>192</v>
      </c>
      <c r="F2270" s="254" t="s">
        <v>5697</v>
      </c>
      <c r="G2270" s="252" t="s">
        <v>5828</v>
      </c>
      <c r="H2270" s="252" t="s">
        <v>5829</v>
      </c>
      <c r="I2270" s="252">
        <v>12</v>
      </c>
      <c r="J2270" s="255">
        <v>1</v>
      </c>
      <c r="K2270" s="255">
        <v>1</v>
      </c>
      <c r="L2270" s="255"/>
      <c r="M2270" s="256">
        <v>7.2599999999999991E-3</v>
      </c>
      <c r="N2270" s="249">
        <v>2269</v>
      </c>
    </row>
    <row r="2271" spans="1:14" x14ac:dyDescent="0.25">
      <c r="A2271" s="252" t="s">
        <v>183</v>
      </c>
      <c r="B2271" s="252" t="s">
        <v>5432</v>
      </c>
      <c r="C2271" s="253">
        <v>0</v>
      </c>
      <c r="D2271" s="252">
        <v>40838</v>
      </c>
      <c r="E2271" s="252" t="s">
        <v>192</v>
      </c>
      <c r="F2271" s="254" t="s">
        <v>5697</v>
      </c>
      <c r="G2271" s="252" t="s">
        <v>5830</v>
      </c>
      <c r="H2271" s="252" t="s">
        <v>5831</v>
      </c>
      <c r="I2271" s="252">
        <v>12</v>
      </c>
      <c r="J2271" s="255">
        <v>1</v>
      </c>
      <c r="K2271" s="255">
        <v>1</v>
      </c>
      <c r="L2271" s="255"/>
      <c r="M2271" s="256">
        <v>1.5659999999999999E-3</v>
      </c>
      <c r="N2271" s="249">
        <v>2270</v>
      </c>
    </row>
    <row r="2272" spans="1:14" x14ac:dyDescent="0.25">
      <c r="A2272" s="252" t="s">
        <v>183</v>
      </c>
      <c r="B2272" s="252" t="s">
        <v>5432</v>
      </c>
      <c r="C2272" s="253">
        <v>0</v>
      </c>
      <c r="D2272" s="252">
        <v>40838</v>
      </c>
      <c r="E2272" s="252" t="s">
        <v>192</v>
      </c>
      <c r="F2272" s="254" t="s">
        <v>5697</v>
      </c>
      <c r="G2272" s="252" t="s">
        <v>5832</v>
      </c>
      <c r="H2272" s="252" t="s">
        <v>5833</v>
      </c>
      <c r="I2272" s="252">
        <v>12</v>
      </c>
      <c r="J2272" s="255">
        <v>1</v>
      </c>
      <c r="K2272" s="255">
        <v>1</v>
      </c>
      <c r="L2272" s="255"/>
      <c r="M2272" s="256">
        <v>1.5659999999999999E-3</v>
      </c>
      <c r="N2272" s="249">
        <v>2271</v>
      </c>
    </row>
    <row r="2273" spans="1:14" x14ac:dyDescent="0.25">
      <c r="A2273" s="252" t="s">
        <v>183</v>
      </c>
      <c r="B2273" s="252" t="s">
        <v>5432</v>
      </c>
      <c r="C2273" s="253">
        <v>0</v>
      </c>
      <c r="D2273" s="252">
        <v>40838</v>
      </c>
      <c r="E2273" s="252" t="s">
        <v>192</v>
      </c>
      <c r="F2273" s="254" t="s">
        <v>5697</v>
      </c>
      <c r="G2273" s="252" t="s">
        <v>5834</v>
      </c>
      <c r="H2273" s="252" t="s">
        <v>5835</v>
      </c>
      <c r="I2273" s="252">
        <v>12</v>
      </c>
      <c r="J2273" s="255">
        <v>1</v>
      </c>
      <c r="K2273" s="255">
        <v>1</v>
      </c>
      <c r="L2273" s="255"/>
      <c r="M2273" s="256">
        <v>1.6619999999999998E-3</v>
      </c>
      <c r="N2273" s="249">
        <v>2272</v>
      </c>
    </row>
    <row r="2274" spans="1:14" x14ac:dyDescent="0.25">
      <c r="A2274" s="252" t="s">
        <v>183</v>
      </c>
      <c r="B2274" s="252" t="s">
        <v>5432</v>
      </c>
      <c r="C2274" s="253">
        <v>0</v>
      </c>
      <c r="D2274" s="252">
        <v>40838</v>
      </c>
      <c r="E2274" s="252" t="s">
        <v>192</v>
      </c>
      <c r="F2274" s="254" t="s">
        <v>5697</v>
      </c>
      <c r="G2274" s="252" t="s">
        <v>5836</v>
      </c>
      <c r="H2274" s="252" t="s">
        <v>5837</v>
      </c>
      <c r="I2274" s="252">
        <v>12</v>
      </c>
      <c r="J2274" s="255">
        <v>1</v>
      </c>
      <c r="K2274" s="255">
        <v>1</v>
      </c>
      <c r="L2274" s="255"/>
      <c r="M2274" s="256">
        <v>1.2960000000000001E-3</v>
      </c>
      <c r="N2274" s="249">
        <v>2273</v>
      </c>
    </row>
    <row r="2275" spans="1:14" x14ac:dyDescent="0.25">
      <c r="A2275" s="252" t="s">
        <v>183</v>
      </c>
      <c r="B2275" s="252" t="s">
        <v>5432</v>
      </c>
      <c r="C2275" s="253">
        <v>0</v>
      </c>
      <c r="D2275" s="252">
        <v>40838</v>
      </c>
      <c r="E2275" s="252" t="s">
        <v>192</v>
      </c>
      <c r="F2275" s="254" t="s">
        <v>5697</v>
      </c>
      <c r="G2275" s="252" t="s">
        <v>5838</v>
      </c>
      <c r="H2275" s="252" t="s">
        <v>5839</v>
      </c>
      <c r="I2275" s="252">
        <v>12</v>
      </c>
      <c r="J2275" s="255">
        <v>1</v>
      </c>
      <c r="K2275" s="255">
        <v>1</v>
      </c>
      <c r="L2275" s="255"/>
      <c r="M2275" s="256">
        <v>1.2960000000000001E-3</v>
      </c>
      <c r="N2275" s="249">
        <v>2274</v>
      </c>
    </row>
    <row r="2276" spans="1:14" x14ac:dyDescent="0.25">
      <c r="A2276" s="252" t="s">
        <v>183</v>
      </c>
      <c r="B2276" s="252" t="s">
        <v>5432</v>
      </c>
      <c r="C2276" s="253">
        <v>0</v>
      </c>
      <c r="D2276" s="252">
        <v>40838</v>
      </c>
      <c r="E2276" s="252" t="s">
        <v>192</v>
      </c>
      <c r="F2276" s="254" t="s">
        <v>5697</v>
      </c>
      <c r="G2276" s="252" t="s">
        <v>5840</v>
      </c>
      <c r="H2276" s="252" t="s">
        <v>5841</v>
      </c>
      <c r="I2276" s="252">
        <v>12</v>
      </c>
      <c r="J2276" s="255">
        <v>1</v>
      </c>
      <c r="K2276" s="255">
        <v>1</v>
      </c>
      <c r="L2276" s="255"/>
      <c r="M2276" s="256">
        <v>3.7500000000000001E-4</v>
      </c>
      <c r="N2276" s="249">
        <v>2275</v>
      </c>
    </row>
    <row r="2277" spans="1:14" x14ac:dyDescent="0.25">
      <c r="A2277" s="252" t="s">
        <v>183</v>
      </c>
      <c r="B2277" s="252" t="s">
        <v>5432</v>
      </c>
      <c r="C2277" s="253">
        <v>0</v>
      </c>
      <c r="D2277" s="252">
        <v>40838</v>
      </c>
      <c r="E2277" s="252" t="s">
        <v>192</v>
      </c>
      <c r="F2277" s="254" t="s">
        <v>5697</v>
      </c>
      <c r="G2277" s="252" t="s">
        <v>5842</v>
      </c>
      <c r="H2277" s="252" t="s">
        <v>5843</v>
      </c>
      <c r="I2277" s="252">
        <v>12</v>
      </c>
      <c r="J2277" s="255">
        <v>1</v>
      </c>
      <c r="K2277" s="255">
        <v>1</v>
      </c>
      <c r="L2277" s="255"/>
      <c r="M2277" s="256">
        <v>3.7500000000000001E-4</v>
      </c>
      <c r="N2277" s="249">
        <v>2276</v>
      </c>
    </row>
    <row r="2278" spans="1:14" x14ac:dyDescent="0.25">
      <c r="A2278" s="252" t="s">
        <v>183</v>
      </c>
      <c r="B2278" s="252" t="s">
        <v>5432</v>
      </c>
      <c r="C2278" s="253">
        <v>0</v>
      </c>
      <c r="D2278" s="252">
        <v>40838</v>
      </c>
      <c r="E2278" s="252" t="s">
        <v>192</v>
      </c>
      <c r="F2278" s="254" t="s">
        <v>5697</v>
      </c>
      <c r="G2278" s="252" t="s">
        <v>5844</v>
      </c>
      <c r="H2278" s="252" t="s">
        <v>5845</v>
      </c>
      <c r="I2278" s="252">
        <v>12</v>
      </c>
      <c r="J2278" s="255">
        <v>1</v>
      </c>
      <c r="K2278" s="255">
        <v>1</v>
      </c>
      <c r="L2278" s="255"/>
      <c r="M2278" s="256">
        <v>1.5659999999999999E-3</v>
      </c>
      <c r="N2278" s="249">
        <v>2277</v>
      </c>
    </row>
    <row r="2279" spans="1:14" x14ac:dyDescent="0.25">
      <c r="A2279" s="252" t="s">
        <v>183</v>
      </c>
      <c r="B2279" s="252" t="s">
        <v>5432</v>
      </c>
      <c r="C2279" s="253">
        <v>0</v>
      </c>
      <c r="D2279" s="252">
        <v>40838</v>
      </c>
      <c r="E2279" s="252" t="s">
        <v>192</v>
      </c>
      <c r="F2279" s="254" t="s">
        <v>5697</v>
      </c>
      <c r="G2279" s="252" t="s">
        <v>5846</v>
      </c>
      <c r="H2279" s="252" t="s">
        <v>5847</v>
      </c>
      <c r="I2279" s="252">
        <v>12</v>
      </c>
      <c r="J2279" s="255">
        <v>1</v>
      </c>
      <c r="K2279" s="255">
        <v>1</v>
      </c>
      <c r="L2279" s="255"/>
      <c r="M2279" s="256">
        <v>1.5659999999999999E-3</v>
      </c>
      <c r="N2279" s="249">
        <v>2278</v>
      </c>
    </row>
    <row r="2280" spans="1:14" x14ac:dyDescent="0.25">
      <c r="A2280" s="252" t="s">
        <v>183</v>
      </c>
      <c r="B2280" s="252" t="s">
        <v>5432</v>
      </c>
      <c r="C2280" s="253">
        <v>0</v>
      </c>
      <c r="D2280" s="252">
        <v>40838</v>
      </c>
      <c r="E2280" s="252" t="s">
        <v>192</v>
      </c>
      <c r="F2280" s="254" t="s">
        <v>5697</v>
      </c>
      <c r="G2280" s="252" t="s">
        <v>5848</v>
      </c>
      <c r="H2280" s="252" t="s">
        <v>5849</v>
      </c>
      <c r="I2280" s="252">
        <v>12</v>
      </c>
      <c r="J2280" s="255">
        <v>1</v>
      </c>
      <c r="K2280" s="255">
        <v>1</v>
      </c>
      <c r="L2280" s="255"/>
      <c r="M2280" s="256">
        <v>1.6619999999999998E-3</v>
      </c>
      <c r="N2280" s="249">
        <v>2279</v>
      </c>
    </row>
    <row r="2281" spans="1:14" x14ac:dyDescent="0.25">
      <c r="A2281" s="252" t="s">
        <v>183</v>
      </c>
      <c r="B2281" s="252" t="s">
        <v>5432</v>
      </c>
      <c r="C2281" s="253">
        <v>0</v>
      </c>
      <c r="D2281" s="252">
        <v>40838</v>
      </c>
      <c r="E2281" s="252" t="s">
        <v>192</v>
      </c>
      <c r="F2281" s="254" t="s">
        <v>5697</v>
      </c>
      <c r="G2281" s="252" t="s">
        <v>5850</v>
      </c>
      <c r="H2281" s="252" t="s">
        <v>5851</v>
      </c>
      <c r="I2281" s="252">
        <v>12</v>
      </c>
      <c r="J2281" s="255">
        <v>1</v>
      </c>
      <c r="K2281" s="255">
        <v>1</v>
      </c>
      <c r="L2281" s="255"/>
      <c r="M2281" s="256">
        <v>1.2960000000000001E-3</v>
      </c>
      <c r="N2281" s="249">
        <v>2280</v>
      </c>
    </row>
    <row r="2282" spans="1:14" x14ac:dyDescent="0.25">
      <c r="A2282" s="252" t="s">
        <v>183</v>
      </c>
      <c r="B2282" s="252" t="s">
        <v>5432</v>
      </c>
      <c r="C2282" s="253">
        <v>0</v>
      </c>
      <c r="D2282" s="252">
        <v>40838</v>
      </c>
      <c r="E2282" s="252" t="s">
        <v>192</v>
      </c>
      <c r="F2282" s="254" t="s">
        <v>5697</v>
      </c>
      <c r="G2282" s="252" t="s">
        <v>5852</v>
      </c>
      <c r="H2282" s="252" t="s">
        <v>5853</v>
      </c>
      <c r="I2282" s="252">
        <v>12</v>
      </c>
      <c r="J2282" s="255">
        <v>1</v>
      </c>
      <c r="K2282" s="255">
        <v>1</v>
      </c>
      <c r="L2282" s="255"/>
      <c r="M2282" s="256">
        <v>1.2960000000000001E-3</v>
      </c>
      <c r="N2282" s="249">
        <v>2281</v>
      </c>
    </row>
    <row r="2283" spans="1:14" x14ac:dyDescent="0.25">
      <c r="A2283" s="252" t="s">
        <v>183</v>
      </c>
      <c r="B2283" s="252" t="s">
        <v>5432</v>
      </c>
      <c r="C2283" s="253">
        <v>0</v>
      </c>
      <c r="D2283" s="252">
        <v>40838</v>
      </c>
      <c r="E2283" s="252" t="s">
        <v>192</v>
      </c>
      <c r="F2283" s="254" t="s">
        <v>5697</v>
      </c>
      <c r="G2283" s="252" t="s">
        <v>5854</v>
      </c>
      <c r="H2283" s="252" t="s">
        <v>5855</v>
      </c>
      <c r="I2283" s="252">
        <v>12</v>
      </c>
      <c r="J2283" s="255">
        <v>1</v>
      </c>
      <c r="K2283" s="255">
        <v>1</v>
      </c>
      <c r="L2283" s="255"/>
      <c r="M2283" s="256">
        <v>3.7500000000000001E-4</v>
      </c>
      <c r="N2283" s="249">
        <v>2282</v>
      </c>
    </row>
    <row r="2284" spans="1:14" x14ac:dyDescent="0.25">
      <c r="A2284" s="252" t="s">
        <v>183</v>
      </c>
      <c r="B2284" s="252" t="s">
        <v>5432</v>
      </c>
      <c r="C2284" s="253">
        <v>0</v>
      </c>
      <c r="D2284" s="252">
        <v>40838</v>
      </c>
      <c r="E2284" s="252" t="s">
        <v>192</v>
      </c>
      <c r="F2284" s="254" t="s">
        <v>5697</v>
      </c>
      <c r="G2284" s="252" t="s">
        <v>5856</v>
      </c>
      <c r="H2284" s="252" t="s">
        <v>5857</v>
      </c>
      <c r="I2284" s="252">
        <v>12</v>
      </c>
      <c r="J2284" s="255">
        <v>1</v>
      </c>
      <c r="K2284" s="255">
        <v>1</v>
      </c>
      <c r="L2284" s="255"/>
      <c r="M2284" s="256">
        <v>3.7500000000000001E-4</v>
      </c>
      <c r="N2284" s="249">
        <v>2283</v>
      </c>
    </row>
    <row r="2285" spans="1:14" x14ac:dyDescent="0.25">
      <c r="A2285" s="252" t="s">
        <v>183</v>
      </c>
      <c r="B2285" s="252" t="s">
        <v>5432</v>
      </c>
      <c r="C2285" s="253">
        <v>0</v>
      </c>
      <c r="D2285" s="252">
        <v>40838</v>
      </c>
      <c r="E2285" s="252" t="s">
        <v>192</v>
      </c>
      <c r="F2285" s="254" t="s">
        <v>5697</v>
      </c>
      <c r="G2285" s="252" t="s">
        <v>5858</v>
      </c>
      <c r="H2285" s="252" t="s">
        <v>5859</v>
      </c>
      <c r="I2285" s="252">
        <v>12</v>
      </c>
      <c r="J2285" s="255">
        <v>1</v>
      </c>
      <c r="K2285" s="255">
        <v>1</v>
      </c>
      <c r="L2285" s="255"/>
      <c r="M2285" s="256">
        <v>7.2599999999999991E-3</v>
      </c>
      <c r="N2285" s="249">
        <v>2284</v>
      </c>
    </row>
    <row r="2286" spans="1:14" x14ac:dyDescent="0.25">
      <c r="A2286" s="252" t="s">
        <v>134</v>
      </c>
      <c r="B2286" s="252" t="s">
        <v>5860</v>
      </c>
      <c r="C2286" s="253">
        <v>0</v>
      </c>
      <c r="D2286" s="252">
        <v>39792</v>
      </c>
      <c r="E2286" s="252" t="s">
        <v>5528</v>
      </c>
      <c r="F2286" s="254" t="s">
        <v>5861</v>
      </c>
      <c r="G2286" s="252" t="s">
        <v>5862</v>
      </c>
      <c r="H2286" s="252" t="s">
        <v>5863</v>
      </c>
      <c r="I2286" s="252">
        <v>12</v>
      </c>
      <c r="J2286" s="255">
        <v>1</v>
      </c>
      <c r="K2286" s="255">
        <v>1</v>
      </c>
      <c r="L2286" s="255"/>
      <c r="M2286" s="256">
        <v>3.8268000000000003E-2</v>
      </c>
      <c r="N2286" s="249">
        <v>2285</v>
      </c>
    </row>
    <row r="2287" spans="1:14" x14ac:dyDescent="0.25">
      <c r="A2287" s="252" t="s">
        <v>134</v>
      </c>
      <c r="B2287" s="252" t="s">
        <v>5860</v>
      </c>
      <c r="C2287" s="253">
        <v>0</v>
      </c>
      <c r="D2287" s="252">
        <v>39792</v>
      </c>
      <c r="E2287" s="252" t="s">
        <v>5528</v>
      </c>
      <c r="F2287" s="254" t="s">
        <v>5861</v>
      </c>
      <c r="G2287" s="252" t="s">
        <v>5864</v>
      </c>
      <c r="H2287" s="252" t="s">
        <v>5865</v>
      </c>
      <c r="I2287" s="252">
        <v>12</v>
      </c>
      <c r="J2287" s="255">
        <v>1</v>
      </c>
      <c r="K2287" s="255">
        <v>1</v>
      </c>
      <c r="L2287" s="255"/>
      <c r="M2287" s="256">
        <v>1.8090000000000001E-3</v>
      </c>
      <c r="N2287" s="249">
        <v>2286</v>
      </c>
    </row>
    <row r="2288" spans="1:14" x14ac:dyDescent="0.25">
      <c r="A2288" s="252" t="s">
        <v>134</v>
      </c>
      <c r="B2288" s="252" t="s">
        <v>5860</v>
      </c>
      <c r="C2288" s="253">
        <v>0</v>
      </c>
      <c r="D2288" s="252">
        <v>39792</v>
      </c>
      <c r="E2288" s="252" t="s">
        <v>5528</v>
      </c>
      <c r="F2288" s="254" t="s">
        <v>5861</v>
      </c>
      <c r="G2288" s="252" t="s">
        <v>5866</v>
      </c>
      <c r="H2288" s="252" t="s">
        <v>5867</v>
      </c>
      <c r="I2288" s="252">
        <v>12</v>
      </c>
      <c r="J2288" s="255">
        <v>1</v>
      </c>
      <c r="K2288" s="255">
        <v>1</v>
      </c>
      <c r="L2288" s="255"/>
      <c r="M2288" s="256">
        <v>1.8090000000000001E-3</v>
      </c>
      <c r="N2288" s="249">
        <v>2287</v>
      </c>
    </row>
    <row r="2289" spans="1:14" x14ac:dyDescent="0.25">
      <c r="A2289" s="252" t="s">
        <v>134</v>
      </c>
      <c r="B2289" s="252" t="s">
        <v>5860</v>
      </c>
      <c r="C2289" s="253">
        <v>0</v>
      </c>
      <c r="D2289" s="252">
        <v>39792</v>
      </c>
      <c r="E2289" s="252" t="s">
        <v>5528</v>
      </c>
      <c r="F2289" s="254" t="s">
        <v>5861</v>
      </c>
      <c r="G2289" s="252" t="s">
        <v>5868</v>
      </c>
      <c r="H2289" s="252" t="s">
        <v>5869</v>
      </c>
      <c r="I2289" s="252">
        <v>12</v>
      </c>
      <c r="J2289" s="255">
        <v>1</v>
      </c>
      <c r="K2289" s="255">
        <v>1</v>
      </c>
      <c r="L2289" s="255"/>
      <c r="M2289" s="256">
        <v>1.8090000000000001E-3</v>
      </c>
      <c r="N2289" s="249">
        <v>2288</v>
      </c>
    </row>
    <row r="2290" spans="1:14" x14ac:dyDescent="0.25">
      <c r="A2290" s="252" t="s">
        <v>134</v>
      </c>
      <c r="B2290" s="252" t="s">
        <v>5860</v>
      </c>
      <c r="C2290" s="253">
        <v>0</v>
      </c>
      <c r="D2290" s="252">
        <v>39792</v>
      </c>
      <c r="E2290" s="252" t="s">
        <v>5528</v>
      </c>
      <c r="F2290" s="254" t="s">
        <v>5861</v>
      </c>
      <c r="G2290" s="252" t="s">
        <v>5870</v>
      </c>
      <c r="H2290" s="252" t="s">
        <v>5871</v>
      </c>
      <c r="I2290" s="252">
        <v>12</v>
      </c>
      <c r="J2290" s="255">
        <v>1</v>
      </c>
      <c r="K2290" s="255">
        <v>1</v>
      </c>
      <c r="L2290" s="255"/>
      <c r="M2290" s="256">
        <v>3.8276999999999999E-2</v>
      </c>
      <c r="N2290" s="249">
        <v>2289</v>
      </c>
    </row>
    <row r="2291" spans="1:14" x14ac:dyDescent="0.25">
      <c r="A2291" s="252" t="s">
        <v>134</v>
      </c>
      <c r="B2291" s="252" t="s">
        <v>5860</v>
      </c>
      <c r="C2291" s="253">
        <v>0</v>
      </c>
      <c r="D2291" s="252">
        <v>39792</v>
      </c>
      <c r="E2291" s="252" t="s">
        <v>5528</v>
      </c>
      <c r="F2291" s="254" t="s">
        <v>5861</v>
      </c>
      <c r="G2291" s="252" t="s">
        <v>5872</v>
      </c>
      <c r="H2291" s="252" t="s">
        <v>5873</v>
      </c>
      <c r="I2291" s="252">
        <v>12</v>
      </c>
      <c r="J2291" s="255">
        <v>1</v>
      </c>
      <c r="K2291" s="255">
        <v>1</v>
      </c>
      <c r="L2291" s="255"/>
      <c r="M2291" s="256">
        <v>1.8090000000000001E-3</v>
      </c>
      <c r="N2291" s="249">
        <v>2290</v>
      </c>
    </row>
    <row r="2292" spans="1:14" x14ac:dyDescent="0.25">
      <c r="A2292" s="252" t="s">
        <v>134</v>
      </c>
      <c r="B2292" s="252" t="s">
        <v>5860</v>
      </c>
      <c r="C2292" s="253">
        <v>0</v>
      </c>
      <c r="D2292" s="252">
        <v>39792</v>
      </c>
      <c r="E2292" s="252" t="s">
        <v>5528</v>
      </c>
      <c r="F2292" s="254" t="s">
        <v>5861</v>
      </c>
      <c r="G2292" s="252" t="s">
        <v>5874</v>
      </c>
      <c r="H2292" s="252" t="s">
        <v>5875</v>
      </c>
      <c r="I2292" s="252">
        <v>12</v>
      </c>
      <c r="J2292" s="255">
        <v>1</v>
      </c>
      <c r="K2292" s="255">
        <v>1</v>
      </c>
      <c r="L2292" s="255"/>
      <c r="M2292" s="256">
        <v>1.8090000000000001E-3</v>
      </c>
      <c r="N2292" s="249">
        <v>2291</v>
      </c>
    </row>
    <row r="2293" spans="1:14" x14ac:dyDescent="0.25">
      <c r="A2293" s="252" t="s">
        <v>134</v>
      </c>
      <c r="B2293" s="252" t="s">
        <v>5860</v>
      </c>
      <c r="C2293" s="253">
        <v>0</v>
      </c>
      <c r="D2293" s="252">
        <v>39792</v>
      </c>
      <c r="E2293" s="252" t="s">
        <v>3059</v>
      </c>
      <c r="F2293" s="254" t="s">
        <v>5861</v>
      </c>
      <c r="G2293" s="252" t="s">
        <v>5876</v>
      </c>
      <c r="H2293" s="252" t="s">
        <v>5877</v>
      </c>
      <c r="I2293" s="252">
        <v>12</v>
      </c>
      <c r="J2293" s="255">
        <v>1</v>
      </c>
      <c r="K2293" s="255">
        <v>1</v>
      </c>
      <c r="L2293" s="255"/>
      <c r="M2293" s="256">
        <v>1.7879999999999999E-3</v>
      </c>
      <c r="N2293" s="249">
        <v>2292</v>
      </c>
    </row>
    <row r="2294" spans="1:14" x14ac:dyDescent="0.25">
      <c r="A2294" s="252" t="s">
        <v>134</v>
      </c>
      <c r="B2294" s="252" t="s">
        <v>5860</v>
      </c>
      <c r="C2294" s="253">
        <v>0</v>
      </c>
      <c r="D2294" s="252">
        <v>39792</v>
      </c>
      <c r="E2294" s="252" t="s">
        <v>3059</v>
      </c>
      <c r="F2294" s="254" t="s">
        <v>5861</v>
      </c>
      <c r="G2294" s="252" t="s">
        <v>5878</v>
      </c>
      <c r="H2294" s="252" t="s">
        <v>5879</v>
      </c>
      <c r="I2294" s="252">
        <v>12</v>
      </c>
      <c r="J2294" s="255">
        <v>1</v>
      </c>
      <c r="K2294" s="255">
        <v>1</v>
      </c>
      <c r="L2294" s="255"/>
      <c r="M2294" s="256">
        <v>4.4399999999999995E-4</v>
      </c>
      <c r="N2294" s="249">
        <v>2293</v>
      </c>
    </row>
    <row r="2295" spans="1:14" x14ac:dyDescent="0.25">
      <c r="A2295" s="252" t="s">
        <v>134</v>
      </c>
      <c r="B2295" s="252" t="s">
        <v>5860</v>
      </c>
      <c r="C2295" s="253">
        <v>0</v>
      </c>
      <c r="D2295" s="252">
        <v>39792</v>
      </c>
      <c r="E2295" s="252" t="s">
        <v>3059</v>
      </c>
      <c r="F2295" s="254" t="s">
        <v>5861</v>
      </c>
      <c r="G2295" s="252" t="s">
        <v>5880</v>
      </c>
      <c r="H2295" s="252" t="s">
        <v>5881</v>
      </c>
      <c r="I2295" s="252">
        <v>12</v>
      </c>
      <c r="J2295" s="255">
        <v>1</v>
      </c>
      <c r="K2295" s="255">
        <v>1</v>
      </c>
      <c r="L2295" s="255"/>
      <c r="M2295" s="256">
        <v>1.7879999999999999E-3</v>
      </c>
      <c r="N2295" s="249">
        <v>2294</v>
      </c>
    </row>
    <row r="2296" spans="1:14" x14ac:dyDescent="0.25">
      <c r="A2296" s="252" t="s">
        <v>134</v>
      </c>
      <c r="B2296" s="252" t="s">
        <v>5860</v>
      </c>
      <c r="C2296" s="253">
        <v>0</v>
      </c>
      <c r="D2296" s="252">
        <v>39792</v>
      </c>
      <c r="E2296" s="252" t="s">
        <v>3059</v>
      </c>
      <c r="F2296" s="254" t="s">
        <v>5861</v>
      </c>
      <c r="G2296" s="252" t="s">
        <v>5882</v>
      </c>
      <c r="H2296" s="252" t="s">
        <v>5883</v>
      </c>
      <c r="I2296" s="252">
        <v>12</v>
      </c>
      <c r="J2296" s="255">
        <v>1</v>
      </c>
      <c r="K2296" s="255">
        <v>1</v>
      </c>
      <c r="L2296" s="255"/>
      <c r="M2296" s="256">
        <v>1.7879999999999999E-3</v>
      </c>
      <c r="N2296" s="249">
        <v>2295</v>
      </c>
    </row>
    <row r="2297" spans="1:14" x14ac:dyDescent="0.25">
      <c r="A2297" s="252" t="s">
        <v>134</v>
      </c>
      <c r="B2297" s="252" t="s">
        <v>5860</v>
      </c>
      <c r="C2297" s="253">
        <v>0</v>
      </c>
      <c r="D2297" s="252">
        <v>39792</v>
      </c>
      <c r="E2297" s="252" t="s">
        <v>3059</v>
      </c>
      <c r="F2297" s="254" t="s">
        <v>5861</v>
      </c>
      <c r="G2297" s="252" t="s">
        <v>5884</v>
      </c>
      <c r="H2297" s="252" t="s">
        <v>5885</v>
      </c>
      <c r="I2297" s="252">
        <v>12</v>
      </c>
      <c r="J2297" s="255">
        <v>1</v>
      </c>
      <c r="K2297" s="255">
        <v>1</v>
      </c>
      <c r="L2297" s="255"/>
      <c r="M2297" s="256">
        <v>1.7879999999999999E-3</v>
      </c>
      <c r="N2297" s="249">
        <v>2296</v>
      </c>
    </row>
    <row r="2298" spans="1:14" x14ac:dyDescent="0.25">
      <c r="A2298" s="252" t="s">
        <v>134</v>
      </c>
      <c r="B2298" s="252" t="s">
        <v>5860</v>
      </c>
      <c r="C2298" s="253">
        <v>0</v>
      </c>
      <c r="D2298" s="252">
        <v>39792</v>
      </c>
      <c r="E2298" s="252" t="s">
        <v>3059</v>
      </c>
      <c r="F2298" s="254" t="s">
        <v>5861</v>
      </c>
      <c r="G2298" s="252" t="s">
        <v>5886</v>
      </c>
      <c r="H2298" s="252" t="s">
        <v>5887</v>
      </c>
      <c r="I2298" s="252">
        <v>12</v>
      </c>
      <c r="J2298" s="255">
        <v>1</v>
      </c>
      <c r="K2298" s="255">
        <v>1</v>
      </c>
      <c r="L2298" s="255"/>
      <c r="M2298" s="256">
        <v>1.7879999999999999E-3</v>
      </c>
      <c r="N2298" s="249">
        <v>2297</v>
      </c>
    </row>
    <row r="2299" spans="1:14" x14ac:dyDescent="0.25">
      <c r="A2299" s="252" t="s">
        <v>134</v>
      </c>
      <c r="B2299" s="252" t="s">
        <v>5860</v>
      </c>
      <c r="C2299" s="253">
        <v>0</v>
      </c>
      <c r="D2299" s="252">
        <v>39792</v>
      </c>
      <c r="E2299" s="252" t="s">
        <v>3059</v>
      </c>
      <c r="F2299" s="254" t="s">
        <v>5861</v>
      </c>
      <c r="G2299" s="252" t="s">
        <v>5888</v>
      </c>
      <c r="H2299" s="252" t="s">
        <v>5889</v>
      </c>
      <c r="I2299" s="252">
        <v>12</v>
      </c>
      <c r="J2299" s="255">
        <v>1</v>
      </c>
      <c r="K2299" s="255">
        <v>1</v>
      </c>
      <c r="L2299" s="255"/>
      <c r="M2299" s="256">
        <v>7.8719999999999988E-3</v>
      </c>
      <c r="N2299" s="249">
        <v>2298</v>
      </c>
    </row>
    <row r="2300" spans="1:14" x14ac:dyDescent="0.25">
      <c r="A2300" s="252" t="s">
        <v>134</v>
      </c>
      <c r="B2300" s="252" t="s">
        <v>5860</v>
      </c>
      <c r="C2300" s="253">
        <v>0</v>
      </c>
      <c r="D2300" s="252">
        <v>39792</v>
      </c>
      <c r="E2300" s="252" t="s">
        <v>3059</v>
      </c>
      <c r="F2300" s="254" t="s">
        <v>5861</v>
      </c>
      <c r="G2300" s="252" t="s">
        <v>5890</v>
      </c>
      <c r="H2300" s="252" t="s">
        <v>5891</v>
      </c>
      <c r="I2300" s="252">
        <v>12</v>
      </c>
      <c r="J2300" s="255">
        <v>1</v>
      </c>
      <c r="K2300" s="255">
        <v>1</v>
      </c>
      <c r="L2300" s="255"/>
      <c r="M2300" s="256">
        <v>4.3799999999999997E-4</v>
      </c>
      <c r="N2300" s="249">
        <v>2299</v>
      </c>
    </row>
    <row r="2301" spans="1:14" x14ac:dyDescent="0.25">
      <c r="A2301" s="252" t="s">
        <v>134</v>
      </c>
      <c r="B2301" s="252" t="s">
        <v>5860</v>
      </c>
      <c r="C2301" s="253">
        <v>0</v>
      </c>
      <c r="D2301" s="252">
        <v>39792</v>
      </c>
      <c r="E2301" s="252" t="s">
        <v>3059</v>
      </c>
      <c r="F2301" s="254" t="s">
        <v>5861</v>
      </c>
      <c r="G2301" s="252" t="s">
        <v>5892</v>
      </c>
      <c r="H2301" s="252" t="s">
        <v>5893</v>
      </c>
      <c r="I2301" s="252">
        <v>12</v>
      </c>
      <c r="J2301" s="255">
        <v>1</v>
      </c>
      <c r="K2301" s="255">
        <v>1</v>
      </c>
      <c r="L2301" s="255"/>
      <c r="M2301" s="256">
        <v>4.1999999999999996E-4</v>
      </c>
      <c r="N2301" s="249">
        <v>2300</v>
      </c>
    </row>
    <row r="2302" spans="1:14" x14ac:dyDescent="0.25">
      <c r="A2302" s="252" t="s">
        <v>134</v>
      </c>
      <c r="B2302" s="252" t="s">
        <v>5860</v>
      </c>
      <c r="C2302" s="253">
        <v>0</v>
      </c>
      <c r="D2302" s="252">
        <v>39792</v>
      </c>
      <c r="E2302" s="252" t="s">
        <v>3059</v>
      </c>
      <c r="F2302" s="254" t="s">
        <v>5861</v>
      </c>
      <c r="G2302" s="252" t="s">
        <v>5894</v>
      </c>
      <c r="H2302" s="252" t="s">
        <v>5895</v>
      </c>
      <c r="I2302" s="252">
        <v>12</v>
      </c>
      <c r="J2302" s="255">
        <v>1</v>
      </c>
      <c r="K2302" s="255">
        <v>1</v>
      </c>
      <c r="L2302" s="255"/>
      <c r="M2302" s="256">
        <v>7.8000000000000012E-5</v>
      </c>
      <c r="N2302" s="249">
        <v>2301</v>
      </c>
    </row>
    <row r="2303" spans="1:14" x14ac:dyDescent="0.25">
      <c r="A2303" s="252" t="s">
        <v>134</v>
      </c>
      <c r="B2303" s="252" t="s">
        <v>5860</v>
      </c>
      <c r="C2303" s="253">
        <v>0</v>
      </c>
      <c r="D2303" s="252">
        <v>39792</v>
      </c>
      <c r="E2303" s="252" t="s">
        <v>3059</v>
      </c>
      <c r="F2303" s="254" t="s">
        <v>5861</v>
      </c>
      <c r="G2303" s="252" t="s">
        <v>5896</v>
      </c>
      <c r="H2303" s="252" t="s">
        <v>5897</v>
      </c>
      <c r="I2303" s="252">
        <v>12</v>
      </c>
      <c r="J2303" s="255">
        <v>1</v>
      </c>
      <c r="K2303" s="255">
        <v>1</v>
      </c>
      <c r="L2303" s="255"/>
      <c r="M2303" s="256">
        <v>3.8999999999999999E-4</v>
      </c>
      <c r="N2303" s="249">
        <v>2302</v>
      </c>
    </row>
    <row r="2304" spans="1:14" x14ac:dyDescent="0.25">
      <c r="A2304" s="252" t="s">
        <v>134</v>
      </c>
      <c r="B2304" s="252" t="s">
        <v>5860</v>
      </c>
      <c r="C2304" s="253">
        <v>0</v>
      </c>
      <c r="D2304" s="252">
        <v>39792</v>
      </c>
      <c r="E2304" s="252" t="s">
        <v>3059</v>
      </c>
      <c r="F2304" s="254" t="s">
        <v>5861</v>
      </c>
      <c r="G2304" s="252" t="s">
        <v>5898</v>
      </c>
      <c r="H2304" s="252" t="s">
        <v>5899</v>
      </c>
      <c r="I2304" s="252">
        <v>12</v>
      </c>
      <c r="J2304" s="255">
        <v>1</v>
      </c>
      <c r="K2304" s="255">
        <v>1</v>
      </c>
      <c r="L2304" s="255"/>
      <c r="M2304" s="256">
        <v>3.48E-4</v>
      </c>
      <c r="N2304" s="249">
        <v>2303</v>
      </c>
    </row>
    <row r="2305" spans="1:14" x14ac:dyDescent="0.25">
      <c r="A2305" s="252" t="s">
        <v>134</v>
      </c>
      <c r="B2305" s="252" t="s">
        <v>5860</v>
      </c>
      <c r="C2305" s="253">
        <v>0</v>
      </c>
      <c r="D2305" s="252">
        <v>39792</v>
      </c>
      <c r="E2305" s="252" t="s">
        <v>3059</v>
      </c>
      <c r="F2305" s="254" t="s">
        <v>5861</v>
      </c>
      <c r="G2305" s="252" t="s">
        <v>5900</v>
      </c>
      <c r="H2305" s="252" t="s">
        <v>5901</v>
      </c>
      <c r="I2305" s="252">
        <v>12</v>
      </c>
      <c r="J2305" s="255">
        <v>1</v>
      </c>
      <c r="K2305" s="255">
        <v>1</v>
      </c>
      <c r="L2305" s="255"/>
      <c r="M2305" s="256">
        <v>1.0199999999999999E-3</v>
      </c>
      <c r="N2305" s="249">
        <v>2304</v>
      </c>
    </row>
    <row r="2306" spans="1:14" x14ac:dyDescent="0.25">
      <c r="A2306" s="252" t="s">
        <v>134</v>
      </c>
      <c r="B2306" s="252" t="s">
        <v>5860</v>
      </c>
      <c r="C2306" s="253">
        <v>0</v>
      </c>
      <c r="D2306" s="252">
        <v>39792</v>
      </c>
      <c r="E2306" s="252" t="s">
        <v>3059</v>
      </c>
      <c r="F2306" s="254" t="s">
        <v>5861</v>
      </c>
      <c r="G2306" s="252" t="s">
        <v>5902</v>
      </c>
      <c r="H2306" s="252" t="s">
        <v>5903</v>
      </c>
      <c r="I2306" s="252">
        <v>12</v>
      </c>
      <c r="J2306" s="255">
        <v>1</v>
      </c>
      <c r="K2306" s="255">
        <v>1</v>
      </c>
      <c r="L2306" s="255"/>
      <c r="M2306" s="256">
        <v>1.0199999999999999E-3</v>
      </c>
      <c r="N2306" s="249">
        <v>2305</v>
      </c>
    </row>
    <row r="2307" spans="1:14" x14ac:dyDescent="0.25">
      <c r="A2307" s="252" t="s">
        <v>134</v>
      </c>
      <c r="B2307" s="252" t="s">
        <v>5860</v>
      </c>
      <c r="C2307" s="253">
        <v>0</v>
      </c>
      <c r="D2307" s="252">
        <v>39792</v>
      </c>
      <c r="E2307" s="252" t="s">
        <v>3059</v>
      </c>
      <c r="F2307" s="254" t="s">
        <v>5861</v>
      </c>
      <c r="G2307" s="252" t="s">
        <v>5904</v>
      </c>
      <c r="H2307" s="252" t="s">
        <v>5905</v>
      </c>
      <c r="I2307" s="252">
        <v>12</v>
      </c>
      <c r="J2307" s="255">
        <v>1</v>
      </c>
      <c r="K2307" s="255">
        <v>1</v>
      </c>
      <c r="L2307" s="255"/>
      <c r="M2307" s="256">
        <v>1.0199999999999999E-3</v>
      </c>
      <c r="N2307" s="249">
        <v>2306</v>
      </c>
    </row>
    <row r="2308" spans="1:14" x14ac:dyDescent="0.25">
      <c r="A2308" s="252" t="s">
        <v>134</v>
      </c>
      <c r="B2308" s="252" t="s">
        <v>5860</v>
      </c>
      <c r="C2308" s="253">
        <v>0</v>
      </c>
      <c r="D2308" s="252">
        <v>39792</v>
      </c>
      <c r="E2308" s="252" t="s">
        <v>3059</v>
      </c>
      <c r="F2308" s="254" t="s">
        <v>5861</v>
      </c>
      <c r="G2308" s="252" t="s">
        <v>5906</v>
      </c>
      <c r="H2308" s="252" t="s">
        <v>5907</v>
      </c>
      <c r="I2308" s="252">
        <v>12</v>
      </c>
      <c r="J2308" s="255">
        <v>1</v>
      </c>
      <c r="K2308" s="255">
        <v>1</v>
      </c>
      <c r="L2308" s="255"/>
      <c r="M2308" s="256">
        <v>1.0199999999999999E-3</v>
      </c>
      <c r="N2308" s="249">
        <v>2307</v>
      </c>
    </row>
    <row r="2309" spans="1:14" x14ac:dyDescent="0.25">
      <c r="A2309" s="252" t="s">
        <v>134</v>
      </c>
      <c r="B2309" s="252" t="s">
        <v>5860</v>
      </c>
      <c r="C2309" s="253">
        <v>0</v>
      </c>
      <c r="D2309" s="252">
        <v>39792</v>
      </c>
      <c r="E2309" s="252" t="s">
        <v>3059</v>
      </c>
      <c r="F2309" s="254" t="s">
        <v>5861</v>
      </c>
      <c r="G2309" s="252" t="s">
        <v>5908</v>
      </c>
      <c r="H2309" s="252" t="s">
        <v>5909</v>
      </c>
      <c r="I2309" s="252">
        <v>12</v>
      </c>
      <c r="J2309" s="255">
        <v>1</v>
      </c>
      <c r="K2309" s="255">
        <v>1</v>
      </c>
      <c r="L2309" s="255"/>
      <c r="M2309" s="256">
        <v>3.48E-4</v>
      </c>
      <c r="N2309" s="249">
        <v>2308</v>
      </c>
    </row>
    <row r="2310" spans="1:14" x14ac:dyDescent="0.25">
      <c r="A2310" s="252" t="s">
        <v>134</v>
      </c>
      <c r="B2310" s="252" t="s">
        <v>5860</v>
      </c>
      <c r="C2310" s="253">
        <v>0</v>
      </c>
      <c r="D2310" s="252">
        <v>39792</v>
      </c>
      <c r="E2310" s="252" t="s">
        <v>3059</v>
      </c>
      <c r="F2310" s="254" t="s">
        <v>5861</v>
      </c>
      <c r="G2310" s="252" t="s">
        <v>5910</v>
      </c>
      <c r="H2310" s="252" t="s">
        <v>5911</v>
      </c>
      <c r="I2310" s="252">
        <v>12</v>
      </c>
      <c r="J2310" s="255">
        <v>1</v>
      </c>
      <c r="K2310" s="255">
        <v>1</v>
      </c>
      <c r="L2310" s="255"/>
      <c r="M2310" s="256">
        <v>1.0199999999999999E-3</v>
      </c>
      <c r="N2310" s="249">
        <v>2309</v>
      </c>
    </row>
    <row r="2311" spans="1:14" x14ac:dyDescent="0.25">
      <c r="A2311" s="252" t="s">
        <v>134</v>
      </c>
      <c r="B2311" s="252" t="s">
        <v>5860</v>
      </c>
      <c r="C2311" s="253">
        <v>0</v>
      </c>
      <c r="D2311" s="252">
        <v>39792</v>
      </c>
      <c r="E2311" s="252" t="s">
        <v>3059</v>
      </c>
      <c r="F2311" s="254" t="s">
        <v>5861</v>
      </c>
      <c r="G2311" s="252" t="s">
        <v>5912</v>
      </c>
      <c r="H2311" s="252" t="s">
        <v>5913</v>
      </c>
      <c r="I2311" s="252">
        <v>12</v>
      </c>
      <c r="J2311" s="255">
        <v>1</v>
      </c>
      <c r="K2311" s="255">
        <v>1</v>
      </c>
      <c r="L2311" s="255"/>
      <c r="M2311" s="256">
        <v>1.0199999999999999E-3</v>
      </c>
      <c r="N2311" s="249">
        <v>2310</v>
      </c>
    </row>
    <row r="2312" spans="1:14" x14ac:dyDescent="0.25">
      <c r="A2312" s="252" t="s">
        <v>134</v>
      </c>
      <c r="B2312" s="252" t="s">
        <v>5860</v>
      </c>
      <c r="C2312" s="253">
        <v>0</v>
      </c>
      <c r="D2312" s="252">
        <v>39792</v>
      </c>
      <c r="E2312" s="252" t="s">
        <v>3059</v>
      </c>
      <c r="F2312" s="254" t="s">
        <v>5861</v>
      </c>
      <c r="G2312" s="252" t="s">
        <v>5914</v>
      </c>
      <c r="H2312" s="252" t="s">
        <v>5915</v>
      </c>
      <c r="I2312" s="252">
        <v>12</v>
      </c>
      <c r="J2312" s="255">
        <v>1</v>
      </c>
      <c r="K2312" s="255">
        <v>1</v>
      </c>
      <c r="L2312" s="255"/>
      <c r="M2312" s="256">
        <v>1.0199999999999999E-3</v>
      </c>
      <c r="N2312" s="249">
        <v>2311</v>
      </c>
    </row>
    <row r="2313" spans="1:14" x14ac:dyDescent="0.25">
      <c r="A2313" s="252" t="s">
        <v>134</v>
      </c>
      <c r="B2313" s="252" t="s">
        <v>5860</v>
      </c>
      <c r="C2313" s="253">
        <v>0</v>
      </c>
      <c r="D2313" s="252">
        <v>39792</v>
      </c>
      <c r="E2313" s="252" t="s">
        <v>3059</v>
      </c>
      <c r="F2313" s="254" t="s">
        <v>5861</v>
      </c>
      <c r="G2313" s="252" t="s">
        <v>5916</v>
      </c>
      <c r="H2313" s="252" t="s">
        <v>5917</v>
      </c>
      <c r="I2313" s="252">
        <v>12</v>
      </c>
      <c r="J2313" s="255">
        <v>1</v>
      </c>
      <c r="K2313" s="255">
        <v>1</v>
      </c>
      <c r="L2313" s="255"/>
      <c r="M2313" s="256">
        <v>1.0199999999999999E-3</v>
      </c>
      <c r="N2313" s="249">
        <v>2312</v>
      </c>
    </row>
    <row r="2314" spans="1:14" x14ac:dyDescent="0.25">
      <c r="A2314" s="252" t="s">
        <v>134</v>
      </c>
      <c r="B2314" s="252" t="s">
        <v>5860</v>
      </c>
      <c r="C2314" s="253">
        <v>0</v>
      </c>
      <c r="D2314" s="252">
        <v>39792</v>
      </c>
      <c r="E2314" s="252" t="s">
        <v>3059</v>
      </c>
      <c r="F2314" s="254" t="s">
        <v>5861</v>
      </c>
      <c r="G2314" s="252" t="s">
        <v>5918</v>
      </c>
      <c r="H2314" s="252" t="s">
        <v>5919</v>
      </c>
      <c r="I2314" s="252">
        <v>12</v>
      </c>
      <c r="J2314" s="255">
        <v>1</v>
      </c>
      <c r="K2314" s="255">
        <v>1</v>
      </c>
      <c r="L2314" s="255"/>
      <c r="M2314" s="256">
        <v>4.7699999999999999E-4</v>
      </c>
      <c r="N2314" s="249">
        <v>2313</v>
      </c>
    </row>
    <row r="2315" spans="1:14" x14ac:dyDescent="0.25">
      <c r="A2315" s="252" t="s">
        <v>134</v>
      </c>
      <c r="B2315" s="252" t="s">
        <v>5860</v>
      </c>
      <c r="C2315" s="253">
        <v>0</v>
      </c>
      <c r="D2315" s="252">
        <v>39792</v>
      </c>
      <c r="E2315" s="252" t="s">
        <v>3059</v>
      </c>
      <c r="F2315" s="254" t="s">
        <v>5861</v>
      </c>
      <c r="G2315" s="252" t="s">
        <v>5920</v>
      </c>
      <c r="H2315" s="252" t="s">
        <v>5921</v>
      </c>
      <c r="I2315" s="252">
        <v>12</v>
      </c>
      <c r="J2315" s="255">
        <v>1</v>
      </c>
      <c r="K2315" s="255">
        <v>1</v>
      </c>
      <c r="L2315" s="255"/>
      <c r="M2315" s="256">
        <v>6.0299999999999991E-4</v>
      </c>
      <c r="N2315" s="249">
        <v>2314</v>
      </c>
    </row>
    <row r="2316" spans="1:14" x14ac:dyDescent="0.25">
      <c r="A2316" s="252" t="s">
        <v>134</v>
      </c>
      <c r="B2316" s="252" t="s">
        <v>5860</v>
      </c>
      <c r="C2316" s="253">
        <v>0</v>
      </c>
      <c r="D2316" s="252">
        <v>39792</v>
      </c>
      <c r="E2316" s="252" t="s">
        <v>3059</v>
      </c>
      <c r="F2316" s="254" t="s">
        <v>5861</v>
      </c>
      <c r="G2316" s="252" t="s">
        <v>5922</v>
      </c>
      <c r="H2316" s="252" t="s">
        <v>5923</v>
      </c>
      <c r="I2316" s="252">
        <v>12</v>
      </c>
      <c r="J2316" s="255">
        <v>1</v>
      </c>
      <c r="K2316" s="255">
        <v>1</v>
      </c>
      <c r="L2316" s="255"/>
      <c r="M2316" s="256">
        <v>5.6999999999999998E-4</v>
      </c>
      <c r="N2316" s="249">
        <v>2315</v>
      </c>
    </row>
    <row r="2317" spans="1:14" x14ac:dyDescent="0.25">
      <c r="A2317" s="252" t="s">
        <v>134</v>
      </c>
      <c r="B2317" s="252" t="s">
        <v>5860</v>
      </c>
      <c r="C2317" s="253">
        <v>0</v>
      </c>
      <c r="D2317" s="252">
        <v>39792</v>
      </c>
      <c r="E2317" s="252" t="s">
        <v>3059</v>
      </c>
      <c r="F2317" s="254" t="s">
        <v>5861</v>
      </c>
      <c r="G2317" s="252" t="s">
        <v>5924</v>
      </c>
      <c r="H2317" s="252" t="s">
        <v>5925</v>
      </c>
      <c r="I2317" s="252">
        <v>12</v>
      </c>
      <c r="J2317" s="255">
        <v>1</v>
      </c>
      <c r="K2317" s="255">
        <v>1</v>
      </c>
      <c r="L2317" s="255"/>
      <c r="M2317" s="256">
        <v>1.7879999999999999E-3</v>
      </c>
      <c r="N2317" s="249">
        <v>2316</v>
      </c>
    </row>
    <row r="2318" spans="1:14" x14ac:dyDescent="0.25">
      <c r="A2318" s="252" t="s">
        <v>134</v>
      </c>
      <c r="B2318" s="252" t="s">
        <v>5860</v>
      </c>
      <c r="C2318" s="253">
        <v>0</v>
      </c>
      <c r="D2318" s="252">
        <v>39792</v>
      </c>
      <c r="E2318" s="252" t="s">
        <v>3059</v>
      </c>
      <c r="F2318" s="254" t="s">
        <v>5861</v>
      </c>
      <c r="G2318" s="252" t="s">
        <v>5926</v>
      </c>
      <c r="H2318" s="252" t="s">
        <v>5927</v>
      </c>
      <c r="I2318" s="252">
        <v>12</v>
      </c>
      <c r="J2318" s="255">
        <v>1</v>
      </c>
      <c r="K2318" s="255">
        <v>1</v>
      </c>
      <c r="L2318" s="255"/>
      <c r="M2318" s="256">
        <v>4.4399999999999995E-4</v>
      </c>
      <c r="N2318" s="249">
        <v>2317</v>
      </c>
    </row>
    <row r="2319" spans="1:14" x14ac:dyDescent="0.25">
      <c r="A2319" s="252" t="s">
        <v>134</v>
      </c>
      <c r="B2319" s="252" t="s">
        <v>5860</v>
      </c>
      <c r="C2319" s="253">
        <v>0</v>
      </c>
      <c r="D2319" s="252">
        <v>39792</v>
      </c>
      <c r="E2319" s="252" t="s">
        <v>3059</v>
      </c>
      <c r="F2319" s="254" t="s">
        <v>5861</v>
      </c>
      <c r="G2319" s="252" t="s">
        <v>5928</v>
      </c>
      <c r="H2319" s="252" t="s">
        <v>5929</v>
      </c>
      <c r="I2319" s="252">
        <v>12</v>
      </c>
      <c r="J2319" s="255">
        <v>1</v>
      </c>
      <c r="K2319" s="255">
        <v>1</v>
      </c>
      <c r="L2319" s="255"/>
      <c r="M2319" s="256">
        <v>1.7879999999999999E-3</v>
      </c>
      <c r="N2319" s="249">
        <v>2318</v>
      </c>
    </row>
    <row r="2320" spans="1:14" x14ac:dyDescent="0.25">
      <c r="A2320" s="252" t="s">
        <v>134</v>
      </c>
      <c r="B2320" s="252" t="s">
        <v>5860</v>
      </c>
      <c r="C2320" s="253">
        <v>0</v>
      </c>
      <c r="D2320" s="252">
        <v>39792</v>
      </c>
      <c r="E2320" s="252" t="s">
        <v>3059</v>
      </c>
      <c r="F2320" s="254" t="s">
        <v>5861</v>
      </c>
      <c r="G2320" s="252" t="s">
        <v>5930</v>
      </c>
      <c r="H2320" s="252" t="s">
        <v>5931</v>
      </c>
      <c r="I2320" s="252">
        <v>12</v>
      </c>
      <c r="J2320" s="255">
        <v>1</v>
      </c>
      <c r="K2320" s="255">
        <v>1</v>
      </c>
      <c r="L2320" s="255"/>
      <c r="M2320" s="256">
        <v>1.7879999999999999E-3</v>
      </c>
      <c r="N2320" s="249">
        <v>2319</v>
      </c>
    </row>
    <row r="2321" spans="1:14" x14ac:dyDescent="0.25">
      <c r="A2321" s="252" t="s">
        <v>134</v>
      </c>
      <c r="B2321" s="252" t="s">
        <v>5860</v>
      </c>
      <c r="C2321" s="253">
        <v>0</v>
      </c>
      <c r="D2321" s="252">
        <v>39792</v>
      </c>
      <c r="E2321" s="252" t="s">
        <v>3059</v>
      </c>
      <c r="F2321" s="254" t="s">
        <v>5861</v>
      </c>
      <c r="G2321" s="252" t="s">
        <v>5932</v>
      </c>
      <c r="H2321" s="252" t="s">
        <v>5933</v>
      </c>
      <c r="I2321" s="252">
        <v>12</v>
      </c>
      <c r="J2321" s="255">
        <v>1</v>
      </c>
      <c r="K2321" s="255">
        <v>1</v>
      </c>
      <c r="L2321" s="255"/>
      <c r="M2321" s="256">
        <v>1.7879999999999999E-3</v>
      </c>
      <c r="N2321" s="249">
        <v>2320</v>
      </c>
    </row>
    <row r="2322" spans="1:14" x14ac:dyDescent="0.25">
      <c r="A2322" s="252" t="s">
        <v>134</v>
      </c>
      <c r="B2322" s="252" t="s">
        <v>5860</v>
      </c>
      <c r="C2322" s="253">
        <v>0</v>
      </c>
      <c r="D2322" s="252">
        <v>39792</v>
      </c>
      <c r="E2322" s="252" t="s">
        <v>3059</v>
      </c>
      <c r="F2322" s="254" t="s">
        <v>5861</v>
      </c>
      <c r="G2322" s="252" t="s">
        <v>5934</v>
      </c>
      <c r="H2322" s="252" t="s">
        <v>5935</v>
      </c>
      <c r="I2322" s="252">
        <v>12</v>
      </c>
      <c r="J2322" s="255">
        <v>1</v>
      </c>
      <c r="K2322" s="255">
        <v>1</v>
      </c>
      <c r="L2322" s="255"/>
      <c r="M2322" s="256">
        <v>1.7879999999999999E-3</v>
      </c>
      <c r="N2322" s="249">
        <v>2321</v>
      </c>
    </row>
    <row r="2323" spans="1:14" x14ac:dyDescent="0.25">
      <c r="A2323" s="252" t="s">
        <v>134</v>
      </c>
      <c r="B2323" s="252" t="s">
        <v>5860</v>
      </c>
      <c r="C2323" s="253">
        <v>0</v>
      </c>
      <c r="D2323" s="252">
        <v>39792</v>
      </c>
      <c r="E2323" s="252" t="s">
        <v>3059</v>
      </c>
      <c r="F2323" s="254" t="s">
        <v>5861</v>
      </c>
      <c r="G2323" s="252" t="s">
        <v>5936</v>
      </c>
      <c r="H2323" s="252" t="s">
        <v>5937</v>
      </c>
      <c r="I2323" s="252">
        <v>12</v>
      </c>
      <c r="J2323" s="255">
        <v>1</v>
      </c>
      <c r="K2323" s="255">
        <v>1</v>
      </c>
      <c r="L2323" s="255"/>
      <c r="M2323" s="256">
        <v>7.8719999999999988E-3</v>
      </c>
      <c r="N2323" s="249">
        <v>2322</v>
      </c>
    </row>
    <row r="2324" spans="1:14" x14ac:dyDescent="0.25">
      <c r="A2324" s="252" t="s">
        <v>134</v>
      </c>
      <c r="B2324" s="252" t="s">
        <v>5860</v>
      </c>
      <c r="C2324" s="253">
        <v>0</v>
      </c>
      <c r="D2324" s="252">
        <v>39792</v>
      </c>
      <c r="E2324" s="252" t="s">
        <v>3059</v>
      </c>
      <c r="F2324" s="254" t="s">
        <v>5861</v>
      </c>
      <c r="G2324" s="252" t="s">
        <v>5938</v>
      </c>
      <c r="H2324" s="252" t="s">
        <v>5939</v>
      </c>
      <c r="I2324" s="252">
        <v>12</v>
      </c>
      <c r="J2324" s="255">
        <v>1</v>
      </c>
      <c r="K2324" s="255">
        <v>1</v>
      </c>
      <c r="L2324" s="255"/>
      <c r="M2324" s="256">
        <v>4.3799999999999997E-4</v>
      </c>
      <c r="N2324" s="249">
        <v>2323</v>
      </c>
    </row>
    <row r="2325" spans="1:14" x14ac:dyDescent="0.25">
      <c r="A2325" s="252" t="s">
        <v>134</v>
      </c>
      <c r="B2325" s="252" t="s">
        <v>5860</v>
      </c>
      <c r="C2325" s="253">
        <v>0</v>
      </c>
      <c r="D2325" s="252">
        <v>39792</v>
      </c>
      <c r="E2325" s="252" t="s">
        <v>3059</v>
      </c>
      <c r="F2325" s="254" t="s">
        <v>5861</v>
      </c>
      <c r="G2325" s="252" t="s">
        <v>5940</v>
      </c>
      <c r="H2325" s="252" t="s">
        <v>5941</v>
      </c>
      <c r="I2325" s="252">
        <v>12</v>
      </c>
      <c r="J2325" s="255">
        <v>1</v>
      </c>
      <c r="K2325" s="255">
        <v>1</v>
      </c>
      <c r="L2325" s="255"/>
      <c r="M2325" s="256">
        <v>4.1999999999999996E-4</v>
      </c>
      <c r="N2325" s="249">
        <v>2324</v>
      </c>
    </row>
    <row r="2326" spans="1:14" x14ac:dyDescent="0.25">
      <c r="A2326" s="252" t="s">
        <v>134</v>
      </c>
      <c r="B2326" s="252" t="s">
        <v>5860</v>
      </c>
      <c r="C2326" s="253">
        <v>0</v>
      </c>
      <c r="D2326" s="252">
        <v>39792</v>
      </c>
      <c r="E2326" s="252" t="s">
        <v>3059</v>
      </c>
      <c r="F2326" s="254" t="s">
        <v>5861</v>
      </c>
      <c r="G2326" s="252" t="s">
        <v>5942</v>
      </c>
      <c r="H2326" s="252" t="s">
        <v>5943</v>
      </c>
      <c r="I2326" s="252">
        <v>12</v>
      </c>
      <c r="J2326" s="255">
        <v>1</v>
      </c>
      <c r="K2326" s="255">
        <v>1</v>
      </c>
      <c r="L2326" s="255"/>
      <c r="M2326" s="256">
        <v>7.8000000000000012E-5</v>
      </c>
      <c r="N2326" s="249">
        <v>2325</v>
      </c>
    </row>
    <row r="2327" spans="1:14" x14ac:dyDescent="0.25">
      <c r="A2327" s="252" t="s">
        <v>134</v>
      </c>
      <c r="B2327" s="252" t="s">
        <v>5860</v>
      </c>
      <c r="C2327" s="253">
        <v>0</v>
      </c>
      <c r="D2327" s="252">
        <v>39792</v>
      </c>
      <c r="E2327" s="252" t="s">
        <v>3059</v>
      </c>
      <c r="F2327" s="254" t="s">
        <v>5861</v>
      </c>
      <c r="G2327" s="252" t="s">
        <v>5944</v>
      </c>
      <c r="H2327" s="252" t="s">
        <v>5945</v>
      </c>
      <c r="I2327" s="252">
        <v>12</v>
      </c>
      <c r="J2327" s="255">
        <v>1</v>
      </c>
      <c r="K2327" s="255">
        <v>1</v>
      </c>
      <c r="L2327" s="255"/>
      <c r="M2327" s="256">
        <v>3.8999999999999999E-4</v>
      </c>
      <c r="N2327" s="249">
        <v>2326</v>
      </c>
    </row>
    <row r="2328" spans="1:14" x14ac:dyDescent="0.25">
      <c r="A2328" s="252" t="s">
        <v>134</v>
      </c>
      <c r="B2328" s="252" t="s">
        <v>5860</v>
      </c>
      <c r="C2328" s="253">
        <v>0</v>
      </c>
      <c r="D2328" s="252">
        <v>39792</v>
      </c>
      <c r="E2328" s="252" t="s">
        <v>3059</v>
      </c>
      <c r="F2328" s="254" t="s">
        <v>5861</v>
      </c>
      <c r="G2328" s="252" t="s">
        <v>5946</v>
      </c>
      <c r="H2328" s="252" t="s">
        <v>5947</v>
      </c>
      <c r="I2328" s="252">
        <v>12</v>
      </c>
      <c r="J2328" s="255">
        <v>1</v>
      </c>
      <c r="K2328" s="255">
        <v>1</v>
      </c>
      <c r="L2328" s="255"/>
      <c r="M2328" s="256">
        <v>3.48E-4</v>
      </c>
      <c r="N2328" s="249">
        <v>2327</v>
      </c>
    </row>
    <row r="2329" spans="1:14" x14ac:dyDescent="0.25">
      <c r="A2329" s="252" t="s">
        <v>134</v>
      </c>
      <c r="B2329" s="252" t="s">
        <v>5860</v>
      </c>
      <c r="C2329" s="253">
        <v>0</v>
      </c>
      <c r="D2329" s="252">
        <v>39792</v>
      </c>
      <c r="E2329" s="252" t="s">
        <v>3059</v>
      </c>
      <c r="F2329" s="254" t="s">
        <v>5861</v>
      </c>
      <c r="G2329" s="252" t="s">
        <v>5948</v>
      </c>
      <c r="H2329" s="252" t="s">
        <v>5949</v>
      </c>
      <c r="I2329" s="252">
        <v>12</v>
      </c>
      <c r="J2329" s="255">
        <v>1</v>
      </c>
      <c r="K2329" s="255">
        <v>1</v>
      </c>
      <c r="L2329" s="255"/>
      <c r="M2329" s="256">
        <v>1.0199999999999999E-3</v>
      </c>
      <c r="N2329" s="249">
        <v>2328</v>
      </c>
    </row>
    <row r="2330" spans="1:14" x14ac:dyDescent="0.25">
      <c r="A2330" s="252" t="s">
        <v>134</v>
      </c>
      <c r="B2330" s="252" t="s">
        <v>5860</v>
      </c>
      <c r="C2330" s="253">
        <v>0</v>
      </c>
      <c r="D2330" s="252">
        <v>39792</v>
      </c>
      <c r="E2330" s="252" t="s">
        <v>3059</v>
      </c>
      <c r="F2330" s="254" t="s">
        <v>5861</v>
      </c>
      <c r="G2330" s="252" t="s">
        <v>5950</v>
      </c>
      <c r="H2330" s="252" t="s">
        <v>5951</v>
      </c>
      <c r="I2330" s="252">
        <v>12</v>
      </c>
      <c r="J2330" s="255">
        <v>1</v>
      </c>
      <c r="K2330" s="255">
        <v>1</v>
      </c>
      <c r="L2330" s="255"/>
      <c r="M2330" s="256">
        <v>1.0199999999999999E-3</v>
      </c>
      <c r="N2330" s="249">
        <v>2329</v>
      </c>
    </row>
    <row r="2331" spans="1:14" x14ac:dyDescent="0.25">
      <c r="A2331" s="252" t="s">
        <v>134</v>
      </c>
      <c r="B2331" s="252" t="s">
        <v>5860</v>
      </c>
      <c r="C2331" s="253">
        <v>0</v>
      </c>
      <c r="D2331" s="252">
        <v>39792</v>
      </c>
      <c r="E2331" s="252" t="s">
        <v>3059</v>
      </c>
      <c r="F2331" s="254" t="s">
        <v>5861</v>
      </c>
      <c r="G2331" s="252" t="s">
        <v>5952</v>
      </c>
      <c r="H2331" s="252" t="s">
        <v>5953</v>
      </c>
      <c r="I2331" s="252">
        <v>12</v>
      </c>
      <c r="J2331" s="255">
        <v>1</v>
      </c>
      <c r="K2331" s="255">
        <v>1</v>
      </c>
      <c r="L2331" s="255"/>
      <c r="M2331" s="256">
        <v>1.0199999999999999E-3</v>
      </c>
      <c r="N2331" s="249">
        <v>2330</v>
      </c>
    </row>
    <row r="2332" spans="1:14" x14ac:dyDescent="0.25">
      <c r="A2332" s="252" t="s">
        <v>134</v>
      </c>
      <c r="B2332" s="252" t="s">
        <v>5860</v>
      </c>
      <c r="C2332" s="253">
        <v>0</v>
      </c>
      <c r="D2332" s="252">
        <v>39792</v>
      </c>
      <c r="E2332" s="252" t="s">
        <v>3059</v>
      </c>
      <c r="F2332" s="254" t="s">
        <v>5861</v>
      </c>
      <c r="G2332" s="252" t="s">
        <v>5954</v>
      </c>
      <c r="H2332" s="252" t="s">
        <v>5955</v>
      </c>
      <c r="I2332" s="252">
        <v>12</v>
      </c>
      <c r="J2332" s="255">
        <v>1</v>
      </c>
      <c r="K2332" s="255">
        <v>1</v>
      </c>
      <c r="L2332" s="255"/>
      <c r="M2332" s="256">
        <v>1.0199999999999999E-3</v>
      </c>
      <c r="N2332" s="249">
        <v>2331</v>
      </c>
    </row>
    <row r="2333" spans="1:14" x14ac:dyDescent="0.25">
      <c r="A2333" s="252" t="s">
        <v>134</v>
      </c>
      <c r="B2333" s="252" t="s">
        <v>5860</v>
      </c>
      <c r="C2333" s="253">
        <v>0</v>
      </c>
      <c r="D2333" s="252">
        <v>39792</v>
      </c>
      <c r="E2333" s="252" t="s">
        <v>3059</v>
      </c>
      <c r="F2333" s="254" t="s">
        <v>5861</v>
      </c>
      <c r="G2333" s="252" t="s">
        <v>5956</v>
      </c>
      <c r="H2333" s="252" t="s">
        <v>5957</v>
      </c>
      <c r="I2333" s="252">
        <v>12</v>
      </c>
      <c r="J2333" s="255">
        <v>1</v>
      </c>
      <c r="K2333" s="255">
        <v>1</v>
      </c>
      <c r="L2333" s="255"/>
      <c r="M2333" s="256">
        <v>3.48E-4</v>
      </c>
      <c r="N2333" s="249">
        <v>2332</v>
      </c>
    </row>
    <row r="2334" spans="1:14" x14ac:dyDescent="0.25">
      <c r="A2334" s="252" t="s">
        <v>134</v>
      </c>
      <c r="B2334" s="252" t="s">
        <v>5860</v>
      </c>
      <c r="C2334" s="253">
        <v>0</v>
      </c>
      <c r="D2334" s="252">
        <v>39792</v>
      </c>
      <c r="E2334" s="252" t="s">
        <v>3059</v>
      </c>
      <c r="F2334" s="254" t="s">
        <v>5861</v>
      </c>
      <c r="G2334" s="252" t="s">
        <v>5958</v>
      </c>
      <c r="H2334" s="252" t="s">
        <v>5959</v>
      </c>
      <c r="I2334" s="252">
        <v>12</v>
      </c>
      <c r="J2334" s="255">
        <v>1</v>
      </c>
      <c r="K2334" s="255">
        <v>1</v>
      </c>
      <c r="L2334" s="255"/>
      <c r="M2334" s="256">
        <v>1.0199999999999999E-3</v>
      </c>
      <c r="N2334" s="249">
        <v>2333</v>
      </c>
    </row>
    <row r="2335" spans="1:14" x14ac:dyDescent="0.25">
      <c r="A2335" s="252" t="s">
        <v>134</v>
      </c>
      <c r="B2335" s="252" t="s">
        <v>5860</v>
      </c>
      <c r="C2335" s="253">
        <v>0</v>
      </c>
      <c r="D2335" s="252">
        <v>39792</v>
      </c>
      <c r="E2335" s="252" t="s">
        <v>3059</v>
      </c>
      <c r="F2335" s="254" t="s">
        <v>5861</v>
      </c>
      <c r="G2335" s="252" t="s">
        <v>5960</v>
      </c>
      <c r="H2335" s="252" t="s">
        <v>5961</v>
      </c>
      <c r="I2335" s="252">
        <v>12</v>
      </c>
      <c r="J2335" s="255">
        <v>1</v>
      </c>
      <c r="K2335" s="255">
        <v>1</v>
      </c>
      <c r="L2335" s="255"/>
      <c r="M2335" s="256">
        <v>1.0199999999999999E-3</v>
      </c>
      <c r="N2335" s="249">
        <v>2334</v>
      </c>
    </row>
    <row r="2336" spans="1:14" x14ac:dyDescent="0.25">
      <c r="A2336" s="252" t="s">
        <v>134</v>
      </c>
      <c r="B2336" s="252" t="s">
        <v>5860</v>
      </c>
      <c r="C2336" s="253">
        <v>0</v>
      </c>
      <c r="D2336" s="252">
        <v>39792</v>
      </c>
      <c r="E2336" s="252" t="s">
        <v>3059</v>
      </c>
      <c r="F2336" s="254" t="s">
        <v>5861</v>
      </c>
      <c r="G2336" s="252" t="s">
        <v>5962</v>
      </c>
      <c r="H2336" s="252" t="s">
        <v>5963</v>
      </c>
      <c r="I2336" s="252">
        <v>12</v>
      </c>
      <c r="J2336" s="255">
        <v>1</v>
      </c>
      <c r="K2336" s="255">
        <v>1</v>
      </c>
      <c r="L2336" s="255"/>
      <c r="M2336" s="256">
        <v>1.0199999999999999E-3</v>
      </c>
      <c r="N2336" s="249">
        <v>2335</v>
      </c>
    </row>
    <row r="2337" spans="1:14" x14ac:dyDescent="0.25">
      <c r="A2337" s="252" t="s">
        <v>134</v>
      </c>
      <c r="B2337" s="252" t="s">
        <v>5860</v>
      </c>
      <c r="C2337" s="253">
        <v>0</v>
      </c>
      <c r="D2337" s="252">
        <v>39792</v>
      </c>
      <c r="E2337" s="252" t="s">
        <v>3059</v>
      </c>
      <c r="F2337" s="254" t="s">
        <v>5861</v>
      </c>
      <c r="G2337" s="252" t="s">
        <v>5964</v>
      </c>
      <c r="H2337" s="252" t="s">
        <v>5965</v>
      </c>
      <c r="I2337" s="252">
        <v>12</v>
      </c>
      <c r="J2337" s="255">
        <v>1</v>
      </c>
      <c r="K2337" s="255">
        <v>1</v>
      </c>
      <c r="L2337" s="255"/>
      <c r="M2337" s="256">
        <v>1.0199999999999999E-3</v>
      </c>
      <c r="N2337" s="249">
        <v>2336</v>
      </c>
    </row>
    <row r="2338" spans="1:14" x14ac:dyDescent="0.25">
      <c r="A2338" s="252" t="s">
        <v>134</v>
      </c>
      <c r="B2338" s="252" t="s">
        <v>5860</v>
      </c>
      <c r="C2338" s="253">
        <v>0</v>
      </c>
      <c r="D2338" s="252">
        <v>39792</v>
      </c>
      <c r="E2338" s="252" t="s">
        <v>3059</v>
      </c>
      <c r="F2338" s="254" t="s">
        <v>5861</v>
      </c>
      <c r="G2338" s="252" t="s">
        <v>5966</v>
      </c>
      <c r="H2338" s="252" t="s">
        <v>5967</v>
      </c>
      <c r="I2338" s="252">
        <v>12</v>
      </c>
      <c r="J2338" s="255">
        <v>1</v>
      </c>
      <c r="K2338" s="255">
        <v>1</v>
      </c>
      <c r="L2338" s="255"/>
      <c r="M2338" s="256">
        <v>4.7699999999999999E-4</v>
      </c>
      <c r="N2338" s="249">
        <v>2337</v>
      </c>
    </row>
    <row r="2339" spans="1:14" x14ac:dyDescent="0.25">
      <c r="A2339" s="252" t="s">
        <v>134</v>
      </c>
      <c r="B2339" s="252" t="s">
        <v>5860</v>
      </c>
      <c r="C2339" s="253">
        <v>0</v>
      </c>
      <c r="D2339" s="252">
        <v>39792</v>
      </c>
      <c r="E2339" s="252" t="s">
        <v>3059</v>
      </c>
      <c r="F2339" s="254" t="s">
        <v>5861</v>
      </c>
      <c r="G2339" s="252" t="s">
        <v>5968</v>
      </c>
      <c r="H2339" s="252" t="s">
        <v>5969</v>
      </c>
      <c r="I2339" s="252">
        <v>12</v>
      </c>
      <c r="J2339" s="255">
        <v>1</v>
      </c>
      <c r="K2339" s="255">
        <v>1</v>
      </c>
      <c r="L2339" s="255"/>
      <c r="M2339" s="256">
        <v>6.0299999999999991E-4</v>
      </c>
      <c r="N2339" s="249">
        <v>2338</v>
      </c>
    </row>
    <row r="2340" spans="1:14" x14ac:dyDescent="0.25">
      <c r="A2340" s="252" t="s">
        <v>134</v>
      </c>
      <c r="B2340" s="252" t="s">
        <v>5860</v>
      </c>
      <c r="C2340" s="253">
        <v>0</v>
      </c>
      <c r="D2340" s="252">
        <v>39792</v>
      </c>
      <c r="E2340" s="252" t="s">
        <v>3059</v>
      </c>
      <c r="F2340" s="254" t="s">
        <v>5861</v>
      </c>
      <c r="G2340" s="252" t="s">
        <v>5970</v>
      </c>
      <c r="H2340" s="252" t="s">
        <v>5971</v>
      </c>
      <c r="I2340" s="252">
        <v>12</v>
      </c>
      <c r="J2340" s="255">
        <v>1</v>
      </c>
      <c r="K2340" s="255">
        <v>1</v>
      </c>
      <c r="L2340" s="255"/>
      <c r="M2340" s="256">
        <v>5.6999999999999998E-4</v>
      </c>
      <c r="N2340" s="249">
        <v>2339</v>
      </c>
    </row>
    <row r="2341" spans="1:14" x14ac:dyDescent="0.25">
      <c r="A2341" s="252" t="s">
        <v>134</v>
      </c>
      <c r="B2341" s="252" t="s">
        <v>5860</v>
      </c>
      <c r="C2341" s="253">
        <v>0</v>
      </c>
      <c r="D2341" s="252">
        <v>39792</v>
      </c>
      <c r="E2341" s="252" t="s">
        <v>5528</v>
      </c>
      <c r="F2341" s="254" t="s">
        <v>5861</v>
      </c>
      <c r="G2341" s="252" t="s">
        <v>5972</v>
      </c>
      <c r="H2341" s="252" t="s">
        <v>5973</v>
      </c>
      <c r="I2341" s="252">
        <v>12</v>
      </c>
      <c r="J2341" s="255">
        <v>1</v>
      </c>
      <c r="K2341" s="255">
        <v>1</v>
      </c>
      <c r="L2341" s="255"/>
      <c r="M2341" s="256">
        <v>1.8090000000000001E-3</v>
      </c>
      <c r="N2341" s="249">
        <v>2340</v>
      </c>
    </row>
    <row r="2342" spans="1:14" x14ac:dyDescent="0.25">
      <c r="A2342" s="252" t="s">
        <v>134</v>
      </c>
      <c r="B2342" s="252" t="s">
        <v>5860</v>
      </c>
      <c r="C2342" s="253">
        <v>0</v>
      </c>
      <c r="D2342" s="252">
        <v>43372</v>
      </c>
      <c r="E2342" s="252" t="s">
        <v>5434</v>
      </c>
      <c r="F2342" s="254" t="s">
        <v>5435</v>
      </c>
      <c r="G2342" s="252" t="s">
        <v>5974</v>
      </c>
      <c r="H2342" s="252" t="s">
        <v>5975</v>
      </c>
      <c r="I2342" s="252">
        <v>12</v>
      </c>
      <c r="J2342" s="255">
        <v>1</v>
      </c>
      <c r="K2342" s="255">
        <v>1</v>
      </c>
      <c r="L2342" s="255"/>
      <c r="M2342" s="256">
        <v>1.8297000000000001E-2</v>
      </c>
      <c r="N2342" s="249">
        <v>2341</v>
      </c>
    </row>
    <row r="2343" spans="1:14" x14ac:dyDescent="0.25">
      <c r="A2343" s="252" t="s">
        <v>134</v>
      </c>
      <c r="B2343" s="252" t="s">
        <v>5860</v>
      </c>
      <c r="C2343" s="253">
        <v>0</v>
      </c>
      <c r="D2343" s="252">
        <v>39792</v>
      </c>
      <c r="E2343" s="252" t="s">
        <v>5528</v>
      </c>
      <c r="F2343" s="254" t="s">
        <v>5861</v>
      </c>
      <c r="G2343" s="252" t="s">
        <v>5976</v>
      </c>
      <c r="H2343" s="252" t="s">
        <v>5977</v>
      </c>
      <c r="I2343" s="252">
        <v>12</v>
      </c>
      <c r="J2343" s="255">
        <v>1</v>
      </c>
      <c r="K2343" s="255">
        <v>1</v>
      </c>
      <c r="L2343" s="255"/>
      <c r="M2343" s="256">
        <v>2.7929999999999999E-3</v>
      </c>
      <c r="N2343" s="249">
        <v>2342</v>
      </c>
    </row>
    <row r="2344" spans="1:14" x14ac:dyDescent="0.25">
      <c r="A2344" s="252" t="s">
        <v>134</v>
      </c>
      <c r="B2344" s="252" t="s">
        <v>5860</v>
      </c>
      <c r="C2344" s="253">
        <v>0</v>
      </c>
      <c r="D2344" s="252">
        <v>39792</v>
      </c>
      <c r="E2344" s="252" t="s">
        <v>5528</v>
      </c>
      <c r="F2344" s="254" t="s">
        <v>5861</v>
      </c>
      <c r="G2344" s="252" t="s">
        <v>5978</v>
      </c>
      <c r="H2344" s="252" t="s">
        <v>5979</v>
      </c>
      <c r="I2344" s="252">
        <v>12</v>
      </c>
      <c r="J2344" s="255">
        <v>1</v>
      </c>
      <c r="K2344" s="255">
        <v>1</v>
      </c>
      <c r="L2344" s="255"/>
      <c r="M2344" s="256">
        <v>2.7989999999999998E-3</v>
      </c>
      <c r="N2344" s="249">
        <v>2343</v>
      </c>
    </row>
    <row r="2345" spans="1:14" x14ac:dyDescent="0.25">
      <c r="A2345" s="252" t="s">
        <v>134</v>
      </c>
      <c r="B2345" s="252" t="s">
        <v>5860</v>
      </c>
      <c r="C2345" s="253">
        <v>0</v>
      </c>
      <c r="D2345" s="252">
        <v>43372</v>
      </c>
      <c r="E2345" s="252" t="s">
        <v>5434</v>
      </c>
      <c r="F2345" s="254" t="s">
        <v>5435</v>
      </c>
      <c r="G2345" s="252" t="s">
        <v>5980</v>
      </c>
      <c r="H2345" s="252" t="s">
        <v>5981</v>
      </c>
      <c r="I2345" s="252">
        <v>12</v>
      </c>
      <c r="J2345" s="255">
        <v>1</v>
      </c>
      <c r="K2345" s="255">
        <v>1</v>
      </c>
      <c r="L2345" s="255"/>
      <c r="M2345" s="256">
        <v>1.0083E-2</v>
      </c>
      <c r="N2345" s="249">
        <v>2344</v>
      </c>
    </row>
    <row r="2346" spans="1:14" x14ac:dyDescent="0.25">
      <c r="A2346" s="252" t="s">
        <v>134</v>
      </c>
      <c r="B2346" s="252" t="s">
        <v>5860</v>
      </c>
      <c r="C2346" s="253">
        <v>0</v>
      </c>
      <c r="D2346" s="252">
        <v>43372</v>
      </c>
      <c r="E2346" s="252" t="s">
        <v>5434</v>
      </c>
      <c r="F2346" s="254" t="s">
        <v>5435</v>
      </c>
      <c r="G2346" s="252" t="s">
        <v>5982</v>
      </c>
      <c r="H2346" s="252" t="s">
        <v>5983</v>
      </c>
      <c r="I2346" s="252">
        <v>12</v>
      </c>
      <c r="J2346" s="255">
        <v>1</v>
      </c>
      <c r="K2346" s="255">
        <v>1</v>
      </c>
      <c r="L2346" s="255"/>
      <c r="M2346" s="256">
        <v>1.8389999999999999E-3</v>
      </c>
      <c r="N2346" s="249">
        <v>2345</v>
      </c>
    </row>
    <row r="2347" spans="1:14" x14ac:dyDescent="0.25">
      <c r="A2347" s="252" t="s">
        <v>134</v>
      </c>
      <c r="B2347" s="252" t="s">
        <v>5860</v>
      </c>
      <c r="C2347" s="253">
        <v>0</v>
      </c>
      <c r="D2347" s="252">
        <v>43372</v>
      </c>
      <c r="E2347" s="252" t="s">
        <v>5434</v>
      </c>
      <c r="F2347" s="254" t="s">
        <v>5435</v>
      </c>
      <c r="G2347" s="252" t="s">
        <v>5984</v>
      </c>
      <c r="H2347" s="252" t="s">
        <v>5985</v>
      </c>
      <c r="I2347" s="252">
        <v>12</v>
      </c>
      <c r="J2347" s="255">
        <v>1</v>
      </c>
      <c r="K2347" s="255">
        <v>1</v>
      </c>
      <c r="L2347" s="255"/>
      <c r="M2347" s="256">
        <v>1.8389999999999999E-3</v>
      </c>
      <c r="N2347" s="249">
        <v>2346</v>
      </c>
    </row>
    <row r="2348" spans="1:14" x14ac:dyDescent="0.25">
      <c r="A2348" s="252" t="s">
        <v>134</v>
      </c>
      <c r="B2348" s="252" t="s">
        <v>5860</v>
      </c>
      <c r="C2348" s="253">
        <v>0</v>
      </c>
      <c r="D2348" s="252">
        <v>43372</v>
      </c>
      <c r="E2348" s="252" t="s">
        <v>5434</v>
      </c>
      <c r="F2348" s="254" t="s">
        <v>5435</v>
      </c>
      <c r="G2348" s="252" t="s">
        <v>5986</v>
      </c>
      <c r="H2348" s="252" t="s">
        <v>5987</v>
      </c>
      <c r="I2348" s="252">
        <v>12</v>
      </c>
      <c r="J2348" s="255">
        <v>1</v>
      </c>
      <c r="K2348" s="255">
        <v>1</v>
      </c>
      <c r="L2348" s="255"/>
      <c r="M2348" s="256">
        <v>3.4529999999999999E-3</v>
      </c>
      <c r="N2348" s="249">
        <v>2347</v>
      </c>
    </row>
    <row r="2349" spans="1:14" x14ac:dyDescent="0.25">
      <c r="A2349" s="252" t="s">
        <v>134</v>
      </c>
      <c r="B2349" s="252" t="s">
        <v>5860</v>
      </c>
      <c r="C2349" s="253">
        <v>0</v>
      </c>
      <c r="D2349" s="252">
        <v>43372</v>
      </c>
      <c r="E2349" s="252" t="s">
        <v>5434</v>
      </c>
      <c r="F2349" s="254" t="s">
        <v>5435</v>
      </c>
      <c r="G2349" s="252" t="s">
        <v>5988</v>
      </c>
      <c r="H2349" s="252" t="s">
        <v>5989</v>
      </c>
      <c r="I2349" s="252">
        <v>12</v>
      </c>
      <c r="J2349" s="255">
        <v>1</v>
      </c>
      <c r="K2349" s="255">
        <v>1</v>
      </c>
      <c r="L2349" s="255"/>
      <c r="M2349" s="256">
        <v>3.4319999999999997E-3</v>
      </c>
      <c r="N2349" s="249">
        <v>2348</v>
      </c>
    </row>
    <row r="2350" spans="1:14" x14ac:dyDescent="0.25">
      <c r="A2350" s="252" t="s">
        <v>134</v>
      </c>
      <c r="B2350" s="252" t="s">
        <v>5860</v>
      </c>
      <c r="C2350" s="253">
        <v>0</v>
      </c>
      <c r="D2350" s="252">
        <v>43372</v>
      </c>
      <c r="E2350" s="252" t="s">
        <v>5434</v>
      </c>
      <c r="F2350" s="254" t="s">
        <v>5435</v>
      </c>
      <c r="G2350" s="252" t="s">
        <v>5990</v>
      </c>
      <c r="H2350" s="252" t="s">
        <v>5991</v>
      </c>
      <c r="I2350" s="252">
        <v>12</v>
      </c>
      <c r="J2350" s="255">
        <v>1</v>
      </c>
      <c r="K2350" s="255">
        <v>1</v>
      </c>
      <c r="L2350" s="255"/>
      <c r="M2350" s="256">
        <v>1.0083E-2</v>
      </c>
      <c r="N2350" s="249">
        <v>2349</v>
      </c>
    </row>
    <row r="2351" spans="1:14" x14ac:dyDescent="0.25">
      <c r="A2351" s="252" t="s">
        <v>134</v>
      </c>
      <c r="B2351" s="252" t="s">
        <v>5860</v>
      </c>
      <c r="C2351" s="253">
        <v>0</v>
      </c>
      <c r="D2351" s="252">
        <v>43372</v>
      </c>
      <c r="E2351" s="252" t="s">
        <v>5528</v>
      </c>
      <c r="F2351" s="254" t="s">
        <v>5992</v>
      </c>
      <c r="G2351" s="252" t="s">
        <v>5993</v>
      </c>
      <c r="H2351" s="252" t="s">
        <v>5994</v>
      </c>
      <c r="I2351" s="252">
        <v>12</v>
      </c>
      <c r="J2351" s="255">
        <v>1</v>
      </c>
      <c r="K2351" s="255">
        <v>1</v>
      </c>
      <c r="L2351" s="255"/>
      <c r="M2351" s="256">
        <v>1.7850000000000001E-3</v>
      </c>
      <c r="N2351" s="249">
        <v>2350</v>
      </c>
    </row>
    <row r="2352" spans="1:14" x14ac:dyDescent="0.25">
      <c r="A2352" s="252" t="s">
        <v>134</v>
      </c>
      <c r="B2352" s="252" t="s">
        <v>5860</v>
      </c>
      <c r="C2352" s="253">
        <v>0</v>
      </c>
      <c r="D2352" s="252">
        <v>43372</v>
      </c>
      <c r="E2352" s="252" t="s">
        <v>5528</v>
      </c>
      <c r="F2352" s="254" t="s">
        <v>5992</v>
      </c>
      <c r="G2352" s="252" t="s">
        <v>5995</v>
      </c>
      <c r="H2352" s="252" t="s">
        <v>5996</v>
      </c>
      <c r="I2352" s="252">
        <v>12</v>
      </c>
      <c r="J2352" s="255">
        <v>1</v>
      </c>
      <c r="K2352" s="255">
        <v>1</v>
      </c>
      <c r="L2352" s="255"/>
      <c r="M2352" s="256">
        <v>1.7850000000000001E-3</v>
      </c>
      <c r="N2352" s="249">
        <v>2351</v>
      </c>
    </row>
    <row r="2353" spans="1:14" x14ac:dyDescent="0.25">
      <c r="A2353" s="252" t="s">
        <v>134</v>
      </c>
      <c r="B2353" s="252" t="s">
        <v>5860</v>
      </c>
      <c r="C2353" s="253">
        <v>0</v>
      </c>
      <c r="D2353" s="252">
        <v>43372</v>
      </c>
      <c r="E2353" s="252" t="s">
        <v>192</v>
      </c>
      <c r="F2353" s="254" t="s">
        <v>5435</v>
      </c>
      <c r="G2353" s="252" t="s">
        <v>5997</v>
      </c>
      <c r="H2353" s="252" t="s">
        <v>5998</v>
      </c>
      <c r="I2353" s="252">
        <v>12</v>
      </c>
      <c r="J2353" s="255">
        <v>1</v>
      </c>
      <c r="K2353" s="255">
        <v>1</v>
      </c>
      <c r="L2353" s="255"/>
      <c r="M2353" s="256">
        <v>1.8059999999999997E-3</v>
      </c>
      <c r="N2353" s="249">
        <v>2352</v>
      </c>
    </row>
    <row r="2354" spans="1:14" x14ac:dyDescent="0.25">
      <c r="A2354" s="252" t="s">
        <v>134</v>
      </c>
      <c r="B2354" s="252" t="s">
        <v>5860</v>
      </c>
      <c r="C2354" s="253">
        <v>0</v>
      </c>
      <c r="D2354" s="252">
        <v>43372</v>
      </c>
      <c r="E2354" s="252" t="s">
        <v>192</v>
      </c>
      <c r="F2354" s="254" t="s">
        <v>5435</v>
      </c>
      <c r="G2354" s="252" t="s">
        <v>5999</v>
      </c>
      <c r="H2354" s="252" t="s">
        <v>6000</v>
      </c>
      <c r="I2354" s="252">
        <v>12</v>
      </c>
      <c r="J2354" s="255">
        <v>1</v>
      </c>
      <c r="K2354" s="255">
        <v>1</v>
      </c>
      <c r="L2354" s="255"/>
      <c r="M2354" s="256">
        <v>1.8059999999999997E-3</v>
      </c>
      <c r="N2354" s="249">
        <v>2353</v>
      </c>
    </row>
    <row r="2355" spans="1:14" x14ac:dyDescent="0.25">
      <c r="A2355" s="252" t="s">
        <v>134</v>
      </c>
      <c r="B2355" s="252" t="s">
        <v>5860</v>
      </c>
      <c r="C2355" s="253">
        <v>0</v>
      </c>
      <c r="D2355" s="252">
        <v>43372</v>
      </c>
      <c r="E2355" s="252" t="s">
        <v>192</v>
      </c>
      <c r="F2355" s="254" t="s">
        <v>5435</v>
      </c>
      <c r="G2355" s="252" t="s">
        <v>6001</v>
      </c>
      <c r="H2355" s="252" t="s">
        <v>6002</v>
      </c>
      <c r="I2355" s="252">
        <v>12</v>
      </c>
      <c r="J2355" s="255">
        <v>1</v>
      </c>
      <c r="K2355" s="255">
        <v>1</v>
      </c>
      <c r="L2355" s="255"/>
      <c r="M2355" s="256">
        <v>1.371E-3</v>
      </c>
      <c r="N2355" s="249">
        <v>2354</v>
      </c>
    </row>
    <row r="2356" spans="1:14" x14ac:dyDescent="0.25">
      <c r="A2356" s="252" t="s">
        <v>134</v>
      </c>
      <c r="B2356" s="252" t="s">
        <v>5860</v>
      </c>
      <c r="C2356" s="253">
        <v>0</v>
      </c>
      <c r="D2356" s="252">
        <v>43372</v>
      </c>
      <c r="E2356" s="252" t="s">
        <v>192</v>
      </c>
      <c r="F2356" s="254" t="s">
        <v>5435</v>
      </c>
      <c r="G2356" s="252" t="s">
        <v>6003</v>
      </c>
      <c r="H2356" s="252" t="s">
        <v>6004</v>
      </c>
      <c r="I2356" s="252">
        <v>12</v>
      </c>
      <c r="J2356" s="255">
        <v>1</v>
      </c>
      <c r="K2356" s="255">
        <v>1</v>
      </c>
      <c r="L2356" s="255"/>
      <c r="M2356" s="256">
        <v>7.4699999999999994E-4</v>
      </c>
      <c r="N2356" s="249">
        <v>2355</v>
      </c>
    </row>
    <row r="2357" spans="1:14" x14ac:dyDescent="0.25">
      <c r="A2357" s="252" t="s">
        <v>134</v>
      </c>
      <c r="B2357" s="252" t="s">
        <v>5860</v>
      </c>
      <c r="C2357" s="253">
        <v>0</v>
      </c>
      <c r="D2357" s="252">
        <v>43372</v>
      </c>
      <c r="E2357" s="252" t="s">
        <v>192</v>
      </c>
      <c r="F2357" s="254" t="s">
        <v>5435</v>
      </c>
      <c r="G2357" s="252" t="s">
        <v>6005</v>
      </c>
      <c r="H2357" s="252" t="s">
        <v>6006</v>
      </c>
      <c r="I2357" s="252">
        <v>12</v>
      </c>
      <c r="J2357" s="255">
        <v>1</v>
      </c>
      <c r="K2357" s="255">
        <v>1</v>
      </c>
      <c r="L2357" s="255"/>
      <c r="M2357" s="256">
        <v>2.1599999999999996E-4</v>
      </c>
      <c r="N2357" s="249">
        <v>2356</v>
      </c>
    </row>
    <row r="2358" spans="1:14" x14ac:dyDescent="0.25">
      <c r="A2358" s="252" t="s">
        <v>134</v>
      </c>
      <c r="B2358" s="252" t="s">
        <v>5860</v>
      </c>
      <c r="C2358" s="253">
        <v>0</v>
      </c>
      <c r="D2358" s="252">
        <v>43372</v>
      </c>
      <c r="E2358" s="252" t="s">
        <v>192</v>
      </c>
      <c r="F2358" s="254" t="s">
        <v>5435</v>
      </c>
      <c r="G2358" s="252" t="s">
        <v>6007</v>
      </c>
      <c r="H2358" s="252" t="s">
        <v>6008</v>
      </c>
      <c r="I2358" s="252">
        <v>12</v>
      </c>
      <c r="J2358" s="255">
        <v>1</v>
      </c>
      <c r="K2358" s="255">
        <v>1</v>
      </c>
      <c r="L2358" s="255"/>
      <c r="M2358" s="256">
        <v>7.4699999999999994E-4</v>
      </c>
      <c r="N2358" s="249">
        <v>2357</v>
      </c>
    </row>
    <row r="2359" spans="1:14" x14ac:dyDescent="0.25">
      <c r="A2359" s="252" t="s">
        <v>134</v>
      </c>
      <c r="B2359" s="252" t="s">
        <v>5860</v>
      </c>
      <c r="C2359" s="253">
        <v>0</v>
      </c>
      <c r="D2359" s="252">
        <v>43372</v>
      </c>
      <c r="E2359" s="252" t="s">
        <v>192</v>
      </c>
      <c r="F2359" s="254" t="s">
        <v>5435</v>
      </c>
      <c r="G2359" s="252" t="s">
        <v>6009</v>
      </c>
      <c r="H2359" s="252" t="s">
        <v>6010</v>
      </c>
      <c r="I2359" s="252">
        <v>12</v>
      </c>
      <c r="J2359" s="255">
        <v>1</v>
      </c>
      <c r="K2359" s="255">
        <v>1</v>
      </c>
      <c r="L2359" s="255"/>
      <c r="M2359" s="256">
        <v>2.1599999999999996E-4</v>
      </c>
      <c r="N2359" s="249">
        <v>2358</v>
      </c>
    </row>
    <row r="2360" spans="1:14" x14ac:dyDescent="0.25">
      <c r="A2360" s="252" t="s">
        <v>134</v>
      </c>
      <c r="B2360" s="252" t="s">
        <v>5860</v>
      </c>
      <c r="C2360" s="253">
        <v>0</v>
      </c>
      <c r="D2360" s="252">
        <v>43372</v>
      </c>
      <c r="E2360" s="252" t="s">
        <v>192</v>
      </c>
      <c r="F2360" s="254" t="s">
        <v>5435</v>
      </c>
      <c r="G2360" s="252" t="s">
        <v>6011</v>
      </c>
      <c r="H2360" s="252" t="s">
        <v>6012</v>
      </c>
      <c r="I2360" s="252">
        <v>12</v>
      </c>
      <c r="J2360" s="255">
        <v>1</v>
      </c>
      <c r="K2360" s="255">
        <v>1</v>
      </c>
      <c r="L2360" s="255"/>
      <c r="M2360" s="256">
        <v>2.4599999999999996E-4</v>
      </c>
      <c r="N2360" s="249">
        <v>2359</v>
      </c>
    </row>
    <row r="2361" spans="1:14" x14ac:dyDescent="0.25">
      <c r="A2361" s="252" t="s">
        <v>134</v>
      </c>
      <c r="B2361" s="252" t="s">
        <v>5860</v>
      </c>
      <c r="C2361" s="253">
        <v>0</v>
      </c>
      <c r="D2361" s="252">
        <v>43372</v>
      </c>
      <c r="E2361" s="252" t="s">
        <v>192</v>
      </c>
      <c r="F2361" s="254" t="s">
        <v>5435</v>
      </c>
      <c r="G2361" s="252" t="s">
        <v>6013</v>
      </c>
      <c r="H2361" s="252" t="s">
        <v>6014</v>
      </c>
      <c r="I2361" s="252">
        <v>12</v>
      </c>
      <c r="J2361" s="255">
        <v>1</v>
      </c>
      <c r="K2361" s="255">
        <v>1</v>
      </c>
      <c r="L2361" s="255"/>
      <c r="M2361" s="256">
        <v>4.8000000000000001E-4</v>
      </c>
      <c r="N2361" s="249">
        <v>2360</v>
      </c>
    </row>
    <row r="2362" spans="1:14" x14ac:dyDescent="0.25">
      <c r="A2362" s="252" t="s">
        <v>134</v>
      </c>
      <c r="B2362" s="252" t="s">
        <v>5860</v>
      </c>
      <c r="C2362" s="253">
        <v>0</v>
      </c>
      <c r="D2362" s="252">
        <v>43372</v>
      </c>
      <c r="E2362" s="252" t="s">
        <v>192</v>
      </c>
      <c r="F2362" s="254" t="s">
        <v>5435</v>
      </c>
      <c r="G2362" s="252" t="s">
        <v>6015</v>
      </c>
      <c r="H2362" s="252" t="s">
        <v>6016</v>
      </c>
      <c r="I2362" s="252">
        <v>12</v>
      </c>
      <c r="J2362" s="255">
        <v>1</v>
      </c>
      <c r="K2362" s="255">
        <v>1</v>
      </c>
      <c r="L2362" s="255"/>
      <c r="M2362" s="256">
        <v>2.4599999999999996E-4</v>
      </c>
      <c r="N2362" s="249">
        <v>2361</v>
      </c>
    </row>
    <row r="2363" spans="1:14" x14ac:dyDescent="0.25">
      <c r="A2363" s="252" t="s">
        <v>134</v>
      </c>
      <c r="B2363" s="252" t="s">
        <v>5860</v>
      </c>
      <c r="C2363" s="253">
        <v>0</v>
      </c>
      <c r="D2363" s="252">
        <v>43372</v>
      </c>
      <c r="E2363" s="252" t="s">
        <v>192</v>
      </c>
      <c r="F2363" s="254" t="s">
        <v>5435</v>
      </c>
      <c r="G2363" s="252" t="s">
        <v>6017</v>
      </c>
      <c r="H2363" s="252" t="s">
        <v>6018</v>
      </c>
      <c r="I2363" s="252">
        <v>12</v>
      </c>
      <c r="J2363" s="255">
        <v>1</v>
      </c>
      <c r="K2363" s="255">
        <v>1</v>
      </c>
      <c r="L2363" s="255"/>
      <c r="M2363" s="256">
        <v>4.8000000000000001E-4</v>
      </c>
      <c r="N2363" s="249">
        <v>2362</v>
      </c>
    </row>
    <row r="2364" spans="1:14" x14ac:dyDescent="0.25">
      <c r="A2364" s="252" t="s">
        <v>134</v>
      </c>
      <c r="B2364" s="252" t="s">
        <v>5860</v>
      </c>
      <c r="C2364" s="253">
        <v>0</v>
      </c>
      <c r="D2364" s="252">
        <v>43372</v>
      </c>
      <c r="E2364" s="252" t="s">
        <v>192</v>
      </c>
      <c r="F2364" s="254" t="s">
        <v>5435</v>
      </c>
      <c r="G2364" s="252" t="s">
        <v>6019</v>
      </c>
      <c r="H2364" s="252" t="s">
        <v>6020</v>
      </c>
      <c r="I2364" s="252">
        <v>12</v>
      </c>
      <c r="J2364" s="255">
        <v>1</v>
      </c>
      <c r="K2364" s="255">
        <v>1</v>
      </c>
      <c r="L2364" s="255"/>
      <c r="M2364" s="256">
        <v>3.8099999999999999E-4</v>
      </c>
      <c r="N2364" s="249">
        <v>2363</v>
      </c>
    </row>
    <row r="2365" spans="1:14" x14ac:dyDescent="0.25">
      <c r="A2365" s="252" t="s">
        <v>134</v>
      </c>
      <c r="B2365" s="252" t="s">
        <v>5860</v>
      </c>
      <c r="C2365" s="253">
        <v>0</v>
      </c>
      <c r="D2365" s="252">
        <v>43372</v>
      </c>
      <c r="E2365" s="252" t="s">
        <v>192</v>
      </c>
      <c r="F2365" s="254" t="s">
        <v>5435</v>
      </c>
      <c r="G2365" s="252" t="s">
        <v>6021</v>
      </c>
      <c r="H2365" s="252" t="s">
        <v>6022</v>
      </c>
      <c r="I2365" s="252">
        <v>12</v>
      </c>
      <c r="J2365" s="255">
        <v>1</v>
      </c>
      <c r="K2365" s="255">
        <v>1</v>
      </c>
      <c r="L2365" s="255"/>
      <c r="M2365" s="256">
        <v>3.8099999999999999E-4</v>
      </c>
      <c r="N2365" s="249">
        <v>2364</v>
      </c>
    </row>
    <row r="2366" spans="1:14" x14ac:dyDescent="0.25">
      <c r="A2366" s="252" t="s">
        <v>134</v>
      </c>
      <c r="B2366" s="252" t="s">
        <v>5860</v>
      </c>
      <c r="C2366" s="253">
        <v>0</v>
      </c>
      <c r="D2366" s="252">
        <v>43372</v>
      </c>
      <c r="E2366" s="252" t="s">
        <v>192</v>
      </c>
      <c r="F2366" s="254" t="s">
        <v>5435</v>
      </c>
      <c r="G2366" s="252" t="s">
        <v>6023</v>
      </c>
      <c r="H2366" s="252" t="s">
        <v>6024</v>
      </c>
      <c r="I2366" s="252">
        <v>12</v>
      </c>
      <c r="J2366" s="255">
        <v>1</v>
      </c>
      <c r="K2366" s="255">
        <v>1</v>
      </c>
      <c r="L2366" s="255"/>
      <c r="M2366" s="256">
        <v>3.8099999999999999E-4</v>
      </c>
      <c r="N2366" s="249">
        <v>2365</v>
      </c>
    </row>
    <row r="2367" spans="1:14" x14ac:dyDescent="0.25">
      <c r="A2367" s="252" t="s">
        <v>134</v>
      </c>
      <c r="B2367" s="252" t="s">
        <v>5860</v>
      </c>
      <c r="C2367" s="253">
        <v>0</v>
      </c>
      <c r="D2367" s="252">
        <v>43372</v>
      </c>
      <c r="E2367" s="252" t="s">
        <v>192</v>
      </c>
      <c r="F2367" s="254" t="s">
        <v>5435</v>
      </c>
      <c r="G2367" s="252" t="s">
        <v>6025</v>
      </c>
      <c r="H2367" s="252" t="s">
        <v>6026</v>
      </c>
      <c r="I2367" s="252">
        <v>12</v>
      </c>
      <c r="J2367" s="255">
        <v>1</v>
      </c>
      <c r="K2367" s="255">
        <v>1</v>
      </c>
      <c r="L2367" s="255"/>
      <c r="M2367" s="256">
        <v>3.8099999999999999E-4</v>
      </c>
      <c r="N2367" s="249">
        <v>2366</v>
      </c>
    </row>
    <row r="2368" spans="1:14" x14ac:dyDescent="0.25">
      <c r="A2368" s="252" t="s">
        <v>134</v>
      </c>
      <c r="B2368" s="252" t="s">
        <v>5860</v>
      </c>
      <c r="C2368" s="253">
        <v>0</v>
      </c>
      <c r="D2368" s="252">
        <v>43372</v>
      </c>
      <c r="E2368" s="252" t="s">
        <v>192</v>
      </c>
      <c r="F2368" s="254" t="s">
        <v>5435</v>
      </c>
      <c r="G2368" s="252" t="s">
        <v>6027</v>
      </c>
      <c r="H2368" s="252" t="s">
        <v>6028</v>
      </c>
      <c r="I2368" s="252">
        <v>12</v>
      </c>
      <c r="J2368" s="255">
        <v>1</v>
      </c>
      <c r="K2368" s="255">
        <v>1</v>
      </c>
      <c r="L2368" s="255"/>
      <c r="M2368" s="256">
        <v>6.1889999999999992E-3</v>
      </c>
      <c r="N2368" s="249">
        <v>2367</v>
      </c>
    </row>
    <row r="2369" spans="1:14" x14ac:dyDescent="0.25">
      <c r="A2369" s="252" t="s">
        <v>134</v>
      </c>
      <c r="B2369" s="252" t="s">
        <v>5860</v>
      </c>
      <c r="C2369" s="253">
        <v>0</v>
      </c>
      <c r="D2369" s="252">
        <v>43372</v>
      </c>
      <c r="E2369" s="252" t="s">
        <v>192</v>
      </c>
      <c r="F2369" s="254" t="s">
        <v>5435</v>
      </c>
      <c r="G2369" s="252" t="s">
        <v>6029</v>
      </c>
      <c r="H2369" s="252" t="s">
        <v>6030</v>
      </c>
      <c r="I2369" s="252">
        <v>12</v>
      </c>
      <c r="J2369" s="255">
        <v>1</v>
      </c>
      <c r="K2369" s="255">
        <v>1</v>
      </c>
      <c r="L2369" s="255"/>
      <c r="M2369" s="256">
        <v>1.8059999999999997E-3</v>
      </c>
      <c r="N2369" s="249">
        <v>2368</v>
      </c>
    </row>
    <row r="2370" spans="1:14" x14ac:dyDescent="0.25">
      <c r="A2370" s="252" t="s">
        <v>134</v>
      </c>
      <c r="B2370" s="252" t="s">
        <v>5860</v>
      </c>
      <c r="C2370" s="253">
        <v>0</v>
      </c>
      <c r="D2370" s="252">
        <v>43372</v>
      </c>
      <c r="E2370" s="252" t="s">
        <v>192</v>
      </c>
      <c r="F2370" s="254" t="s">
        <v>5435</v>
      </c>
      <c r="G2370" s="252" t="s">
        <v>6031</v>
      </c>
      <c r="H2370" s="252" t="s">
        <v>6032</v>
      </c>
      <c r="I2370" s="252">
        <v>12</v>
      </c>
      <c r="J2370" s="255">
        <v>1</v>
      </c>
      <c r="K2370" s="255">
        <v>1</v>
      </c>
      <c r="L2370" s="255"/>
      <c r="M2370" s="256">
        <v>1.8059999999999997E-3</v>
      </c>
      <c r="N2370" s="249">
        <v>2369</v>
      </c>
    </row>
    <row r="2371" spans="1:14" x14ac:dyDescent="0.25">
      <c r="A2371" s="252" t="s">
        <v>134</v>
      </c>
      <c r="B2371" s="252" t="s">
        <v>5860</v>
      </c>
      <c r="C2371" s="253">
        <v>0</v>
      </c>
      <c r="D2371" s="252">
        <v>43372</v>
      </c>
      <c r="E2371" s="252" t="s">
        <v>192</v>
      </c>
      <c r="F2371" s="254" t="s">
        <v>5435</v>
      </c>
      <c r="G2371" s="252" t="s">
        <v>6033</v>
      </c>
      <c r="H2371" s="252" t="s">
        <v>6034</v>
      </c>
      <c r="I2371" s="252">
        <v>12</v>
      </c>
      <c r="J2371" s="255">
        <v>1</v>
      </c>
      <c r="K2371" s="255">
        <v>1</v>
      </c>
      <c r="L2371" s="255"/>
      <c r="M2371" s="256">
        <v>1.371E-3</v>
      </c>
      <c r="N2371" s="249">
        <v>2370</v>
      </c>
    </row>
    <row r="2372" spans="1:14" x14ac:dyDescent="0.25">
      <c r="A2372" s="252" t="s">
        <v>134</v>
      </c>
      <c r="B2372" s="252" t="s">
        <v>5860</v>
      </c>
      <c r="C2372" s="253">
        <v>0</v>
      </c>
      <c r="D2372" s="252">
        <v>43372</v>
      </c>
      <c r="E2372" s="252" t="s">
        <v>192</v>
      </c>
      <c r="F2372" s="254" t="s">
        <v>5435</v>
      </c>
      <c r="G2372" s="252" t="s">
        <v>6035</v>
      </c>
      <c r="H2372" s="252" t="s">
        <v>6036</v>
      </c>
      <c r="I2372" s="252">
        <v>12</v>
      </c>
      <c r="J2372" s="255">
        <v>1</v>
      </c>
      <c r="K2372" s="255">
        <v>1</v>
      </c>
      <c r="L2372" s="255"/>
      <c r="M2372" s="256">
        <v>7.4699999999999994E-4</v>
      </c>
      <c r="N2372" s="249">
        <v>2371</v>
      </c>
    </row>
    <row r="2373" spans="1:14" x14ac:dyDescent="0.25">
      <c r="A2373" s="252" t="s">
        <v>134</v>
      </c>
      <c r="B2373" s="252" t="s">
        <v>5860</v>
      </c>
      <c r="C2373" s="253">
        <v>0</v>
      </c>
      <c r="D2373" s="252">
        <v>43372</v>
      </c>
      <c r="E2373" s="252" t="s">
        <v>192</v>
      </c>
      <c r="F2373" s="254" t="s">
        <v>5435</v>
      </c>
      <c r="G2373" s="252" t="s">
        <v>6037</v>
      </c>
      <c r="H2373" s="252" t="s">
        <v>6038</v>
      </c>
      <c r="I2373" s="252">
        <v>12</v>
      </c>
      <c r="J2373" s="255">
        <v>1</v>
      </c>
      <c r="K2373" s="255">
        <v>1</v>
      </c>
      <c r="L2373" s="255"/>
      <c r="M2373" s="256">
        <v>2.1599999999999996E-4</v>
      </c>
      <c r="N2373" s="249">
        <v>2372</v>
      </c>
    </row>
    <row r="2374" spans="1:14" x14ac:dyDescent="0.25">
      <c r="A2374" s="252" t="s">
        <v>134</v>
      </c>
      <c r="B2374" s="252" t="s">
        <v>5860</v>
      </c>
      <c r="C2374" s="253">
        <v>0</v>
      </c>
      <c r="D2374" s="252">
        <v>43372</v>
      </c>
      <c r="E2374" s="252" t="s">
        <v>192</v>
      </c>
      <c r="F2374" s="254" t="s">
        <v>5435</v>
      </c>
      <c r="G2374" s="252" t="s">
        <v>6039</v>
      </c>
      <c r="H2374" s="252" t="s">
        <v>6040</v>
      </c>
      <c r="I2374" s="252">
        <v>12</v>
      </c>
      <c r="J2374" s="255">
        <v>1</v>
      </c>
      <c r="K2374" s="255">
        <v>1</v>
      </c>
      <c r="L2374" s="255"/>
      <c r="M2374" s="256">
        <v>7.4699999999999994E-4</v>
      </c>
      <c r="N2374" s="249">
        <v>2373</v>
      </c>
    </row>
    <row r="2375" spans="1:14" x14ac:dyDescent="0.25">
      <c r="A2375" s="252" t="s">
        <v>134</v>
      </c>
      <c r="B2375" s="252" t="s">
        <v>5860</v>
      </c>
      <c r="C2375" s="253">
        <v>0</v>
      </c>
      <c r="D2375" s="252">
        <v>43372</v>
      </c>
      <c r="E2375" s="252" t="s">
        <v>192</v>
      </c>
      <c r="F2375" s="254" t="s">
        <v>5435</v>
      </c>
      <c r="G2375" s="252" t="s">
        <v>6041</v>
      </c>
      <c r="H2375" s="252" t="s">
        <v>6042</v>
      </c>
      <c r="I2375" s="252">
        <v>12</v>
      </c>
      <c r="J2375" s="255">
        <v>1</v>
      </c>
      <c r="K2375" s="255">
        <v>1</v>
      </c>
      <c r="L2375" s="255"/>
      <c r="M2375" s="256">
        <v>2.1599999999999996E-4</v>
      </c>
      <c r="N2375" s="249">
        <v>2374</v>
      </c>
    </row>
    <row r="2376" spans="1:14" x14ac:dyDescent="0.25">
      <c r="A2376" s="252" t="s">
        <v>134</v>
      </c>
      <c r="B2376" s="252" t="s">
        <v>5860</v>
      </c>
      <c r="C2376" s="253">
        <v>0</v>
      </c>
      <c r="D2376" s="252">
        <v>43372</v>
      </c>
      <c r="E2376" s="252" t="s">
        <v>192</v>
      </c>
      <c r="F2376" s="254" t="s">
        <v>5435</v>
      </c>
      <c r="G2376" s="252" t="s">
        <v>6043</v>
      </c>
      <c r="H2376" s="252" t="s">
        <v>6044</v>
      </c>
      <c r="I2376" s="252">
        <v>12</v>
      </c>
      <c r="J2376" s="255">
        <v>1</v>
      </c>
      <c r="K2376" s="255">
        <v>1</v>
      </c>
      <c r="L2376" s="255"/>
      <c r="M2376" s="256">
        <v>2.4599999999999996E-4</v>
      </c>
      <c r="N2376" s="249">
        <v>2375</v>
      </c>
    </row>
    <row r="2377" spans="1:14" x14ac:dyDescent="0.25">
      <c r="A2377" s="252" t="s">
        <v>134</v>
      </c>
      <c r="B2377" s="252" t="s">
        <v>5860</v>
      </c>
      <c r="C2377" s="253">
        <v>0</v>
      </c>
      <c r="D2377" s="252">
        <v>43372</v>
      </c>
      <c r="E2377" s="252" t="s">
        <v>192</v>
      </c>
      <c r="F2377" s="254" t="s">
        <v>5435</v>
      </c>
      <c r="G2377" s="252" t="s">
        <v>6045</v>
      </c>
      <c r="H2377" s="252" t="s">
        <v>6046</v>
      </c>
      <c r="I2377" s="252">
        <v>12</v>
      </c>
      <c r="J2377" s="255">
        <v>1</v>
      </c>
      <c r="K2377" s="255">
        <v>1</v>
      </c>
      <c r="L2377" s="255"/>
      <c r="M2377" s="256">
        <v>4.8000000000000001E-4</v>
      </c>
      <c r="N2377" s="249">
        <v>2376</v>
      </c>
    </row>
    <row r="2378" spans="1:14" x14ac:dyDescent="0.25">
      <c r="A2378" s="252" t="s">
        <v>134</v>
      </c>
      <c r="B2378" s="252" t="s">
        <v>5860</v>
      </c>
      <c r="C2378" s="253">
        <v>0</v>
      </c>
      <c r="D2378" s="252">
        <v>43372</v>
      </c>
      <c r="E2378" s="252" t="s">
        <v>192</v>
      </c>
      <c r="F2378" s="254" t="s">
        <v>5435</v>
      </c>
      <c r="G2378" s="252" t="s">
        <v>6047</v>
      </c>
      <c r="H2378" s="252" t="s">
        <v>6048</v>
      </c>
      <c r="I2378" s="252">
        <v>12</v>
      </c>
      <c r="J2378" s="255">
        <v>1</v>
      </c>
      <c r="K2378" s="255">
        <v>1</v>
      </c>
      <c r="L2378" s="255"/>
      <c r="M2378" s="256">
        <v>2.4599999999999996E-4</v>
      </c>
      <c r="N2378" s="249">
        <v>2377</v>
      </c>
    </row>
    <row r="2379" spans="1:14" x14ac:dyDescent="0.25">
      <c r="A2379" s="252" t="s">
        <v>134</v>
      </c>
      <c r="B2379" s="252" t="s">
        <v>5860</v>
      </c>
      <c r="C2379" s="253">
        <v>0</v>
      </c>
      <c r="D2379" s="252">
        <v>43372</v>
      </c>
      <c r="E2379" s="252" t="s">
        <v>192</v>
      </c>
      <c r="F2379" s="254" t="s">
        <v>5435</v>
      </c>
      <c r="G2379" s="252" t="s">
        <v>6049</v>
      </c>
      <c r="H2379" s="252" t="s">
        <v>6050</v>
      </c>
      <c r="I2379" s="252">
        <v>12</v>
      </c>
      <c r="J2379" s="255">
        <v>1</v>
      </c>
      <c r="K2379" s="255">
        <v>1</v>
      </c>
      <c r="L2379" s="255"/>
      <c r="M2379" s="256">
        <v>4.8000000000000001E-4</v>
      </c>
      <c r="N2379" s="249">
        <v>2378</v>
      </c>
    </row>
    <row r="2380" spans="1:14" x14ac:dyDescent="0.25">
      <c r="A2380" s="252" t="s">
        <v>134</v>
      </c>
      <c r="B2380" s="252" t="s">
        <v>5860</v>
      </c>
      <c r="C2380" s="253">
        <v>0</v>
      </c>
      <c r="D2380" s="252">
        <v>43372</v>
      </c>
      <c r="E2380" s="252" t="s">
        <v>192</v>
      </c>
      <c r="F2380" s="254" t="s">
        <v>5435</v>
      </c>
      <c r="G2380" s="252" t="s">
        <v>6051</v>
      </c>
      <c r="H2380" s="252" t="s">
        <v>6052</v>
      </c>
      <c r="I2380" s="252">
        <v>12</v>
      </c>
      <c r="J2380" s="255">
        <v>1</v>
      </c>
      <c r="K2380" s="255">
        <v>1</v>
      </c>
      <c r="L2380" s="255"/>
      <c r="M2380" s="256">
        <v>3.8099999999999999E-4</v>
      </c>
      <c r="N2380" s="249">
        <v>2379</v>
      </c>
    </row>
    <row r="2381" spans="1:14" x14ac:dyDescent="0.25">
      <c r="A2381" s="252" t="s">
        <v>134</v>
      </c>
      <c r="B2381" s="252" t="s">
        <v>5860</v>
      </c>
      <c r="C2381" s="253">
        <v>0</v>
      </c>
      <c r="D2381" s="252">
        <v>43372</v>
      </c>
      <c r="E2381" s="252" t="s">
        <v>192</v>
      </c>
      <c r="F2381" s="254" t="s">
        <v>5435</v>
      </c>
      <c r="G2381" s="252" t="s">
        <v>6053</v>
      </c>
      <c r="H2381" s="252" t="s">
        <v>6054</v>
      </c>
      <c r="I2381" s="252">
        <v>12</v>
      </c>
      <c r="J2381" s="255">
        <v>1</v>
      </c>
      <c r="K2381" s="255">
        <v>1</v>
      </c>
      <c r="L2381" s="255"/>
      <c r="M2381" s="256">
        <v>3.8099999999999999E-4</v>
      </c>
      <c r="N2381" s="249">
        <v>2380</v>
      </c>
    </row>
    <row r="2382" spans="1:14" x14ac:dyDescent="0.25">
      <c r="A2382" s="252" t="s">
        <v>134</v>
      </c>
      <c r="B2382" s="252" t="s">
        <v>5860</v>
      </c>
      <c r="C2382" s="253">
        <v>0</v>
      </c>
      <c r="D2382" s="252">
        <v>43372</v>
      </c>
      <c r="E2382" s="252" t="s">
        <v>192</v>
      </c>
      <c r="F2382" s="254" t="s">
        <v>5435</v>
      </c>
      <c r="G2382" s="252" t="s">
        <v>6055</v>
      </c>
      <c r="H2382" s="252" t="s">
        <v>6056</v>
      </c>
      <c r="I2382" s="252">
        <v>12</v>
      </c>
      <c r="J2382" s="255">
        <v>1</v>
      </c>
      <c r="K2382" s="255">
        <v>1</v>
      </c>
      <c r="L2382" s="255"/>
      <c r="M2382" s="256">
        <v>3.8099999999999999E-4</v>
      </c>
      <c r="N2382" s="249">
        <v>2381</v>
      </c>
    </row>
    <row r="2383" spans="1:14" x14ac:dyDescent="0.25">
      <c r="A2383" s="252" t="s">
        <v>134</v>
      </c>
      <c r="B2383" s="252" t="s">
        <v>5860</v>
      </c>
      <c r="C2383" s="253">
        <v>0</v>
      </c>
      <c r="D2383" s="252">
        <v>43372</v>
      </c>
      <c r="E2383" s="252" t="s">
        <v>192</v>
      </c>
      <c r="F2383" s="254" t="s">
        <v>5435</v>
      </c>
      <c r="G2383" s="252" t="s">
        <v>6057</v>
      </c>
      <c r="H2383" s="252" t="s">
        <v>6058</v>
      </c>
      <c r="I2383" s="252">
        <v>12</v>
      </c>
      <c r="J2383" s="255">
        <v>1</v>
      </c>
      <c r="K2383" s="255">
        <v>1</v>
      </c>
      <c r="L2383" s="255"/>
      <c r="M2383" s="256">
        <v>3.8099999999999999E-4</v>
      </c>
      <c r="N2383" s="249">
        <v>2382</v>
      </c>
    </row>
    <row r="2384" spans="1:14" x14ac:dyDescent="0.25">
      <c r="A2384" s="252" t="s">
        <v>134</v>
      </c>
      <c r="B2384" s="252" t="s">
        <v>5860</v>
      </c>
      <c r="C2384" s="253">
        <v>0</v>
      </c>
      <c r="D2384" s="252">
        <v>43372</v>
      </c>
      <c r="E2384" s="252" t="s">
        <v>192</v>
      </c>
      <c r="F2384" s="254" t="s">
        <v>5435</v>
      </c>
      <c r="G2384" s="252" t="s">
        <v>6059</v>
      </c>
      <c r="H2384" s="252" t="s">
        <v>6060</v>
      </c>
      <c r="I2384" s="252">
        <v>12</v>
      </c>
      <c r="J2384" s="255">
        <v>1</v>
      </c>
      <c r="K2384" s="255">
        <v>1</v>
      </c>
      <c r="L2384" s="255"/>
      <c r="M2384" s="256">
        <v>6.1889999999999992E-3</v>
      </c>
      <c r="N2384" s="249">
        <v>2383</v>
      </c>
    </row>
    <row r="2385" spans="1:14" x14ac:dyDescent="0.25">
      <c r="A2385" s="252" t="s">
        <v>134</v>
      </c>
      <c r="B2385" s="252" t="s">
        <v>5860</v>
      </c>
      <c r="C2385" s="253">
        <v>0</v>
      </c>
      <c r="D2385" s="252">
        <v>43372</v>
      </c>
      <c r="E2385" s="252" t="s">
        <v>5528</v>
      </c>
      <c r="F2385" s="254" t="s">
        <v>5992</v>
      </c>
      <c r="G2385" s="252" t="s">
        <v>6061</v>
      </c>
      <c r="H2385" s="252" t="s">
        <v>6062</v>
      </c>
      <c r="I2385" s="252">
        <v>12</v>
      </c>
      <c r="J2385" s="255">
        <v>1</v>
      </c>
      <c r="K2385" s="255">
        <v>1</v>
      </c>
      <c r="L2385" s="255"/>
      <c r="M2385" s="256">
        <v>1.7850000000000001E-3</v>
      </c>
      <c r="N2385" s="249">
        <v>2384</v>
      </c>
    </row>
    <row r="2386" spans="1:14" x14ac:dyDescent="0.25">
      <c r="A2386" s="252" t="s">
        <v>134</v>
      </c>
      <c r="B2386" s="252" t="s">
        <v>5860</v>
      </c>
      <c r="C2386" s="253">
        <v>0</v>
      </c>
      <c r="D2386" s="252">
        <v>43372</v>
      </c>
      <c r="E2386" s="252" t="s">
        <v>5528</v>
      </c>
      <c r="F2386" s="254" t="s">
        <v>5992</v>
      </c>
      <c r="G2386" s="252" t="s">
        <v>6063</v>
      </c>
      <c r="H2386" s="252" t="s">
        <v>6064</v>
      </c>
      <c r="I2386" s="252">
        <v>12</v>
      </c>
      <c r="J2386" s="255">
        <v>1</v>
      </c>
      <c r="K2386" s="255">
        <v>1</v>
      </c>
      <c r="L2386" s="255"/>
      <c r="M2386" s="256">
        <v>1.7850000000000001E-3</v>
      </c>
      <c r="N2386" s="249">
        <v>2385</v>
      </c>
    </row>
    <row r="2387" spans="1:14" x14ac:dyDescent="0.25">
      <c r="A2387" s="252" t="s">
        <v>134</v>
      </c>
      <c r="B2387" s="252" t="s">
        <v>5860</v>
      </c>
      <c r="C2387" s="253">
        <v>0</v>
      </c>
      <c r="D2387" s="252">
        <v>43372</v>
      </c>
      <c r="E2387" s="252" t="s">
        <v>5528</v>
      </c>
      <c r="F2387" s="254" t="s">
        <v>5992</v>
      </c>
      <c r="G2387" s="252" t="s">
        <v>6065</v>
      </c>
      <c r="H2387" s="252" t="s">
        <v>6066</v>
      </c>
      <c r="I2387" s="252">
        <v>12</v>
      </c>
      <c r="J2387" s="255">
        <v>1</v>
      </c>
      <c r="K2387" s="255">
        <v>1</v>
      </c>
      <c r="L2387" s="255"/>
      <c r="M2387" s="256">
        <v>3.297E-3</v>
      </c>
      <c r="N2387" s="249">
        <v>2386</v>
      </c>
    </row>
    <row r="2388" spans="1:14" x14ac:dyDescent="0.25">
      <c r="A2388" s="252" t="s">
        <v>134</v>
      </c>
      <c r="B2388" s="252" t="s">
        <v>5860</v>
      </c>
      <c r="C2388" s="253">
        <v>0</v>
      </c>
      <c r="D2388" s="252">
        <v>43372</v>
      </c>
      <c r="E2388" s="252" t="s">
        <v>5528</v>
      </c>
      <c r="F2388" s="254" t="s">
        <v>5992</v>
      </c>
      <c r="G2388" s="252" t="s">
        <v>6067</v>
      </c>
      <c r="H2388" s="252" t="s">
        <v>6068</v>
      </c>
      <c r="I2388" s="252">
        <v>12</v>
      </c>
      <c r="J2388" s="255">
        <v>1</v>
      </c>
      <c r="K2388" s="255">
        <v>1</v>
      </c>
      <c r="L2388" s="255"/>
      <c r="M2388" s="256">
        <v>4.0923000000000001E-2</v>
      </c>
      <c r="N2388" s="249">
        <v>2387</v>
      </c>
    </row>
    <row r="2389" spans="1:14" x14ac:dyDescent="0.25">
      <c r="A2389" s="252" t="s">
        <v>134</v>
      </c>
      <c r="B2389" s="252" t="s">
        <v>5860</v>
      </c>
      <c r="C2389" s="253">
        <v>0</v>
      </c>
      <c r="D2389" s="252">
        <v>43372</v>
      </c>
      <c r="E2389" s="252" t="s">
        <v>5528</v>
      </c>
      <c r="F2389" s="254" t="s">
        <v>5992</v>
      </c>
      <c r="G2389" s="252" t="s">
        <v>6069</v>
      </c>
      <c r="H2389" s="252" t="s">
        <v>6070</v>
      </c>
      <c r="I2389" s="252">
        <v>12</v>
      </c>
      <c r="J2389" s="255">
        <v>1</v>
      </c>
      <c r="K2389" s="255">
        <v>1</v>
      </c>
      <c r="L2389" s="255"/>
      <c r="M2389" s="256">
        <v>3.2880000000000001E-3</v>
      </c>
      <c r="N2389" s="249">
        <v>2388</v>
      </c>
    </row>
    <row r="2390" spans="1:14" x14ac:dyDescent="0.25">
      <c r="A2390" s="252" t="s">
        <v>134</v>
      </c>
      <c r="B2390" s="252" t="s">
        <v>5860</v>
      </c>
      <c r="C2390" s="253">
        <v>0</v>
      </c>
      <c r="D2390" s="252">
        <v>43372</v>
      </c>
      <c r="E2390" s="252" t="s">
        <v>5528</v>
      </c>
      <c r="F2390" s="254" t="s">
        <v>5992</v>
      </c>
      <c r="G2390" s="252" t="s">
        <v>6071</v>
      </c>
      <c r="H2390" s="252" t="s">
        <v>6072</v>
      </c>
      <c r="I2390" s="252">
        <v>12</v>
      </c>
      <c r="J2390" s="255">
        <v>1</v>
      </c>
      <c r="K2390" s="255">
        <v>1</v>
      </c>
      <c r="L2390" s="255"/>
      <c r="M2390" s="256">
        <v>4.0908E-2</v>
      </c>
      <c r="N2390" s="249">
        <v>2389</v>
      </c>
    </row>
    <row r="2391" spans="1:14" x14ac:dyDescent="0.25">
      <c r="A2391" s="252" t="s">
        <v>134</v>
      </c>
      <c r="B2391" s="252" t="s">
        <v>5860</v>
      </c>
      <c r="C2391" s="253">
        <v>0</v>
      </c>
      <c r="D2391" s="252">
        <v>43372</v>
      </c>
      <c r="E2391" s="252" t="s">
        <v>5528</v>
      </c>
      <c r="F2391" s="254" t="s">
        <v>5992</v>
      </c>
      <c r="G2391" s="252" t="s">
        <v>6073</v>
      </c>
      <c r="H2391" s="252" t="s">
        <v>6074</v>
      </c>
      <c r="I2391" s="252">
        <v>12</v>
      </c>
      <c r="J2391" s="255">
        <v>1</v>
      </c>
      <c r="K2391" s="255">
        <v>1</v>
      </c>
      <c r="L2391" s="255"/>
      <c r="M2391" s="256">
        <v>1.7850000000000001E-3</v>
      </c>
      <c r="N2391" s="249">
        <v>2390</v>
      </c>
    </row>
    <row r="2392" spans="1:14" x14ac:dyDescent="0.25">
      <c r="A2392" s="252" t="s">
        <v>134</v>
      </c>
      <c r="B2392" s="252" t="s">
        <v>5860</v>
      </c>
      <c r="C2392" s="253">
        <v>0</v>
      </c>
      <c r="D2392" s="252">
        <v>43372</v>
      </c>
      <c r="E2392" s="252" t="s">
        <v>3059</v>
      </c>
      <c r="F2392" s="254" t="s">
        <v>5992</v>
      </c>
      <c r="G2392" s="252" t="s">
        <v>6075</v>
      </c>
      <c r="H2392" s="252" t="s">
        <v>6076</v>
      </c>
      <c r="I2392" s="252">
        <v>12</v>
      </c>
      <c r="J2392" s="255">
        <v>1</v>
      </c>
      <c r="K2392" s="255">
        <v>1</v>
      </c>
      <c r="L2392" s="255"/>
      <c r="M2392" s="256">
        <v>7.8719999999999988E-3</v>
      </c>
      <c r="N2392" s="249">
        <v>2391</v>
      </c>
    </row>
    <row r="2393" spans="1:14" x14ac:dyDescent="0.25">
      <c r="A2393" s="252" t="s">
        <v>134</v>
      </c>
      <c r="B2393" s="252" t="s">
        <v>5860</v>
      </c>
      <c r="C2393" s="253">
        <v>0</v>
      </c>
      <c r="D2393" s="252">
        <v>43372</v>
      </c>
      <c r="E2393" s="252" t="s">
        <v>3059</v>
      </c>
      <c r="F2393" s="254" t="s">
        <v>5992</v>
      </c>
      <c r="G2393" s="252" t="s">
        <v>6077</v>
      </c>
      <c r="H2393" s="252" t="s">
        <v>6078</v>
      </c>
      <c r="I2393" s="252">
        <v>12</v>
      </c>
      <c r="J2393" s="255">
        <v>1</v>
      </c>
      <c r="K2393" s="255">
        <v>1</v>
      </c>
      <c r="L2393" s="255"/>
      <c r="M2393" s="256">
        <v>4.4399999999999995E-4</v>
      </c>
      <c r="N2393" s="249">
        <v>2392</v>
      </c>
    </row>
    <row r="2394" spans="1:14" x14ac:dyDescent="0.25">
      <c r="A2394" s="252" t="s">
        <v>134</v>
      </c>
      <c r="B2394" s="252" t="s">
        <v>5860</v>
      </c>
      <c r="C2394" s="253">
        <v>0</v>
      </c>
      <c r="D2394" s="252">
        <v>43372</v>
      </c>
      <c r="E2394" s="252" t="s">
        <v>3059</v>
      </c>
      <c r="F2394" s="254" t="s">
        <v>5992</v>
      </c>
      <c r="G2394" s="252" t="s">
        <v>6079</v>
      </c>
      <c r="H2394" s="252" t="s">
        <v>6080</v>
      </c>
      <c r="I2394" s="252">
        <v>12</v>
      </c>
      <c r="J2394" s="255">
        <v>1</v>
      </c>
      <c r="K2394" s="255">
        <v>1</v>
      </c>
      <c r="L2394" s="255"/>
      <c r="M2394" s="256">
        <v>1.7879999999999999E-3</v>
      </c>
      <c r="N2394" s="249">
        <v>2393</v>
      </c>
    </row>
    <row r="2395" spans="1:14" x14ac:dyDescent="0.25">
      <c r="A2395" s="252" t="s">
        <v>134</v>
      </c>
      <c r="B2395" s="252" t="s">
        <v>5860</v>
      </c>
      <c r="C2395" s="253">
        <v>0</v>
      </c>
      <c r="D2395" s="252">
        <v>43372</v>
      </c>
      <c r="E2395" s="252" t="s">
        <v>3059</v>
      </c>
      <c r="F2395" s="254" t="s">
        <v>5992</v>
      </c>
      <c r="G2395" s="252" t="s">
        <v>6081</v>
      </c>
      <c r="H2395" s="252" t="s">
        <v>6082</v>
      </c>
      <c r="I2395" s="252">
        <v>12</v>
      </c>
      <c r="J2395" s="255">
        <v>1</v>
      </c>
      <c r="K2395" s="255">
        <v>1</v>
      </c>
      <c r="L2395" s="255"/>
      <c r="M2395" s="256">
        <v>1.7879999999999999E-3</v>
      </c>
      <c r="N2395" s="249">
        <v>2394</v>
      </c>
    </row>
    <row r="2396" spans="1:14" x14ac:dyDescent="0.25">
      <c r="A2396" s="252" t="s">
        <v>134</v>
      </c>
      <c r="B2396" s="252" t="s">
        <v>5860</v>
      </c>
      <c r="C2396" s="253">
        <v>0</v>
      </c>
      <c r="D2396" s="252">
        <v>43372</v>
      </c>
      <c r="E2396" s="252" t="s">
        <v>3059</v>
      </c>
      <c r="F2396" s="254" t="s">
        <v>5992</v>
      </c>
      <c r="G2396" s="252" t="s">
        <v>6083</v>
      </c>
      <c r="H2396" s="252" t="s">
        <v>6084</v>
      </c>
      <c r="I2396" s="252">
        <v>12</v>
      </c>
      <c r="J2396" s="255">
        <v>1</v>
      </c>
      <c r="K2396" s="255">
        <v>1</v>
      </c>
      <c r="L2396" s="255"/>
      <c r="M2396" s="256">
        <v>1.7879999999999999E-3</v>
      </c>
      <c r="N2396" s="249">
        <v>2395</v>
      </c>
    </row>
    <row r="2397" spans="1:14" x14ac:dyDescent="0.25">
      <c r="A2397" s="252" t="s">
        <v>134</v>
      </c>
      <c r="B2397" s="252" t="s">
        <v>5860</v>
      </c>
      <c r="C2397" s="253">
        <v>0</v>
      </c>
      <c r="D2397" s="252">
        <v>43372</v>
      </c>
      <c r="E2397" s="252" t="s">
        <v>3059</v>
      </c>
      <c r="F2397" s="254" t="s">
        <v>5992</v>
      </c>
      <c r="G2397" s="252" t="s">
        <v>6085</v>
      </c>
      <c r="H2397" s="252" t="s">
        <v>6086</v>
      </c>
      <c r="I2397" s="252">
        <v>12</v>
      </c>
      <c r="J2397" s="255">
        <v>1</v>
      </c>
      <c r="K2397" s="255">
        <v>1</v>
      </c>
      <c r="L2397" s="255"/>
      <c r="M2397" s="256">
        <v>1.7879999999999999E-3</v>
      </c>
      <c r="N2397" s="249">
        <v>2396</v>
      </c>
    </row>
    <row r="2398" spans="1:14" x14ac:dyDescent="0.25">
      <c r="A2398" s="252" t="s">
        <v>134</v>
      </c>
      <c r="B2398" s="252" t="s">
        <v>5860</v>
      </c>
      <c r="C2398" s="253">
        <v>0</v>
      </c>
      <c r="D2398" s="252">
        <v>43372</v>
      </c>
      <c r="E2398" s="252" t="s">
        <v>3059</v>
      </c>
      <c r="F2398" s="254" t="s">
        <v>5992</v>
      </c>
      <c r="G2398" s="252" t="s">
        <v>6087</v>
      </c>
      <c r="H2398" s="252" t="s">
        <v>6088</v>
      </c>
      <c r="I2398" s="252">
        <v>12</v>
      </c>
      <c r="J2398" s="255">
        <v>1</v>
      </c>
      <c r="K2398" s="255">
        <v>1</v>
      </c>
      <c r="L2398" s="255"/>
      <c r="M2398" s="256">
        <v>1.7879999999999999E-3</v>
      </c>
      <c r="N2398" s="249">
        <v>2397</v>
      </c>
    </row>
    <row r="2399" spans="1:14" x14ac:dyDescent="0.25">
      <c r="A2399" s="252" t="s">
        <v>134</v>
      </c>
      <c r="B2399" s="252" t="s">
        <v>5860</v>
      </c>
      <c r="C2399" s="253">
        <v>0</v>
      </c>
      <c r="D2399" s="252">
        <v>43372</v>
      </c>
      <c r="E2399" s="252" t="s">
        <v>3059</v>
      </c>
      <c r="F2399" s="254" t="s">
        <v>5992</v>
      </c>
      <c r="G2399" s="252" t="s">
        <v>6089</v>
      </c>
      <c r="H2399" s="252" t="s">
        <v>6090</v>
      </c>
      <c r="I2399" s="252">
        <v>12</v>
      </c>
      <c r="J2399" s="255">
        <v>1</v>
      </c>
      <c r="K2399" s="255">
        <v>1</v>
      </c>
      <c r="L2399" s="255"/>
      <c r="M2399" s="256">
        <v>4.3799999999999997E-4</v>
      </c>
      <c r="N2399" s="249">
        <v>2398</v>
      </c>
    </row>
    <row r="2400" spans="1:14" x14ac:dyDescent="0.25">
      <c r="A2400" s="252" t="s">
        <v>134</v>
      </c>
      <c r="B2400" s="252" t="s">
        <v>5860</v>
      </c>
      <c r="C2400" s="253">
        <v>0</v>
      </c>
      <c r="D2400" s="252">
        <v>43372</v>
      </c>
      <c r="E2400" s="252" t="s">
        <v>3059</v>
      </c>
      <c r="F2400" s="254" t="s">
        <v>5992</v>
      </c>
      <c r="G2400" s="252" t="s">
        <v>6091</v>
      </c>
      <c r="H2400" s="252" t="s">
        <v>6092</v>
      </c>
      <c r="I2400" s="252">
        <v>12</v>
      </c>
      <c r="J2400" s="255">
        <v>1</v>
      </c>
      <c r="K2400" s="255">
        <v>1</v>
      </c>
      <c r="L2400" s="255"/>
      <c r="M2400" s="256">
        <v>4.1999999999999996E-4</v>
      </c>
      <c r="N2400" s="249">
        <v>2399</v>
      </c>
    </row>
    <row r="2401" spans="1:14" x14ac:dyDescent="0.25">
      <c r="A2401" s="252" t="s">
        <v>134</v>
      </c>
      <c r="B2401" s="252" t="s">
        <v>5860</v>
      </c>
      <c r="C2401" s="253">
        <v>0</v>
      </c>
      <c r="D2401" s="252">
        <v>43372</v>
      </c>
      <c r="E2401" s="252" t="s">
        <v>3059</v>
      </c>
      <c r="F2401" s="254" t="s">
        <v>5992</v>
      </c>
      <c r="G2401" s="252" t="s">
        <v>6093</v>
      </c>
      <c r="H2401" s="252" t="s">
        <v>6094</v>
      </c>
      <c r="I2401" s="252">
        <v>12</v>
      </c>
      <c r="J2401" s="255">
        <v>1</v>
      </c>
      <c r="K2401" s="255">
        <v>1</v>
      </c>
      <c r="L2401" s="255"/>
      <c r="M2401" s="256">
        <v>7.8000000000000012E-5</v>
      </c>
      <c r="N2401" s="249">
        <v>2400</v>
      </c>
    </row>
    <row r="2402" spans="1:14" x14ac:dyDescent="0.25">
      <c r="A2402" s="252" t="s">
        <v>134</v>
      </c>
      <c r="B2402" s="252" t="s">
        <v>5860</v>
      </c>
      <c r="C2402" s="253">
        <v>0</v>
      </c>
      <c r="D2402" s="252">
        <v>43372</v>
      </c>
      <c r="E2402" s="252" t="s">
        <v>3059</v>
      </c>
      <c r="F2402" s="254" t="s">
        <v>5992</v>
      </c>
      <c r="G2402" s="252" t="s">
        <v>6095</v>
      </c>
      <c r="H2402" s="252" t="s">
        <v>6096</v>
      </c>
      <c r="I2402" s="252">
        <v>12</v>
      </c>
      <c r="J2402" s="255">
        <v>1</v>
      </c>
      <c r="K2402" s="255">
        <v>1</v>
      </c>
      <c r="L2402" s="255"/>
      <c r="M2402" s="256">
        <v>3.8999999999999999E-4</v>
      </c>
      <c r="N2402" s="249">
        <v>2401</v>
      </c>
    </row>
    <row r="2403" spans="1:14" x14ac:dyDescent="0.25">
      <c r="A2403" s="252" t="s">
        <v>134</v>
      </c>
      <c r="B2403" s="252" t="s">
        <v>5860</v>
      </c>
      <c r="C2403" s="253">
        <v>0</v>
      </c>
      <c r="D2403" s="252">
        <v>43372</v>
      </c>
      <c r="E2403" s="252" t="s">
        <v>3059</v>
      </c>
      <c r="F2403" s="254" t="s">
        <v>5992</v>
      </c>
      <c r="G2403" s="252" t="s">
        <v>6097</v>
      </c>
      <c r="H2403" s="252" t="s">
        <v>6098</v>
      </c>
      <c r="I2403" s="252">
        <v>12</v>
      </c>
      <c r="J2403" s="255">
        <v>1</v>
      </c>
      <c r="K2403" s="255">
        <v>1</v>
      </c>
      <c r="L2403" s="255"/>
      <c r="M2403" s="256">
        <v>3.48E-4</v>
      </c>
      <c r="N2403" s="249">
        <v>2402</v>
      </c>
    </row>
    <row r="2404" spans="1:14" x14ac:dyDescent="0.25">
      <c r="A2404" s="252" t="s">
        <v>134</v>
      </c>
      <c r="B2404" s="252" t="s">
        <v>5860</v>
      </c>
      <c r="C2404" s="253">
        <v>0</v>
      </c>
      <c r="D2404" s="252">
        <v>43372</v>
      </c>
      <c r="E2404" s="252" t="s">
        <v>3059</v>
      </c>
      <c r="F2404" s="254" t="s">
        <v>5992</v>
      </c>
      <c r="G2404" s="252" t="s">
        <v>6099</v>
      </c>
      <c r="H2404" s="252" t="s">
        <v>6100</v>
      </c>
      <c r="I2404" s="252">
        <v>12</v>
      </c>
      <c r="J2404" s="255">
        <v>1</v>
      </c>
      <c r="K2404" s="255">
        <v>1</v>
      </c>
      <c r="L2404" s="255"/>
      <c r="M2404" s="256">
        <v>1.0199999999999999E-3</v>
      </c>
      <c r="N2404" s="249">
        <v>2403</v>
      </c>
    </row>
    <row r="2405" spans="1:14" x14ac:dyDescent="0.25">
      <c r="A2405" s="252" t="s">
        <v>134</v>
      </c>
      <c r="B2405" s="252" t="s">
        <v>5860</v>
      </c>
      <c r="C2405" s="253">
        <v>0</v>
      </c>
      <c r="D2405" s="252">
        <v>43372</v>
      </c>
      <c r="E2405" s="252" t="s">
        <v>3059</v>
      </c>
      <c r="F2405" s="254" t="s">
        <v>5992</v>
      </c>
      <c r="G2405" s="252" t="s">
        <v>6101</v>
      </c>
      <c r="H2405" s="252" t="s">
        <v>6102</v>
      </c>
      <c r="I2405" s="252">
        <v>12</v>
      </c>
      <c r="J2405" s="255">
        <v>1</v>
      </c>
      <c r="K2405" s="255">
        <v>1</v>
      </c>
      <c r="L2405" s="255"/>
      <c r="M2405" s="256">
        <v>1.0199999999999999E-3</v>
      </c>
      <c r="N2405" s="249">
        <v>2404</v>
      </c>
    </row>
    <row r="2406" spans="1:14" x14ac:dyDescent="0.25">
      <c r="A2406" s="252" t="s">
        <v>134</v>
      </c>
      <c r="B2406" s="252" t="s">
        <v>5860</v>
      </c>
      <c r="C2406" s="253">
        <v>0</v>
      </c>
      <c r="D2406" s="252">
        <v>43372</v>
      </c>
      <c r="E2406" s="252" t="s">
        <v>3059</v>
      </c>
      <c r="F2406" s="254" t="s">
        <v>5992</v>
      </c>
      <c r="G2406" s="252" t="s">
        <v>6103</v>
      </c>
      <c r="H2406" s="252" t="s">
        <v>6104</v>
      </c>
      <c r="I2406" s="252">
        <v>12</v>
      </c>
      <c r="J2406" s="255">
        <v>1</v>
      </c>
      <c r="K2406" s="255">
        <v>1</v>
      </c>
      <c r="L2406" s="255"/>
      <c r="M2406" s="256">
        <v>1.0199999999999999E-3</v>
      </c>
      <c r="N2406" s="249">
        <v>2405</v>
      </c>
    </row>
    <row r="2407" spans="1:14" x14ac:dyDescent="0.25">
      <c r="A2407" s="252" t="s">
        <v>134</v>
      </c>
      <c r="B2407" s="252" t="s">
        <v>5860</v>
      </c>
      <c r="C2407" s="253">
        <v>0</v>
      </c>
      <c r="D2407" s="252">
        <v>43372</v>
      </c>
      <c r="E2407" s="252" t="s">
        <v>3059</v>
      </c>
      <c r="F2407" s="254" t="s">
        <v>5992</v>
      </c>
      <c r="G2407" s="252" t="s">
        <v>6105</v>
      </c>
      <c r="H2407" s="252" t="s">
        <v>6106</v>
      </c>
      <c r="I2407" s="252">
        <v>12</v>
      </c>
      <c r="J2407" s="255">
        <v>1</v>
      </c>
      <c r="K2407" s="255">
        <v>1</v>
      </c>
      <c r="L2407" s="255"/>
      <c r="M2407" s="256">
        <v>1.0199999999999999E-3</v>
      </c>
      <c r="N2407" s="249">
        <v>2406</v>
      </c>
    </row>
    <row r="2408" spans="1:14" x14ac:dyDescent="0.25">
      <c r="A2408" s="252" t="s">
        <v>134</v>
      </c>
      <c r="B2408" s="252" t="s">
        <v>5860</v>
      </c>
      <c r="C2408" s="253">
        <v>0</v>
      </c>
      <c r="D2408" s="252">
        <v>43372</v>
      </c>
      <c r="E2408" s="252" t="s">
        <v>3059</v>
      </c>
      <c r="F2408" s="254" t="s">
        <v>5992</v>
      </c>
      <c r="G2408" s="252" t="s">
        <v>6107</v>
      </c>
      <c r="H2408" s="252" t="s">
        <v>6108</v>
      </c>
      <c r="I2408" s="252">
        <v>12</v>
      </c>
      <c r="J2408" s="255">
        <v>1</v>
      </c>
      <c r="K2408" s="255">
        <v>1</v>
      </c>
      <c r="L2408" s="255"/>
      <c r="M2408" s="256">
        <v>3.48E-4</v>
      </c>
      <c r="N2408" s="249">
        <v>2407</v>
      </c>
    </row>
    <row r="2409" spans="1:14" x14ac:dyDescent="0.25">
      <c r="A2409" s="252" t="s">
        <v>134</v>
      </c>
      <c r="B2409" s="252" t="s">
        <v>5860</v>
      </c>
      <c r="C2409" s="253">
        <v>0</v>
      </c>
      <c r="D2409" s="252">
        <v>43372</v>
      </c>
      <c r="E2409" s="252" t="s">
        <v>3059</v>
      </c>
      <c r="F2409" s="254" t="s">
        <v>5992</v>
      </c>
      <c r="G2409" s="252" t="s">
        <v>6109</v>
      </c>
      <c r="H2409" s="252" t="s">
        <v>6110</v>
      </c>
      <c r="I2409" s="252">
        <v>12</v>
      </c>
      <c r="J2409" s="255">
        <v>1</v>
      </c>
      <c r="K2409" s="255">
        <v>1</v>
      </c>
      <c r="L2409" s="255"/>
      <c r="M2409" s="256">
        <v>1.0199999999999999E-3</v>
      </c>
      <c r="N2409" s="249">
        <v>2408</v>
      </c>
    </row>
    <row r="2410" spans="1:14" x14ac:dyDescent="0.25">
      <c r="A2410" s="252" t="s">
        <v>134</v>
      </c>
      <c r="B2410" s="252" t="s">
        <v>5860</v>
      </c>
      <c r="C2410" s="253">
        <v>0</v>
      </c>
      <c r="D2410" s="252">
        <v>43372</v>
      </c>
      <c r="E2410" s="252" t="s">
        <v>3059</v>
      </c>
      <c r="F2410" s="254" t="s">
        <v>5992</v>
      </c>
      <c r="G2410" s="252" t="s">
        <v>6111</v>
      </c>
      <c r="H2410" s="252" t="s">
        <v>6112</v>
      </c>
      <c r="I2410" s="252">
        <v>12</v>
      </c>
      <c r="J2410" s="255">
        <v>1</v>
      </c>
      <c r="K2410" s="255">
        <v>1</v>
      </c>
      <c r="L2410" s="255"/>
      <c r="M2410" s="256">
        <v>1.0199999999999999E-3</v>
      </c>
      <c r="N2410" s="249">
        <v>2409</v>
      </c>
    </row>
    <row r="2411" spans="1:14" x14ac:dyDescent="0.25">
      <c r="A2411" s="252" t="s">
        <v>134</v>
      </c>
      <c r="B2411" s="252" t="s">
        <v>5860</v>
      </c>
      <c r="C2411" s="253">
        <v>0</v>
      </c>
      <c r="D2411" s="252">
        <v>43372</v>
      </c>
      <c r="E2411" s="252" t="s">
        <v>3059</v>
      </c>
      <c r="F2411" s="254" t="s">
        <v>5992</v>
      </c>
      <c r="G2411" s="252" t="s">
        <v>6113</v>
      </c>
      <c r="H2411" s="252" t="s">
        <v>6114</v>
      </c>
      <c r="I2411" s="252">
        <v>12</v>
      </c>
      <c r="J2411" s="255">
        <v>1</v>
      </c>
      <c r="K2411" s="255">
        <v>1</v>
      </c>
      <c r="L2411" s="255"/>
      <c r="M2411" s="256">
        <v>1.0199999999999999E-3</v>
      </c>
      <c r="N2411" s="249">
        <v>2410</v>
      </c>
    </row>
    <row r="2412" spans="1:14" x14ac:dyDescent="0.25">
      <c r="A2412" s="252" t="s">
        <v>134</v>
      </c>
      <c r="B2412" s="252" t="s">
        <v>5860</v>
      </c>
      <c r="C2412" s="253">
        <v>0</v>
      </c>
      <c r="D2412" s="252">
        <v>43372</v>
      </c>
      <c r="E2412" s="252" t="s">
        <v>3059</v>
      </c>
      <c r="F2412" s="254" t="s">
        <v>5992</v>
      </c>
      <c r="G2412" s="252" t="s">
        <v>6115</v>
      </c>
      <c r="H2412" s="252" t="s">
        <v>6116</v>
      </c>
      <c r="I2412" s="252">
        <v>12</v>
      </c>
      <c r="J2412" s="255">
        <v>1</v>
      </c>
      <c r="K2412" s="255">
        <v>1</v>
      </c>
      <c r="L2412" s="255"/>
      <c r="M2412" s="256">
        <v>1.0199999999999999E-3</v>
      </c>
      <c r="N2412" s="249">
        <v>2411</v>
      </c>
    </row>
    <row r="2413" spans="1:14" x14ac:dyDescent="0.25">
      <c r="A2413" s="252" t="s">
        <v>134</v>
      </c>
      <c r="B2413" s="252" t="s">
        <v>5860</v>
      </c>
      <c r="C2413" s="253">
        <v>0</v>
      </c>
      <c r="D2413" s="252">
        <v>43372</v>
      </c>
      <c r="E2413" s="252" t="s">
        <v>3059</v>
      </c>
      <c r="F2413" s="254" t="s">
        <v>5992</v>
      </c>
      <c r="G2413" s="252" t="s">
        <v>6117</v>
      </c>
      <c r="H2413" s="252" t="s">
        <v>6118</v>
      </c>
      <c r="I2413" s="252">
        <v>12</v>
      </c>
      <c r="J2413" s="255">
        <v>1</v>
      </c>
      <c r="K2413" s="255">
        <v>1</v>
      </c>
      <c r="L2413" s="255"/>
      <c r="M2413" s="256">
        <v>4.7699999999999999E-4</v>
      </c>
      <c r="N2413" s="249">
        <v>2412</v>
      </c>
    </row>
    <row r="2414" spans="1:14" x14ac:dyDescent="0.25">
      <c r="A2414" s="252" t="s">
        <v>134</v>
      </c>
      <c r="B2414" s="252" t="s">
        <v>5860</v>
      </c>
      <c r="C2414" s="253">
        <v>0</v>
      </c>
      <c r="D2414" s="252">
        <v>43372</v>
      </c>
      <c r="E2414" s="252" t="s">
        <v>3059</v>
      </c>
      <c r="F2414" s="254" t="s">
        <v>5992</v>
      </c>
      <c r="G2414" s="252" t="s">
        <v>6119</v>
      </c>
      <c r="H2414" s="252" t="s">
        <v>6120</v>
      </c>
      <c r="I2414" s="252">
        <v>12</v>
      </c>
      <c r="J2414" s="255">
        <v>1</v>
      </c>
      <c r="K2414" s="255">
        <v>1</v>
      </c>
      <c r="L2414" s="255"/>
      <c r="M2414" s="256">
        <v>6.0299999999999991E-4</v>
      </c>
      <c r="N2414" s="249">
        <v>2413</v>
      </c>
    </row>
    <row r="2415" spans="1:14" x14ac:dyDescent="0.25">
      <c r="A2415" s="252" t="s">
        <v>134</v>
      </c>
      <c r="B2415" s="252" t="s">
        <v>5860</v>
      </c>
      <c r="C2415" s="253">
        <v>0</v>
      </c>
      <c r="D2415" s="252">
        <v>43372</v>
      </c>
      <c r="E2415" s="252" t="s">
        <v>3059</v>
      </c>
      <c r="F2415" s="254" t="s">
        <v>5992</v>
      </c>
      <c r="G2415" s="252" t="s">
        <v>6121</v>
      </c>
      <c r="H2415" s="252" t="s">
        <v>6122</v>
      </c>
      <c r="I2415" s="252">
        <v>12</v>
      </c>
      <c r="J2415" s="255">
        <v>1</v>
      </c>
      <c r="K2415" s="255">
        <v>1</v>
      </c>
      <c r="L2415" s="255"/>
      <c r="M2415" s="256">
        <v>5.6999999999999998E-4</v>
      </c>
      <c r="N2415" s="249">
        <v>2414</v>
      </c>
    </row>
    <row r="2416" spans="1:14" x14ac:dyDescent="0.25">
      <c r="A2416" s="252" t="s">
        <v>134</v>
      </c>
      <c r="B2416" s="252" t="s">
        <v>5860</v>
      </c>
      <c r="C2416" s="253">
        <v>0</v>
      </c>
      <c r="D2416" s="252">
        <v>43372</v>
      </c>
      <c r="E2416" s="252" t="s">
        <v>5528</v>
      </c>
      <c r="F2416" s="254" t="s">
        <v>5992</v>
      </c>
      <c r="G2416" s="252" t="s">
        <v>6123</v>
      </c>
      <c r="H2416" s="252" t="s">
        <v>6124</v>
      </c>
      <c r="I2416" s="252">
        <v>12</v>
      </c>
      <c r="J2416" s="255">
        <v>1</v>
      </c>
      <c r="K2416" s="255">
        <v>1</v>
      </c>
      <c r="L2416" s="255"/>
      <c r="M2416" s="256">
        <v>1.7850000000000001E-3</v>
      </c>
      <c r="N2416" s="249">
        <v>2415</v>
      </c>
    </row>
    <row r="2417" spans="1:14" x14ac:dyDescent="0.25">
      <c r="A2417" s="252" t="s">
        <v>134</v>
      </c>
      <c r="B2417" s="252" t="s">
        <v>5860</v>
      </c>
      <c r="C2417" s="253">
        <v>0</v>
      </c>
      <c r="D2417" s="252">
        <v>43372</v>
      </c>
      <c r="E2417" s="252" t="s">
        <v>3059</v>
      </c>
      <c r="F2417" s="254" t="s">
        <v>5992</v>
      </c>
      <c r="G2417" s="252" t="s">
        <v>6125</v>
      </c>
      <c r="H2417" s="252" t="s">
        <v>6126</v>
      </c>
      <c r="I2417" s="252">
        <v>12</v>
      </c>
      <c r="J2417" s="255">
        <v>1</v>
      </c>
      <c r="K2417" s="255">
        <v>1</v>
      </c>
      <c r="L2417" s="255"/>
      <c r="M2417" s="256">
        <v>1.7879999999999999E-3</v>
      </c>
      <c r="N2417" s="249">
        <v>2416</v>
      </c>
    </row>
    <row r="2418" spans="1:14" x14ac:dyDescent="0.25">
      <c r="A2418" s="252" t="s">
        <v>134</v>
      </c>
      <c r="B2418" s="252" t="s">
        <v>5860</v>
      </c>
      <c r="C2418" s="253">
        <v>0</v>
      </c>
      <c r="D2418" s="252">
        <v>43372</v>
      </c>
      <c r="E2418" s="252" t="s">
        <v>3059</v>
      </c>
      <c r="F2418" s="254" t="s">
        <v>5992</v>
      </c>
      <c r="G2418" s="252" t="s">
        <v>6127</v>
      </c>
      <c r="H2418" s="252" t="s">
        <v>6128</v>
      </c>
      <c r="I2418" s="252">
        <v>12</v>
      </c>
      <c r="J2418" s="255">
        <v>1</v>
      </c>
      <c r="K2418" s="255">
        <v>1</v>
      </c>
      <c r="L2418" s="255"/>
      <c r="M2418" s="256">
        <v>4.4399999999999995E-4</v>
      </c>
      <c r="N2418" s="249">
        <v>2417</v>
      </c>
    </row>
    <row r="2419" spans="1:14" x14ac:dyDescent="0.25">
      <c r="A2419" s="252" t="s">
        <v>134</v>
      </c>
      <c r="B2419" s="252" t="s">
        <v>5860</v>
      </c>
      <c r="C2419" s="253">
        <v>0</v>
      </c>
      <c r="D2419" s="252">
        <v>43372</v>
      </c>
      <c r="E2419" s="252" t="s">
        <v>3059</v>
      </c>
      <c r="F2419" s="254" t="s">
        <v>5992</v>
      </c>
      <c r="G2419" s="252" t="s">
        <v>6129</v>
      </c>
      <c r="H2419" s="252" t="s">
        <v>6130</v>
      </c>
      <c r="I2419" s="252">
        <v>12</v>
      </c>
      <c r="J2419" s="255">
        <v>1</v>
      </c>
      <c r="K2419" s="255">
        <v>1</v>
      </c>
      <c r="L2419" s="255"/>
      <c r="M2419" s="256">
        <v>1.7879999999999999E-3</v>
      </c>
      <c r="N2419" s="249">
        <v>2418</v>
      </c>
    </row>
    <row r="2420" spans="1:14" x14ac:dyDescent="0.25">
      <c r="A2420" s="252" t="s">
        <v>134</v>
      </c>
      <c r="B2420" s="252" t="s">
        <v>5860</v>
      </c>
      <c r="C2420" s="253">
        <v>0</v>
      </c>
      <c r="D2420" s="252">
        <v>43372</v>
      </c>
      <c r="E2420" s="252" t="s">
        <v>3059</v>
      </c>
      <c r="F2420" s="254" t="s">
        <v>5992</v>
      </c>
      <c r="G2420" s="252" t="s">
        <v>6131</v>
      </c>
      <c r="H2420" s="252" t="s">
        <v>6132</v>
      </c>
      <c r="I2420" s="252">
        <v>12</v>
      </c>
      <c r="J2420" s="255">
        <v>1</v>
      </c>
      <c r="K2420" s="255">
        <v>1</v>
      </c>
      <c r="L2420" s="255"/>
      <c r="M2420" s="256">
        <v>1.7879999999999999E-3</v>
      </c>
      <c r="N2420" s="249">
        <v>2419</v>
      </c>
    </row>
    <row r="2421" spans="1:14" x14ac:dyDescent="0.25">
      <c r="A2421" s="252" t="s">
        <v>134</v>
      </c>
      <c r="B2421" s="252" t="s">
        <v>5860</v>
      </c>
      <c r="C2421" s="253">
        <v>0</v>
      </c>
      <c r="D2421" s="252">
        <v>43372</v>
      </c>
      <c r="E2421" s="252" t="s">
        <v>3059</v>
      </c>
      <c r="F2421" s="254" t="s">
        <v>5992</v>
      </c>
      <c r="G2421" s="252" t="s">
        <v>6133</v>
      </c>
      <c r="H2421" s="252" t="s">
        <v>6134</v>
      </c>
      <c r="I2421" s="252">
        <v>12</v>
      </c>
      <c r="J2421" s="255">
        <v>1</v>
      </c>
      <c r="K2421" s="255">
        <v>1</v>
      </c>
      <c r="L2421" s="255"/>
      <c r="M2421" s="256">
        <v>1.7879999999999999E-3</v>
      </c>
      <c r="N2421" s="249">
        <v>2420</v>
      </c>
    </row>
    <row r="2422" spans="1:14" x14ac:dyDescent="0.25">
      <c r="A2422" s="252" t="s">
        <v>134</v>
      </c>
      <c r="B2422" s="252" t="s">
        <v>5860</v>
      </c>
      <c r="C2422" s="253">
        <v>0</v>
      </c>
      <c r="D2422" s="252">
        <v>43372</v>
      </c>
      <c r="E2422" s="252" t="s">
        <v>3059</v>
      </c>
      <c r="F2422" s="254" t="s">
        <v>5992</v>
      </c>
      <c r="G2422" s="252" t="s">
        <v>6135</v>
      </c>
      <c r="H2422" s="252" t="s">
        <v>6136</v>
      </c>
      <c r="I2422" s="252">
        <v>12</v>
      </c>
      <c r="J2422" s="255">
        <v>1</v>
      </c>
      <c r="K2422" s="255">
        <v>1</v>
      </c>
      <c r="L2422" s="255"/>
      <c r="M2422" s="256">
        <v>1.7879999999999999E-3</v>
      </c>
      <c r="N2422" s="249">
        <v>2421</v>
      </c>
    </row>
    <row r="2423" spans="1:14" x14ac:dyDescent="0.25">
      <c r="A2423" s="252" t="s">
        <v>134</v>
      </c>
      <c r="B2423" s="252" t="s">
        <v>5860</v>
      </c>
      <c r="C2423" s="253">
        <v>0</v>
      </c>
      <c r="D2423" s="252">
        <v>43372</v>
      </c>
      <c r="E2423" s="252" t="s">
        <v>3059</v>
      </c>
      <c r="F2423" s="254" t="s">
        <v>5992</v>
      </c>
      <c r="G2423" s="252" t="s">
        <v>6137</v>
      </c>
      <c r="H2423" s="252" t="s">
        <v>6138</v>
      </c>
      <c r="I2423" s="252">
        <v>12</v>
      </c>
      <c r="J2423" s="255">
        <v>1</v>
      </c>
      <c r="K2423" s="255">
        <v>1</v>
      </c>
      <c r="L2423" s="255"/>
      <c r="M2423" s="256">
        <v>7.8719999999999988E-3</v>
      </c>
      <c r="N2423" s="249">
        <v>2422</v>
      </c>
    </row>
    <row r="2424" spans="1:14" x14ac:dyDescent="0.25">
      <c r="A2424" s="252" t="s">
        <v>134</v>
      </c>
      <c r="B2424" s="252" t="s">
        <v>5860</v>
      </c>
      <c r="C2424" s="253">
        <v>0</v>
      </c>
      <c r="D2424" s="252">
        <v>43372</v>
      </c>
      <c r="E2424" s="252" t="s">
        <v>3059</v>
      </c>
      <c r="F2424" s="254" t="s">
        <v>5992</v>
      </c>
      <c r="G2424" s="252" t="s">
        <v>6139</v>
      </c>
      <c r="H2424" s="252" t="s">
        <v>6140</v>
      </c>
      <c r="I2424" s="252">
        <v>12</v>
      </c>
      <c r="J2424" s="255">
        <v>1</v>
      </c>
      <c r="K2424" s="255">
        <v>1</v>
      </c>
      <c r="L2424" s="255"/>
      <c r="M2424" s="256">
        <v>4.3799999999999997E-4</v>
      </c>
      <c r="N2424" s="249">
        <v>2423</v>
      </c>
    </row>
    <row r="2425" spans="1:14" x14ac:dyDescent="0.25">
      <c r="A2425" s="252" t="s">
        <v>134</v>
      </c>
      <c r="B2425" s="252" t="s">
        <v>5860</v>
      </c>
      <c r="C2425" s="253">
        <v>0</v>
      </c>
      <c r="D2425" s="252">
        <v>43372</v>
      </c>
      <c r="E2425" s="252" t="s">
        <v>3059</v>
      </c>
      <c r="F2425" s="254" t="s">
        <v>5992</v>
      </c>
      <c r="G2425" s="252" t="s">
        <v>6141</v>
      </c>
      <c r="H2425" s="252" t="s">
        <v>6142</v>
      </c>
      <c r="I2425" s="252">
        <v>12</v>
      </c>
      <c r="J2425" s="255">
        <v>1</v>
      </c>
      <c r="K2425" s="255">
        <v>1</v>
      </c>
      <c r="L2425" s="255"/>
      <c r="M2425" s="256">
        <v>4.1999999999999996E-4</v>
      </c>
      <c r="N2425" s="249">
        <v>2424</v>
      </c>
    </row>
    <row r="2426" spans="1:14" x14ac:dyDescent="0.25">
      <c r="A2426" s="252" t="s">
        <v>134</v>
      </c>
      <c r="B2426" s="252" t="s">
        <v>5860</v>
      </c>
      <c r="C2426" s="253">
        <v>0</v>
      </c>
      <c r="D2426" s="252">
        <v>43372</v>
      </c>
      <c r="E2426" s="252" t="s">
        <v>3059</v>
      </c>
      <c r="F2426" s="254" t="s">
        <v>5992</v>
      </c>
      <c r="G2426" s="252" t="s">
        <v>6143</v>
      </c>
      <c r="H2426" s="252" t="s">
        <v>6144</v>
      </c>
      <c r="I2426" s="252">
        <v>12</v>
      </c>
      <c r="J2426" s="255">
        <v>1</v>
      </c>
      <c r="K2426" s="255">
        <v>1</v>
      </c>
      <c r="L2426" s="255"/>
      <c r="M2426" s="256">
        <v>7.8000000000000012E-5</v>
      </c>
      <c r="N2426" s="249">
        <v>2425</v>
      </c>
    </row>
    <row r="2427" spans="1:14" x14ac:dyDescent="0.25">
      <c r="A2427" s="252" t="s">
        <v>134</v>
      </c>
      <c r="B2427" s="252" t="s">
        <v>5860</v>
      </c>
      <c r="C2427" s="253">
        <v>0</v>
      </c>
      <c r="D2427" s="252">
        <v>43372</v>
      </c>
      <c r="E2427" s="252" t="s">
        <v>3059</v>
      </c>
      <c r="F2427" s="254" t="s">
        <v>5992</v>
      </c>
      <c r="G2427" s="252" t="s">
        <v>6145</v>
      </c>
      <c r="H2427" s="252" t="s">
        <v>6146</v>
      </c>
      <c r="I2427" s="252">
        <v>12</v>
      </c>
      <c r="J2427" s="255">
        <v>1</v>
      </c>
      <c r="K2427" s="255">
        <v>1</v>
      </c>
      <c r="L2427" s="255"/>
      <c r="M2427" s="256">
        <v>3.8999999999999999E-4</v>
      </c>
      <c r="N2427" s="249">
        <v>2426</v>
      </c>
    </row>
    <row r="2428" spans="1:14" x14ac:dyDescent="0.25">
      <c r="A2428" s="252" t="s">
        <v>134</v>
      </c>
      <c r="B2428" s="252" t="s">
        <v>5860</v>
      </c>
      <c r="C2428" s="253">
        <v>0</v>
      </c>
      <c r="D2428" s="252">
        <v>43372</v>
      </c>
      <c r="E2428" s="252" t="s">
        <v>3059</v>
      </c>
      <c r="F2428" s="254" t="s">
        <v>5992</v>
      </c>
      <c r="G2428" s="252" t="s">
        <v>6147</v>
      </c>
      <c r="H2428" s="252" t="s">
        <v>6148</v>
      </c>
      <c r="I2428" s="252">
        <v>12</v>
      </c>
      <c r="J2428" s="255">
        <v>1</v>
      </c>
      <c r="K2428" s="255">
        <v>1</v>
      </c>
      <c r="L2428" s="255"/>
      <c r="M2428" s="256">
        <v>3.48E-4</v>
      </c>
      <c r="N2428" s="249">
        <v>2427</v>
      </c>
    </row>
    <row r="2429" spans="1:14" x14ac:dyDescent="0.25">
      <c r="A2429" s="252" t="s">
        <v>134</v>
      </c>
      <c r="B2429" s="252" t="s">
        <v>5860</v>
      </c>
      <c r="C2429" s="253">
        <v>0</v>
      </c>
      <c r="D2429" s="252">
        <v>43372</v>
      </c>
      <c r="E2429" s="252" t="s">
        <v>3059</v>
      </c>
      <c r="F2429" s="254" t="s">
        <v>5992</v>
      </c>
      <c r="G2429" s="252" t="s">
        <v>6149</v>
      </c>
      <c r="H2429" s="252" t="s">
        <v>6150</v>
      </c>
      <c r="I2429" s="252">
        <v>12</v>
      </c>
      <c r="J2429" s="255">
        <v>1</v>
      </c>
      <c r="K2429" s="255">
        <v>1</v>
      </c>
      <c r="L2429" s="255"/>
      <c r="M2429" s="256">
        <v>1.0199999999999999E-3</v>
      </c>
      <c r="N2429" s="249">
        <v>2428</v>
      </c>
    </row>
    <row r="2430" spans="1:14" x14ac:dyDescent="0.25">
      <c r="A2430" s="252" t="s">
        <v>134</v>
      </c>
      <c r="B2430" s="252" t="s">
        <v>5860</v>
      </c>
      <c r="C2430" s="253">
        <v>0</v>
      </c>
      <c r="D2430" s="252">
        <v>43372</v>
      </c>
      <c r="E2430" s="252" t="s">
        <v>3059</v>
      </c>
      <c r="F2430" s="254" t="s">
        <v>5992</v>
      </c>
      <c r="G2430" s="252" t="s">
        <v>6151</v>
      </c>
      <c r="H2430" s="252" t="s">
        <v>6152</v>
      </c>
      <c r="I2430" s="252">
        <v>12</v>
      </c>
      <c r="J2430" s="255">
        <v>1</v>
      </c>
      <c r="K2430" s="255">
        <v>1</v>
      </c>
      <c r="L2430" s="255"/>
      <c r="M2430" s="256">
        <v>1.0199999999999999E-3</v>
      </c>
      <c r="N2430" s="249">
        <v>2429</v>
      </c>
    </row>
    <row r="2431" spans="1:14" x14ac:dyDescent="0.25">
      <c r="A2431" s="252" t="s">
        <v>134</v>
      </c>
      <c r="B2431" s="252" t="s">
        <v>5860</v>
      </c>
      <c r="C2431" s="253">
        <v>0</v>
      </c>
      <c r="D2431" s="252">
        <v>43372</v>
      </c>
      <c r="E2431" s="252" t="s">
        <v>3059</v>
      </c>
      <c r="F2431" s="254" t="s">
        <v>5992</v>
      </c>
      <c r="G2431" s="252" t="s">
        <v>6153</v>
      </c>
      <c r="H2431" s="252" t="s">
        <v>6154</v>
      </c>
      <c r="I2431" s="252">
        <v>12</v>
      </c>
      <c r="J2431" s="255">
        <v>1</v>
      </c>
      <c r="K2431" s="255">
        <v>1</v>
      </c>
      <c r="L2431" s="255"/>
      <c r="M2431" s="256">
        <v>1.0199999999999999E-3</v>
      </c>
      <c r="N2431" s="249">
        <v>2430</v>
      </c>
    </row>
    <row r="2432" spans="1:14" x14ac:dyDescent="0.25">
      <c r="A2432" s="252" t="s">
        <v>134</v>
      </c>
      <c r="B2432" s="252" t="s">
        <v>5860</v>
      </c>
      <c r="C2432" s="253">
        <v>0</v>
      </c>
      <c r="D2432" s="252">
        <v>43372</v>
      </c>
      <c r="E2432" s="252" t="s">
        <v>3059</v>
      </c>
      <c r="F2432" s="254" t="s">
        <v>5992</v>
      </c>
      <c r="G2432" s="252" t="s">
        <v>6155</v>
      </c>
      <c r="H2432" s="252" t="s">
        <v>6156</v>
      </c>
      <c r="I2432" s="252">
        <v>12</v>
      </c>
      <c r="J2432" s="255">
        <v>1</v>
      </c>
      <c r="K2432" s="255">
        <v>1</v>
      </c>
      <c r="L2432" s="255"/>
      <c r="M2432" s="256">
        <v>1.0199999999999999E-3</v>
      </c>
      <c r="N2432" s="249">
        <v>2431</v>
      </c>
    </row>
    <row r="2433" spans="1:14" x14ac:dyDescent="0.25">
      <c r="A2433" s="252" t="s">
        <v>134</v>
      </c>
      <c r="B2433" s="252" t="s">
        <v>5860</v>
      </c>
      <c r="C2433" s="253">
        <v>0</v>
      </c>
      <c r="D2433" s="252">
        <v>43372</v>
      </c>
      <c r="E2433" s="252" t="s">
        <v>3059</v>
      </c>
      <c r="F2433" s="254" t="s">
        <v>5992</v>
      </c>
      <c r="G2433" s="252" t="s">
        <v>6157</v>
      </c>
      <c r="H2433" s="252" t="s">
        <v>6158</v>
      </c>
      <c r="I2433" s="252">
        <v>12</v>
      </c>
      <c r="J2433" s="255">
        <v>1</v>
      </c>
      <c r="K2433" s="255">
        <v>1</v>
      </c>
      <c r="L2433" s="255"/>
      <c r="M2433" s="256">
        <v>3.48E-4</v>
      </c>
      <c r="N2433" s="249">
        <v>2432</v>
      </c>
    </row>
    <row r="2434" spans="1:14" x14ac:dyDescent="0.25">
      <c r="A2434" s="252" t="s">
        <v>134</v>
      </c>
      <c r="B2434" s="252" t="s">
        <v>5860</v>
      </c>
      <c r="C2434" s="253">
        <v>0</v>
      </c>
      <c r="D2434" s="252">
        <v>43372</v>
      </c>
      <c r="E2434" s="252" t="s">
        <v>3059</v>
      </c>
      <c r="F2434" s="254" t="s">
        <v>5992</v>
      </c>
      <c r="G2434" s="252" t="s">
        <v>6159</v>
      </c>
      <c r="H2434" s="252" t="s">
        <v>6160</v>
      </c>
      <c r="I2434" s="252">
        <v>12</v>
      </c>
      <c r="J2434" s="255">
        <v>1</v>
      </c>
      <c r="K2434" s="255">
        <v>1</v>
      </c>
      <c r="L2434" s="255"/>
      <c r="M2434" s="256">
        <v>1.0199999999999999E-3</v>
      </c>
      <c r="N2434" s="249">
        <v>2433</v>
      </c>
    </row>
    <row r="2435" spans="1:14" x14ac:dyDescent="0.25">
      <c r="A2435" s="252" t="s">
        <v>134</v>
      </c>
      <c r="B2435" s="252" t="s">
        <v>5860</v>
      </c>
      <c r="C2435" s="253">
        <v>0</v>
      </c>
      <c r="D2435" s="252">
        <v>43372</v>
      </c>
      <c r="E2435" s="252" t="s">
        <v>3059</v>
      </c>
      <c r="F2435" s="254" t="s">
        <v>5992</v>
      </c>
      <c r="G2435" s="252" t="s">
        <v>6161</v>
      </c>
      <c r="H2435" s="252" t="s">
        <v>6162</v>
      </c>
      <c r="I2435" s="252">
        <v>12</v>
      </c>
      <c r="J2435" s="255">
        <v>1</v>
      </c>
      <c r="K2435" s="255">
        <v>1</v>
      </c>
      <c r="L2435" s="255"/>
      <c r="M2435" s="256">
        <v>1.0199999999999999E-3</v>
      </c>
      <c r="N2435" s="249">
        <v>2434</v>
      </c>
    </row>
    <row r="2436" spans="1:14" x14ac:dyDescent="0.25">
      <c r="A2436" s="252" t="s">
        <v>134</v>
      </c>
      <c r="B2436" s="252" t="s">
        <v>5860</v>
      </c>
      <c r="C2436" s="253">
        <v>0</v>
      </c>
      <c r="D2436" s="252">
        <v>43372</v>
      </c>
      <c r="E2436" s="252" t="s">
        <v>3059</v>
      </c>
      <c r="F2436" s="254" t="s">
        <v>5992</v>
      </c>
      <c r="G2436" s="252" t="s">
        <v>6163</v>
      </c>
      <c r="H2436" s="252" t="s">
        <v>6164</v>
      </c>
      <c r="I2436" s="252">
        <v>12</v>
      </c>
      <c r="J2436" s="255">
        <v>1</v>
      </c>
      <c r="K2436" s="255">
        <v>1</v>
      </c>
      <c r="L2436" s="255"/>
      <c r="M2436" s="256">
        <v>1.0199999999999999E-3</v>
      </c>
      <c r="N2436" s="249">
        <v>2435</v>
      </c>
    </row>
    <row r="2437" spans="1:14" x14ac:dyDescent="0.25">
      <c r="A2437" s="252" t="s">
        <v>134</v>
      </c>
      <c r="B2437" s="252" t="s">
        <v>5860</v>
      </c>
      <c r="C2437" s="253">
        <v>0</v>
      </c>
      <c r="D2437" s="252">
        <v>43372</v>
      </c>
      <c r="E2437" s="252" t="s">
        <v>3059</v>
      </c>
      <c r="F2437" s="254" t="s">
        <v>5992</v>
      </c>
      <c r="G2437" s="252" t="s">
        <v>6165</v>
      </c>
      <c r="H2437" s="252" t="s">
        <v>6166</v>
      </c>
      <c r="I2437" s="252">
        <v>12</v>
      </c>
      <c r="J2437" s="255">
        <v>1</v>
      </c>
      <c r="K2437" s="255">
        <v>1</v>
      </c>
      <c r="L2437" s="255"/>
      <c r="M2437" s="256">
        <v>1.0199999999999999E-3</v>
      </c>
      <c r="N2437" s="249">
        <v>2436</v>
      </c>
    </row>
    <row r="2438" spans="1:14" x14ac:dyDescent="0.25">
      <c r="A2438" s="252" t="s">
        <v>134</v>
      </c>
      <c r="B2438" s="252" t="s">
        <v>5860</v>
      </c>
      <c r="C2438" s="253">
        <v>0</v>
      </c>
      <c r="D2438" s="252">
        <v>43372</v>
      </c>
      <c r="E2438" s="252" t="s">
        <v>3059</v>
      </c>
      <c r="F2438" s="254" t="s">
        <v>5992</v>
      </c>
      <c r="G2438" s="252" t="s">
        <v>6167</v>
      </c>
      <c r="H2438" s="252" t="s">
        <v>6168</v>
      </c>
      <c r="I2438" s="252">
        <v>12</v>
      </c>
      <c r="J2438" s="255">
        <v>1</v>
      </c>
      <c r="K2438" s="255">
        <v>1</v>
      </c>
      <c r="L2438" s="255"/>
      <c r="M2438" s="256">
        <v>4.7699999999999999E-4</v>
      </c>
      <c r="N2438" s="249">
        <v>2437</v>
      </c>
    </row>
    <row r="2439" spans="1:14" x14ac:dyDescent="0.25">
      <c r="A2439" s="252" t="s">
        <v>134</v>
      </c>
      <c r="B2439" s="252" t="s">
        <v>5860</v>
      </c>
      <c r="C2439" s="253">
        <v>0</v>
      </c>
      <c r="D2439" s="252">
        <v>43372</v>
      </c>
      <c r="E2439" s="252" t="s">
        <v>3059</v>
      </c>
      <c r="F2439" s="254" t="s">
        <v>5992</v>
      </c>
      <c r="G2439" s="252" t="s">
        <v>6169</v>
      </c>
      <c r="H2439" s="252" t="s">
        <v>6170</v>
      </c>
      <c r="I2439" s="252">
        <v>12</v>
      </c>
      <c r="J2439" s="255">
        <v>1</v>
      </c>
      <c r="K2439" s="255">
        <v>1</v>
      </c>
      <c r="L2439" s="255"/>
      <c r="M2439" s="256">
        <v>6.0299999999999991E-4</v>
      </c>
      <c r="N2439" s="249">
        <v>2438</v>
      </c>
    </row>
    <row r="2440" spans="1:14" x14ac:dyDescent="0.25">
      <c r="A2440" s="252" t="s">
        <v>134</v>
      </c>
      <c r="B2440" s="252" t="s">
        <v>5860</v>
      </c>
      <c r="C2440" s="253">
        <v>0</v>
      </c>
      <c r="D2440" s="252">
        <v>43372</v>
      </c>
      <c r="E2440" s="252" t="s">
        <v>3059</v>
      </c>
      <c r="F2440" s="254" t="s">
        <v>5992</v>
      </c>
      <c r="G2440" s="252" t="s">
        <v>6171</v>
      </c>
      <c r="H2440" s="252" t="s">
        <v>6172</v>
      </c>
      <c r="I2440" s="252">
        <v>12</v>
      </c>
      <c r="J2440" s="255">
        <v>1</v>
      </c>
      <c r="K2440" s="255">
        <v>1</v>
      </c>
      <c r="L2440" s="255"/>
      <c r="M2440" s="256">
        <v>5.6999999999999998E-4</v>
      </c>
      <c r="N2440" s="249">
        <v>2439</v>
      </c>
    </row>
    <row r="2441" spans="1:14" x14ac:dyDescent="0.25">
      <c r="A2441" s="252" t="s">
        <v>134</v>
      </c>
      <c r="B2441" s="252" t="s">
        <v>5860</v>
      </c>
      <c r="C2441" s="253">
        <v>0</v>
      </c>
      <c r="D2441" s="252">
        <v>43372</v>
      </c>
      <c r="E2441" s="252" t="s">
        <v>5528</v>
      </c>
      <c r="F2441" s="254" t="s">
        <v>5992</v>
      </c>
      <c r="G2441" s="252" t="s">
        <v>6173</v>
      </c>
      <c r="H2441" s="252" t="s">
        <v>6174</v>
      </c>
      <c r="I2441" s="252">
        <v>12</v>
      </c>
      <c r="J2441" s="255">
        <v>1</v>
      </c>
      <c r="K2441" s="255">
        <v>1</v>
      </c>
      <c r="L2441" s="255"/>
      <c r="M2441" s="256">
        <v>1.7850000000000001E-3</v>
      </c>
      <c r="N2441" s="249">
        <v>2440</v>
      </c>
    </row>
    <row r="2442" spans="1:14" x14ac:dyDescent="0.25">
      <c r="A2442" s="252" t="s">
        <v>134</v>
      </c>
      <c r="B2442" s="252" t="s">
        <v>5860</v>
      </c>
      <c r="C2442" s="253">
        <v>0</v>
      </c>
      <c r="D2442" s="252">
        <v>46982</v>
      </c>
      <c r="E2442" s="252" t="s">
        <v>5434</v>
      </c>
      <c r="F2442" s="254" t="s">
        <v>5697</v>
      </c>
      <c r="G2442" s="252" t="s">
        <v>6175</v>
      </c>
      <c r="H2442" s="252" t="s">
        <v>6176</v>
      </c>
      <c r="I2442" s="252">
        <v>12</v>
      </c>
      <c r="J2442" s="255">
        <v>1</v>
      </c>
      <c r="K2442" s="255">
        <v>1</v>
      </c>
      <c r="L2442" s="255"/>
      <c r="M2442" s="256">
        <v>1.8260999999999999E-2</v>
      </c>
      <c r="N2442" s="249">
        <v>2441</v>
      </c>
    </row>
    <row r="2443" spans="1:14" x14ac:dyDescent="0.25">
      <c r="A2443" s="252" t="s">
        <v>134</v>
      </c>
      <c r="B2443" s="252" t="s">
        <v>5860</v>
      </c>
      <c r="C2443" s="253">
        <v>0</v>
      </c>
      <c r="D2443" s="252">
        <v>43372</v>
      </c>
      <c r="E2443" s="252" t="s">
        <v>5528</v>
      </c>
      <c r="F2443" s="254" t="s">
        <v>5992</v>
      </c>
      <c r="G2443" s="252" t="s">
        <v>6177</v>
      </c>
      <c r="H2443" s="252" t="s">
        <v>6178</v>
      </c>
      <c r="I2443" s="252">
        <v>12</v>
      </c>
      <c r="J2443" s="255">
        <v>1</v>
      </c>
      <c r="K2443" s="255">
        <v>1</v>
      </c>
      <c r="L2443" s="255"/>
      <c r="M2443" s="256">
        <v>3.4019999999999996E-3</v>
      </c>
      <c r="N2443" s="249">
        <v>2442</v>
      </c>
    </row>
    <row r="2444" spans="1:14" x14ac:dyDescent="0.25">
      <c r="A2444" s="252" t="s">
        <v>134</v>
      </c>
      <c r="B2444" s="252" t="s">
        <v>5860</v>
      </c>
      <c r="C2444" s="253">
        <v>0</v>
      </c>
      <c r="D2444" s="252">
        <v>43372</v>
      </c>
      <c r="E2444" s="252" t="s">
        <v>5528</v>
      </c>
      <c r="F2444" s="254" t="s">
        <v>5992</v>
      </c>
      <c r="G2444" s="252" t="s">
        <v>6179</v>
      </c>
      <c r="H2444" s="252" t="s">
        <v>6180</v>
      </c>
      <c r="I2444" s="252">
        <v>12</v>
      </c>
      <c r="J2444" s="255">
        <v>1</v>
      </c>
      <c r="K2444" s="255">
        <v>1</v>
      </c>
      <c r="L2444" s="255"/>
      <c r="M2444" s="256">
        <v>3.4229999999999998E-3</v>
      </c>
      <c r="N2444" s="249">
        <v>2443</v>
      </c>
    </row>
    <row r="2445" spans="1:14" x14ac:dyDescent="0.25">
      <c r="A2445" s="252" t="s">
        <v>134</v>
      </c>
      <c r="B2445" s="252" t="s">
        <v>5860</v>
      </c>
      <c r="C2445" s="253">
        <v>0</v>
      </c>
      <c r="D2445" s="252">
        <v>46982</v>
      </c>
      <c r="E2445" s="252" t="s">
        <v>5434</v>
      </c>
      <c r="F2445" s="254" t="s">
        <v>6181</v>
      </c>
      <c r="G2445" s="252" t="s">
        <v>6182</v>
      </c>
      <c r="H2445" s="252" t="s">
        <v>6183</v>
      </c>
      <c r="I2445" s="252">
        <v>12</v>
      </c>
      <c r="J2445" s="255">
        <v>1</v>
      </c>
      <c r="K2445" s="255">
        <v>1</v>
      </c>
      <c r="L2445" s="255"/>
      <c r="M2445" s="256">
        <v>1.0083E-2</v>
      </c>
      <c r="N2445" s="249">
        <v>2444</v>
      </c>
    </row>
    <row r="2446" spans="1:14" x14ac:dyDescent="0.25">
      <c r="A2446" s="252" t="s">
        <v>134</v>
      </c>
      <c r="B2446" s="252" t="s">
        <v>5860</v>
      </c>
      <c r="C2446" s="253">
        <v>0</v>
      </c>
      <c r="D2446" s="252">
        <v>46982</v>
      </c>
      <c r="E2446" s="252" t="s">
        <v>5434</v>
      </c>
      <c r="F2446" s="254" t="s">
        <v>6181</v>
      </c>
      <c r="G2446" s="252" t="s">
        <v>6184</v>
      </c>
      <c r="H2446" s="252" t="s">
        <v>6185</v>
      </c>
      <c r="I2446" s="252">
        <v>12</v>
      </c>
      <c r="J2446" s="255">
        <v>1</v>
      </c>
      <c r="K2446" s="255">
        <v>1</v>
      </c>
      <c r="L2446" s="255"/>
      <c r="M2446" s="256">
        <v>3.0299999999999997E-3</v>
      </c>
      <c r="N2446" s="249">
        <v>2445</v>
      </c>
    </row>
    <row r="2447" spans="1:14" x14ac:dyDescent="0.25">
      <c r="A2447" s="252" t="s">
        <v>134</v>
      </c>
      <c r="B2447" s="252" t="s">
        <v>5860</v>
      </c>
      <c r="C2447" s="253">
        <v>0</v>
      </c>
      <c r="D2447" s="252">
        <v>46982</v>
      </c>
      <c r="E2447" s="252" t="s">
        <v>5434</v>
      </c>
      <c r="F2447" s="254" t="s">
        <v>6181</v>
      </c>
      <c r="G2447" s="252" t="s">
        <v>6186</v>
      </c>
      <c r="H2447" s="252" t="s">
        <v>6187</v>
      </c>
      <c r="I2447" s="252">
        <v>12</v>
      </c>
      <c r="J2447" s="255">
        <v>1</v>
      </c>
      <c r="K2447" s="255">
        <v>1</v>
      </c>
      <c r="L2447" s="255"/>
      <c r="M2447" s="256">
        <v>3.0329999999999997E-3</v>
      </c>
      <c r="N2447" s="249">
        <v>2446</v>
      </c>
    </row>
    <row r="2448" spans="1:14" x14ac:dyDescent="0.25">
      <c r="A2448" s="252" t="s">
        <v>134</v>
      </c>
      <c r="B2448" s="252" t="s">
        <v>5860</v>
      </c>
      <c r="C2448" s="253">
        <v>0</v>
      </c>
      <c r="D2448" s="252">
        <v>46982</v>
      </c>
      <c r="E2448" s="252" t="s">
        <v>5434</v>
      </c>
      <c r="F2448" s="254" t="s">
        <v>6181</v>
      </c>
      <c r="G2448" s="252" t="s">
        <v>6188</v>
      </c>
      <c r="H2448" s="252" t="s">
        <v>6189</v>
      </c>
      <c r="I2448" s="252">
        <v>12</v>
      </c>
      <c r="J2448" s="255">
        <v>1</v>
      </c>
      <c r="K2448" s="255">
        <v>1</v>
      </c>
      <c r="L2448" s="255"/>
      <c r="M2448" s="256">
        <v>1.485E-3</v>
      </c>
      <c r="N2448" s="249">
        <v>2447</v>
      </c>
    </row>
    <row r="2449" spans="1:14" x14ac:dyDescent="0.25">
      <c r="A2449" s="252" t="s">
        <v>134</v>
      </c>
      <c r="B2449" s="252" t="s">
        <v>5860</v>
      </c>
      <c r="C2449" s="253">
        <v>0</v>
      </c>
      <c r="D2449" s="252">
        <v>46982</v>
      </c>
      <c r="E2449" s="252" t="s">
        <v>5434</v>
      </c>
      <c r="F2449" s="254" t="s">
        <v>6181</v>
      </c>
      <c r="G2449" s="252" t="s">
        <v>6190</v>
      </c>
      <c r="H2449" s="252" t="s">
        <v>6191</v>
      </c>
      <c r="I2449" s="252">
        <v>12</v>
      </c>
      <c r="J2449" s="255">
        <v>1</v>
      </c>
      <c r="K2449" s="255">
        <v>1</v>
      </c>
      <c r="L2449" s="255"/>
      <c r="M2449" s="256">
        <v>1.4669999999999998E-3</v>
      </c>
      <c r="N2449" s="249">
        <v>2448</v>
      </c>
    </row>
    <row r="2450" spans="1:14" x14ac:dyDescent="0.25">
      <c r="A2450" s="252" t="s">
        <v>134</v>
      </c>
      <c r="B2450" s="252" t="s">
        <v>5860</v>
      </c>
      <c r="C2450" s="253">
        <v>0</v>
      </c>
      <c r="D2450" s="252">
        <v>46982</v>
      </c>
      <c r="E2450" s="252" t="s">
        <v>5434</v>
      </c>
      <c r="F2450" s="254" t="s">
        <v>6181</v>
      </c>
      <c r="G2450" s="252" t="s">
        <v>6192</v>
      </c>
      <c r="H2450" s="252" t="s">
        <v>6193</v>
      </c>
      <c r="I2450" s="252">
        <v>12</v>
      </c>
      <c r="J2450" s="255">
        <v>1</v>
      </c>
      <c r="K2450" s="255">
        <v>1</v>
      </c>
      <c r="L2450" s="255"/>
      <c r="M2450" s="256">
        <v>1.0083E-2</v>
      </c>
      <c r="N2450" s="249">
        <v>2449</v>
      </c>
    </row>
    <row r="2451" spans="1:14" x14ac:dyDescent="0.25">
      <c r="A2451" s="252" t="s">
        <v>134</v>
      </c>
      <c r="B2451" s="252" t="s">
        <v>5860</v>
      </c>
      <c r="C2451" s="253">
        <v>0</v>
      </c>
      <c r="D2451" s="252">
        <v>46982</v>
      </c>
      <c r="E2451" s="252" t="s">
        <v>5528</v>
      </c>
      <c r="F2451" s="254" t="s">
        <v>5702</v>
      </c>
      <c r="G2451" s="252" t="s">
        <v>6194</v>
      </c>
      <c r="H2451" s="252" t="s">
        <v>6195</v>
      </c>
      <c r="I2451" s="252">
        <v>12</v>
      </c>
      <c r="J2451" s="255">
        <v>1</v>
      </c>
      <c r="K2451" s="255">
        <v>1</v>
      </c>
      <c r="L2451" s="255"/>
      <c r="M2451" s="256">
        <v>1.7850000000000001E-3</v>
      </c>
      <c r="N2451" s="249">
        <v>2450</v>
      </c>
    </row>
    <row r="2452" spans="1:14" x14ac:dyDescent="0.25">
      <c r="A2452" s="252" t="s">
        <v>134</v>
      </c>
      <c r="B2452" s="252" t="s">
        <v>5860</v>
      </c>
      <c r="C2452" s="253">
        <v>0</v>
      </c>
      <c r="D2452" s="252">
        <v>46982</v>
      </c>
      <c r="E2452" s="252" t="s">
        <v>5528</v>
      </c>
      <c r="F2452" s="254" t="s">
        <v>5702</v>
      </c>
      <c r="G2452" s="252" t="s">
        <v>6196</v>
      </c>
      <c r="H2452" s="252" t="s">
        <v>6197</v>
      </c>
      <c r="I2452" s="252">
        <v>12</v>
      </c>
      <c r="J2452" s="255">
        <v>1</v>
      </c>
      <c r="K2452" s="255">
        <v>1</v>
      </c>
      <c r="L2452" s="255"/>
      <c r="M2452" s="256">
        <v>1.7879999999999999E-3</v>
      </c>
      <c r="N2452" s="249">
        <v>2451</v>
      </c>
    </row>
    <row r="2453" spans="1:14" x14ac:dyDescent="0.25">
      <c r="A2453" s="252" t="s">
        <v>134</v>
      </c>
      <c r="B2453" s="252" t="s">
        <v>5860</v>
      </c>
      <c r="C2453" s="253">
        <v>0</v>
      </c>
      <c r="D2453" s="252">
        <v>46982</v>
      </c>
      <c r="E2453" s="252" t="s">
        <v>192</v>
      </c>
      <c r="F2453" s="254" t="s">
        <v>5697</v>
      </c>
      <c r="G2453" s="252" t="s">
        <v>6198</v>
      </c>
      <c r="H2453" s="252" t="s">
        <v>6199</v>
      </c>
      <c r="I2453" s="252">
        <v>12</v>
      </c>
      <c r="J2453" s="255">
        <v>1</v>
      </c>
      <c r="K2453" s="255">
        <v>1</v>
      </c>
      <c r="L2453" s="255"/>
      <c r="M2453" s="256">
        <v>1.8059999999999997E-3</v>
      </c>
      <c r="N2453" s="249">
        <v>2452</v>
      </c>
    </row>
    <row r="2454" spans="1:14" x14ac:dyDescent="0.25">
      <c r="A2454" s="252" t="s">
        <v>134</v>
      </c>
      <c r="B2454" s="252" t="s">
        <v>5860</v>
      </c>
      <c r="C2454" s="253">
        <v>0</v>
      </c>
      <c r="D2454" s="252">
        <v>46982</v>
      </c>
      <c r="E2454" s="252" t="s">
        <v>192</v>
      </c>
      <c r="F2454" s="254" t="s">
        <v>5697</v>
      </c>
      <c r="G2454" s="252" t="s">
        <v>6200</v>
      </c>
      <c r="H2454" s="252" t="s">
        <v>6201</v>
      </c>
      <c r="I2454" s="252">
        <v>12</v>
      </c>
      <c r="J2454" s="255">
        <v>1</v>
      </c>
      <c r="K2454" s="255">
        <v>1</v>
      </c>
      <c r="L2454" s="255"/>
      <c r="M2454" s="256">
        <v>1.8059999999999997E-3</v>
      </c>
      <c r="N2454" s="249">
        <v>2453</v>
      </c>
    </row>
    <row r="2455" spans="1:14" x14ac:dyDescent="0.25">
      <c r="A2455" s="252" t="s">
        <v>134</v>
      </c>
      <c r="B2455" s="252" t="s">
        <v>5860</v>
      </c>
      <c r="C2455" s="253">
        <v>0</v>
      </c>
      <c r="D2455" s="252">
        <v>46982</v>
      </c>
      <c r="E2455" s="252" t="s">
        <v>192</v>
      </c>
      <c r="F2455" s="254" t="s">
        <v>5697</v>
      </c>
      <c r="G2455" s="252" t="s">
        <v>6202</v>
      </c>
      <c r="H2455" s="252" t="s">
        <v>6203</v>
      </c>
      <c r="I2455" s="252">
        <v>12</v>
      </c>
      <c r="J2455" s="255">
        <v>1</v>
      </c>
      <c r="K2455" s="255">
        <v>1</v>
      </c>
      <c r="L2455" s="255"/>
      <c r="M2455" s="256">
        <v>1.098E-3</v>
      </c>
      <c r="N2455" s="249">
        <v>2454</v>
      </c>
    </row>
    <row r="2456" spans="1:14" x14ac:dyDescent="0.25">
      <c r="A2456" s="252" t="s">
        <v>134</v>
      </c>
      <c r="B2456" s="252" t="s">
        <v>5860</v>
      </c>
      <c r="C2456" s="253">
        <v>0</v>
      </c>
      <c r="D2456" s="252">
        <v>46982</v>
      </c>
      <c r="E2456" s="252" t="s">
        <v>192</v>
      </c>
      <c r="F2456" s="254" t="s">
        <v>5697</v>
      </c>
      <c r="G2456" s="252" t="s">
        <v>6204</v>
      </c>
      <c r="H2456" s="252" t="s">
        <v>6205</v>
      </c>
      <c r="I2456" s="252">
        <v>12</v>
      </c>
      <c r="J2456" s="255">
        <v>1</v>
      </c>
      <c r="K2456" s="255">
        <v>1</v>
      </c>
      <c r="L2456" s="255"/>
      <c r="M2456" s="256">
        <v>7.4699999999999994E-4</v>
      </c>
      <c r="N2456" s="249">
        <v>2455</v>
      </c>
    </row>
    <row r="2457" spans="1:14" x14ac:dyDescent="0.25">
      <c r="A2457" s="252" t="s">
        <v>134</v>
      </c>
      <c r="B2457" s="252" t="s">
        <v>5860</v>
      </c>
      <c r="C2457" s="253">
        <v>0</v>
      </c>
      <c r="D2457" s="252">
        <v>46982</v>
      </c>
      <c r="E2457" s="252" t="s">
        <v>192</v>
      </c>
      <c r="F2457" s="254" t="s">
        <v>5697</v>
      </c>
      <c r="G2457" s="252" t="s">
        <v>6206</v>
      </c>
      <c r="H2457" s="252" t="s">
        <v>6207</v>
      </c>
      <c r="I2457" s="252">
        <v>12</v>
      </c>
      <c r="J2457" s="255">
        <v>1</v>
      </c>
      <c r="K2457" s="255">
        <v>1</v>
      </c>
      <c r="L2457" s="255"/>
      <c r="M2457" s="256">
        <v>2.1599999999999996E-4</v>
      </c>
      <c r="N2457" s="249">
        <v>2456</v>
      </c>
    </row>
    <row r="2458" spans="1:14" x14ac:dyDescent="0.25">
      <c r="A2458" s="252" t="s">
        <v>134</v>
      </c>
      <c r="B2458" s="252" t="s">
        <v>5860</v>
      </c>
      <c r="C2458" s="253">
        <v>0</v>
      </c>
      <c r="D2458" s="252">
        <v>46982</v>
      </c>
      <c r="E2458" s="252" t="s">
        <v>192</v>
      </c>
      <c r="F2458" s="254" t="s">
        <v>5697</v>
      </c>
      <c r="G2458" s="252" t="s">
        <v>6208</v>
      </c>
      <c r="H2458" s="252" t="s">
        <v>6209</v>
      </c>
      <c r="I2458" s="252">
        <v>12</v>
      </c>
      <c r="J2458" s="255">
        <v>1</v>
      </c>
      <c r="K2458" s="255">
        <v>1</v>
      </c>
      <c r="L2458" s="255"/>
      <c r="M2458" s="256">
        <v>7.4699999999999994E-4</v>
      </c>
      <c r="N2458" s="249">
        <v>2457</v>
      </c>
    </row>
    <row r="2459" spans="1:14" x14ac:dyDescent="0.25">
      <c r="A2459" s="252" t="s">
        <v>134</v>
      </c>
      <c r="B2459" s="252" t="s">
        <v>5860</v>
      </c>
      <c r="C2459" s="253">
        <v>0</v>
      </c>
      <c r="D2459" s="252">
        <v>46982</v>
      </c>
      <c r="E2459" s="252" t="s">
        <v>192</v>
      </c>
      <c r="F2459" s="254" t="s">
        <v>5697</v>
      </c>
      <c r="G2459" s="252" t="s">
        <v>6210</v>
      </c>
      <c r="H2459" s="252" t="s">
        <v>6211</v>
      </c>
      <c r="I2459" s="252">
        <v>12</v>
      </c>
      <c r="J2459" s="255">
        <v>1</v>
      </c>
      <c r="K2459" s="255">
        <v>1</v>
      </c>
      <c r="L2459" s="255"/>
      <c r="M2459" s="256">
        <v>2.1299999999999997E-4</v>
      </c>
      <c r="N2459" s="249">
        <v>2458</v>
      </c>
    </row>
    <row r="2460" spans="1:14" x14ac:dyDescent="0.25">
      <c r="A2460" s="252" t="s">
        <v>134</v>
      </c>
      <c r="B2460" s="252" t="s">
        <v>5860</v>
      </c>
      <c r="C2460" s="253">
        <v>0</v>
      </c>
      <c r="D2460" s="252">
        <v>46982</v>
      </c>
      <c r="E2460" s="252" t="s">
        <v>192</v>
      </c>
      <c r="F2460" s="254" t="s">
        <v>5697</v>
      </c>
      <c r="G2460" s="252" t="s">
        <v>6212</v>
      </c>
      <c r="H2460" s="252" t="s">
        <v>6213</v>
      </c>
      <c r="I2460" s="252">
        <v>12</v>
      </c>
      <c r="J2460" s="255">
        <v>1</v>
      </c>
      <c r="K2460" s="255">
        <v>1</v>
      </c>
      <c r="L2460" s="255"/>
      <c r="M2460" s="256">
        <v>2.4599999999999996E-4</v>
      </c>
      <c r="N2460" s="249">
        <v>2459</v>
      </c>
    </row>
    <row r="2461" spans="1:14" x14ac:dyDescent="0.25">
      <c r="A2461" s="252" t="s">
        <v>134</v>
      </c>
      <c r="B2461" s="252" t="s">
        <v>5860</v>
      </c>
      <c r="C2461" s="253">
        <v>0</v>
      </c>
      <c r="D2461" s="252">
        <v>46982</v>
      </c>
      <c r="E2461" s="252" t="s">
        <v>192</v>
      </c>
      <c r="F2461" s="254" t="s">
        <v>5697</v>
      </c>
      <c r="G2461" s="252" t="s">
        <v>6214</v>
      </c>
      <c r="H2461" s="252" t="s">
        <v>6215</v>
      </c>
      <c r="I2461" s="252">
        <v>12</v>
      </c>
      <c r="J2461" s="255">
        <v>1</v>
      </c>
      <c r="K2461" s="255">
        <v>1</v>
      </c>
      <c r="L2461" s="255"/>
      <c r="M2461" s="256">
        <v>3.1799999999999998E-4</v>
      </c>
      <c r="N2461" s="249">
        <v>2460</v>
      </c>
    </row>
    <row r="2462" spans="1:14" x14ac:dyDescent="0.25">
      <c r="A2462" s="252" t="s">
        <v>134</v>
      </c>
      <c r="B2462" s="252" t="s">
        <v>5860</v>
      </c>
      <c r="C2462" s="253">
        <v>0</v>
      </c>
      <c r="D2462" s="252">
        <v>46982</v>
      </c>
      <c r="E2462" s="252" t="s">
        <v>192</v>
      </c>
      <c r="F2462" s="254" t="s">
        <v>5697</v>
      </c>
      <c r="G2462" s="252" t="s">
        <v>6216</v>
      </c>
      <c r="H2462" s="252" t="s">
        <v>6217</v>
      </c>
      <c r="I2462" s="252">
        <v>12</v>
      </c>
      <c r="J2462" s="255">
        <v>1</v>
      </c>
      <c r="K2462" s="255">
        <v>1</v>
      </c>
      <c r="L2462" s="255"/>
      <c r="M2462" s="256">
        <v>3.1799999999999998E-4</v>
      </c>
      <c r="N2462" s="249">
        <v>2461</v>
      </c>
    </row>
    <row r="2463" spans="1:14" x14ac:dyDescent="0.25">
      <c r="A2463" s="252" t="s">
        <v>134</v>
      </c>
      <c r="B2463" s="252" t="s">
        <v>5860</v>
      </c>
      <c r="C2463" s="253">
        <v>0</v>
      </c>
      <c r="D2463" s="252">
        <v>46982</v>
      </c>
      <c r="E2463" s="252" t="s">
        <v>192</v>
      </c>
      <c r="F2463" s="254" t="s">
        <v>5697</v>
      </c>
      <c r="G2463" s="252" t="s">
        <v>6218</v>
      </c>
      <c r="H2463" s="252" t="s">
        <v>6219</v>
      </c>
      <c r="I2463" s="252">
        <v>12</v>
      </c>
      <c r="J2463" s="255">
        <v>1</v>
      </c>
      <c r="K2463" s="255">
        <v>1</v>
      </c>
      <c r="L2463" s="255"/>
      <c r="M2463" s="256">
        <v>3.8099999999999999E-4</v>
      </c>
      <c r="N2463" s="249">
        <v>2462</v>
      </c>
    </row>
    <row r="2464" spans="1:14" x14ac:dyDescent="0.25">
      <c r="A2464" s="252" t="s">
        <v>134</v>
      </c>
      <c r="B2464" s="252" t="s">
        <v>5860</v>
      </c>
      <c r="C2464" s="253">
        <v>0</v>
      </c>
      <c r="D2464" s="252">
        <v>46982</v>
      </c>
      <c r="E2464" s="252" t="s">
        <v>192</v>
      </c>
      <c r="F2464" s="254" t="s">
        <v>5697</v>
      </c>
      <c r="G2464" s="252" t="s">
        <v>6220</v>
      </c>
      <c r="H2464" s="252" t="s">
        <v>6221</v>
      </c>
      <c r="I2464" s="252">
        <v>12</v>
      </c>
      <c r="J2464" s="255">
        <v>1</v>
      </c>
      <c r="K2464" s="255">
        <v>1</v>
      </c>
      <c r="L2464" s="255"/>
      <c r="M2464" s="256">
        <v>3.8099999999999999E-4</v>
      </c>
      <c r="N2464" s="249">
        <v>2463</v>
      </c>
    </row>
    <row r="2465" spans="1:14" x14ac:dyDescent="0.25">
      <c r="A2465" s="252" t="s">
        <v>134</v>
      </c>
      <c r="B2465" s="252" t="s">
        <v>5860</v>
      </c>
      <c r="C2465" s="253">
        <v>0</v>
      </c>
      <c r="D2465" s="252">
        <v>46982</v>
      </c>
      <c r="E2465" s="252" t="s">
        <v>192</v>
      </c>
      <c r="F2465" s="254" t="s">
        <v>5697</v>
      </c>
      <c r="G2465" s="252" t="s">
        <v>6222</v>
      </c>
      <c r="H2465" s="252" t="s">
        <v>6223</v>
      </c>
      <c r="I2465" s="252">
        <v>12</v>
      </c>
      <c r="J2465" s="255">
        <v>1</v>
      </c>
      <c r="K2465" s="255">
        <v>1</v>
      </c>
      <c r="L2465" s="255"/>
      <c r="M2465" s="256">
        <v>3.8099999999999999E-4</v>
      </c>
      <c r="N2465" s="249">
        <v>2464</v>
      </c>
    </row>
    <row r="2466" spans="1:14" x14ac:dyDescent="0.25">
      <c r="A2466" s="252" t="s">
        <v>134</v>
      </c>
      <c r="B2466" s="252" t="s">
        <v>5860</v>
      </c>
      <c r="C2466" s="253">
        <v>0</v>
      </c>
      <c r="D2466" s="252">
        <v>46982</v>
      </c>
      <c r="E2466" s="252" t="s">
        <v>192</v>
      </c>
      <c r="F2466" s="254" t="s">
        <v>5697</v>
      </c>
      <c r="G2466" s="252" t="s">
        <v>6224</v>
      </c>
      <c r="H2466" s="252" t="s">
        <v>6225</v>
      </c>
      <c r="I2466" s="252">
        <v>12</v>
      </c>
      <c r="J2466" s="255">
        <v>1</v>
      </c>
      <c r="K2466" s="255">
        <v>1</v>
      </c>
      <c r="L2466" s="255"/>
      <c r="M2466" s="256">
        <v>3.8099999999999999E-4</v>
      </c>
      <c r="N2466" s="249">
        <v>2465</v>
      </c>
    </row>
    <row r="2467" spans="1:14" x14ac:dyDescent="0.25">
      <c r="A2467" s="252" t="s">
        <v>134</v>
      </c>
      <c r="B2467" s="252" t="s">
        <v>5860</v>
      </c>
      <c r="C2467" s="253">
        <v>0</v>
      </c>
      <c r="D2467" s="252">
        <v>46982</v>
      </c>
      <c r="E2467" s="252" t="s">
        <v>192</v>
      </c>
      <c r="F2467" s="254" t="s">
        <v>5697</v>
      </c>
      <c r="G2467" s="252" t="s">
        <v>6226</v>
      </c>
      <c r="H2467" s="252" t="s">
        <v>6227</v>
      </c>
      <c r="I2467" s="252">
        <v>12</v>
      </c>
      <c r="J2467" s="255">
        <v>1</v>
      </c>
      <c r="K2467" s="255">
        <v>1</v>
      </c>
      <c r="L2467" s="255"/>
      <c r="M2467" s="256">
        <v>5.5979999999999997E-3</v>
      </c>
      <c r="N2467" s="249">
        <v>2466</v>
      </c>
    </row>
    <row r="2468" spans="1:14" x14ac:dyDescent="0.25">
      <c r="A2468" s="252" t="s">
        <v>134</v>
      </c>
      <c r="B2468" s="252" t="s">
        <v>5860</v>
      </c>
      <c r="C2468" s="253">
        <v>0</v>
      </c>
      <c r="D2468" s="252">
        <v>46982</v>
      </c>
      <c r="E2468" s="252" t="s">
        <v>192</v>
      </c>
      <c r="F2468" s="254" t="s">
        <v>5697</v>
      </c>
      <c r="G2468" s="252" t="s">
        <v>6228</v>
      </c>
      <c r="H2468" s="252" t="s">
        <v>6229</v>
      </c>
      <c r="I2468" s="252">
        <v>12</v>
      </c>
      <c r="J2468" s="255">
        <v>1</v>
      </c>
      <c r="K2468" s="255">
        <v>1</v>
      </c>
      <c r="L2468" s="255"/>
      <c r="M2468" s="256">
        <v>2.4599999999999996E-4</v>
      </c>
      <c r="N2468" s="249">
        <v>2467</v>
      </c>
    </row>
    <row r="2469" spans="1:14" x14ac:dyDescent="0.25">
      <c r="A2469" s="252" t="s">
        <v>134</v>
      </c>
      <c r="B2469" s="252" t="s">
        <v>5860</v>
      </c>
      <c r="C2469" s="253">
        <v>0</v>
      </c>
      <c r="D2469" s="252">
        <v>46982</v>
      </c>
      <c r="E2469" s="252" t="s">
        <v>192</v>
      </c>
      <c r="F2469" s="254" t="s">
        <v>5697</v>
      </c>
      <c r="G2469" s="252" t="s">
        <v>6230</v>
      </c>
      <c r="H2469" s="252" t="s">
        <v>6231</v>
      </c>
      <c r="I2469" s="252">
        <v>12</v>
      </c>
      <c r="J2469" s="255">
        <v>1</v>
      </c>
      <c r="K2469" s="255">
        <v>1</v>
      </c>
      <c r="L2469" s="255"/>
      <c r="M2469" s="256">
        <v>1.8059999999999997E-3</v>
      </c>
      <c r="N2469" s="249">
        <v>2468</v>
      </c>
    </row>
    <row r="2470" spans="1:14" x14ac:dyDescent="0.25">
      <c r="A2470" s="252" t="s">
        <v>134</v>
      </c>
      <c r="B2470" s="252" t="s">
        <v>5860</v>
      </c>
      <c r="C2470" s="253">
        <v>0</v>
      </c>
      <c r="D2470" s="252">
        <v>46982</v>
      </c>
      <c r="E2470" s="252" t="s">
        <v>192</v>
      </c>
      <c r="F2470" s="254" t="s">
        <v>5697</v>
      </c>
      <c r="G2470" s="252" t="s">
        <v>6232</v>
      </c>
      <c r="H2470" s="252" t="s">
        <v>6233</v>
      </c>
      <c r="I2470" s="252">
        <v>12</v>
      </c>
      <c r="J2470" s="255">
        <v>1</v>
      </c>
      <c r="K2470" s="255">
        <v>1</v>
      </c>
      <c r="L2470" s="255"/>
      <c r="M2470" s="256">
        <v>1.8059999999999997E-3</v>
      </c>
      <c r="N2470" s="249">
        <v>2469</v>
      </c>
    </row>
    <row r="2471" spans="1:14" x14ac:dyDescent="0.25">
      <c r="A2471" s="252" t="s">
        <v>134</v>
      </c>
      <c r="B2471" s="252" t="s">
        <v>5860</v>
      </c>
      <c r="C2471" s="253">
        <v>0</v>
      </c>
      <c r="D2471" s="252">
        <v>46982</v>
      </c>
      <c r="E2471" s="252" t="s">
        <v>192</v>
      </c>
      <c r="F2471" s="254" t="s">
        <v>5697</v>
      </c>
      <c r="G2471" s="252" t="s">
        <v>6234</v>
      </c>
      <c r="H2471" s="252" t="s">
        <v>6235</v>
      </c>
      <c r="I2471" s="252">
        <v>12</v>
      </c>
      <c r="J2471" s="255">
        <v>1</v>
      </c>
      <c r="K2471" s="255">
        <v>1</v>
      </c>
      <c r="L2471" s="255"/>
      <c r="M2471" s="256">
        <v>1.098E-3</v>
      </c>
      <c r="N2471" s="249">
        <v>2470</v>
      </c>
    </row>
    <row r="2472" spans="1:14" x14ac:dyDescent="0.25">
      <c r="A2472" s="252" t="s">
        <v>134</v>
      </c>
      <c r="B2472" s="252" t="s">
        <v>5860</v>
      </c>
      <c r="C2472" s="253">
        <v>0</v>
      </c>
      <c r="D2472" s="252">
        <v>46982</v>
      </c>
      <c r="E2472" s="252" t="s">
        <v>192</v>
      </c>
      <c r="F2472" s="254" t="s">
        <v>5697</v>
      </c>
      <c r="G2472" s="252" t="s">
        <v>6236</v>
      </c>
      <c r="H2472" s="252" t="s">
        <v>6237</v>
      </c>
      <c r="I2472" s="252">
        <v>12</v>
      </c>
      <c r="J2472" s="255">
        <v>1</v>
      </c>
      <c r="K2472" s="255">
        <v>1</v>
      </c>
      <c r="L2472" s="255"/>
      <c r="M2472" s="256">
        <v>7.4699999999999994E-4</v>
      </c>
      <c r="N2472" s="249">
        <v>2471</v>
      </c>
    </row>
    <row r="2473" spans="1:14" x14ac:dyDescent="0.25">
      <c r="A2473" s="252" t="s">
        <v>134</v>
      </c>
      <c r="B2473" s="252" t="s">
        <v>5860</v>
      </c>
      <c r="C2473" s="253">
        <v>0</v>
      </c>
      <c r="D2473" s="252">
        <v>46982</v>
      </c>
      <c r="E2473" s="252" t="s">
        <v>192</v>
      </c>
      <c r="F2473" s="254" t="s">
        <v>5697</v>
      </c>
      <c r="G2473" s="252" t="s">
        <v>6238</v>
      </c>
      <c r="H2473" s="252" t="s">
        <v>6239</v>
      </c>
      <c r="I2473" s="252">
        <v>12</v>
      </c>
      <c r="J2473" s="255">
        <v>1</v>
      </c>
      <c r="K2473" s="255">
        <v>1</v>
      </c>
      <c r="L2473" s="255"/>
      <c r="M2473" s="256">
        <v>2.1599999999999996E-4</v>
      </c>
      <c r="N2473" s="249">
        <v>2472</v>
      </c>
    </row>
    <row r="2474" spans="1:14" x14ac:dyDescent="0.25">
      <c r="A2474" s="252" t="s">
        <v>134</v>
      </c>
      <c r="B2474" s="252" t="s">
        <v>5860</v>
      </c>
      <c r="C2474" s="253">
        <v>0</v>
      </c>
      <c r="D2474" s="252">
        <v>46982</v>
      </c>
      <c r="E2474" s="252" t="s">
        <v>192</v>
      </c>
      <c r="F2474" s="254" t="s">
        <v>5697</v>
      </c>
      <c r="G2474" s="252" t="s">
        <v>6240</v>
      </c>
      <c r="H2474" s="252" t="s">
        <v>6241</v>
      </c>
      <c r="I2474" s="252">
        <v>12</v>
      </c>
      <c r="J2474" s="255">
        <v>1</v>
      </c>
      <c r="K2474" s="255">
        <v>1</v>
      </c>
      <c r="L2474" s="255"/>
      <c r="M2474" s="256">
        <v>7.4699999999999994E-4</v>
      </c>
      <c r="N2474" s="249">
        <v>2473</v>
      </c>
    </row>
    <row r="2475" spans="1:14" x14ac:dyDescent="0.25">
      <c r="A2475" s="252" t="s">
        <v>134</v>
      </c>
      <c r="B2475" s="252" t="s">
        <v>5860</v>
      </c>
      <c r="C2475" s="253">
        <v>0</v>
      </c>
      <c r="D2475" s="252">
        <v>46982</v>
      </c>
      <c r="E2475" s="252" t="s">
        <v>192</v>
      </c>
      <c r="F2475" s="254" t="s">
        <v>5697</v>
      </c>
      <c r="G2475" s="252" t="s">
        <v>6242</v>
      </c>
      <c r="H2475" s="252" t="s">
        <v>6243</v>
      </c>
      <c r="I2475" s="252">
        <v>12</v>
      </c>
      <c r="J2475" s="255">
        <v>1</v>
      </c>
      <c r="K2475" s="255">
        <v>1</v>
      </c>
      <c r="L2475" s="255"/>
      <c r="M2475" s="256">
        <v>2.1299999999999997E-4</v>
      </c>
      <c r="N2475" s="249">
        <v>2474</v>
      </c>
    </row>
    <row r="2476" spans="1:14" x14ac:dyDescent="0.25">
      <c r="A2476" s="252" t="s">
        <v>134</v>
      </c>
      <c r="B2476" s="252" t="s">
        <v>5860</v>
      </c>
      <c r="C2476" s="253">
        <v>0</v>
      </c>
      <c r="D2476" s="252">
        <v>46982</v>
      </c>
      <c r="E2476" s="252" t="s">
        <v>192</v>
      </c>
      <c r="F2476" s="254" t="s">
        <v>5697</v>
      </c>
      <c r="G2476" s="252" t="s">
        <v>6244</v>
      </c>
      <c r="H2476" s="252" t="s">
        <v>6245</v>
      </c>
      <c r="I2476" s="252">
        <v>12</v>
      </c>
      <c r="J2476" s="255">
        <v>1</v>
      </c>
      <c r="K2476" s="255">
        <v>1</v>
      </c>
      <c r="L2476" s="255"/>
      <c r="M2476" s="256">
        <v>2.4599999999999996E-4</v>
      </c>
      <c r="N2476" s="249">
        <v>2475</v>
      </c>
    </row>
    <row r="2477" spans="1:14" x14ac:dyDescent="0.25">
      <c r="A2477" s="252" t="s">
        <v>134</v>
      </c>
      <c r="B2477" s="252" t="s">
        <v>5860</v>
      </c>
      <c r="C2477" s="253">
        <v>0</v>
      </c>
      <c r="D2477" s="252">
        <v>46982</v>
      </c>
      <c r="E2477" s="252" t="s">
        <v>192</v>
      </c>
      <c r="F2477" s="254" t="s">
        <v>5697</v>
      </c>
      <c r="G2477" s="252" t="s">
        <v>6246</v>
      </c>
      <c r="H2477" s="252" t="s">
        <v>6247</v>
      </c>
      <c r="I2477" s="252">
        <v>12</v>
      </c>
      <c r="J2477" s="255">
        <v>1</v>
      </c>
      <c r="K2477" s="255">
        <v>1</v>
      </c>
      <c r="L2477" s="255"/>
      <c r="M2477" s="256">
        <v>3.1799999999999998E-4</v>
      </c>
      <c r="N2477" s="249">
        <v>2476</v>
      </c>
    </row>
    <row r="2478" spans="1:14" x14ac:dyDescent="0.25">
      <c r="A2478" s="252" t="s">
        <v>134</v>
      </c>
      <c r="B2478" s="252" t="s">
        <v>5860</v>
      </c>
      <c r="C2478" s="253">
        <v>0</v>
      </c>
      <c r="D2478" s="252">
        <v>46982</v>
      </c>
      <c r="E2478" s="252" t="s">
        <v>192</v>
      </c>
      <c r="F2478" s="254" t="s">
        <v>5697</v>
      </c>
      <c r="G2478" s="252" t="s">
        <v>6248</v>
      </c>
      <c r="H2478" s="252" t="s">
        <v>6249</v>
      </c>
      <c r="I2478" s="252">
        <v>12</v>
      </c>
      <c r="J2478" s="255">
        <v>1</v>
      </c>
      <c r="K2478" s="255">
        <v>1</v>
      </c>
      <c r="L2478" s="255"/>
      <c r="M2478" s="256">
        <v>3.1799999999999998E-4</v>
      </c>
      <c r="N2478" s="249">
        <v>2477</v>
      </c>
    </row>
    <row r="2479" spans="1:14" x14ac:dyDescent="0.25">
      <c r="A2479" s="252" t="s">
        <v>134</v>
      </c>
      <c r="B2479" s="252" t="s">
        <v>5860</v>
      </c>
      <c r="C2479" s="253">
        <v>0</v>
      </c>
      <c r="D2479" s="252">
        <v>46982</v>
      </c>
      <c r="E2479" s="252" t="s">
        <v>192</v>
      </c>
      <c r="F2479" s="254" t="s">
        <v>5697</v>
      </c>
      <c r="G2479" s="252" t="s">
        <v>6250</v>
      </c>
      <c r="H2479" s="252" t="s">
        <v>6251</v>
      </c>
      <c r="I2479" s="252">
        <v>12</v>
      </c>
      <c r="J2479" s="255">
        <v>1</v>
      </c>
      <c r="K2479" s="255">
        <v>1</v>
      </c>
      <c r="L2479" s="255"/>
      <c r="M2479" s="256">
        <v>3.8099999999999999E-4</v>
      </c>
      <c r="N2479" s="249">
        <v>2478</v>
      </c>
    </row>
    <row r="2480" spans="1:14" x14ac:dyDescent="0.25">
      <c r="A2480" s="252" t="s">
        <v>134</v>
      </c>
      <c r="B2480" s="252" t="s">
        <v>5860</v>
      </c>
      <c r="C2480" s="253">
        <v>0</v>
      </c>
      <c r="D2480" s="252">
        <v>46982</v>
      </c>
      <c r="E2480" s="252" t="s">
        <v>192</v>
      </c>
      <c r="F2480" s="254" t="s">
        <v>5697</v>
      </c>
      <c r="G2480" s="252" t="s">
        <v>6252</v>
      </c>
      <c r="H2480" s="252" t="s">
        <v>6253</v>
      </c>
      <c r="I2480" s="252">
        <v>12</v>
      </c>
      <c r="J2480" s="255">
        <v>1</v>
      </c>
      <c r="K2480" s="255">
        <v>1</v>
      </c>
      <c r="L2480" s="255"/>
      <c r="M2480" s="256">
        <v>3.8099999999999999E-4</v>
      </c>
      <c r="N2480" s="249">
        <v>2479</v>
      </c>
    </row>
    <row r="2481" spans="1:14" x14ac:dyDescent="0.25">
      <c r="A2481" s="252" t="s">
        <v>134</v>
      </c>
      <c r="B2481" s="252" t="s">
        <v>5860</v>
      </c>
      <c r="C2481" s="253">
        <v>0</v>
      </c>
      <c r="D2481" s="252">
        <v>46982</v>
      </c>
      <c r="E2481" s="252" t="s">
        <v>192</v>
      </c>
      <c r="F2481" s="254" t="s">
        <v>5697</v>
      </c>
      <c r="G2481" s="252" t="s">
        <v>6254</v>
      </c>
      <c r="H2481" s="252" t="s">
        <v>6255</v>
      </c>
      <c r="I2481" s="252">
        <v>12</v>
      </c>
      <c r="J2481" s="255">
        <v>1</v>
      </c>
      <c r="K2481" s="255">
        <v>1</v>
      </c>
      <c r="L2481" s="255"/>
      <c r="M2481" s="256">
        <v>3.8099999999999999E-4</v>
      </c>
      <c r="N2481" s="249">
        <v>2480</v>
      </c>
    </row>
    <row r="2482" spans="1:14" x14ac:dyDescent="0.25">
      <c r="A2482" s="252" t="s">
        <v>134</v>
      </c>
      <c r="B2482" s="252" t="s">
        <v>5860</v>
      </c>
      <c r="C2482" s="253">
        <v>0</v>
      </c>
      <c r="D2482" s="252">
        <v>46982</v>
      </c>
      <c r="E2482" s="252" t="s">
        <v>192</v>
      </c>
      <c r="F2482" s="254" t="s">
        <v>5697</v>
      </c>
      <c r="G2482" s="252" t="s">
        <v>6256</v>
      </c>
      <c r="H2482" s="252" t="s">
        <v>6257</v>
      </c>
      <c r="I2482" s="252">
        <v>12</v>
      </c>
      <c r="J2482" s="255">
        <v>1</v>
      </c>
      <c r="K2482" s="255">
        <v>1</v>
      </c>
      <c r="L2482" s="255"/>
      <c r="M2482" s="256">
        <v>3.8099999999999999E-4</v>
      </c>
      <c r="N2482" s="249">
        <v>2481</v>
      </c>
    </row>
    <row r="2483" spans="1:14" x14ac:dyDescent="0.25">
      <c r="A2483" s="252" t="s">
        <v>134</v>
      </c>
      <c r="B2483" s="252" t="s">
        <v>5860</v>
      </c>
      <c r="C2483" s="253">
        <v>0</v>
      </c>
      <c r="D2483" s="252">
        <v>46982</v>
      </c>
      <c r="E2483" s="252" t="s">
        <v>192</v>
      </c>
      <c r="F2483" s="254" t="s">
        <v>5697</v>
      </c>
      <c r="G2483" s="252" t="s">
        <v>6258</v>
      </c>
      <c r="H2483" s="252" t="s">
        <v>6259</v>
      </c>
      <c r="I2483" s="252">
        <v>12</v>
      </c>
      <c r="J2483" s="255">
        <v>1</v>
      </c>
      <c r="K2483" s="255">
        <v>1</v>
      </c>
      <c r="L2483" s="255"/>
      <c r="M2483" s="256">
        <v>5.5469999999999998E-3</v>
      </c>
      <c r="N2483" s="249">
        <v>2482</v>
      </c>
    </row>
    <row r="2484" spans="1:14" x14ac:dyDescent="0.25">
      <c r="A2484" s="252" t="s">
        <v>134</v>
      </c>
      <c r="B2484" s="252" t="s">
        <v>5860</v>
      </c>
      <c r="C2484" s="253">
        <v>0</v>
      </c>
      <c r="D2484" s="252">
        <v>46982</v>
      </c>
      <c r="E2484" s="252" t="s">
        <v>192</v>
      </c>
      <c r="F2484" s="254" t="s">
        <v>5697</v>
      </c>
      <c r="G2484" s="252" t="s">
        <v>6260</v>
      </c>
      <c r="H2484" s="252" t="s">
        <v>6261</v>
      </c>
      <c r="I2484" s="252">
        <v>12</v>
      </c>
      <c r="J2484" s="255">
        <v>1</v>
      </c>
      <c r="K2484" s="255">
        <v>1</v>
      </c>
      <c r="L2484" s="255"/>
      <c r="M2484" s="256">
        <v>2.4599999999999996E-4</v>
      </c>
      <c r="N2484" s="249">
        <v>2483</v>
      </c>
    </row>
    <row r="2485" spans="1:14" x14ac:dyDescent="0.25">
      <c r="A2485" s="252" t="s">
        <v>134</v>
      </c>
      <c r="B2485" s="252" t="s">
        <v>5860</v>
      </c>
      <c r="C2485" s="253">
        <v>0</v>
      </c>
      <c r="D2485" s="252">
        <v>46982</v>
      </c>
      <c r="E2485" s="252" t="s">
        <v>5528</v>
      </c>
      <c r="F2485" s="254" t="s">
        <v>5702</v>
      </c>
      <c r="G2485" s="252" t="s">
        <v>6262</v>
      </c>
      <c r="H2485" s="252" t="s">
        <v>6263</v>
      </c>
      <c r="I2485" s="252">
        <v>12</v>
      </c>
      <c r="J2485" s="255">
        <v>1</v>
      </c>
      <c r="K2485" s="255">
        <v>1</v>
      </c>
      <c r="L2485" s="255"/>
      <c r="M2485" s="256">
        <v>1.7879999999999999E-3</v>
      </c>
      <c r="N2485" s="249">
        <v>2484</v>
      </c>
    </row>
    <row r="2486" spans="1:14" x14ac:dyDescent="0.25">
      <c r="A2486" s="252" t="s">
        <v>134</v>
      </c>
      <c r="B2486" s="252" t="s">
        <v>5860</v>
      </c>
      <c r="C2486" s="253">
        <v>0</v>
      </c>
      <c r="D2486" s="252">
        <v>46982</v>
      </c>
      <c r="E2486" s="252" t="s">
        <v>5528</v>
      </c>
      <c r="F2486" s="254" t="s">
        <v>5702</v>
      </c>
      <c r="G2486" s="252" t="s">
        <v>6264</v>
      </c>
      <c r="H2486" s="252" t="s">
        <v>6265</v>
      </c>
      <c r="I2486" s="252">
        <v>12</v>
      </c>
      <c r="J2486" s="255">
        <v>1</v>
      </c>
      <c r="K2486" s="255">
        <v>1</v>
      </c>
      <c r="L2486" s="255"/>
      <c r="M2486" s="256">
        <v>1.7879999999999999E-3</v>
      </c>
      <c r="N2486" s="249">
        <v>2485</v>
      </c>
    </row>
    <row r="2487" spans="1:14" x14ac:dyDescent="0.25">
      <c r="A2487" s="252" t="s">
        <v>134</v>
      </c>
      <c r="B2487" s="252" t="s">
        <v>5860</v>
      </c>
      <c r="C2487" s="253">
        <v>0</v>
      </c>
      <c r="D2487" s="252">
        <v>46982</v>
      </c>
      <c r="E2487" s="252" t="s">
        <v>5528</v>
      </c>
      <c r="F2487" s="254" t="s">
        <v>5702</v>
      </c>
      <c r="G2487" s="252" t="s">
        <v>6266</v>
      </c>
      <c r="H2487" s="252" t="s">
        <v>6267</v>
      </c>
      <c r="I2487" s="252">
        <v>12</v>
      </c>
      <c r="J2487" s="255">
        <v>1</v>
      </c>
      <c r="K2487" s="255">
        <v>1</v>
      </c>
      <c r="L2487" s="255"/>
      <c r="M2487" s="256">
        <v>4.0908E-2</v>
      </c>
      <c r="N2487" s="249">
        <v>2486</v>
      </c>
    </row>
    <row r="2488" spans="1:14" x14ac:dyDescent="0.25">
      <c r="A2488" s="252" t="s">
        <v>134</v>
      </c>
      <c r="B2488" s="252" t="s">
        <v>5860</v>
      </c>
      <c r="C2488" s="253">
        <v>0</v>
      </c>
      <c r="D2488" s="252">
        <v>46982</v>
      </c>
      <c r="E2488" s="252" t="s">
        <v>5528</v>
      </c>
      <c r="F2488" s="254" t="s">
        <v>5702</v>
      </c>
      <c r="G2488" s="252" t="s">
        <v>6268</v>
      </c>
      <c r="H2488" s="252" t="s">
        <v>6269</v>
      </c>
      <c r="I2488" s="252">
        <v>12</v>
      </c>
      <c r="J2488" s="255">
        <v>1</v>
      </c>
      <c r="K2488" s="255">
        <v>1</v>
      </c>
      <c r="L2488" s="255"/>
      <c r="M2488" s="256">
        <v>2.1149999999999997E-3</v>
      </c>
      <c r="N2488" s="249">
        <v>2487</v>
      </c>
    </row>
    <row r="2489" spans="1:14" x14ac:dyDescent="0.25">
      <c r="A2489" s="252" t="s">
        <v>134</v>
      </c>
      <c r="B2489" s="252" t="s">
        <v>5860</v>
      </c>
      <c r="C2489" s="253">
        <v>0</v>
      </c>
      <c r="D2489" s="252">
        <v>46982</v>
      </c>
      <c r="E2489" s="252" t="s">
        <v>5528</v>
      </c>
      <c r="F2489" s="254" t="s">
        <v>5702</v>
      </c>
      <c r="G2489" s="252" t="s">
        <v>6270</v>
      </c>
      <c r="H2489" s="252" t="s">
        <v>6271</v>
      </c>
      <c r="I2489" s="252">
        <v>12</v>
      </c>
      <c r="J2489" s="255">
        <v>1</v>
      </c>
      <c r="K2489" s="255">
        <v>1</v>
      </c>
      <c r="L2489" s="255"/>
      <c r="M2489" s="256">
        <v>4.0908E-2</v>
      </c>
      <c r="N2489" s="249">
        <v>2488</v>
      </c>
    </row>
    <row r="2490" spans="1:14" x14ac:dyDescent="0.25">
      <c r="A2490" s="252" t="s">
        <v>134</v>
      </c>
      <c r="B2490" s="252" t="s">
        <v>5860</v>
      </c>
      <c r="C2490" s="253">
        <v>0</v>
      </c>
      <c r="D2490" s="252">
        <v>46982</v>
      </c>
      <c r="E2490" s="252" t="s">
        <v>5528</v>
      </c>
      <c r="F2490" s="254" t="s">
        <v>5702</v>
      </c>
      <c r="G2490" s="252" t="s">
        <v>6272</v>
      </c>
      <c r="H2490" s="252" t="s">
        <v>6273</v>
      </c>
      <c r="I2490" s="252">
        <v>12</v>
      </c>
      <c r="J2490" s="255">
        <v>1</v>
      </c>
      <c r="K2490" s="255">
        <v>1</v>
      </c>
      <c r="L2490" s="255"/>
      <c r="M2490" s="256">
        <v>2.1120000000000002E-3</v>
      </c>
      <c r="N2490" s="249">
        <v>2489</v>
      </c>
    </row>
    <row r="2491" spans="1:14" x14ac:dyDescent="0.25">
      <c r="A2491" s="252" t="s">
        <v>134</v>
      </c>
      <c r="B2491" s="252" t="s">
        <v>5860</v>
      </c>
      <c r="C2491" s="253">
        <v>0</v>
      </c>
      <c r="D2491" s="252">
        <v>46982</v>
      </c>
      <c r="E2491" s="252" t="s">
        <v>5528</v>
      </c>
      <c r="F2491" s="254" t="s">
        <v>5702</v>
      </c>
      <c r="G2491" s="252" t="s">
        <v>6274</v>
      </c>
      <c r="H2491" s="252" t="s">
        <v>6275</v>
      </c>
      <c r="I2491" s="252">
        <v>12</v>
      </c>
      <c r="J2491" s="255">
        <v>1</v>
      </c>
      <c r="K2491" s="255">
        <v>1</v>
      </c>
      <c r="L2491" s="255"/>
      <c r="M2491" s="256">
        <v>1.7879999999999999E-3</v>
      </c>
      <c r="N2491" s="249">
        <v>2490</v>
      </c>
    </row>
    <row r="2492" spans="1:14" x14ac:dyDescent="0.25">
      <c r="A2492" s="252" t="s">
        <v>134</v>
      </c>
      <c r="B2492" s="252" t="s">
        <v>5860</v>
      </c>
      <c r="C2492" s="253">
        <v>0</v>
      </c>
      <c r="D2492" s="252">
        <v>46982</v>
      </c>
      <c r="E2492" s="252" t="s">
        <v>5528</v>
      </c>
      <c r="F2492" s="254" t="s">
        <v>5702</v>
      </c>
      <c r="G2492" s="252" t="s">
        <v>6276</v>
      </c>
      <c r="H2492" s="252" t="s">
        <v>6277</v>
      </c>
      <c r="I2492" s="252">
        <v>12</v>
      </c>
      <c r="J2492" s="255">
        <v>1</v>
      </c>
      <c r="K2492" s="255">
        <v>1</v>
      </c>
      <c r="L2492" s="255"/>
      <c r="M2492" s="256">
        <v>1.7879999999999999E-3</v>
      </c>
      <c r="N2492" s="249">
        <v>2491</v>
      </c>
    </row>
    <row r="2493" spans="1:14" x14ac:dyDescent="0.25">
      <c r="A2493" s="252" t="s">
        <v>134</v>
      </c>
      <c r="B2493" s="252" t="s">
        <v>5860</v>
      </c>
      <c r="C2493" s="253">
        <v>0</v>
      </c>
      <c r="D2493" s="252">
        <v>46982</v>
      </c>
      <c r="E2493" s="252" t="s">
        <v>3059</v>
      </c>
      <c r="F2493" s="254" t="s">
        <v>5702</v>
      </c>
      <c r="G2493" s="252" t="s">
        <v>6278</v>
      </c>
      <c r="H2493" s="252" t="s">
        <v>6279</v>
      </c>
      <c r="I2493" s="252">
        <v>12</v>
      </c>
      <c r="J2493" s="255">
        <v>1</v>
      </c>
      <c r="K2493" s="255">
        <v>1</v>
      </c>
      <c r="L2493" s="255"/>
      <c r="M2493" s="256">
        <v>1.7879999999999999E-3</v>
      </c>
      <c r="N2493" s="249">
        <v>2492</v>
      </c>
    </row>
    <row r="2494" spans="1:14" x14ac:dyDescent="0.25">
      <c r="A2494" s="252" t="s">
        <v>134</v>
      </c>
      <c r="B2494" s="252" t="s">
        <v>5860</v>
      </c>
      <c r="C2494" s="253">
        <v>0</v>
      </c>
      <c r="D2494" s="252">
        <v>46982</v>
      </c>
      <c r="E2494" s="252" t="s">
        <v>3059</v>
      </c>
      <c r="F2494" s="254" t="s">
        <v>5702</v>
      </c>
      <c r="G2494" s="252" t="s">
        <v>6280</v>
      </c>
      <c r="H2494" s="252" t="s">
        <v>6281</v>
      </c>
      <c r="I2494" s="252">
        <v>12</v>
      </c>
      <c r="J2494" s="255">
        <v>1</v>
      </c>
      <c r="K2494" s="255">
        <v>1</v>
      </c>
      <c r="L2494" s="255"/>
      <c r="M2494" s="256">
        <v>4.4399999999999995E-4</v>
      </c>
      <c r="N2494" s="249">
        <v>2493</v>
      </c>
    </row>
    <row r="2495" spans="1:14" x14ac:dyDescent="0.25">
      <c r="A2495" s="252" t="s">
        <v>134</v>
      </c>
      <c r="B2495" s="252" t="s">
        <v>5860</v>
      </c>
      <c r="C2495" s="253">
        <v>0</v>
      </c>
      <c r="D2495" s="252">
        <v>46982</v>
      </c>
      <c r="E2495" s="252" t="s">
        <v>3059</v>
      </c>
      <c r="F2495" s="254" t="s">
        <v>5702</v>
      </c>
      <c r="G2495" s="252" t="s">
        <v>6282</v>
      </c>
      <c r="H2495" s="252" t="s">
        <v>6283</v>
      </c>
      <c r="I2495" s="252">
        <v>12</v>
      </c>
      <c r="J2495" s="255">
        <v>1</v>
      </c>
      <c r="K2495" s="255">
        <v>1</v>
      </c>
      <c r="L2495" s="255"/>
      <c r="M2495" s="256">
        <v>1.7879999999999999E-3</v>
      </c>
      <c r="N2495" s="249">
        <v>2494</v>
      </c>
    </row>
    <row r="2496" spans="1:14" x14ac:dyDescent="0.25">
      <c r="A2496" s="252" t="s">
        <v>134</v>
      </c>
      <c r="B2496" s="252" t="s">
        <v>5860</v>
      </c>
      <c r="C2496" s="253">
        <v>0</v>
      </c>
      <c r="D2496" s="252">
        <v>46982</v>
      </c>
      <c r="E2496" s="252" t="s">
        <v>3059</v>
      </c>
      <c r="F2496" s="254" t="s">
        <v>5702</v>
      </c>
      <c r="G2496" s="252" t="s">
        <v>6284</v>
      </c>
      <c r="H2496" s="252" t="s">
        <v>6285</v>
      </c>
      <c r="I2496" s="252">
        <v>12</v>
      </c>
      <c r="J2496" s="255">
        <v>1</v>
      </c>
      <c r="K2496" s="255">
        <v>1</v>
      </c>
      <c r="L2496" s="255"/>
      <c r="M2496" s="256">
        <v>1.7879999999999999E-3</v>
      </c>
      <c r="N2496" s="249">
        <v>2495</v>
      </c>
    </row>
    <row r="2497" spans="1:14" x14ac:dyDescent="0.25">
      <c r="A2497" s="252" t="s">
        <v>134</v>
      </c>
      <c r="B2497" s="252" t="s">
        <v>5860</v>
      </c>
      <c r="C2497" s="253">
        <v>0</v>
      </c>
      <c r="D2497" s="252">
        <v>46982</v>
      </c>
      <c r="E2497" s="252" t="s">
        <v>3059</v>
      </c>
      <c r="F2497" s="254" t="s">
        <v>5702</v>
      </c>
      <c r="G2497" s="252" t="s">
        <v>6286</v>
      </c>
      <c r="H2497" s="252" t="s">
        <v>6287</v>
      </c>
      <c r="I2497" s="252">
        <v>12</v>
      </c>
      <c r="J2497" s="255">
        <v>1</v>
      </c>
      <c r="K2497" s="255">
        <v>1</v>
      </c>
      <c r="L2497" s="255"/>
      <c r="M2497" s="256">
        <v>1.7879999999999999E-3</v>
      </c>
      <c r="N2497" s="249">
        <v>2496</v>
      </c>
    </row>
    <row r="2498" spans="1:14" x14ac:dyDescent="0.25">
      <c r="A2498" s="252" t="s">
        <v>134</v>
      </c>
      <c r="B2498" s="252" t="s">
        <v>5860</v>
      </c>
      <c r="C2498" s="253">
        <v>0</v>
      </c>
      <c r="D2498" s="252">
        <v>46982</v>
      </c>
      <c r="E2498" s="252" t="s">
        <v>3059</v>
      </c>
      <c r="F2498" s="254" t="s">
        <v>5702</v>
      </c>
      <c r="G2498" s="252" t="s">
        <v>6288</v>
      </c>
      <c r="H2498" s="252" t="s">
        <v>6289</v>
      </c>
      <c r="I2498" s="252">
        <v>12</v>
      </c>
      <c r="J2498" s="255">
        <v>1</v>
      </c>
      <c r="K2498" s="255">
        <v>1</v>
      </c>
      <c r="L2498" s="255"/>
      <c r="M2498" s="256">
        <v>1.7879999999999999E-3</v>
      </c>
      <c r="N2498" s="249">
        <v>2497</v>
      </c>
    </row>
    <row r="2499" spans="1:14" x14ac:dyDescent="0.25">
      <c r="A2499" s="252" t="s">
        <v>134</v>
      </c>
      <c r="B2499" s="252" t="s">
        <v>5860</v>
      </c>
      <c r="C2499" s="253">
        <v>0</v>
      </c>
      <c r="D2499" s="252">
        <v>46982</v>
      </c>
      <c r="E2499" s="252" t="s">
        <v>3059</v>
      </c>
      <c r="F2499" s="254" t="s">
        <v>5702</v>
      </c>
      <c r="G2499" s="252" t="s">
        <v>6290</v>
      </c>
      <c r="H2499" s="252" t="s">
        <v>6291</v>
      </c>
      <c r="I2499" s="252">
        <v>12</v>
      </c>
      <c r="J2499" s="255">
        <v>1</v>
      </c>
      <c r="K2499" s="255">
        <v>1</v>
      </c>
      <c r="L2499" s="255"/>
      <c r="M2499" s="256">
        <v>7.8719999999999988E-3</v>
      </c>
      <c r="N2499" s="249">
        <v>2498</v>
      </c>
    </row>
    <row r="2500" spans="1:14" x14ac:dyDescent="0.25">
      <c r="A2500" s="252" t="s">
        <v>134</v>
      </c>
      <c r="B2500" s="252" t="s">
        <v>5860</v>
      </c>
      <c r="C2500" s="253">
        <v>0</v>
      </c>
      <c r="D2500" s="252">
        <v>46982</v>
      </c>
      <c r="E2500" s="252" t="s">
        <v>3059</v>
      </c>
      <c r="F2500" s="254" t="s">
        <v>5702</v>
      </c>
      <c r="G2500" s="252" t="s">
        <v>6292</v>
      </c>
      <c r="H2500" s="252" t="s">
        <v>6293</v>
      </c>
      <c r="I2500" s="252">
        <v>12</v>
      </c>
      <c r="J2500" s="255">
        <v>1</v>
      </c>
      <c r="K2500" s="255">
        <v>1</v>
      </c>
      <c r="L2500" s="255"/>
      <c r="M2500" s="256">
        <v>4.3799999999999997E-4</v>
      </c>
      <c r="N2500" s="249">
        <v>2499</v>
      </c>
    </row>
    <row r="2501" spans="1:14" x14ac:dyDescent="0.25">
      <c r="A2501" s="252" t="s">
        <v>134</v>
      </c>
      <c r="B2501" s="252" t="s">
        <v>5860</v>
      </c>
      <c r="C2501" s="253">
        <v>0</v>
      </c>
      <c r="D2501" s="252">
        <v>46982</v>
      </c>
      <c r="E2501" s="252" t="s">
        <v>3059</v>
      </c>
      <c r="F2501" s="254" t="s">
        <v>5702</v>
      </c>
      <c r="G2501" s="252" t="s">
        <v>6294</v>
      </c>
      <c r="H2501" s="252" t="s">
        <v>6295</v>
      </c>
      <c r="I2501" s="252">
        <v>12</v>
      </c>
      <c r="J2501" s="255">
        <v>1</v>
      </c>
      <c r="K2501" s="255">
        <v>1</v>
      </c>
      <c r="L2501" s="255"/>
      <c r="M2501" s="256">
        <v>4.1999999999999996E-4</v>
      </c>
      <c r="N2501" s="249">
        <v>2500</v>
      </c>
    </row>
    <row r="2502" spans="1:14" x14ac:dyDescent="0.25">
      <c r="A2502" s="252" t="s">
        <v>134</v>
      </c>
      <c r="B2502" s="252" t="s">
        <v>5860</v>
      </c>
      <c r="C2502" s="253">
        <v>0</v>
      </c>
      <c r="D2502" s="252">
        <v>46982</v>
      </c>
      <c r="E2502" s="252" t="s">
        <v>3059</v>
      </c>
      <c r="F2502" s="254" t="s">
        <v>5702</v>
      </c>
      <c r="G2502" s="252" t="s">
        <v>6296</v>
      </c>
      <c r="H2502" s="252" t="s">
        <v>6297</v>
      </c>
      <c r="I2502" s="252">
        <v>12</v>
      </c>
      <c r="J2502" s="255">
        <v>1</v>
      </c>
      <c r="K2502" s="255">
        <v>1</v>
      </c>
      <c r="L2502" s="255"/>
      <c r="M2502" s="256">
        <v>7.8000000000000012E-5</v>
      </c>
      <c r="N2502" s="249">
        <v>2501</v>
      </c>
    </row>
    <row r="2503" spans="1:14" x14ac:dyDescent="0.25">
      <c r="A2503" s="252" t="s">
        <v>134</v>
      </c>
      <c r="B2503" s="252" t="s">
        <v>5860</v>
      </c>
      <c r="C2503" s="253">
        <v>0</v>
      </c>
      <c r="D2503" s="252">
        <v>46982</v>
      </c>
      <c r="E2503" s="252" t="s">
        <v>3059</v>
      </c>
      <c r="F2503" s="254" t="s">
        <v>5702</v>
      </c>
      <c r="G2503" s="252" t="s">
        <v>6298</v>
      </c>
      <c r="H2503" s="252" t="s">
        <v>6299</v>
      </c>
      <c r="I2503" s="252">
        <v>12</v>
      </c>
      <c r="J2503" s="255">
        <v>1</v>
      </c>
      <c r="K2503" s="255">
        <v>1</v>
      </c>
      <c r="L2503" s="255"/>
      <c r="M2503" s="256">
        <v>3.8999999999999999E-4</v>
      </c>
      <c r="N2503" s="249">
        <v>2502</v>
      </c>
    </row>
    <row r="2504" spans="1:14" x14ac:dyDescent="0.25">
      <c r="A2504" s="252" t="s">
        <v>134</v>
      </c>
      <c r="B2504" s="252" t="s">
        <v>5860</v>
      </c>
      <c r="C2504" s="253">
        <v>0</v>
      </c>
      <c r="D2504" s="252">
        <v>46982</v>
      </c>
      <c r="E2504" s="252" t="s">
        <v>3059</v>
      </c>
      <c r="F2504" s="254" t="s">
        <v>5702</v>
      </c>
      <c r="G2504" s="252" t="s">
        <v>6300</v>
      </c>
      <c r="H2504" s="252" t="s">
        <v>6301</v>
      </c>
      <c r="I2504" s="252">
        <v>12</v>
      </c>
      <c r="J2504" s="255">
        <v>1</v>
      </c>
      <c r="K2504" s="255">
        <v>1</v>
      </c>
      <c r="L2504" s="255"/>
      <c r="M2504" s="256">
        <v>3.48E-4</v>
      </c>
      <c r="N2504" s="249">
        <v>2503</v>
      </c>
    </row>
    <row r="2505" spans="1:14" x14ac:dyDescent="0.25">
      <c r="A2505" s="252" t="s">
        <v>134</v>
      </c>
      <c r="B2505" s="252" t="s">
        <v>5860</v>
      </c>
      <c r="C2505" s="253">
        <v>0</v>
      </c>
      <c r="D2505" s="252">
        <v>46982</v>
      </c>
      <c r="E2505" s="252" t="s">
        <v>3059</v>
      </c>
      <c r="F2505" s="254" t="s">
        <v>5702</v>
      </c>
      <c r="G2505" s="252" t="s">
        <v>6302</v>
      </c>
      <c r="H2505" s="252" t="s">
        <v>6303</v>
      </c>
      <c r="I2505" s="252">
        <v>12</v>
      </c>
      <c r="J2505" s="255">
        <v>1</v>
      </c>
      <c r="K2505" s="255">
        <v>1</v>
      </c>
      <c r="L2505" s="255"/>
      <c r="M2505" s="256">
        <v>1.0199999999999999E-3</v>
      </c>
      <c r="N2505" s="249">
        <v>2504</v>
      </c>
    </row>
    <row r="2506" spans="1:14" x14ac:dyDescent="0.25">
      <c r="A2506" s="252" t="s">
        <v>134</v>
      </c>
      <c r="B2506" s="252" t="s">
        <v>5860</v>
      </c>
      <c r="C2506" s="253">
        <v>0</v>
      </c>
      <c r="D2506" s="252">
        <v>46982</v>
      </c>
      <c r="E2506" s="252" t="s">
        <v>3059</v>
      </c>
      <c r="F2506" s="254" t="s">
        <v>5702</v>
      </c>
      <c r="G2506" s="252" t="s">
        <v>6304</v>
      </c>
      <c r="H2506" s="252" t="s">
        <v>6305</v>
      </c>
      <c r="I2506" s="252">
        <v>12</v>
      </c>
      <c r="J2506" s="255">
        <v>1</v>
      </c>
      <c r="K2506" s="255">
        <v>1</v>
      </c>
      <c r="L2506" s="255"/>
      <c r="M2506" s="256">
        <v>1.0199999999999999E-3</v>
      </c>
      <c r="N2506" s="249">
        <v>2505</v>
      </c>
    </row>
    <row r="2507" spans="1:14" x14ac:dyDescent="0.25">
      <c r="A2507" s="252" t="s">
        <v>134</v>
      </c>
      <c r="B2507" s="252" t="s">
        <v>5860</v>
      </c>
      <c r="C2507" s="253">
        <v>0</v>
      </c>
      <c r="D2507" s="252">
        <v>46982</v>
      </c>
      <c r="E2507" s="252" t="s">
        <v>3059</v>
      </c>
      <c r="F2507" s="254" t="s">
        <v>5702</v>
      </c>
      <c r="G2507" s="252" t="s">
        <v>6306</v>
      </c>
      <c r="H2507" s="252" t="s">
        <v>6307</v>
      </c>
      <c r="I2507" s="252">
        <v>12</v>
      </c>
      <c r="J2507" s="255">
        <v>1</v>
      </c>
      <c r="K2507" s="255">
        <v>1</v>
      </c>
      <c r="L2507" s="255"/>
      <c r="M2507" s="256">
        <v>1.0199999999999999E-3</v>
      </c>
      <c r="N2507" s="249">
        <v>2506</v>
      </c>
    </row>
    <row r="2508" spans="1:14" x14ac:dyDescent="0.25">
      <c r="A2508" s="252" t="s">
        <v>134</v>
      </c>
      <c r="B2508" s="252" t="s">
        <v>5860</v>
      </c>
      <c r="C2508" s="253">
        <v>0</v>
      </c>
      <c r="D2508" s="252">
        <v>46982</v>
      </c>
      <c r="E2508" s="252" t="s">
        <v>3059</v>
      </c>
      <c r="F2508" s="254" t="s">
        <v>5702</v>
      </c>
      <c r="G2508" s="252" t="s">
        <v>6308</v>
      </c>
      <c r="H2508" s="252" t="s">
        <v>6309</v>
      </c>
      <c r="I2508" s="252">
        <v>12</v>
      </c>
      <c r="J2508" s="255">
        <v>1</v>
      </c>
      <c r="K2508" s="255">
        <v>1</v>
      </c>
      <c r="L2508" s="255"/>
      <c r="M2508" s="256">
        <v>1.0199999999999999E-3</v>
      </c>
      <c r="N2508" s="249">
        <v>2507</v>
      </c>
    </row>
    <row r="2509" spans="1:14" x14ac:dyDescent="0.25">
      <c r="A2509" s="252" t="s">
        <v>134</v>
      </c>
      <c r="B2509" s="252" t="s">
        <v>5860</v>
      </c>
      <c r="C2509" s="253">
        <v>0</v>
      </c>
      <c r="D2509" s="252">
        <v>46982</v>
      </c>
      <c r="E2509" s="252" t="s">
        <v>3059</v>
      </c>
      <c r="F2509" s="254" t="s">
        <v>5702</v>
      </c>
      <c r="G2509" s="252" t="s">
        <v>6310</v>
      </c>
      <c r="H2509" s="252" t="s">
        <v>6311</v>
      </c>
      <c r="I2509" s="252">
        <v>12</v>
      </c>
      <c r="J2509" s="255">
        <v>1</v>
      </c>
      <c r="K2509" s="255">
        <v>1</v>
      </c>
      <c r="L2509" s="255"/>
      <c r="M2509" s="256">
        <v>3.48E-4</v>
      </c>
      <c r="N2509" s="249">
        <v>2508</v>
      </c>
    </row>
    <row r="2510" spans="1:14" x14ac:dyDescent="0.25">
      <c r="A2510" s="252" t="s">
        <v>134</v>
      </c>
      <c r="B2510" s="252" t="s">
        <v>5860</v>
      </c>
      <c r="C2510" s="253">
        <v>0</v>
      </c>
      <c r="D2510" s="252">
        <v>46982</v>
      </c>
      <c r="E2510" s="252" t="s">
        <v>3059</v>
      </c>
      <c r="F2510" s="254" t="s">
        <v>5702</v>
      </c>
      <c r="G2510" s="252" t="s">
        <v>6312</v>
      </c>
      <c r="H2510" s="252" t="s">
        <v>6313</v>
      </c>
      <c r="I2510" s="252">
        <v>12</v>
      </c>
      <c r="J2510" s="255">
        <v>1</v>
      </c>
      <c r="K2510" s="255">
        <v>1</v>
      </c>
      <c r="L2510" s="255"/>
      <c r="M2510" s="256">
        <v>1.0199999999999999E-3</v>
      </c>
      <c r="N2510" s="249">
        <v>2509</v>
      </c>
    </row>
    <row r="2511" spans="1:14" x14ac:dyDescent="0.25">
      <c r="A2511" s="252" t="s">
        <v>134</v>
      </c>
      <c r="B2511" s="252" t="s">
        <v>5860</v>
      </c>
      <c r="C2511" s="253">
        <v>0</v>
      </c>
      <c r="D2511" s="252">
        <v>46982</v>
      </c>
      <c r="E2511" s="252" t="s">
        <v>3059</v>
      </c>
      <c r="F2511" s="254" t="s">
        <v>5702</v>
      </c>
      <c r="G2511" s="252" t="s">
        <v>6314</v>
      </c>
      <c r="H2511" s="252" t="s">
        <v>6315</v>
      </c>
      <c r="I2511" s="252">
        <v>12</v>
      </c>
      <c r="J2511" s="255">
        <v>1</v>
      </c>
      <c r="K2511" s="255">
        <v>1</v>
      </c>
      <c r="L2511" s="255"/>
      <c r="M2511" s="256">
        <v>1.0199999999999999E-3</v>
      </c>
      <c r="N2511" s="249">
        <v>2510</v>
      </c>
    </row>
    <row r="2512" spans="1:14" x14ac:dyDescent="0.25">
      <c r="A2512" s="252" t="s">
        <v>134</v>
      </c>
      <c r="B2512" s="252" t="s">
        <v>5860</v>
      </c>
      <c r="C2512" s="253">
        <v>0</v>
      </c>
      <c r="D2512" s="252">
        <v>46982</v>
      </c>
      <c r="E2512" s="252" t="s">
        <v>3059</v>
      </c>
      <c r="F2512" s="254" t="s">
        <v>5702</v>
      </c>
      <c r="G2512" s="252" t="s">
        <v>6316</v>
      </c>
      <c r="H2512" s="252" t="s">
        <v>6317</v>
      </c>
      <c r="I2512" s="252">
        <v>12</v>
      </c>
      <c r="J2512" s="255">
        <v>1</v>
      </c>
      <c r="K2512" s="255">
        <v>1</v>
      </c>
      <c r="L2512" s="255"/>
      <c r="M2512" s="256">
        <v>1.0199999999999999E-3</v>
      </c>
      <c r="N2512" s="249">
        <v>2511</v>
      </c>
    </row>
    <row r="2513" spans="1:14" x14ac:dyDescent="0.25">
      <c r="A2513" s="252" t="s">
        <v>134</v>
      </c>
      <c r="B2513" s="252" t="s">
        <v>5860</v>
      </c>
      <c r="C2513" s="253">
        <v>0</v>
      </c>
      <c r="D2513" s="252">
        <v>46982</v>
      </c>
      <c r="E2513" s="252" t="s">
        <v>3059</v>
      </c>
      <c r="F2513" s="254" t="s">
        <v>5702</v>
      </c>
      <c r="G2513" s="252" t="s">
        <v>6318</v>
      </c>
      <c r="H2513" s="252" t="s">
        <v>6319</v>
      </c>
      <c r="I2513" s="252">
        <v>12</v>
      </c>
      <c r="J2513" s="255">
        <v>1</v>
      </c>
      <c r="K2513" s="255">
        <v>1</v>
      </c>
      <c r="L2513" s="255"/>
      <c r="M2513" s="256">
        <v>1.0199999999999999E-3</v>
      </c>
      <c r="N2513" s="249">
        <v>2512</v>
      </c>
    </row>
    <row r="2514" spans="1:14" x14ac:dyDescent="0.25">
      <c r="A2514" s="252" t="s">
        <v>134</v>
      </c>
      <c r="B2514" s="252" t="s">
        <v>5860</v>
      </c>
      <c r="C2514" s="253">
        <v>0</v>
      </c>
      <c r="D2514" s="252">
        <v>46982</v>
      </c>
      <c r="E2514" s="252" t="s">
        <v>3059</v>
      </c>
      <c r="F2514" s="254" t="s">
        <v>5702</v>
      </c>
      <c r="G2514" s="252" t="s">
        <v>6320</v>
      </c>
      <c r="H2514" s="252" t="s">
        <v>6321</v>
      </c>
      <c r="I2514" s="252">
        <v>12</v>
      </c>
      <c r="J2514" s="255">
        <v>1</v>
      </c>
      <c r="K2514" s="255">
        <v>1</v>
      </c>
      <c r="L2514" s="255"/>
      <c r="M2514" s="256">
        <v>4.7699999999999999E-4</v>
      </c>
      <c r="N2514" s="249">
        <v>2513</v>
      </c>
    </row>
    <row r="2515" spans="1:14" x14ac:dyDescent="0.25">
      <c r="A2515" s="252" t="s">
        <v>134</v>
      </c>
      <c r="B2515" s="252" t="s">
        <v>5860</v>
      </c>
      <c r="C2515" s="253">
        <v>0</v>
      </c>
      <c r="D2515" s="252">
        <v>46982</v>
      </c>
      <c r="E2515" s="252" t="s">
        <v>3059</v>
      </c>
      <c r="F2515" s="254" t="s">
        <v>5702</v>
      </c>
      <c r="G2515" s="252" t="s">
        <v>6322</v>
      </c>
      <c r="H2515" s="252" t="s">
        <v>6323</v>
      </c>
      <c r="I2515" s="252">
        <v>12</v>
      </c>
      <c r="J2515" s="255">
        <v>1</v>
      </c>
      <c r="K2515" s="255">
        <v>1</v>
      </c>
      <c r="L2515" s="255"/>
      <c r="M2515" s="256">
        <v>6.0299999999999991E-4</v>
      </c>
      <c r="N2515" s="249">
        <v>2514</v>
      </c>
    </row>
    <row r="2516" spans="1:14" x14ac:dyDescent="0.25">
      <c r="A2516" s="252" t="s">
        <v>134</v>
      </c>
      <c r="B2516" s="252" t="s">
        <v>5860</v>
      </c>
      <c r="C2516" s="253">
        <v>0</v>
      </c>
      <c r="D2516" s="252">
        <v>46982</v>
      </c>
      <c r="E2516" s="252" t="s">
        <v>3059</v>
      </c>
      <c r="F2516" s="254" t="s">
        <v>5702</v>
      </c>
      <c r="G2516" s="252" t="s">
        <v>6324</v>
      </c>
      <c r="H2516" s="252" t="s">
        <v>6325</v>
      </c>
      <c r="I2516" s="252">
        <v>12</v>
      </c>
      <c r="J2516" s="255">
        <v>1</v>
      </c>
      <c r="K2516" s="255">
        <v>1</v>
      </c>
      <c r="L2516" s="255"/>
      <c r="M2516" s="256">
        <v>5.6999999999999998E-4</v>
      </c>
      <c r="N2516" s="249">
        <v>2515</v>
      </c>
    </row>
    <row r="2517" spans="1:14" x14ac:dyDescent="0.25">
      <c r="A2517" s="252" t="s">
        <v>134</v>
      </c>
      <c r="B2517" s="252" t="s">
        <v>5860</v>
      </c>
      <c r="C2517" s="253">
        <v>0</v>
      </c>
      <c r="D2517" s="252">
        <v>46982</v>
      </c>
      <c r="E2517" s="252" t="s">
        <v>3059</v>
      </c>
      <c r="F2517" s="254" t="s">
        <v>5702</v>
      </c>
      <c r="G2517" s="252" t="s">
        <v>6326</v>
      </c>
      <c r="H2517" s="252" t="s">
        <v>6327</v>
      </c>
      <c r="I2517" s="252">
        <v>12</v>
      </c>
      <c r="J2517" s="255">
        <v>1</v>
      </c>
      <c r="K2517" s="255">
        <v>1</v>
      </c>
      <c r="L2517" s="255"/>
      <c r="M2517" s="256">
        <v>1.7879999999999999E-3</v>
      </c>
      <c r="N2517" s="249">
        <v>2516</v>
      </c>
    </row>
    <row r="2518" spans="1:14" x14ac:dyDescent="0.25">
      <c r="A2518" s="252" t="s">
        <v>134</v>
      </c>
      <c r="B2518" s="252" t="s">
        <v>5860</v>
      </c>
      <c r="C2518" s="253">
        <v>0</v>
      </c>
      <c r="D2518" s="252">
        <v>46982</v>
      </c>
      <c r="E2518" s="252" t="s">
        <v>3059</v>
      </c>
      <c r="F2518" s="254" t="s">
        <v>5702</v>
      </c>
      <c r="G2518" s="252" t="s">
        <v>6328</v>
      </c>
      <c r="H2518" s="252" t="s">
        <v>6329</v>
      </c>
      <c r="I2518" s="252">
        <v>12</v>
      </c>
      <c r="J2518" s="255">
        <v>1</v>
      </c>
      <c r="K2518" s="255">
        <v>1</v>
      </c>
      <c r="L2518" s="255"/>
      <c r="M2518" s="256">
        <v>1.7879999999999999E-3</v>
      </c>
      <c r="N2518" s="249">
        <v>2517</v>
      </c>
    </row>
    <row r="2519" spans="1:14" x14ac:dyDescent="0.25">
      <c r="A2519" s="252" t="s">
        <v>134</v>
      </c>
      <c r="B2519" s="252" t="s">
        <v>5860</v>
      </c>
      <c r="C2519" s="253">
        <v>0</v>
      </c>
      <c r="D2519" s="252">
        <v>46982</v>
      </c>
      <c r="E2519" s="252" t="s">
        <v>3059</v>
      </c>
      <c r="F2519" s="254" t="s">
        <v>5702</v>
      </c>
      <c r="G2519" s="252" t="s">
        <v>6330</v>
      </c>
      <c r="H2519" s="252" t="s">
        <v>6331</v>
      </c>
      <c r="I2519" s="252">
        <v>12</v>
      </c>
      <c r="J2519" s="255">
        <v>1</v>
      </c>
      <c r="K2519" s="255">
        <v>1</v>
      </c>
      <c r="L2519" s="255"/>
      <c r="M2519" s="256">
        <v>1.7879999999999999E-3</v>
      </c>
      <c r="N2519" s="249">
        <v>2518</v>
      </c>
    </row>
    <row r="2520" spans="1:14" x14ac:dyDescent="0.25">
      <c r="A2520" s="252" t="s">
        <v>134</v>
      </c>
      <c r="B2520" s="252" t="s">
        <v>5860</v>
      </c>
      <c r="C2520" s="253">
        <v>0</v>
      </c>
      <c r="D2520" s="252">
        <v>46982</v>
      </c>
      <c r="E2520" s="252" t="s">
        <v>3059</v>
      </c>
      <c r="F2520" s="254" t="s">
        <v>5702</v>
      </c>
      <c r="G2520" s="252" t="s">
        <v>6332</v>
      </c>
      <c r="H2520" s="252" t="s">
        <v>6333</v>
      </c>
      <c r="I2520" s="252">
        <v>12</v>
      </c>
      <c r="J2520" s="255">
        <v>1</v>
      </c>
      <c r="K2520" s="255">
        <v>1</v>
      </c>
      <c r="L2520" s="255"/>
      <c r="M2520" s="256">
        <v>1.7879999999999999E-3</v>
      </c>
      <c r="N2520" s="249">
        <v>2519</v>
      </c>
    </row>
    <row r="2521" spans="1:14" x14ac:dyDescent="0.25">
      <c r="A2521" s="252" t="s">
        <v>134</v>
      </c>
      <c r="B2521" s="252" t="s">
        <v>5860</v>
      </c>
      <c r="C2521" s="253">
        <v>0</v>
      </c>
      <c r="D2521" s="252">
        <v>46982</v>
      </c>
      <c r="E2521" s="252" t="s">
        <v>3059</v>
      </c>
      <c r="F2521" s="254" t="s">
        <v>5702</v>
      </c>
      <c r="G2521" s="252" t="s">
        <v>6334</v>
      </c>
      <c r="H2521" s="252" t="s">
        <v>6335</v>
      </c>
      <c r="I2521" s="252">
        <v>12</v>
      </c>
      <c r="J2521" s="255">
        <v>1</v>
      </c>
      <c r="K2521" s="255">
        <v>1</v>
      </c>
      <c r="L2521" s="255"/>
      <c r="M2521" s="256">
        <v>1.7879999999999999E-3</v>
      </c>
      <c r="N2521" s="249">
        <v>2520</v>
      </c>
    </row>
    <row r="2522" spans="1:14" x14ac:dyDescent="0.25">
      <c r="A2522" s="252" t="s">
        <v>134</v>
      </c>
      <c r="B2522" s="252" t="s">
        <v>5860</v>
      </c>
      <c r="C2522" s="253">
        <v>0</v>
      </c>
      <c r="D2522" s="252">
        <v>46982</v>
      </c>
      <c r="E2522" s="252" t="s">
        <v>3059</v>
      </c>
      <c r="F2522" s="254" t="s">
        <v>5702</v>
      </c>
      <c r="G2522" s="252" t="s">
        <v>6336</v>
      </c>
      <c r="H2522" s="252" t="s">
        <v>6337</v>
      </c>
      <c r="I2522" s="252">
        <v>12</v>
      </c>
      <c r="J2522" s="255">
        <v>1</v>
      </c>
      <c r="K2522" s="255">
        <v>1</v>
      </c>
      <c r="L2522" s="255"/>
      <c r="M2522" s="256">
        <v>7.8719999999999988E-3</v>
      </c>
      <c r="N2522" s="249">
        <v>2521</v>
      </c>
    </row>
    <row r="2523" spans="1:14" x14ac:dyDescent="0.25">
      <c r="A2523" s="252" t="s">
        <v>134</v>
      </c>
      <c r="B2523" s="252" t="s">
        <v>5860</v>
      </c>
      <c r="C2523" s="253">
        <v>0</v>
      </c>
      <c r="D2523" s="252">
        <v>46982</v>
      </c>
      <c r="E2523" s="252" t="s">
        <v>3059</v>
      </c>
      <c r="F2523" s="254" t="s">
        <v>5702</v>
      </c>
      <c r="G2523" s="252" t="s">
        <v>6338</v>
      </c>
      <c r="H2523" s="252" t="s">
        <v>6339</v>
      </c>
      <c r="I2523" s="252">
        <v>12</v>
      </c>
      <c r="J2523" s="255">
        <v>1</v>
      </c>
      <c r="K2523" s="255">
        <v>1</v>
      </c>
      <c r="L2523" s="255"/>
      <c r="M2523" s="256">
        <v>4.3799999999999997E-4</v>
      </c>
      <c r="N2523" s="249">
        <v>2522</v>
      </c>
    </row>
    <row r="2524" spans="1:14" x14ac:dyDescent="0.25">
      <c r="A2524" s="252" t="s">
        <v>134</v>
      </c>
      <c r="B2524" s="252" t="s">
        <v>5860</v>
      </c>
      <c r="C2524" s="253">
        <v>0</v>
      </c>
      <c r="D2524" s="252">
        <v>46982</v>
      </c>
      <c r="E2524" s="252" t="s">
        <v>3059</v>
      </c>
      <c r="F2524" s="254" t="s">
        <v>5702</v>
      </c>
      <c r="G2524" s="252" t="s">
        <v>6340</v>
      </c>
      <c r="H2524" s="252" t="s">
        <v>6341</v>
      </c>
      <c r="I2524" s="252">
        <v>12</v>
      </c>
      <c r="J2524" s="255">
        <v>1</v>
      </c>
      <c r="K2524" s="255">
        <v>1</v>
      </c>
      <c r="L2524" s="255"/>
      <c r="M2524" s="256">
        <v>4.1999999999999996E-4</v>
      </c>
      <c r="N2524" s="249">
        <v>2523</v>
      </c>
    </row>
    <row r="2525" spans="1:14" x14ac:dyDescent="0.25">
      <c r="A2525" s="252" t="s">
        <v>134</v>
      </c>
      <c r="B2525" s="252" t="s">
        <v>5860</v>
      </c>
      <c r="C2525" s="253">
        <v>0</v>
      </c>
      <c r="D2525" s="252">
        <v>46982</v>
      </c>
      <c r="E2525" s="252" t="s">
        <v>3059</v>
      </c>
      <c r="F2525" s="254" t="s">
        <v>5702</v>
      </c>
      <c r="G2525" s="252" t="s">
        <v>6342</v>
      </c>
      <c r="H2525" s="252" t="s">
        <v>6343</v>
      </c>
      <c r="I2525" s="252">
        <v>12</v>
      </c>
      <c r="J2525" s="255">
        <v>1</v>
      </c>
      <c r="K2525" s="255">
        <v>1</v>
      </c>
      <c r="L2525" s="255"/>
      <c r="M2525" s="256">
        <v>7.8000000000000012E-5</v>
      </c>
      <c r="N2525" s="249">
        <v>2524</v>
      </c>
    </row>
    <row r="2526" spans="1:14" x14ac:dyDescent="0.25">
      <c r="A2526" s="252" t="s">
        <v>134</v>
      </c>
      <c r="B2526" s="252" t="s">
        <v>5860</v>
      </c>
      <c r="C2526" s="253">
        <v>0</v>
      </c>
      <c r="D2526" s="252">
        <v>46982</v>
      </c>
      <c r="E2526" s="252" t="s">
        <v>3059</v>
      </c>
      <c r="F2526" s="254" t="s">
        <v>5702</v>
      </c>
      <c r="G2526" s="252" t="s">
        <v>6344</v>
      </c>
      <c r="H2526" s="252" t="s">
        <v>6345</v>
      </c>
      <c r="I2526" s="252">
        <v>12</v>
      </c>
      <c r="J2526" s="255">
        <v>1</v>
      </c>
      <c r="K2526" s="255">
        <v>1</v>
      </c>
      <c r="L2526" s="255"/>
      <c r="M2526" s="256">
        <v>3.8999999999999999E-4</v>
      </c>
      <c r="N2526" s="249">
        <v>2525</v>
      </c>
    </row>
    <row r="2527" spans="1:14" x14ac:dyDescent="0.25">
      <c r="A2527" s="252" t="s">
        <v>134</v>
      </c>
      <c r="B2527" s="252" t="s">
        <v>5860</v>
      </c>
      <c r="C2527" s="253">
        <v>0</v>
      </c>
      <c r="D2527" s="252">
        <v>46982</v>
      </c>
      <c r="E2527" s="252" t="s">
        <v>3059</v>
      </c>
      <c r="F2527" s="254" t="s">
        <v>5702</v>
      </c>
      <c r="G2527" s="252" t="s">
        <v>6346</v>
      </c>
      <c r="H2527" s="252" t="s">
        <v>6347</v>
      </c>
      <c r="I2527" s="252">
        <v>12</v>
      </c>
      <c r="J2527" s="255">
        <v>1</v>
      </c>
      <c r="K2527" s="255">
        <v>1</v>
      </c>
      <c r="L2527" s="255"/>
      <c r="M2527" s="256">
        <v>3.48E-4</v>
      </c>
      <c r="N2527" s="249">
        <v>2526</v>
      </c>
    </row>
    <row r="2528" spans="1:14" x14ac:dyDescent="0.25">
      <c r="A2528" s="252" t="s">
        <v>134</v>
      </c>
      <c r="B2528" s="252" t="s">
        <v>5860</v>
      </c>
      <c r="C2528" s="253">
        <v>0</v>
      </c>
      <c r="D2528" s="252">
        <v>46982</v>
      </c>
      <c r="E2528" s="252" t="s">
        <v>3059</v>
      </c>
      <c r="F2528" s="254" t="s">
        <v>5702</v>
      </c>
      <c r="G2528" s="252" t="s">
        <v>6348</v>
      </c>
      <c r="H2528" s="252" t="s">
        <v>6349</v>
      </c>
      <c r="I2528" s="252">
        <v>12</v>
      </c>
      <c r="J2528" s="255">
        <v>1</v>
      </c>
      <c r="K2528" s="255">
        <v>1</v>
      </c>
      <c r="L2528" s="255"/>
      <c r="M2528" s="256">
        <v>1.0199999999999999E-3</v>
      </c>
      <c r="N2528" s="249">
        <v>2527</v>
      </c>
    </row>
    <row r="2529" spans="1:14" x14ac:dyDescent="0.25">
      <c r="A2529" s="252" t="s">
        <v>134</v>
      </c>
      <c r="B2529" s="252" t="s">
        <v>5860</v>
      </c>
      <c r="C2529" s="253">
        <v>0</v>
      </c>
      <c r="D2529" s="252">
        <v>46982</v>
      </c>
      <c r="E2529" s="252" t="s">
        <v>3059</v>
      </c>
      <c r="F2529" s="254" t="s">
        <v>5702</v>
      </c>
      <c r="G2529" s="252" t="s">
        <v>6350</v>
      </c>
      <c r="H2529" s="252" t="s">
        <v>6351</v>
      </c>
      <c r="I2529" s="252">
        <v>12</v>
      </c>
      <c r="J2529" s="255">
        <v>1</v>
      </c>
      <c r="K2529" s="255">
        <v>1</v>
      </c>
      <c r="L2529" s="255"/>
      <c r="M2529" s="256">
        <v>1.0199999999999999E-3</v>
      </c>
      <c r="N2529" s="249">
        <v>2528</v>
      </c>
    </row>
    <row r="2530" spans="1:14" x14ac:dyDescent="0.25">
      <c r="A2530" s="252" t="s">
        <v>134</v>
      </c>
      <c r="B2530" s="252" t="s">
        <v>5860</v>
      </c>
      <c r="C2530" s="253">
        <v>0</v>
      </c>
      <c r="D2530" s="252">
        <v>46982</v>
      </c>
      <c r="E2530" s="252" t="s">
        <v>3059</v>
      </c>
      <c r="F2530" s="254" t="s">
        <v>5702</v>
      </c>
      <c r="G2530" s="252" t="s">
        <v>6352</v>
      </c>
      <c r="H2530" s="252" t="s">
        <v>6353</v>
      </c>
      <c r="I2530" s="252">
        <v>12</v>
      </c>
      <c r="J2530" s="255">
        <v>1</v>
      </c>
      <c r="K2530" s="255">
        <v>1</v>
      </c>
      <c r="L2530" s="255"/>
      <c r="M2530" s="256">
        <v>1.0199999999999999E-3</v>
      </c>
      <c r="N2530" s="249">
        <v>2529</v>
      </c>
    </row>
    <row r="2531" spans="1:14" x14ac:dyDescent="0.25">
      <c r="A2531" s="252" t="s">
        <v>134</v>
      </c>
      <c r="B2531" s="252" t="s">
        <v>5860</v>
      </c>
      <c r="C2531" s="253">
        <v>0</v>
      </c>
      <c r="D2531" s="252">
        <v>46982</v>
      </c>
      <c r="E2531" s="252" t="s">
        <v>3059</v>
      </c>
      <c r="F2531" s="254" t="s">
        <v>5702</v>
      </c>
      <c r="G2531" s="252" t="s">
        <v>6354</v>
      </c>
      <c r="H2531" s="252" t="s">
        <v>6355</v>
      </c>
      <c r="I2531" s="252">
        <v>12</v>
      </c>
      <c r="J2531" s="255">
        <v>1</v>
      </c>
      <c r="K2531" s="255">
        <v>1</v>
      </c>
      <c r="L2531" s="255"/>
      <c r="M2531" s="256">
        <v>1.0199999999999999E-3</v>
      </c>
      <c r="N2531" s="249">
        <v>2530</v>
      </c>
    </row>
    <row r="2532" spans="1:14" x14ac:dyDescent="0.25">
      <c r="A2532" s="252" t="s">
        <v>134</v>
      </c>
      <c r="B2532" s="252" t="s">
        <v>5860</v>
      </c>
      <c r="C2532" s="253">
        <v>0</v>
      </c>
      <c r="D2532" s="252">
        <v>46982</v>
      </c>
      <c r="E2532" s="252" t="s">
        <v>3059</v>
      </c>
      <c r="F2532" s="254" t="s">
        <v>5702</v>
      </c>
      <c r="G2532" s="252" t="s">
        <v>6356</v>
      </c>
      <c r="H2532" s="252" t="s">
        <v>6357</v>
      </c>
      <c r="I2532" s="252">
        <v>12</v>
      </c>
      <c r="J2532" s="255">
        <v>1</v>
      </c>
      <c r="K2532" s="255">
        <v>1</v>
      </c>
      <c r="L2532" s="255"/>
      <c r="M2532" s="256">
        <v>3.48E-4</v>
      </c>
      <c r="N2532" s="249">
        <v>2531</v>
      </c>
    </row>
    <row r="2533" spans="1:14" x14ac:dyDescent="0.25">
      <c r="A2533" s="252" t="s">
        <v>134</v>
      </c>
      <c r="B2533" s="252" t="s">
        <v>5860</v>
      </c>
      <c r="C2533" s="253">
        <v>0</v>
      </c>
      <c r="D2533" s="252">
        <v>46982</v>
      </c>
      <c r="E2533" s="252" t="s">
        <v>3059</v>
      </c>
      <c r="F2533" s="254" t="s">
        <v>5702</v>
      </c>
      <c r="G2533" s="252" t="s">
        <v>6358</v>
      </c>
      <c r="H2533" s="252" t="s">
        <v>6359</v>
      </c>
      <c r="I2533" s="252">
        <v>12</v>
      </c>
      <c r="J2533" s="255">
        <v>1</v>
      </c>
      <c r="K2533" s="255">
        <v>1</v>
      </c>
      <c r="L2533" s="255"/>
      <c r="M2533" s="256">
        <v>1.0199999999999999E-3</v>
      </c>
      <c r="N2533" s="249">
        <v>2532</v>
      </c>
    </row>
    <row r="2534" spans="1:14" x14ac:dyDescent="0.25">
      <c r="A2534" s="252" t="s">
        <v>134</v>
      </c>
      <c r="B2534" s="252" t="s">
        <v>5860</v>
      </c>
      <c r="C2534" s="253">
        <v>0</v>
      </c>
      <c r="D2534" s="252">
        <v>46982</v>
      </c>
      <c r="E2534" s="252" t="s">
        <v>3059</v>
      </c>
      <c r="F2534" s="254" t="s">
        <v>5702</v>
      </c>
      <c r="G2534" s="252" t="s">
        <v>6360</v>
      </c>
      <c r="H2534" s="252" t="s">
        <v>6361</v>
      </c>
      <c r="I2534" s="252">
        <v>12</v>
      </c>
      <c r="J2534" s="255">
        <v>1</v>
      </c>
      <c r="K2534" s="255">
        <v>1</v>
      </c>
      <c r="L2534" s="255"/>
      <c r="M2534" s="256">
        <v>1.0199999999999999E-3</v>
      </c>
      <c r="N2534" s="249">
        <v>2533</v>
      </c>
    </row>
    <row r="2535" spans="1:14" x14ac:dyDescent="0.25">
      <c r="A2535" s="252" t="s">
        <v>134</v>
      </c>
      <c r="B2535" s="252" t="s">
        <v>5860</v>
      </c>
      <c r="C2535" s="253">
        <v>0</v>
      </c>
      <c r="D2535" s="252">
        <v>46982</v>
      </c>
      <c r="E2535" s="252" t="s">
        <v>3059</v>
      </c>
      <c r="F2535" s="254" t="s">
        <v>5702</v>
      </c>
      <c r="G2535" s="252" t="s">
        <v>6362</v>
      </c>
      <c r="H2535" s="252" t="s">
        <v>6363</v>
      </c>
      <c r="I2535" s="252">
        <v>12</v>
      </c>
      <c r="J2535" s="255">
        <v>1</v>
      </c>
      <c r="K2535" s="255">
        <v>1</v>
      </c>
      <c r="L2535" s="255"/>
      <c r="M2535" s="256">
        <v>1.0199999999999999E-3</v>
      </c>
      <c r="N2535" s="249">
        <v>2534</v>
      </c>
    </row>
    <row r="2536" spans="1:14" x14ac:dyDescent="0.25">
      <c r="A2536" s="252" t="s">
        <v>134</v>
      </c>
      <c r="B2536" s="252" t="s">
        <v>5860</v>
      </c>
      <c r="C2536" s="253">
        <v>0</v>
      </c>
      <c r="D2536" s="252">
        <v>46982</v>
      </c>
      <c r="E2536" s="252" t="s">
        <v>3059</v>
      </c>
      <c r="F2536" s="254" t="s">
        <v>5702</v>
      </c>
      <c r="G2536" s="252" t="s">
        <v>6364</v>
      </c>
      <c r="H2536" s="252" t="s">
        <v>6365</v>
      </c>
      <c r="I2536" s="252">
        <v>12</v>
      </c>
      <c r="J2536" s="255">
        <v>1</v>
      </c>
      <c r="K2536" s="255">
        <v>1</v>
      </c>
      <c r="L2536" s="255"/>
      <c r="M2536" s="256">
        <v>1.0199999999999999E-3</v>
      </c>
      <c r="N2536" s="249">
        <v>2535</v>
      </c>
    </row>
    <row r="2537" spans="1:14" x14ac:dyDescent="0.25">
      <c r="A2537" s="252" t="s">
        <v>134</v>
      </c>
      <c r="B2537" s="252" t="s">
        <v>5860</v>
      </c>
      <c r="C2537" s="253">
        <v>0</v>
      </c>
      <c r="D2537" s="252">
        <v>46982</v>
      </c>
      <c r="E2537" s="252" t="s">
        <v>3059</v>
      </c>
      <c r="F2537" s="254" t="s">
        <v>5702</v>
      </c>
      <c r="G2537" s="252" t="s">
        <v>6366</v>
      </c>
      <c r="H2537" s="252" t="s">
        <v>6367</v>
      </c>
      <c r="I2537" s="252">
        <v>12</v>
      </c>
      <c r="J2537" s="255">
        <v>1</v>
      </c>
      <c r="K2537" s="255">
        <v>1</v>
      </c>
      <c r="L2537" s="255"/>
      <c r="M2537" s="256">
        <v>4.7699999999999999E-4</v>
      </c>
      <c r="N2537" s="249">
        <v>2536</v>
      </c>
    </row>
    <row r="2538" spans="1:14" x14ac:dyDescent="0.25">
      <c r="A2538" s="252" t="s">
        <v>134</v>
      </c>
      <c r="B2538" s="252" t="s">
        <v>5860</v>
      </c>
      <c r="C2538" s="253">
        <v>0</v>
      </c>
      <c r="D2538" s="252">
        <v>46982</v>
      </c>
      <c r="E2538" s="252" t="s">
        <v>3059</v>
      </c>
      <c r="F2538" s="254" t="s">
        <v>5702</v>
      </c>
      <c r="G2538" s="252" t="s">
        <v>6368</v>
      </c>
      <c r="H2538" s="252" t="s">
        <v>6369</v>
      </c>
      <c r="I2538" s="252">
        <v>12</v>
      </c>
      <c r="J2538" s="255">
        <v>1</v>
      </c>
      <c r="K2538" s="255">
        <v>1</v>
      </c>
      <c r="L2538" s="255"/>
      <c r="M2538" s="256">
        <v>6.0299999999999991E-4</v>
      </c>
      <c r="N2538" s="249">
        <v>2537</v>
      </c>
    </row>
    <row r="2539" spans="1:14" x14ac:dyDescent="0.25">
      <c r="A2539" s="252" t="s">
        <v>134</v>
      </c>
      <c r="B2539" s="252" t="s">
        <v>5860</v>
      </c>
      <c r="C2539" s="253">
        <v>0</v>
      </c>
      <c r="D2539" s="252">
        <v>46982</v>
      </c>
      <c r="E2539" s="252" t="s">
        <v>3059</v>
      </c>
      <c r="F2539" s="254" t="s">
        <v>5702</v>
      </c>
      <c r="G2539" s="252" t="s">
        <v>6370</v>
      </c>
      <c r="H2539" s="252" t="s">
        <v>6371</v>
      </c>
      <c r="I2539" s="252">
        <v>12</v>
      </c>
      <c r="J2539" s="255">
        <v>1</v>
      </c>
      <c r="K2539" s="255">
        <v>1</v>
      </c>
      <c r="L2539" s="255"/>
      <c r="M2539" s="256">
        <v>5.6999999999999998E-4</v>
      </c>
      <c r="N2539" s="249">
        <v>2538</v>
      </c>
    </row>
    <row r="2540" spans="1:14" x14ac:dyDescent="0.25">
      <c r="A2540" s="252" t="s">
        <v>134</v>
      </c>
      <c r="B2540" s="252" t="s">
        <v>5860</v>
      </c>
      <c r="C2540" s="253">
        <v>0</v>
      </c>
      <c r="D2540" s="252">
        <v>46982</v>
      </c>
      <c r="E2540" s="252" t="s">
        <v>3059</v>
      </c>
      <c r="F2540" s="254" t="s">
        <v>5702</v>
      </c>
      <c r="G2540" s="252" t="s">
        <v>6372</v>
      </c>
      <c r="H2540" s="252" t="s">
        <v>6373</v>
      </c>
      <c r="I2540" s="252">
        <v>12</v>
      </c>
      <c r="J2540" s="255">
        <v>1</v>
      </c>
      <c r="K2540" s="255">
        <v>1</v>
      </c>
      <c r="L2540" s="255"/>
      <c r="M2540" s="256">
        <v>4.4399999999999995E-4</v>
      </c>
      <c r="N2540" s="249">
        <v>2539</v>
      </c>
    </row>
    <row r="2541" spans="1:14" x14ac:dyDescent="0.25">
      <c r="A2541" s="252" t="s">
        <v>134</v>
      </c>
      <c r="B2541" s="252" t="s">
        <v>5860</v>
      </c>
      <c r="C2541" s="253">
        <v>0</v>
      </c>
      <c r="D2541" s="252">
        <v>46982</v>
      </c>
      <c r="E2541" s="252" t="s">
        <v>5528</v>
      </c>
      <c r="F2541" s="254" t="s">
        <v>5702</v>
      </c>
      <c r="G2541" s="252" t="s">
        <v>6374</v>
      </c>
      <c r="H2541" s="252" t="s">
        <v>6375</v>
      </c>
      <c r="I2541" s="252">
        <v>12</v>
      </c>
      <c r="J2541" s="255">
        <v>1</v>
      </c>
      <c r="K2541" s="255">
        <v>1</v>
      </c>
      <c r="L2541" s="255"/>
      <c r="M2541" s="256">
        <v>1.7879999999999999E-3</v>
      </c>
      <c r="N2541" s="249">
        <v>2540</v>
      </c>
    </row>
    <row r="2542" spans="1:14" x14ac:dyDescent="0.25">
      <c r="A2542" s="252" t="s">
        <v>134</v>
      </c>
      <c r="B2542" s="252" t="s">
        <v>5860</v>
      </c>
      <c r="C2542" s="253">
        <v>0</v>
      </c>
      <c r="D2542" s="252">
        <v>46982</v>
      </c>
      <c r="E2542" s="252" t="s">
        <v>5528</v>
      </c>
      <c r="F2542" s="254" t="s">
        <v>5702</v>
      </c>
      <c r="G2542" s="252" t="s">
        <v>6376</v>
      </c>
      <c r="H2542" s="252" t="s">
        <v>6377</v>
      </c>
      <c r="I2542" s="252">
        <v>12</v>
      </c>
      <c r="J2542" s="255">
        <v>1</v>
      </c>
      <c r="K2542" s="255">
        <v>1</v>
      </c>
      <c r="L2542" s="255"/>
      <c r="M2542" s="256">
        <v>2.3279999999999998E-3</v>
      </c>
      <c r="N2542" s="249">
        <v>2541</v>
      </c>
    </row>
    <row r="2543" spans="1:14" x14ac:dyDescent="0.25">
      <c r="A2543" s="252" t="s">
        <v>134</v>
      </c>
      <c r="B2543" s="252" t="s">
        <v>5860</v>
      </c>
      <c r="C2543" s="253">
        <v>0</v>
      </c>
      <c r="D2543" s="252">
        <v>46982</v>
      </c>
      <c r="E2543" s="252" t="s">
        <v>5528</v>
      </c>
      <c r="F2543" s="254" t="s">
        <v>5702</v>
      </c>
      <c r="G2543" s="252" t="s">
        <v>6378</v>
      </c>
      <c r="H2543" s="252" t="s">
        <v>6379</v>
      </c>
      <c r="I2543" s="252">
        <v>12</v>
      </c>
      <c r="J2543" s="255">
        <v>1</v>
      </c>
      <c r="K2543" s="255">
        <v>1</v>
      </c>
      <c r="L2543" s="255"/>
      <c r="M2543" s="256">
        <v>9.1200000000000005E-4</v>
      </c>
      <c r="N2543" s="249">
        <v>2542</v>
      </c>
    </row>
    <row r="2544" spans="1:14" x14ac:dyDescent="0.25">
      <c r="A2544" s="252" t="s">
        <v>134</v>
      </c>
      <c r="B2544" s="252" t="s">
        <v>5860</v>
      </c>
      <c r="C2544" s="253">
        <v>0</v>
      </c>
      <c r="D2544" s="252">
        <v>46982</v>
      </c>
      <c r="E2544" s="252" t="s">
        <v>5528</v>
      </c>
      <c r="F2544" s="254" t="s">
        <v>5702</v>
      </c>
      <c r="G2544" s="252" t="s">
        <v>6380</v>
      </c>
      <c r="H2544" s="252" t="s">
        <v>6381</v>
      </c>
      <c r="I2544" s="252">
        <v>12</v>
      </c>
      <c r="J2544" s="255">
        <v>1</v>
      </c>
      <c r="K2544" s="255">
        <v>1</v>
      </c>
      <c r="L2544" s="255"/>
      <c r="M2544" s="256">
        <v>2.3279999999999998E-3</v>
      </c>
      <c r="N2544" s="249">
        <v>2543</v>
      </c>
    </row>
    <row r="2545" spans="1:14" x14ac:dyDescent="0.25">
      <c r="A2545" s="252" t="s">
        <v>134</v>
      </c>
      <c r="B2545" s="252" t="s">
        <v>5860</v>
      </c>
      <c r="C2545" s="253">
        <v>0</v>
      </c>
      <c r="D2545" s="252">
        <v>46982</v>
      </c>
      <c r="E2545" s="252" t="s">
        <v>5528</v>
      </c>
      <c r="F2545" s="254" t="s">
        <v>5702</v>
      </c>
      <c r="G2545" s="252" t="s">
        <v>6382</v>
      </c>
      <c r="H2545" s="252" t="s">
        <v>6383</v>
      </c>
      <c r="I2545" s="252">
        <v>12</v>
      </c>
      <c r="J2545" s="255">
        <v>1</v>
      </c>
      <c r="K2545" s="255">
        <v>1</v>
      </c>
      <c r="L2545" s="255"/>
      <c r="M2545" s="256">
        <v>9.1200000000000005E-4</v>
      </c>
      <c r="N2545" s="249">
        <v>2544</v>
      </c>
    </row>
    <row r="2546" spans="1:14" x14ac:dyDescent="0.25">
      <c r="A2546" s="252" t="s">
        <v>204</v>
      </c>
      <c r="B2546" s="252" t="s">
        <v>6384</v>
      </c>
      <c r="C2546" s="253">
        <v>0</v>
      </c>
      <c r="D2546" s="252" t="s">
        <v>6385</v>
      </c>
      <c r="E2546" s="252" t="s">
        <v>6386</v>
      </c>
      <c r="F2546" s="254" t="s">
        <v>4232</v>
      </c>
      <c r="G2546" s="252" t="s">
        <v>6387</v>
      </c>
      <c r="H2546" s="252" t="s">
        <v>6388</v>
      </c>
      <c r="I2546" s="252">
        <v>5</v>
      </c>
      <c r="J2546" s="255">
        <v>1</v>
      </c>
      <c r="K2546" s="255">
        <v>1</v>
      </c>
      <c r="L2546" s="255"/>
      <c r="M2546" s="256">
        <v>6.3869999999999994E-3</v>
      </c>
      <c r="N2546" s="249">
        <v>2545</v>
      </c>
    </row>
    <row r="2547" spans="1:14" x14ac:dyDescent="0.25">
      <c r="A2547" s="252" t="s">
        <v>204</v>
      </c>
      <c r="B2547" s="252" t="s">
        <v>6384</v>
      </c>
      <c r="C2547" s="253">
        <v>0</v>
      </c>
      <c r="D2547" s="252" t="s">
        <v>6385</v>
      </c>
      <c r="E2547" s="252" t="s">
        <v>6386</v>
      </c>
      <c r="F2547" s="254" t="s">
        <v>4232</v>
      </c>
      <c r="G2547" s="252" t="s">
        <v>6389</v>
      </c>
      <c r="H2547" s="252" t="s">
        <v>6390</v>
      </c>
      <c r="I2547" s="252">
        <v>5</v>
      </c>
      <c r="J2547" s="255">
        <v>1</v>
      </c>
      <c r="K2547" s="255">
        <v>1</v>
      </c>
      <c r="L2547" s="255"/>
      <c r="M2547" s="256">
        <v>6.3869999999999994E-3</v>
      </c>
      <c r="N2547" s="249">
        <v>2546</v>
      </c>
    </row>
    <row r="2548" spans="1:14" x14ac:dyDescent="0.25">
      <c r="A2548" s="252" t="s">
        <v>204</v>
      </c>
      <c r="B2548" s="252" t="s">
        <v>6384</v>
      </c>
      <c r="C2548" s="253">
        <v>0</v>
      </c>
      <c r="D2548" s="252" t="s">
        <v>6385</v>
      </c>
      <c r="E2548" s="252" t="s">
        <v>1591</v>
      </c>
      <c r="F2548" s="254" t="s">
        <v>4295</v>
      </c>
      <c r="G2548" s="252" t="s">
        <v>6391</v>
      </c>
      <c r="H2548" s="252" t="s">
        <v>6392</v>
      </c>
      <c r="I2548" s="252">
        <v>5</v>
      </c>
      <c r="J2548" s="255">
        <v>1</v>
      </c>
      <c r="K2548" s="255">
        <v>1</v>
      </c>
      <c r="L2548" s="255"/>
      <c r="M2548" s="256">
        <v>9.6540000000000001E-2</v>
      </c>
      <c r="N2548" s="249">
        <v>2547</v>
      </c>
    </row>
    <row r="2549" spans="1:14" x14ac:dyDescent="0.25">
      <c r="A2549" s="252" t="s">
        <v>204</v>
      </c>
      <c r="B2549" s="252" t="s">
        <v>6384</v>
      </c>
      <c r="C2549" s="253">
        <v>0</v>
      </c>
      <c r="D2549" s="252" t="s">
        <v>6385</v>
      </c>
      <c r="E2549" s="252" t="s">
        <v>3039</v>
      </c>
      <c r="F2549" s="254" t="s">
        <v>4295</v>
      </c>
      <c r="G2549" s="252" t="s">
        <v>6393</v>
      </c>
      <c r="H2549" s="252" t="s">
        <v>6394</v>
      </c>
      <c r="I2549" s="252">
        <v>5</v>
      </c>
      <c r="J2549" s="255">
        <v>1</v>
      </c>
      <c r="K2549" s="255">
        <v>1</v>
      </c>
      <c r="L2549" s="255"/>
      <c r="M2549" s="256">
        <v>7.1910000000000002E-2</v>
      </c>
      <c r="N2549" s="249">
        <v>2548</v>
      </c>
    </row>
    <row r="2550" spans="1:14" x14ac:dyDescent="0.25">
      <c r="A2550" s="252" t="s">
        <v>204</v>
      </c>
      <c r="B2550" s="252" t="s">
        <v>6384</v>
      </c>
      <c r="C2550" s="253">
        <v>0</v>
      </c>
      <c r="D2550" s="252" t="s">
        <v>6385</v>
      </c>
      <c r="E2550" s="252" t="s">
        <v>6386</v>
      </c>
      <c r="F2550" s="254" t="s">
        <v>4295</v>
      </c>
      <c r="G2550" s="252" t="s">
        <v>6395</v>
      </c>
      <c r="H2550" s="252" t="s">
        <v>6396</v>
      </c>
      <c r="I2550" s="252">
        <v>5</v>
      </c>
      <c r="J2550" s="255">
        <v>1</v>
      </c>
      <c r="K2550" s="255">
        <v>1</v>
      </c>
      <c r="L2550" s="255"/>
      <c r="M2550" s="256">
        <v>1.8335999999999998E-2</v>
      </c>
      <c r="N2550" s="249">
        <v>2549</v>
      </c>
    </row>
    <row r="2551" spans="1:14" x14ac:dyDescent="0.25">
      <c r="A2551" s="252" t="s">
        <v>204</v>
      </c>
      <c r="B2551" s="252" t="s">
        <v>6384</v>
      </c>
      <c r="C2551" s="253">
        <v>0</v>
      </c>
      <c r="D2551" s="252" t="s">
        <v>6385</v>
      </c>
      <c r="E2551" s="252" t="s">
        <v>1591</v>
      </c>
      <c r="F2551" s="254" t="s">
        <v>4295</v>
      </c>
      <c r="G2551" s="252" t="s">
        <v>6397</v>
      </c>
      <c r="H2551" s="252" t="s">
        <v>6398</v>
      </c>
      <c r="I2551" s="252">
        <v>5</v>
      </c>
      <c r="J2551" s="255">
        <v>1</v>
      </c>
      <c r="K2551" s="255">
        <v>1</v>
      </c>
      <c r="L2551" s="255"/>
      <c r="M2551" s="256">
        <v>9.6540000000000001E-2</v>
      </c>
      <c r="N2551" s="249">
        <v>2550</v>
      </c>
    </row>
    <row r="2552" spans="1:14" x14ac:dyDescent="0.25">
      <c r="A2552" s="252" t="s">
        <v>204</v>
      </c>
      <c r="B2552" s="252" t="s">
        <v>6384</v>
      </c>
      <c r="C2552" s="253">
        <v>0</v>
      </c>
      <c r="D2552" s="252" t="s">
        <v>6385</v>
      </c>
      <c r="E2552" s="252" t="s">
        <v>6386</v>
      </c>
      <c r="F2552" s="254" t="s">
        <v>4295</v>
      </c>
      <c r="G2552" s="252" t="s">
        <v>6399</v>
      </c>
      <c r="H2552" s="252" t="s">
        <v>6400</v>
      </c>
      <c r="I2552" s="252">
        <v>5</v>
      </c>
      <c r="J2552" s="255">
        <v>1</v>
      </c>
      <c r="K2552" s="255">
        <v>1</v>
      </c>
      <c r="L2552" s="255"/>
      <c r="M2552" s="256">
        <v>7.1789999999999996E-3</v>
      </c>
      <c r="N2552" s="249">
        <v>2551</v>
      </c>
    </row>
    <row r="2553" spans="1:14" x14ac:dyDescent="0.25">
      <c r="A2553" s="252" t="s">
        <v>204</v>
      </c>
      <c r="B2553" s="252" t="s">
        <v>6384</v>
      </c>
      <c r="C2553" s="253">
        <v>0</v>
      </c>
      <c r="D2553" s="252" t="s">
        <v>6385</v>
      </c>
      <c r="E2553" s="252" t="s">
        <v>3039</v>
      </c>
      <c r="F2553" s="254" t="s">
        <v>4295</v>
      </c>
      <c r="G2553" s="252" t="s">
        <v>6401</v>
      </c>
      <c r="H2553" s="252" t="s">
        <v>6402</v>
      </c>
      <c r="I2553" s="252">
        <v>5</v>
      </c>
      <c r="J2553" s="255">
        <v>1</v>
      </c>
      <c r="K2553" s="255">
        <v>1</v>
      </c>
      <c r="L2553" s="255"/>
      <c r="M2553" s="256">
        <v>6.0420000000000005E-3</v>
      </c>
      <c r="N2553" s="249">
        <v>2552</v>
      </c>
    </row>
    <row r="2554" spans="1:14" x14ac:dyDescent="0.25">
      <c r="A2554" s="252" t="s">
        <v>204</v>
      </c>
      <c r="B2554" s="252" t="s">
        <v>6384</v>
      </c>
      <c r="C2554" s="253">
        <v>0</v>
      </c>
      <c r="D2554" s="252" t="s">
        <v>6385</v>
      </c>
      <c r="E2554" s="252" t="s">
        <v>3039</v>
      </c>
      <c r="F2554" s="254" t="s">
        <v>4295</v>
      </c>
      <c r="G2554" s="252" t="s">
        <v>6403</v>
      </c>
      <c r="H2554" s="252" t="s">
        <v>6404</v>
      </c>
      <c r="I2554" s="252">
        <v>5</v>
      </c>
      <c r="J2554" s="255">
        <v>1</v>
      </c>
      <c r="K2554" s="255">
        <v>1</v>
      </c>
      <c r="L2554" s="255"/>
      <c r="M2554" s="256">
        <v>2.5398E-2</v>
      </c>
      <c r="N2554" s="249">
        <v>2553</v>
      </c>
    </row>
    <row r="2555" spans="1:14" x14ac:dyDescent="0.25">
      <c r="A2555" s="252" t="s">
        <v>204</v>
      </c>
      <c r="B2555" s="252" t="s">
        <v>6384</v>
      </c>
      <c r="C2555" s="253">
        <v>0</v>
      </c>
      <c r="D2555" s="252" t="s">
        <v>6385</v>
      </c>
      <c r="E2555" s="252" t="s">
        <v>6386</v>
      </c>
      <c r="F2555" s="254" t="s">
        <v>4295</v>
      </c>
      <c r="G2555" s="252" t="s">
        <v>6405</v>
      </c>
      <c r="H2555" s="252" t="s">
        <v>6406</v>
      </c>
      <c r="I2555" s="252">
        <v>5</v>
      </c>
      <c r="J2555" s="255">
        <v>1</v>
      </c>
      <c r="K2555" s="255">
        <v>1</v>
      </c>
      <c r="L2555" s="255"/>
      <c r="M2555" s="256">
        <v>1.0379999999999999E-2</v>
      </c>
      <c r="N2555" s="249">
        <v>2554</v>
      </c>
    </row>
    <row r="2556" spans="1:14" x14ac:dyDescent="0.25">
      <c r="A2556" s="252" t="s">
        <v>204</v>
      </c>
      <c r="B2556" s="252" t="s">
        <v>6384</v>
      </c>
      <c r="C2556" s="253">
        <v>0</v>
      </c>
      <c r="D2556" s="252" t="s">
        <v>6385</v>
      </c>
      <c r="E2556" s="252" t="s">
        <v>3039</v>
      </c>
      <c r="F2556" s="254" t="s">
        <v>4295</v>
      </c>
      <c r="G2556" s="252" t="s">
        <v>6407</v>
      </c>
      <c r="H2556" s="252" t="s">
        <v>6408</v>
      </c>
      <c r="I2556" s="252">
        <v>5</v>
      </c>
      <c r="J2556" s="255">
        <v>1</v>
      </c>
      <c r="K2556" s="255">
        <v>1</v>
      </c>
      <c r="L2556" s="255"/>
      <c r="M2556" s="256">
        <v>5.6340000000000001E-3</v>
      </c>
      <c r="N2556" s="249">
        <v>2555</v>
      </c>
    </row>
    <row r="2557" spans="1:14" x14ac:dyDescent="0.25">
      <c r="A2557" s="252" t="s">
        <v>204</v>
      </c>
      <c r="B2557" s="252" t="s">
        <v>6384</v>
      </c>
      <c r="C2557" s="253">
        <v>0</v>
      </c>
      <c r="D2557" s="252" t="s">
        <v>6385</v>
      </c>
      <c r="E2557" s="252" t="s">
        <v>3039</v>
      </c>
      <c r="F2557" s="254" t="s">
        <v>4295</v>
      </c>
      <c r="G2557" s="252" t="s">
        <v>6409</v>
      </c>
      <c r="H2557" s="252" t="s">
        <v>6410</v>
      </c>
      <c r="I2557" s="252">
        <v>5</v>
      </c>
      <c r="J2557" s="255">
        <v>1</v>
      </c>
      <c r="K2557" s="255">
        <v>1</v>
      </c>
      <c r="L2557" s="255"/>
      <c r="M2557" s="256">
        <v>6.1260000000000004E-3</v>
      </c>
      <c r="N2557" s="249">
        <v>2556</v>
      </c>
    </row>
    <row r="2558" spans="1:14" x14ac:dyDescent="0.25">
      <c r="A2558" s="252" t="s">
        <v>204</v>
      </c>
      <c r="B2558" s="252" t="s">
        <v>6384</v>
      </c>
      <c r="C2558" s="253">
        <v>0</v>
      </c>
      <c r="D2558" s="252" t="s">
        <v>6385</v>
      </c>
      <c r="E2558" s="252" t="s">
        <v>3039</v>
      </c>
      <c r="F2558" s="254" t="s">
        <v>4295</v>
      </c>
      <c r="G2558" s="252" t="s">
        <v>6411</v>
      </c>
      <c r="H2558" s="252" t="s">
        <v>6412</v>
      </c>
      <c r="I2558" s="252">
        <v>5</v>
      </c>
      <c r="J2558" s="255">
        <v>1</v>
      </c>
      <c r="K2558" s="255">
        <v>1</v>
      </c>
      <c r="L2558" s="255"/>
      <c r="M2558" s="256">
        <v>2.5398E-2</v>
      </c>
      <c r="N2558" s="249">
        <v>2557</v>
      </c>
    </row>
    <row r="2559" spans="1:14" x14ac:dyDescent="0.25">
      <c r="A2559" s="252" t="s">
        <v>204</v>
      </c>
      <c r="B2559" s="252" t="s">
        <v>6384</v>
      </c>
      <c r="C2559" s="253">
        <v>0</v>
      </c>
      <c r="D2559" s="252" t="s">
        <v>6385</v>
      </c>
      <c r="E2559" s="252" t="s">
        <v>3039</v>
      </c>
      <c r="F2559" s="254" t="s">
        <v>4295</v>
      </c>
      <c r="G2559" s="252" t="s">
        <v>6413</v>
      </c>
      <c r="H2559" s="252" t="s">
        <v>6414</v>
      </c>
      <c r="I2559" s="252">
        <v>5</v>
      </c>
      <c r="J2559" s="255">
        <v>1</v>
      </c>
      <c r="K2559" s="255">
        <v>1</v>
      </c>
      <c r="L2559" s="255"/>
      <c r="M2559" s="256">
        <v>6.7734000000000003E-2</v>
      </c>
      <c r="N2559" s="249">
        <v>2558</v>
      </c>
    </row>
    <row r="2560" spans="1:14" x14ac:dyDescent="0.25">
      <c r="A2560" s="252" t="s">
        <v>204</v>
      </c>
      <c r="B2560" s="252" t="s">
        <v>6384</v>
      </c>
      <c r="C2560" s="253">
        <v>0</v>
      </c>
      <c r="D2560" s="252" t="s">
        <v>6385</v>
      </c>
      <c r="E2560" s="252" t="s">
        <v>3039</v>
      </c>
      <c r="F2560" s="254" t="s">
        <v>4295</v>
      </c>
      <c r="G2560" s="252" t="s">
        <v>6415</v>
      </c>
      <c r="H2560" s="252" t="s">
        <v>6416</v>
      </c>
      <c r="I2560" s="252">
        <v>5</v>
      </c>
      <c r="J2560" s="255">
        <v>1</v>
      </c>
      <c r="K2560" s="255">
        <v>1</v>
      </c>
      <c r="L2560" s="255"/>
      <c r="M2560" s="256">
        <v>6.0420000000000005E-3</v>
      </c>
      <c r="N2560" s="249">
        <v>2559</v>
      </c>
    </row>
    <row r="2561" spans="1:14" x14ac:dyDescent="0.25">
      <c r="A2561" s="252" t="s">
        <v>204</v>
      </c>
      <c r="B2561" s="252" t="s">
        <v>6384</v>
      </c>
      <c r="C2561" s="253">
        <v>0</v>
      </c>
      <c r="D2561" s="252" t="s">
        <v>6385</v>
      </c>
      <c r="E2561" s="252" t="s">
        <v>3039</v>
      </c>
      <c r="F2561" s="254" t="s">
        <v>4295</v>
      </c>
      <c r="G2561" s="252" t="s">
        <v>6417</v>
      </c>
      <c r="H2561" s="252" t="s">
        <v>6418</v>
      </c>
      <c r="I2561" s="252">
        <v>5</v>
      </c>
      <c r="J2561" s="255">
        <v>1</v>
      </c>
      <c r="K2561" s="255">
        <v>1</v>
      </c>
      <c r="L2561" s="255"/>
      <c r="M2561" s="256">
        <v>6.2099999999999994E-3</v>
      </c>
      <c r="N2561" s="249">
        <v>2560</v>
      </c>
    </row>
    <row r="2562" spans="1:14" x14ac:dyDescent="0.25">
      <c r="A2562" s="252" t="s">
        <v>204</v>
      </c>
      <c r="B2562" s="252" t="s">
        <v>6384</v>
      </c>
      <c r="C2562" s="253">
        <v>0</v>
      </c>
      <c r="D2562" s="252" t="s">
        <v>6385</v>
      </c>
      <c r="E2562" s="252" t="s">
        <v>3039</v>
      </c>
      <c r="F2562" s="254" t="s">
        <v>4295</v>
      </c>
      <c r="G2562" s="252" t="s">
        <v>6419</v>
      </c>
      <c r="H2562" s="252" t="s">
        <v>6420</v>
      </c>
      <c r="I2562" s="252">
        <v>5</v>
      </c>
      <c r="J2562" s="255">
        <v>1</v>
      </c>
      <c r="K2562" s="255">
        <v>1</v>
      </c>
      <c r="L2562" s="255"/>
      <c r="M2562" s="256">
        <v>8.0984999999999988E-2</v>
      </c>
      <c r="N2562" s="249">
        <v>2561</v>
      </c>
    </row>
    <row r="2563" spans="1:14" x14ac:dyDescent="0.25">
      <c r="A2563" s="252" t="s">
        <v>204</v>
      </c>
      <c r="B2563" s="252" t="s">
        <v>6384</v>
      </c>
      <c r="C2563" s="253">
        <v>0</v>
      </c>
      <c r="D2563" s="252" t="s">
        <v>6385</v>
      </c>
      <c r="E2563" s="252" t="s">
        <v>3039</v>
      </c>
      <c r="F2563" s="254" t="s">
        <v>4295</v>
      </c>
      <c r="G2563" s="252" t="s">
        <v>6421</v>
      </c>
      <c r="H2563" s="252" t="s">
        <v>6422</v>
      </c>
      <c r="I2563" s="252">
        <v>5</v>
      </c>
      <c r="J2563" s="255">
        <v>1</v>
      </c>
      <c r="K2563" s="255">
        <v>1</v>
      </c>
      <c r="L2563" s="255"/>
      <c r="M2563" s="256">
        <v>2.5398E-2</v>
      </c>
      <c r="N2563" s="249">
        <v>2562</v>
      </c>
    </row>
    <row r="2564" spans="1:14" x14ac:dyDescent="0.25">
      <c r="A2564" s="252" t="s">
        <v>204</v>
      </c>
      <c r="B2564" s="252" t="s">
        <v>6384</v>
      </c>
      <c r="C2564" s="253">
        <v>0</v>
      </c>
      <c r="D2564" s="252" t="s">
        <v>6385</v>
      </c>
      <c r="E2564" s="252" t="s">
        <v>3039</v>
      </c>
      <c r="F2564" s="254" t="s">
        <v>4295</v>
      </c>
      <c r="G2564" s="252" t="s">
        <v>6423</v>
      </c>
      <c r="H2564" s="252" t="s">
        <v>6424</v>
      </c>
      <c r="I2564" s="252">
        <v>5</v>
      </c>
      <c r="J2564" s="255">
        <v>1</v>
      </c>
      <c r="K2564" s="255">
        <v>1</v>
      </c>
      <c r="L2564" s="255"/>
      <c r="M2564" s="256">
        <v>8.3169000000000007E-2</v>
      </c>
      <c r="N2564" s="249">
        <v>2563</v>
      </c>
    </row>
    <row r="2565" spans="1:14" x14ac:dyDescent="0.25">
      <c r="A2565" s="252" t="s">
        <v>204</v>
      </c>
      <c r="B2565" s="252" t="s">
        <v>6384</v>
      </c>
      <c r="C2565" s="253">
        <v>0</v>
      </c>
      <c r="D2565" s="252" t="s">
        <v>6385</v>
      </c>
      <c r="E2565" s="252" t="s">
        <v>97</v>
      </c>
      <c r="F2565" s="254" t="s">
        <v>4295</v>
      </c>
      <c r="G2565" s="252" t="s">
        <v>6425</v>
      </c>
      <c r="H2565" s="252" t="s">
        <v>6426</v>
      </c>
      <c r="I2565" s="252">
        <v>5</v>
      </c>
      <c r="J2565" s="255">
        <v>1</v>
      </c>
      <c r="K2565" s="255">
        <v>1</v>
      </c>
      <c r="L2565" s="255"/>
      <c r="M2565" s="256">
        <v>2.6189999999999998E-3</v>
      </c>
      <c r="N2565" s="249">
        <v>2564</v>
      </c>
    </row>
    <row r="2566" spans="1:14" x14ac:dyDescent="0.25">
      <c r="A2566" s="252" t="s">
        <v>204</v>
      </c>
      <c r="B2566" s="252" t="s">
        <v>6384</v>
      </c>
      <c r="C2566" s="253">
        <v>0</v>
      </c>
      <c r="D2566" s="252" t="s">
        <v>6385</v>
      </c>
      <c r="E2566" s="252" t="s">
        <v>3039</v>
      </c>
      <c r="F2566" s="254" t="s">
        <v>4295</v>
      </c>
      <c r="G2566" s="252" t="s">
        <v>6427</v>
      </c>
      <c r="H2566" s="252" t="s">
        <v>6428</v>
      </c>
      <c r="I2566" s="252">
        <v>5</v>
      </c>
      <c r="J2566" s="255">
        <v>1</v>
      </c>
      <c r="K2566" s="255">
        <v>1</v>
      </c>
      <c r="L2566" s="255"/>
      <c r="M2566" s="256">
        <v>6.0420000000000005E-3</v>
      </c>
      <c r="N2566" s="249">
        <v>2565</v>
      </c>
    </row>
    <row r="2567" spans="1:14" x14ac:dyDescent="0.25">
      <c r="A2567" s="252" t="s">
        <v>204</v>
      </c>
      <c r="B2567" s="252" t="s">
        <v>6384</v>
      </c>
      <c r="C2567" s="253">
        <v>0</v>
      </c>
      <c r="D2567" s="252" t="s">
        <v>6385</v>
      </c>
      <c r="E2567" s="252" t="s">
        <v>3039</v>
      </c>
      <c r="F2567" s="254" t="s">
        <v>4295</v>
      </c>
      <c r="G2567" s="252" t="s">
        <v>6429</v>
      </c>
      <c r="H2567" s="252" t="s">
        <v>6430</v>
      </c>
      <c r="I2567" s="252">
        <v>5</v>
      </c>
      <c r="J2567" s="255">
        <v>1</v>
      </c>
      <c r="K2567" s="255">
        <v>1</v>
      </c>
      <c r="L2567" s="255"/>
      <c r="M2567" s="256">
        <v>6.2219999999999992E-3</v>
      </c>
      <c r="N2567" s="249">
        <v>2566</v>
      </c>
    </row>
    <row r="2568" spans="1:14" x14ac:dyDescent="0.25">
      <c r="A2568" s="252" t="s">
        <v>204</v>
      </c>
      <c r="B2568" s="252" t="s">
        <v>6384</v>
      </c>
      <c r="C2568" s="253">
        <v>0</v>
      </c>
      <c r="D2568" s="252" t="s">
        <v>6385</v>
      </c>
      <c r="E2568" s="252" t="s">
        <v>3039</v>
      </c>
      <c r="F2568" s="254" t="s">
        <v>4295</v>
      </c>
      <c r="G2568" s="252" t="s">
        <v>6431</v>
      </c>
      <c r="H2568" s="252" t="s">
        <v>6432</v>
      </c>
      <c r="I2568" s="252">
        <v>5</v>
      </c>
      <c r="J2568" s="255">
        <v>1</v>
      </c>
      <c r="K2568" s="255">
        <v>1</v>
      </c>
      <c r="L2568" s="255"/>
      <c r="M2568" s="256">
        <v>2.5398E-2</v>
      </c>
      <c r="N2568" s="249">
        <v>2567</v>
      </c>
    </row>
    <row r="2569" spans="1:14" x14ac:dyDescent="0.25">
      <c r="A2569" s="252" t="s">
        <v>204</v>
      </c>
      <c r="B2569" s="252" t="s">
        <v>6384</v>
      </c>
      <c r="C2569" s="253">
        <v>0</v>
      </c>
      <c r="D2569" s="252" t="s">
        <v>6385</v>
      </c>
      <c r="E2569" s="252" t="s">
        <v>6386</v>
      </c>
      <c r="F2569" s="254" t="s">
        <v>4295</v>
      </c>
      <c r="G2569" s="252" t="s">
        <v>6433</v>
      </c>
      <c r="H2569" s="252" t="s">
        <v>6434</v>
      </c>
      <c r="I2569" s="252">
        <v>5</v>
      </c>
      <c r="J2569" s="255">
        <v>1</v>
      </c>
      <c r="K2569" s="255">
        <v>1</v>
      </c>
      <c r="L2569" s="255"/>
      <c r="M2569" s="256">
        <v>5.0609999999999995E-3</v>
      </c>
      <c r="N2569" s="249">
        <v>2568</v>
      </c>
    </row>
    <row r="2570" spans="1:14" x14ac:dyDescent="0.25">
      <c r="A2570" s="252" t="s">
        <v>204</v>
      </c>
      <c r="B2570" s="252" t="s">
        <v>6384</v>
      </c>
      <c r="C2570" s="253">
        <v>0</v>
      </c>
      <c r="D2570" s="252" t="s">
        <v>6385</v>
      </c>
      <c r="E2570" s="252" t="s">
        <v>3039</v>
      </c>
      <c r="F2570" s="254" t="s">
        <v>4295</v>
      </c>
      <c r="G2570" s="252" t="s">
        <v>6435</v>
      </c>
      <c r="H2570" s="252" t="s">
        <v>6436</v>
      </c>
      <c r="I2570" s="252">
        <v>5</v>
      </c>
      <c r="J2570" s="255">
        <v>1</v>
      </c>
      <c r="K2570" s="255">
        <v>1</v>
      </c>
      <c r="L2570" s="255"/>
      <c r="M2570" s="256">
        <v>1.5341999999999998E-2</v>
      </c>
      <c r="N2570" s="249">
        <v>2569</v>
      </c>
    </row>
    <row r="2571" spans="1:14" x14ac:dyDescent="0.25">
      <c r="A2571" s="252" t="s">
        <v>204</v>
      </c>
      <c r="B2571" s="252" t="s">
        <v>6384</v>
      </c>
      <c r="C2571" s="253">
        <v>0</v>
      </c>
      <c r="D2571" s="252" t="s">
        <v>6385</v>
      </c>
      <c r="E2571" s="252" t="s">
        <v>3039</v>
      </c>
      <c r="F2571" s="254" t="s">
        <v>4295</v>
      </c>
      <c r="G2571" s="252" t="s">
        <v>6437</v>
      </c>
      <c r="H2571" s="252" t="s">
        <v>6438</v>
      </c>
      <c r="I2571" s="252">
        <v>5</v>
      </c>
      <c r="J2571" s="255">
        <v>1</v>
      </c>
      <c r="K2571" s="255">
        <v>1</v>
      </c>
      <c r="L2571" s="255"/>
      <c r="M2571" s="256">
        <v>5.6940000000000004E-2</v>
      </c>
      <c r="N2571" s="249">
        <v>2570</v>
      </c>
    </row>
    <row r="2572" spans="1:14" x14ac:dyDescent="0.25">
      <c r="A2572" s="252" t="s">
        <v>204</v>
      </c>
      <c r="B2572" s="252" t="s">
        <v>6384</v>
      </c>
      <c r="C2572" s="253">
        <v>0</v>
      </c>
      <c r="D2572" s="252" t="s">
        <v>6385</v>
      </c>
      <c r="E2572" s="252" t="s">
        <v>3039</v>
      </c>
      <c r="F2572" s="254" t="s">
        <v>4295</v>
      </c>
      <c r="G2572" s="252" t="s">
        <v>6439</v>
      </c>
      <c r="H2572" s="252" t="s">
        <v>6440</v>
      </c>
      <c r="I2572" s="252">
        <v>5</v>
      </c>
      <c r="J2572" s="255">
        <v>1</v>
      </c>
      <c r="K2572" s="255">
        <v>1</v>
      </c>
      <c r="L2572" s="255"/>
      <c r="M2572" s="256">
        <v>1.2296999999999999E-2</v>
      </c>
      <c r="N2572" s="249">
        <v>2571</v>
      </c>
    </row>
    <row r="2573" spans="1:14" x14ac:dyDescent="0.25">
      <c r="A2573" s="252" t="s">
        <v>204</v>
      </c>
      <c r="B2573" s="252" t="s">
        <v>6384</v>
      </c>
      <c r="C2573" s="253">
        <v>0</v>
      </c>
      <c r="D2573" s="252" t="s">
        <v>6385</v>
      </c>
      <c r="E2573" s="252" t="s">
        <v>6386</v>
      </c>
      <c r="F2573" s="254" t="s">
        <v>4295</v>
      </c>
      <c r="G2573" s="252" t="s">
        <v>6441</v>
      </c>
      <c r="H2573" s="252" t="s">
        <v>6442</v>
      </c>
      <c r="I2573" s="252">
        <v>5</v>
      </c>
      <c r="J2573" s="255">
        <v>1</v>
      </c>
      <c r="K2573" s="255">
        <v>1</v>
      </c>
      <c r="L2573" s="255"/>
      <c r="M2573" s="256">
        <v>6.3899999999999992E-4</v>
      </c>
      <c r="N2573" s="249">
        <v>2572</v>
      </c>
    </row>
    <row r="2574" spans="1:14" x14ac:dyDescent="0.25">
      <c r="A2574" s="252" t="s">
        <v>204</v>
      </c>
      <c r="B2574" s="252" t="s">
        <v>6384</v>
      </c>
      <c r="C2574" s="253">
        <v>0</v>
      </c>
      <c r="D2574" s="252" t="s">
        <v>6385</v>
      </c>
      <c r="E2574" s="252" t="s">
        <v>3039</v>
      </c>
      <c r="F2574" s="254" t="s">
        <v>4295</v>
      </c>
      <c r="G2574" s="252" t="s">
        <v>6443</v>
      </c>
      <c r="H2574" s="252" t="s">
        <v>6444</v>
      </c>
      <c r="I2574" s="252">
        <v>5</v>
      </c>
      <c r="J2574" s="255">
        <v>1</v>
      </c>
      <c r="K2574" s="255">
        <v>1</v>
      </c>
      <c r="L2574" s="255"/>
      <c r="M2574" s="256">
        <v>8.657999999999999E-3</v>
      </c>
      <c r="N2574" s="249">
        <v>2573</v>
      </c>
    </row>
    <row r="2575" spans="1:14" x14ac:dyDescent="0.25">
      <c r="A2575" s="252" t="s">
        <v>204</v>
      </c>
      <c r="B2575" s="252" t="s">
        <v>6384</v>
      </c>
      <c r="C2575" s="253">
        <v>0</v>
      </c>
      <c r="D2575" s="252" t="s">
        <v>6385</v>
      </c>
      <c r="E2575" s="252" t="s">
        <v>6386</v>
      </c>
      <c r="F2575" s="254" t="s">
        <v>4295</v>
      </c>
      <c r="G2575" s="252" t="s">
        <v>6445</v>
      </c>
      <c r="H2575" s="252" t="s">
        <v>6446</v>
      </c>
      <c r="I2575" s="252">
        <v>5</v>
      </c>
      <c r="J2575" s="255">
        <v>1</v>
      </c>
      <c r="K2575" s="255">
        <v>1</v>
      </c>
      <c r="L2575" s="255"/>
      <c r="M2575" s="256">
        <v>4.9739999999999993E-3</v>
      </c>
      <c r="N2575" s="249">
        <v>2574</v>
      </c>
    </row>
    <row r="2576" spans="1:14" x14ac:dyDescent="0.25">
      <c r="A2576" s="252" t="s">
        <v>204</v>
      </c>
      <c r="B2576" s="252" t="s">
        <v>6384</v>
      </c>
      <c r="C2576" s="253">
        <v>0</v>
      </c>
      <c r="D2576" s="252" t="s">
        <v>6385</v>
      </c>
      <c r="E2576" s="252" t="s">
        <v>3039</v>
      </c>
      <c r="F2576" s="254" t="s">
        <v>4295</v>
      </c>
      <c r="G2576" s="252" t="s">
        <v>6447</v>
      </c>
      <c r="H2576" s="252" t="s">
        <v>6448</v>
      </c>
      <c r="I2576" s="252">
        <v>5</v>
      </c>
      <c r="J2576" s="255">
        <v>1</v>
      </c>
      <c r="K2576" s="255">
        <v>1</v>
      </c>
      <c r="L2576" s="255"/>
      <c r="M2576" s="256">
        <v>1.3157999999999998E-2</v>
      </c>
      <c r="N2576" s="249">
        <v>2575</v>
      </c>
    </row>
    <row r="2577" spans="1:14" x14ac:dyDescent="0.25">
      <c r="A2577" s="252" t="s">
        <v>204</v>
      </c>
      <c r="B2577" s="252" t="s">
        <v>6384</v>
      </c>
      <c r="C2577" s="253">
        <v>0</v>
      </c>
      <c r="D2577" s="252" t="s">
        <v>6385</v>
      </c>
      <c r="E2577" s="252" t="s">
        <v>6386</v>
      </c>
      <c r="F2577" s="254" t="s">
        <v>4295</v>
      </c>
      <c r="G2577" s="252" t="s">
        <v>6449</v>
      </c>
      <c r="H2577" s="252" t="s">
        <v>6450</v>
      </c>
      <c r="I2577" s="252">
        <v>5</v>
      </c>
      <c r="J2577" s="255">
        <v>1</v>
      </c>
      <c r="K2577" s="255">
        <v>1</v>
      </c>
      <c r="L2577" s="255"/>
      <c r="M2577" s="256">
        <v>1.5120000000000001E-3</v>
      </c>
      <c r="N2577" s="249">
        <v>2576</v>
      </c>
    </row>
    <row r="2578" spans="1:14" x14ac:dyDescent="0.25">
      <c r="A2578" s="252" t="s">
        <v>204</v>
      </c>
      <c r="B2578" s="252" t="s">
        <v>6384</v>
      </c>
      <c r="C2578" s="253">
        <v>0</v>
      </c>
      <c r="D2578" s="252" t="s">
        <v>6385</v>
      </c>
      <c r="E2578" s="252" t="s">
        <v>1591</v>
      </c>
      <c r="F2578" s="254" t="s">
        <v>4295</v>
      </c>
      <c r="G2578" s="252" t="s">
        <v>6451</v>
      </c>
      <c r="H2578" s="252" t="s">
        <v>6452</v>
      </c>
      <c r="I2578" s="252">
        <v>5</v>
      </c>
      <c r="J2578" s="255">
        <v>1</v>
      </c>
      <c r="K2578" s="255">
        <v>1</v>
      </c>
      <c r="L2578" s="255"/>
      <c r="M2578" s="256">
        <v>9.6540000000000001E-2</v>
      </c>
      <c r="N2578" s="249">
        <v>2577</v>
      </c>
    </row>
    <row r="2579" spans="1:14" x14ac:dyDescent="0.25">
      <c r="A2579" s="252" t="s">
        <v>204</v>
      </c>
      <c r="B2579" s="252" t="s">
        <v>6384</v>
      </c>
      <c r="C2579" s="253">
        <v>0</v>
      </c>
      <c r="D2579" s="252" t="s">
        <v>6385</v>
      </c>
      <c r="E2579" s="252" t="s">
        <v>6386</v>
      </c>
      <c r="F2579" s="254" t="s">
        <v>4295</v>
      </c>
      <c r="G2579" s="252" t="s">
        <v>6453</v>
      </c>
      <c r="H2579" s="252" t="s">
        <v>6454</v>
      </c>
      <c r="I2579" s="252">
        <v>5</v>
      </c>
      <c r="J2579" s="255">
        <v>1</v>
      </c>
      <c r="K2579" s="255">
        <v>1</v>
      </c>
      <c r="L2579" s="255"/>
      <c r="M2579" s="256">
        <v>1.4738999999999999E-2</v>
      </c>
      <c r="N2579" s="249">
        <v>2578</v>
      </c>
    </row>
    <row r="2580" spans="1:14" x14ac:dyDescent="0.25">
      <c r="A2580" s="252" t="s">
        <v>204</v>
      </c>
      <c r="B2580" s="252" t="s">
        <v>6384</v>
      </c>
      <c r="C2580" s="253">
        <v>0</v>
      </c>
      <c r="D2580" s="252" t="s">
        <v>6385</v>
      </c>
      <c r="E2580" s="252" t="s">
        <v>1230</v>
      </c>
      <c r="F2580" s="254" t="s">
        <v>4295</v>
      </c>
      <c r="G2580" s="252" t="s">
        <v>6455</v>
      </c>
      <c r="H2580" s="252" t="s">
        <v>6456</v>
      </c>
      <c r="I2580" s="252">
        <v>5</v>
      </c>
      <c r="J2580" s="255">
        <v>1</v>
      </c>
      <c r="K2580" s="255">
        <v>1</v>
      </c>
      <c r="L2580" s="255"/>
      <c r="M2580" s="256">
        <v>5.5334999999999988E-2</v>
      </c>
      <c r="N2580" s="249">
        <v>2579</v>
      </c>
    </row>
    <row r="2581" spans="1:14" x14ac:dyDescent="0.25">
      <c r="A2581" s="252" t="s">
        <v>204</v>
      </c>
      <c r="B2581" s="252" t="s">
        <v>6384</v>
      </c>
      <c r="C2581" s="253">
        <v>0</v>
      </c>
      <c r="D2581" s="252" t="s">
        <v>6385</v>
      </c>
      <c r="E2581" s="252" t="s">
        <v>1591</v>
      </c>
      <c r="F2581" s="254" t="s">
        <v>4295</v>
      </c>
      <c r="G2581" s="252" t="s">
        <v>6457</v>
      </c>
      <c r="H2581" s="252" t="s">
        <v>6458</v>
      </c>
      <c r="I2581" s="252">
        <v>5</v>
      </c>
      <c r="J2581" s="255">
        <v>1</v>
      </c>
      <c r="K2581" s="255">
        <v>1</v>
      </c>
      <c r="L2581" s="255"/>
      <c r="M2581" s="256">
        <v>9.6540000000000001E-2</v>
      </c>
      <c r="N2581" s="249">
        <v>2580</v>
      </c>
    </row>
    <row r="2582" spans="1:14" x14ac:dyDescent="0.25">
      <c r="A2582" s="252" t="s">
        <v>204</v>
      </c>
      <c r="B2582" s="252" t="s">
        <v>6384</v>
      </c>
      <c r="C2582" s="253">
        <v>0</v>
      </c>
      <c r="D2582" s="252" t="s">
        <v>6385</v>
      </c>
      <c r="E2582" s="252" t="s">
        <v>6386</v>
      </c>
      <c r="F2582" s="254" t="s">
        <v>4295</v>
      </c>
      <c r="G2582" s="252" t="s">
        <v>6459</v>
      </c>
      <c r="H2582" s="252" t="s">
        <v>6460</v>
      </c>
      <c r="I2582" s="252">
        <v>5</v>
      </c>
      <c r="J2582" s="255">
        <v>1</v>
      </c>
      <c r="K2582" s="255">
        <v>1</v>
      </c>
      <c r="L2582" s="255"/>
      <c r="M2582" s="256">
        <v>5.3189999999999999E-3</v>
      </c>
      <c r="N2582" s="249">
        <v>2581</v>
      </c>
    </row>
    <row r="2583" spans="1:14" x14ac:dyDescent="0.25">
      <c r="A2583" s="252" t="s">
        <v>74</v>
      </c>
      <c r="B2583" s="252" t="s">
        <v>6461</v>
      </c>
      <c r="C2583" s="253">
        <v>0</v>
      </c>
      <c r="D2583" s="252">
        <v>39792</v>
      </c>
      <c r="E2583" s="252" t="s">
        <v>3039</v>
      </c>
      <c r="F2583" s="254" t="s">
        <v>6462</v>
      </c>
      <c r="G2583" s="252" t="s">
        <v>4133</v>
      </c>
      <c r="H2583" s="252" t="s">
        <v>6463</v>
      </c>
      <c r="I2583" s="252">
        <v>5</v>
      </c>
      <c r="J2583" s="255">
        <v>1</v>
      </c>
      <c r="K2583" s="255">
        <v>1</v>
      </c>
      <c r="L2583" s="255"/>
      <c r="M2583" s="256">
        <v>1.3493999999999999E-2</v>
      </c>
      <c r="N2583" s="249">
        <v>2582</v>
      </c>
    </row>
    <row r="2584" spans="1:14" x14ac:dyDescent="0.25">
      <c r="A2584" s="252" t="s">
        <v>74</v>
      </c>
      <c r="B2584" s="252" t="s">
        <v>6461</v>
      </c>
      <c r="C2584" s="253">
        <v>0</v>
      </c>
      <c r="D2584" s="252">
        <v>39792</v>
      </c>
      <c r="E2584" s="252" t="s">
        <v>3039</v>
      </c>
      <c r="F2584" s="254" t="s">
        <v>6462</v>
      </c>
      <c r="G2584" s="252" t="s">
        <v>4135</v>
      </c>
      <c r="H2584" s="252" t="s">
        <v>6464</v>
      </c>
      <c r="I2584" s="252">
        <v>5</v>
      </c>
      <c r="J2584" s="255">
        <v>1</v>
      </c>
      <c r="K2584" s="255">
        <v>1</v>
      </c>
      <c r="L2584" s="255"/>
      <c r="M2584" s="256">
        <v>1.35E-4</v>
      </c>
      <c r="N2584" s="249">
        <v>2583</v>
      </c>
    </row>
    <row r="2585" spans="1:14" x14ac:dyDescent="0.25">
      <c r="A2585" s="252" t="s">
        <v>74</v>
      </c>
      <c r="B2585" s="252" t="s">
        <v>6461</v>
      </c>
      <c r="C2585" s="253">
        <v>0</v>
      </c>
      <c r="D2585" s="252">
        <v>39792</v>
      </c>
      <c r="E2585" s="252" t="s">
        <v>1764</v>
      </c>
      <c r="F2585" s="254" t="s">
        <v>6462</v>
      </c>
      <c r="G2585" s="252" t="s">
        <v>2023</v>
      </c>
      <c r="H2585" s="252" t="s">
        <v>6465</v>
      </c>
      <c r="I2585" s="252">
        <v>3</v>
      </c>
      <c r="J2585" s="255">
        <v>1</v>
      </c>
      <c r="K2585" s="255">
        <v>1</v>
      </c>
      <c r="L2585" s="255"/>
      <c r="M2585" s="256">
        <v>8.9999999999999992E-5</v>
      </c>
      <c r="N2585" s="249">
        <v>2584</v>
      </c>
    </row>
    <row r="2586" spans="1:14" x14ac:dyDescent="0.25">
      <c r="A2586" s="252" t="s">
        <v>74</v>
      </c>
      <c r="B2586" s="252" t="s">
        <v>6461</v>
      </c>
      <c r="C2586" s="253">
        <v>0</v>
      </c>
      <c r="D2586" s="252">
        <v>39792</v>
      </c>
      <c r="E2586" s="252" t="s">
        <v>1764</v>
      </c>
      <c r="F2586" s="254" t="s">
        <v>6462</v>
      </c>
      <c r="G2586" s="252" t="s">
        <v>2024</v>
      </c>
      <c r="H2586" s="252" t="s">
        <v>6466</v>
      </c>
      <c r="I2586" s="252">
        <v>3</v>
      </c>
      <c r="J2586" s="255">
        <v>1</v>
      </c>
      <c r="K2586" s="255">
        <v>1</v>
      </c>
      <c r="L2586" s="255"/>
      <c r="M2586" s="256">
        <v>8.9999999999999992E-5</v>
      </c>
      <c r="N2586" s="249">
        <v>2585</v>
      </c>
    </row>
    <row r="2587" spans="1:14" x14ac:dyDescent="0.25">
      <c r="A2587" s="252" t="s">
        <v>74</v>
      </c>
      <c r="B2587" s="252" t="s">
        <v>6461</v>
      </c>
      <c r="C2587" s="253">
        <v>0</v>
      </c>
      <c r="D2587" s="252">
        <v>39792</v>
      </c>
      <c r="E2587" s="252" t="s">
        <v>1764</v>
      </c>
      <c r="F2587" s="254" t="s">
        <v>6462</v>
      </c>
      <c r="G2587" s="252" t="s">
        <v>6467</v>
      </c>
      <c r="H2587" s="252" t="s">
        <v>6468</v>
      </c>
      <c r="I2587" s="252">
        <v>3</v>
      </c>
      <c r="J2587" s="255">
        <v>1</v>
      </c>
      <c r="K2587" s="255">
        <v>1</v>
      </c>
      <c r="L2587" s="255"/>
      <c r="M2587" s="256">
        <v>7.7999999999999999E-4</v>
      </c>
      <c r="N2587" s="249">
        <v>2586</v>
      </c>
    </row>
    <row r="2588" spans="1:14" x14ac:dyDescent="0.25">
      <c r="A2588" s="252" t="s">
        <v>74</v>
      </c>
      <c r="B2588" s="252" t="s">
        <v>6461</v>
      </c>
      <c r="C2588" s="253">
        <v>0</v>
      </c>
      <c r="D2588" s="252">
        <v>39792</v>
      </c>
      <c r="E2588" s="252" t="s">
        <v>1591</v>
      </c>
      <c r="F2588" s="254" t="s">
        <v>6462</v>
      </c>
      <c r="G2588" s="252" t="s">
        <v>2025</v>
      </c>
      <c r="H2588" s="252" t="s">
        <v>6469</v>
      </c>
      <c r="I2588" s="252">
        <v>5</v>
      </c>
      <c r="J2588" s="255">
        <v>1</v>
      </c>
      <c r="K2588" s="255">
        <v>1</v>
      </c>
      <c r="L2588" s="255"/>
      <c r="M2588" s="256">
        <v>5.3399999999999997E-4</v>
      </c>
      <c r="N2588" s="249">
        <v>2587</v>
      </c>
    </row>
    <row r="2589" spans="1:14" x14ac:dyDescent="0.25">
      <c r="A2589" s="252" t="s">
        <v>74</v>
      </c>
      <c r="B2589" s="252" t="s">
        <v>6461</v>
      </c>
      <c r="C2589" s="253">
        <v>0</v>
      </c>
      <c r="D2589" s="252">
        <v>39792</v>
      </c>
      <c r="E2589" s="252" t="s">
        <v>1591</v>
      </c>
      <c r="F2589" s="254" t="s">
        <v>6462</v>
      </c>
      <c r="G2589" s="252" t="s">
        <v>2026</v>
      </c>
      <c r="H2589" s="252" t="s">
        <v>6470</v>
      </c>
      <c r="I2589" s="252">
        <v>5</v>
      </c>
      <c r="J2589" s="255">
        <v>1</v>
      </c>
      <c r="K2589" s="255">
        <v>1</v>
      </c>
      <c r="L2589" s="255"/>
      <c r="M2589" s="256">
        <v>7.2900000000000005E-4</v>
      </c>
      <c r="N2589" s="249">
        <v>2588</v>
      </c>
    </row>
    <row r="2590" spans="1:14" x14ac:dyDescent="0.25">
      <c r="A2590" s="252" t="s">
        <v>74</v>
      </c>
      <c r="B2590" s="252" t="s">
        <v>6461</v>
      </c>
      <c r="C2590" s="253">
        <v>0</v>
      </c>
      <c r="D2590" s="252">
        <v>39792</v>
      </c>
      <c r="E2590" s="252" t="s">
        <v>3039</v>
      </c>
      <c r="F2590" s="254" t="s">
        <v>6462</v>
      </c>
      <c r="G2590" s="252" t="s">
        <v>1539</v>
      </c>
      <c r="H2590" s="252" t="s">
        <v>6471</v>
      </c>
      <c r="I2590" s="252">
        <v>5</v>
      </c>
      <c r="J2590" s="255">
        <v>1</v>
      </c>
      <c r="K2590" s="255">
        <v>1</v>
      </c>
      <c r="L2590" s="255"/>
      <c r="M2590" s="256">
        <v>6.7619999999999989E-3</v>
      </c>
      <c r="N2590" s="249">
        <v>2589</v>
      </c>
    </row>
    <row r="2591" spans="1:14" x14ac:dyDescent="0.25">
      <c r="A2591" s="252" t="s">
        <v>74</v>
      </c>
      <c r="B2591" s="252" t="s">
        <v>6461</v>
      </c>
      <c r="C2591" s="253">
        <v>0</v>
      </c>
      <c r="D2591" s="252">
        <v>39792</v>
      </c>
      <c r="E2591" s="252" t="s">
        <v>190</v>
      </c>
      <c r="F2591" s="254" t="s">
        <v>6462</v>
      </c>
      <c r="G2591" s="252" t="s">
        <v>2035</v>
      </c>
      <c r="H2591" s="252" t="s">
        <v>6472</v>
      </c>
      <c r="I2591" s="252">
        <v>5</v>
      </c>
      <c r="J2591" s="255">
        <v>1</v>
      </c>
      <c r="K2591" s="255">
        <v>1</v>
      </c>
      <c r="L2591" s="255"/>
      <c r="M2591" s="256">
        <v>2.0100000000000001E-4</v>
      </c>
      <c r="N2591" s="249">
        <v>2590</v>
      </c>
    </row>
    <row r="2592" spans="1:14" x14ac:dyDescent="0.25">
      <c r="A2592" s="252" t="s">
        <v>74</v>
      </c>
      <c r="B2592" s="252" t="s">
        <v>6461</v>
      </c>
      <c r="C2592" s="253">
        <v>0</v>
      </c>
      <c r="D2592" s="252">
        <v>39792</v>
      </c>
      <c r="E2592" s="252" t="s">
        <v>190</v>
      </c>
      <c r="F2592" s="254" t="s">
        <v>6462</v>
      </c>
      <c r="G2592" s="252" t="s">
        <v>2036</v>
      </c>
      <c r="H2592" s="252" t="s">
        <v>6473</v>
      </c>
      <c r="I2592" s="252">
        <v>5</v>
      </c>
      <c r="J2592" s="255">
        <v>1</v>
      </c>
      <c r="K2592" s="255">
        <v>1</v>
      </c>
      <c r="L2592" s="255"/>
      <c r="M2592" s="256">
        <v>2.0100000000000001E-4</v>
      </c>
      <c r="N2592" s="249">
        <v>2591</v>
      </c>
    </row>
    <row r="2593" spans="1:14" x14ac:dyDescent="0.25">
      <c r="A2593" s="252" t="s">
        <v>74</v>
      </c>
      <c r="B2593" s="252" t="s">
        <v>6461</v>
      </c>
      <c r="C2593" s="253">
        <v>0</v>
      </c>
      <c r="D2593" s="252">
        <v>39792</v>
      </c>
      <c r="E2593" s="252" t="s">
        <v>1591</v>
      </c>
      <c r="F2593" s="254" t="s">
        <v>6462</v>
      </c>
      <c r="G2593" s="252" t="s">
        <v>2037</v>
      </c>
      <c r="H2593" s="252" t="s">
        <v>6474</v>
      </c>
      <c r="I2593" s="252">
        <v>5</v>
      </c>
      <c r="J2593" s="255">
        <v>1</v>
      </c>
      <c r="K2593" s="255">
        <v>1</v>
      </c>
      <c r="L2593" s="255"/>
      <c r="M2593" s="256">
        <v>5.3399999999999997E-4</v>
      </c>
      <c r="N2593" s="249">
        <v>2592</v>
      </c>
    </row>
    <row r="2594" spans="1:14" x14ac:dyDescent="0.25">
      <c r="A2594" s="252" t="s">
        <v>74</v>
      </c>
      <c r="B2594" s="252" t="s">
        <v>6461</v>
      </c>
      <c r="C2594" s="253">
        <v>0</v>
      </c>
      <c r="D2594" s="252">
        <v>39792</v>
      </c>
      <c r="E2594" s="252" t="s">
        <v>1591</v>
      </c>
      <c r="F2594" s="254" t="s">
        <v>6462</v>
      </c>
      <c r="G2594" s="252" t="s">
        <v>2038</v>
      </c>
      <c r="H2594" s="252" t="s">
        <v>6475</v>
      </c>
      <c r="I2594" s="252">
        <v>5</v>
      </c>
      <c r="J2594" s="255">
        <v>1</v>
      </c>
      <c r="K2594" s="255">
        <v>1</v>
      </c>
      <c r="L2594" s="255"/>
      <c r="M2594" s="256">
        <v>7.2900000000000005E-4</v>
      </c>
      <c r="N2594" s="249">
        <v>2593</v>
      </c>
    </row>
    <row r="2595" spans="1:14" x14ac:dyDescent="0.25">
      <c r="A2595" s="252" t="s">
        <v>74</v>
      </c>
      <c r="B2595" s="252" t="s">
        <v>6461</v>
      </c>
      <c r="C2595" s="253">
        <v>0</v>
      </c>
      <c r="D2595" s="252">
        <v>39792</v>
      </c>
      <c r="E2595" s="252" t="s">
        <v>3039</v>
      </c>
      <c r="F2595" s="254" t="s">
        <v>6462</v>
      </c>
      <c r="G2595" s="252" t="s">
        <v>2040</v>
      </c>
      <c r="H2595" s="252" t="s">
        <v>6476</v>
      </c>
      <c r="I2595" s="252">
        <v>5</v>
      </c>
      <c r="J2595" s="255">
        <v>1</v>
      </c>
      <c r="K2595" s="255">
        <v>1</v>
      </c>
      <c r="L2595" s="255"/>
      <c r="M2595" s="256">
        <v>7.4669999999999997E-3</v>
      </c>
      <c r="N2595" s="249">
        <v>2594</v>
      </c>
    </row>
    <row r="2596" spans="1:14" x14ac:dyDescent="0.25">
      <c r="A2596" s="252" t="s">
        <v>74</v>
      </c>
      <c r="B2596" s="252" t="s">
        <v>6461</v>
      </c>
      <c r="C2596" s="253">
        <v>0</v>
      </c>
      <c r="D2596" s="252">
        <v>39792</v>
      </c>
      <c r="E2596" s="252" t="s">
        <v>3039</v>
      </c>
      <c r="F2596" s="254" t="s">
        <v>6462</v>
      </c>
      <c r="G2596" s="252" t="s">
        <v>2041</v>
      </c>
      <c r="H2596" s="252" t="s">
        <v>6477</v>
      </c>
      <c r="I2596" s="252">
        <v>5</v>
      </c>
      <c r="J2596" s="255">
        <v>1</v>
      </c>
      <c r="K2596" s="255">
        <v>1</v>
      </c>
      <c r="L2596" s="255"/>
      <c r="M2596" s="256">
        <v>1.35E-4</v>
      </c>
      <c r="N2596" s="249">
        <v>2595</v>
      </c>
    </row>
    <row r="2597" spans="1:14" x14ac:dyDescent="0.25">
      <c r="A2597" s="252" t="s">
        <v>74</v>
      </c>
      <c r="B2597" s="252" t="s">
        <v>6461</v>
      </c>
      <c r="C2597" s="253">
        <v>0</v>
      </c>
      <c r="D2597" s="252">
        <v>39792</v>
      </c>
      <c r="E2597" s="252" t="s">
        <v>3039</v>
      </c>
      <c r="F2597" s="254" t="s">
        <v>6462</v>
      </c>
      <c r="G2597" s="252" t="s">
        <v>2042</v>
      </c>
      <c r="H2597" s="252" t="s">
        <v>6478</v>
      </c>
      <c r="I2597" s="252">
        <v>5</v>
      </c>
      <c r="J2597" s="255">
        <v>1</v>
      </c>
      <c r="K2597" s="255">
        <v>1</v>
      </c>
      <c r="L2597" s="255"/>
      <c r="M2597" s="256">
        <v>1.35E-4</v>
      </c>
      <c r="N2597" s="249">
        <v>2596</v>
      </c>
    </row>
    <row r="2598" spans="1:14" x14ac:dyDescent="0.25">
      <c r="A2598" s="252" t="s">
        <v>74</v>
      </c>
      <c r="B2598" s="252" t="s">
        <v>6461</v>
      </c>
      <c r="C2598" s="253">
        <v>0</v>
      </c>
      <c r="D2598" s="252">
        <v>39792</v>
      </c>
      <c r="E2598" s="252" t="s">
        <v>3039</v>
      </c>
      <c r="F2598" s="254" t="s">
        <v>6462</v>
      </c>
      <c r="G2598" s="252" t="s">
        <v>2043</v>
      </c>
      <c r="H2598" s="252" t="s">
        <v>6479</v>
      </c>
      <c r="I2598" s="252">
        <v>5</v>
      </c>
      <c r="J2598" s="255">
        <v>1</v>
      </c>
      <c r="K2598" s="255">
        <v>1</v>
      </c>
      <c r="L2598" s="255"/>
      <c r="M2598" s="256">
        <v>1.3493999999999999E-2</v>
      </c>
      <c r="N2598" s="249">
        <v>2597</v>
      </c>
    </row>
    <row r="2599" spans="1:14" x14ac:dyDescent="0.25">
      <c r="A2599" s="252" t="s">
        <v>74</v>
      </c>
      <c r="B2599" s="252" t="s">
        <v>6461</v>
      </c>
      <c r="C2599" s="253">
        <v>0</v>
      </c>
      <c r="D2599" s="252">
        <v>39792</v>
      </c>
      <c r="E2599" s="252" t="s">
        <v>3039</v>
      </c>
      <c r="F2599" s="254" t="s">
        <v>6462</v>
      </c>
      <c r="G2599" s="252" t="s">
        <v>2044</v>
      </c>
      <c r="H2599" s="252" t="s">
        <v>6480</v>
      </c>
      <c r="I2599" s="252">
        <v>5</v>
      </c>
      <c r="J2599" s="255">
        <v>1</v>
      </c>
      <c r="K2599" s="255">
        <v>1</v>
      </c>
      <c r="L2599" s="255"/>
      <c r="M2599" s="256">
        <v>1.35E-4</v>
      </c>
      <c r="N2599" s="249">
        <v>2598</v>
      </c>
    </row>
    <row r="2600" spans="1:14" x14ac:dyDescent="0.25">
      <c r="A2600" s="252" t="s">
        <v>74</v>
      </c>
      <c r="B2600" s="252" t="s">
        <v>6461</v>
      </c>
      <c r="C2600" s="253">
        <v>0</v>
      </c>
      <c r="D2600" s="252">
        <v>39792</v>
      </c>
      <c r="E2600" s="252" t="s">
        <v>1764</v>
      </c>
      <c r="F2600" s="254" t="s">
        <v>6462</v>
      </c>
      <c r="G2600" s="252" t="s">
        <v>6481</v>
      </c>
      <c r="H2600" s="252" t="s">
        <v>6482</v>
      </c>
      <c r="I2600" s="252">
        <v>3</v>
      </c>
      <c r="J2600" s="255">
        <v>1</v>
      </c>
      <c r="K2600" s="255">
        <v>1</v>
      </c>
      <c r="L2600" s="255"/>
      <c r="M2600" s="256">
        <v>8.9999999999999992E-5</v>
      </c>
      <c r="N2600" s="249">
        <v>2599</v>
      </c>
    </row>
    <row r="2601" spans="1:14" x14ac:dyDescent="0.25">
      <c r="A2601" s="252" t="s">
        <v>74</v>
      </c>
      <c r="B2601" s="252" t="s">
        <v>6461</v>
      </c>
      <c r="C2601" s="253">
        <v>0</v>
      </c>
      <c r="D2601" s="252">
        <v>39792</v>
      </c>
      <c r="E2601" s="252" t="s">
        <v>1764</v>
      </c>
      <c r="F2601" s="254" t="s">
        <v>6462</v>
      </c>
      <c r="G2601" s="252" t="s">
        <v>6483</v>
      </c>
      <c r="H2601" s="252" t="s">
        <v>6484</v>
      </c>
      <c r="I2601" s="252">
        <v>3</v>
      </c>
      <c r="J2601" s="255">
        <v>1</v>
      </c>
      <c r="K2601" s="255">
        <v>1</v>
      </c>
      <c r="L2601" s="255"/>
      <c r="M2601" s="256">
        <v>8.9999999999999992E-5</v>
      </c>
      <c r="N2601" s="249">
        <v>2600</v>
      </c>
    </row>
    <row r="2602" spans="1:14" x14ac:dyDescent="0.25">
      <c r="A2602" s="252" t="s">
        <v>74</v>
      </c>
      <c r="B2602" s="252" t="s">
        <v>6461</v>
      </c>
      <c r="C2602" s="253">
        <v>0</v>
      </c>
      <c r="D2602" s="252">
        <v>39792</v>
      </c>
      <c r="E2602" s="252" t="s">
        <v>1764</v>
      </c>
      <c r="F2602" s="254" t="s">
        <v>6462</v>
      </c>
      <c r="G2602" s="252" t="s">
        <v>6485</v>
      </c>
      <c r="H2602" s="252" t="s">
        <v>6486</v>
      </c>
      <c r="I2602" s="252">
        <v>3</v>
      </c>
      <c r="J2602" s="255">
        <v>1</v>
      </c>
      <c r="K2602" s="255">
        <v>1</v>
      </c>
      <c r="L2602" s="255"/>
      <c r="M2602" s="256">
        <v>7.6139999999999992E-3</v>
      </c>
      <c r="N2602" s="249">
        <v>2601</v>
      </c>
    </row>
    <row r="2603" spans="1:14" x14ac:dyDescent="0.25">
      <c r="A2603" s="252" t="s">
        <v>74</v>
      </c>
      <c r="B2603" s="252" t="s">
        <v>6461</v>
      </c>
      <c r="C2603" s="253">
        <v>0</v>
      </c>
      <c r="D2603" s="252">
        <v>39792</v>
      </c>
      <c r="E2603" s="252" t="s">
        <v>3039</v>
      </c>
      <c r="F2603" s="254" t="s">
        <v>6462</v>
      </c>
      <c r="G2603" s="252" t="s">
        <v>2050</v>
      </c>
      <c r="H2603" s="252" t="s">
        <v>6487</v>
      </c>
      <c r="I2603" s="252">
        <v>5</v>
      </c>
      <c r="J2603" s="255">
        <v>1</v>
      </c>
      <c r="K2603" s="255">
        <v>1</v>
      </c>
      <c r="L2603" s="255"/>
      <c r="M2603" s="256">
        <v>3.4829999999999996E-3</v>
      </c>
      <c r="N2603" s="249">
        <v>2602</v>
      </c>
    </row>
    <row r="2604" spans="1:14" x14ac:dyDescent="0.25">
      <c r="A2604" s="252" t="s">
        <v>74</v>
      </c>
      <c r="B2604" s="252" t="s">
        <v>6461</v>
      </c>
      <c r="C2604" s="253">
        <v>0</v>
      </c>
      <c r="D2604" s="252">
        <v>39792</v>
      </c>
      <c r="E2604" s="252" t="s">
        <v>3039</v>
      </c>
      <c r="F2604" s="254" t="s">
        <v>6462</v>
      </c>
      <c r="G2604" s="252" t="s">
        <v>2051</v>
      </c>
      <c r="H2604" s="252" t="s">
        <v>6488</v>
      </c>
      <c r="I2604" s="252">
        <v>5</v>
      </c>
      <c r="J2604" s="255">
        <v>1</v>
      </c>
      <c r="K2604" s="255">
        <v>1</v>
      </c>
      <c r="L2604" s="255"/>
      <c r="M2604" s="256">
        <v>1.35E-4</v>
      </c>
      <c r="N2604" s="249">
        <v>2603</v>
      </c>
    </row>
    <row r="2605" spans="1:14" x14ac:dyDescent="0.25">
      <c r="A2605" s="252" t="s">
        <v>74</v>
      </c>
      <c r="B2605" s="252" t="s">
        <v>6461</v>
      </c>
      <c r="C2605" s="253">
        <v>0</v>
      </c>
      <c r="D2605" s="252">
        <v>39792</v>
      </c>
      <c r="E2605" s="252" t="s">
        <v>3039</v>
      </c>
      <c r="F2605" s="254" t="s">
        <v>6462</v>
      </c>
      <c r="G2605" s="252" t="s">
        <v>2052</v>
      </c>
      <c r="H2605" s="252" t="s">
        <v>6489</v>
      </c>
      <c r="I2605" s="252">
        <v>5</v>
      </c>
      <c r="J2605" s="255">
        <v>1</v>
      </c>
      <c r="K2605" s="255">
        <v>1</v>
      </c>
      <c r="L2605" s="255"/>
      <c r="M2605" s="256">
        <v>1.35E-4</v>
      </c>
      <c r="N2605" s="249">
        <v>2604</v>
      </c>
    </row>
    <row r="2606" spans="1:14" x14ac:dyDescent="0.25">
      <c r="A2606" s="252" t="s">
        <v>74</v>
      </c>
      <c r="B2606" s="252" t="s">
        <v>6461</v>
      </c>
      <c r="C2606" s="253">
        <v>0</v>
      </c>
      <c r="D2606" s="252">
        <v>39792</v>
      </c>
      <c r="E2606" s="252" t="s">
        <v>1764</v>
      </c>
      <c r="F2606" s="254" t="s">
        <v>6462</v>
      </c>
      <c r="G2606" s="252" t="s">
        <v>3068</v>
      </c>
      <c r="H2606" s="252" t="s">
        <v>6490</v>
      </c>
      <c r="I2606" s="252">
        <v>3</v>
      </c>
      <c r="J2606" s="255">
        <v>1</v>
      </c>
      <c r="K2606" s="255">
        <v>1</v>
      </c>
      <c r="L2606" s="255"/>
      <c r="M2606" s="256">
        <v>8.9999999999999992E-5</v>
      </c>
      <c r="N2606" s="249">
        <v>2605</v>
      </c>
    </row>
    <row r="2607" spans="1:14" x14ac:dyDescent="0.25">
      <c r="A2607" s="252" t="s">
        <v>74</v>
      </c>
      <c r="B2607" s="252" t="s">
        <v>6461</v>
      </c>
      <c r="C2607" s="253">
        <v>0</v>
      </c>
      <c r="D2607" s="252">
        <v>39792</v>
      </c>
      <c r="E2607" s="252" t="s">
        <v>1764</v>
      </c>
      <c r="F2607" s="254" t="s">
        <v>6462</v>
      </c>
      <c r="G2607" s="252" t="s">
        <v>6491</v>
      </c>
      <c r="H2607" s="252" t="s">
        <v>6492</v>
      </c>
      <c r="I2607" s="252">
        <v>3</v>
      </c>
      <c r="J2607" s="255">
        <v>1</v>
      </c>
      <c r="K2607" s="255">
        <v>1</v>
      </c>
      <c r="L2607" s="255"/>
      <c r="M2607" s="256">
        <v>8.9999999999999992E-5</v>
      </c>
      <c r="N2607" s="249">
        <v>2606</v>
      </c>
    </row>
    <row r="2608" spans="1:14" x14ac:dyDescent="0.25">
      <c r="A2608" s="252" t="s">
        <v>74</v>
      </c>
      <c r="B2608" s="252" t="s">
        <v>6461</v>
      </c>
      <c r="C2608" s="253">
        <v>0</v>
      </c>
      <c r="D2608" s="252">
        <v>39792</v>
      </c>
      <c r="E2608" s="252" t="s">
        <v>1764</v>
      </c>
      <c r="F2608" s="254" t="s">
        <v>6462</v>
      </c>
      <c r="G2608" s="252" t="s">
        <v>6493</v>
      </c>
      <c r="H2608" s="252" t="s">
        <v>6494</v>
      </c>
      <c r="I2608" s="252">
        <v>3</v>
      </c>
      <c r="J2608" s="255">
        <v>1</v>
      </c>
      <c r="K2608" s="255">
        <v>1</v>
      </c>
      <c r="L2608" s="255"/>
      <c r="M2608" s="256">
        <v>8.3759999999999998E-3</v>
      </c>
      <c r="N2608" s="249">
        <v>2607</v>
      </c>
    </row>
    <row r="2609" spans="1:14" x14ac:dyDescent="0.25">
      <c r="A2609" s="252" t="s">
        <v>74</v>
      </c>
      <c r="B2609" s="252" t="s">
        <v>6461</v>
      </c>
      <c r="C2609" s="253">
        <v>0</v>
      </c>
      <c r="D2609" s="252">
        <v>39792</v>
      </c>
      <c r="E2609" s="252" t="s">
        <v>1764</v>
      </c>
      <c r="F2609" s="254" t="s">
        <v>6462</v>
      </c>
      <c r="G2609" s="252" t="s">
        <v>6495</v>
      </c>
      <c r="H2609" s="252" t="s">
        <v>6496</v>
      </c>
      <c r="I2609" s="252">
        <v>3</v>
      </c>
      <c r="J2609" s="255">
        <v>1</v>
      </c>
      <c r="K2609" s="255">
        <v>1</v>
      </c>
      <c r="L2609" s="255"/>
      <c r="M2609" s="256">
        <v>8.9999999999999992E-5</v>
      </c>
      <c r="N2609" s="249">
        <v>2608</v>
      </c>
    </row>
    <row r="2610" spans="1:14" x14ac:dyDescent="0.25">
      <c r="A2610" s="252" t="s">
        <v>74</v>
      </c>
      <c r="B2610" s="252" t="s">
        <v>6461</v>
      </c>
      <c r="C2610" s="253">
        <v>0</v>
      </c>
      <c r="D2610" s="252">
        <v>39792</v>
      </c>
      <c r="E2610" s="252" t="s">
        <v>3039</v>
      </c>
      <c r="F2610" s="254" t="s">
        <v>6462</v>
      </c>
      <c r="G2610" s="252" t="s">
        <v>2056</v>
      </c>
      <c r="H2610" s="252" t="s">
        <v>6497</v>
      </c>
      <c r="I2610" s="252">
        <v>5</v>
      </c>
      <c r="J2610" s="255">
        <v>1</v>
      </c>
      <c r="K2610" s="255">
        <v>1</v>
      </c>
      <c r="L2610" s="255"/>
      <c r="M2610" s="256">
        <v>1.5239999999999998E-2</v>
      </c>
      <c r="N2610" s="249">
        <v>2609</v>
      </c>
    </row>
    <row r="2611" spans="1:14" x14ac:dyDescent="0.25">
      <c r="A2611" s="252" t="s">
        <v>74</v>
      </c>
      <c r="B2611" s="252" t="s">
        <v>6461</v>
      </c>
      <c r="C2611" s="253">
        <v>0</v>
      </c>
      <c r="D2611" s="252">
        <v>39792</v>
      </c>
      <c r="E2611" s="252" t="s">
        <v>3039</v>
      </c>
      <c r="F2611" s="254" t="s">
        <v>6462</v>
      </c>
      <c r="G2611" s="252" t="s">
        <v>2057</v>
      </c>
      <c r="H2611" s="252" t="s">
        <v>6498</v>
      </c>
      <c r="I2611" s="252">
        <v>5</v>
      </c>
      <c r="J2611" s="255">
        <v>1</v>
      </c>
      <c r="K2611" s="255">
        <v>1</v>
      </c>
      <c r="L2611" s="255"/>
      <c r="M2611" s="256">
        <v>1.35E-4</v>
      </c>
      <c r="N2611" s="249">
        <v>2610</v>
      </c>
    </row>
    <row r="2612" spans="1:14" x14ac:dyDescent="0.25">
      <c r="A2612" s="252" t="s">
        <v>74</v>
      </c>
      <c r="B2612" s="252" t="s">
        <v>6461</v>
      </c>
      <c r="C2612" s="253">
        <v>0</v>
      </c>
      <c r="D2612" s="252">
        <v>39792</v>
      </c>
      <c r="E2612" s="252" t="s">
        <v>3039</v>
      </c>
      <c r="F2612" s="254" t="s">
        <v>6462</v>
      </c>
      <c r="G2612" s="252" t="s">
        <v>3073</v>
      </c>
      <c r="H2612" s="252" t="s">
        <v>6499</v>
      </c>
      <c r="I2612" s="252">
        <v>5</v>
      </c>
      <c r="J2612" s="255">
        <v>1</v>
      </c>
      <c r="K2612" s="255">
        <v>1</v>
      </c>
      <c r="L2612" s="255"/>
      <c r="M2612" s="256">
        <v>1.35E-4</v>
      </c>
      <c r="N2612" s="249">
        <v>2611</v>
      </c>
    </row>
    <row r="2613" spans="1:14" x14ac:dyDescent="0.25">
      <c r="A2613" s="252" t="s">
        <v>74</v>
      </c>
      <c r="B2613" s="252" t="s">
        <v>6461</v>
      </c>
      <c r="C2613" s="253">
        <v>0</v>
      </c>
      <c r="D2613" s="252">
        <v>39792</v>
      </c>
      <c r="E2613" s="252" t="s">
        <v>3039</v>
      </c>
      <c r="F2613" s="254" t="s">
        <v>6462</v>
      </c>
      <c r="G2613" s="252" t="s">
        <v>2058</v>
      </c>
      <c r="H2613" s="252" t="s">
        <v>6500</v>
      </c>
      <c r="I2613" s="252">
        <v>5</v>
      </c>
      <c r="J2613" s="255">
        <v>1</v>
      </c>
      <c r="K2613" s="255">
        <v>1</v>
      </c>
      <c r="L2613" s="255"/>
      <c r="M2613" s="256">
        <v>5.1959999999999992E-3</v>
      </c>
      <c r="N2613" s="249">
        <v>2612</v>
      </c>
    </row>
    <row r="2614" spans="1:14" x14ac:dyDescent="0.25">
      <c r="A2614" s="252" t="s">
        <v>74</v>
      </c>
      <c r="B2614" s="252" t="s">
        <v>6461</v>
      </c>
      <c r="C2614" s="253">
        <v>0</v>
      </c>
      <c r="D2614" s="252">
        <v>39792</v>
      </c>
      <c r="E2614" s="252" t="s">
        <v>3039</v>
      </c>
      <c r="F2614" s="254" t="s">
        <v>6462</v>
      </c>
      <c r="G2614" s="252" t="s">
        <v>2059</v>
      </c>
      <c r="H2614" s="252" t="s">
        <v>6501</v>
      </c>
      <c r="I2614" s="252">
        <v>5</v>
      </c>
      <c r="J2614" s="255">
        <v>1</v>
      </c>
      <c r="K2614" s="255">
        <v>1</v>
      </c>
      <c r="L2614" s="255"/>
      <c r="M2614" s="256">
        <v>1.35E-4</v>
      </c>
      <c r="N2614" s="249">
        <v>2613</v>
      </c>
    </row>
    <row r="2615" spans="1:14" x14ac:dyDescent="0.25">
      <c r="A2615" s="252" t="s">
        <v>74</v>
      </c>
      <c r="B2615" s="252" t="s">
        <v>6461</v>
      </c>
      <c r="C2615" s="253">
        <v>0</v>
      </c>
      <c r="D2615" s="252">
        <v>39792</v>
      </c>
      <c r="E2615" s="252" t="s">
        <v>6502</v>
      </c>
      <c r="F2615" s="254" t="s">
        <v>6462</v>
      </c>
      <c r="G2615" s="252" t="s">
        <v>3098</v>
      </c>
      <c r="H2615" s="252" t="s">
        <v>6503</v>
      </c>
      <c r="I2615" s="252">
        <v>3</v>
      </c>
      <c r="J2615" s="255">
        <v>1</v>
      </c>
      <c r="K2615" s="255">
        <v>1</v>
      </c>
      <c r="L2615" s="255"/>
      <c r="M2615" s="256">
        <v>1.7999999999999998E-4</v>
      </c>
      <c r="N2615" s="249">
        <v>2614</v>
      </c>
    </row>
    <row r="2616" spans="1:14" x14ac:dyDescent="0.25">
      <c r="A2616" s="252" t="s">
        <v>74</v>
      </c>
      <c r="B2616" s="252" t="s">
        <v>6461</v>
      </c>
      <c r="C2616" s="253">
        <v>0</v>
      </c>
      <c r="D2616" s="252">
        <v>39792</v>
      </c>
      <c r="E2616" s="252" t="s">
        <v>6502</v>
      </c>
      <c r="F2616" s="254" t="s">
        <v>6462</v>
      </c>
      <c r="G2616" s="252" t="s">
        <v>3102</v>
      </c>
      <c r="H2616" s="252" t="s">
        <v>6504</v>
      </c>
      <c r="I2616" s="252">
        <v>3</v>
      </c>
      <c r="J2616" s="255">
        <v>1</v>
      </c>
      <c r="K2616" s="255">
        <v>1</v>
      </c>
      <c r="L2616" s="255"/>
      <c r="M2616" s="256">
        <v>1.7999999999999998E-4</v>
      </c>
      <c r="N2616" s="249">
        <v>2615</v>
      </c>
    </row>
    <row r="2617" spans="1:14" x14ac:dyDescent="0.25">
      <c r="A2617" s="252" t="s">
        <v>74</v>
      </c>
      <c r="B2617" s="252" t="s">
        <v>6461</v>
      </c>
      <c r="C2617" s="253">
        <v>0</v>
      </c>
      <c r="D2617" s="252">
        <v>39792</v>
      </c>
      <c r="E2617" s="252" t="s">
        <v>6502</v>
      </c>
      <c r="F2617" s="254" t="s">
        <v>6462</v>
      </c>
      <c r="G2617" s="252" t="s">
        <v>3108</v>
      </c>
      <c r="H2617" s="252" t="s">
        <v>6505</v>
      </c>
      <c r="I2617" s="252">
        <v>3</v>
      </c>
      <c r="J2617" s="255">
        <v>1</v>
      </c>
      <c r="K2617" s="255">
        <v>1</v>
      </c>
      <c r="L2617" s="255"/>
      <c r="M2617" s="256">
        <v>2.274E-3</v>
      </c>
      <c r="N2617" s="249">
        <v>2616</v>
      </c>
    </row>
    <row r="2618" spans="1:14" x14ac:dyDescent="0.25">
      <c r="A2618" s="252" t="s">
        <v>74</v>
      </c>
      <c r="B2618" s="252" t="s">
        <v>6461</v>
      </c>
      <c r="C2618" s="253">
        <v>0</v>
      </c>
      <c r="D2618" s="252">
        <v>39792</v>
      </c>
      <c r="E2618" s="252" t="s">
        <v>3039</v>
      </c>
      <c r="F2618" s="254" t="s">
        <v>6462</v>
      </c>
      <c r="G2618" s="252" t="s">
        <v>2060</v>
      </c>
      <c r="H2618" s="252" t="s">
        <v>6506</v>
      </c>
      <c r="I2618" s="252">
        <v>5</v>
      </c>
      <c r="J2618" s="255">
        <v>1</v>
      </c>
      <c r="K2618" s="255">
        <v>1</v>
      </c>
      <c r="L2618" s="255"/>
      <c r="M2618" s="256">
        <v>2.7660000000000002E-3</v>
      </c>
      <c r="N2618" s="249">
        <v>2617</v>
      </c>
    </row>
    <row r="2619" spans="1:14" x14ac:dyDescent="0.25">
      <c r="A2619" s="252" t="s">
        <v>74</v>
      </c>
      <c r="B2619" s="252" t="s">
        <v>6461</v>
      </c>
      <c r="C2619" s="253">
        <v>0</v>
      </c>
      <c r="D2619" s="252">
        <v>39792</v>
      </c>
      <c r="E2619" s="252" t="s">
        <v>3039</v>
      </c>
      <c r="F2619" s="254" t="s">
        <v>6462</v>
      </c>
      <c r="G2619" s="252" t="s">
        <v>2061</v>
      </c>
      <c r="H2619" s="252" t="s">
        <v>6507</v>
      </c>
      <c r="I2619" s="252">
        <v>5</v>
      </c>
      <c r="J2619" s="255">
        <v>1</v>
      </c>
      <c r="K2619" s="255">
        <v>1</v>
      </c>
      <c r="L2619" s="255"/>
      <c r="M2619" s="256">
        <v>3.8999999999999999E-4</v>
      </c>
      <c r="N2619" s="249">
        <v>2618</v>
      </c>
    </row>
    <row r="2620" spans="1:14" x14ac:dyDescent="0.25">
      <c r="A2620" s="252" t="s">
        <v>74</v>
      </c>
      <c r="B2620" s="252" t="s">
        <v>6461</v>
      </c>
      <c r="C2620" s="253">
        <v>0</v>
      </c>
      <c r="D2620" s="252">
        <v>39792</v>
      </c>
      <c r="E2620" s="252" t="s">
        <v>3039</v>
      </c>
      <c r="F2620" s="254" t="s">
        <v>6462</v>
      </c>
      <c r="G2620" s="252" t="s">
        <v>2062</v>
      </c>
      <c r="H2620" s="252" t="s">
        <v>6508</v>
      </c>
      <c r="I2620" s="252">
        <v>5</v>
      </c>
      <c r="J2620" s="255">
        <v>1</v>
      </c>
      <c r="K2620" s="255">
        <v>1</v>
      </c>
      <c r="L2620" s="255"/>
      <c r="M2620" s="256">
        <v>2.7660000000000002E-3</v>
      </c>
      <c r="N2620" s="249">
        <v>2619</v>
      </c>
    </row>
    <row r="2621" spans="1:14" x14ac:dyDescent="0.25">
      <c r="A2621" s="252" t="s">
        <v>74</v>
      </c>
      <c r="B2621" s="252" t="s">
        <v>6461</v>
      </c>
      <c r="C2621" s="253">
        <v>0</v>
      </c>
      <c r="D2621" s="252">
        <v>39792</v>
      </c>
      <c r="E2621" s="252" t="s">
        <v>3039</v>
      </c>
      <c r="F2621" s="254" t="s">
        <v>6462</v>
      </c>
      <c r="G2621" s="252" t="s">
        <v>2063</v>
      </c>
      <c r="H2621" s="252" t="s">
        <v>6509</v>
      </c>
      <c r="I2621" s="252">
        <v>5</v>
      </c>
      <c r="J2621" s="255">
        <v>1</v>
      </c>
      <c r="K2621" s="255">
        <v>1</v>
      </c>
      <c r="L2621" s="255"/>
      <c r="M2621" s="256">
        <v>3.8999999999999999E-4</v>
      </c>
      <c r="N2621" s="249">
        <v>2620</v>
      </c>
    </row>
    <row r="2622" spans="1:14" x14ac:dyDescent="0.25">
      <c r="A2622" s="252" t="s">
        <v>74</v>
      </c>
      <c r="B2622" s="252" t="s">
        <v>6461</v>
      </c>
      <c r="C2622" s="253">
        <v>0</v>
      </c>
      <c r="D2622" s="252">
        <v>39792</v>
      </c>
      <c r="E2622" s="252" t="s">
        <v>3039</v>
      </c>
      <c r="F2622" s="254" t="s">
        <v>6462</v>
      </c>
      <c r="G2622" s="252" t="s">
        <v>6510</v>
      </c>
      <c r="H2622" s="252" t="s">
        <v>6511</v>
      </c>
      <c r="I2622" s="252">
        <v>5</v>
      </c>
      <c r="J2622" s="255">
        <v>1</v>
      </c>
      <c r="K2622" s="255">
        <v>1</v>
      </c>
      <c r="L2622" s="255"/>
      <c r="M2622" s="256">
        <v>1.35E-4</v>
      </c>
      <c r="N2622" s="249">
        <v>2621</v>
      </c>
    </row>
    <row r="2623" spans="1:14" x14ac:dyDescent="0.25">
      <c r="A2623" s="252" t="s">
        <v>74</v>
      </c>
      <c r="B2623" s="252" t="s">
        <v>6461</v>
      </c>
      <c r="C2623" s="253">
        <v>0</v>
      </c>
      <c r="D2623" s="252">
        <v>39792</v>
      </c>
      <c r="E2623" s="252" t="s">
        <v>3039</v>
      </c>
      <c r="F2623" s="254" t="s">
        <v>6462</v>
      </c>
      <c r="G2623" s="252" t="s">
        <v>6512</v>
      </c>
      <c r="H2623" s="252" t="s">
        <v>6513</v>
      </c>
      <c r="I2623" s="252">
        <v>5</v>
      </c>
      <c r="J2623" s="255">
        <v>1</v>
      </c>
      <c r="K2623" s="255">
        <v>1</v>
      </c>
      <c r="L2623" s="255"/>
      <c r="M2623" s="256">
        <v>2.7E-4</v>
      </c>
      <c r="N2623" s="249">
        <v>2622</v>
      </c>
    </row>
    <row r="2624" spans="1:14" x14ac:dyDescent="0.25">
      <c r="A2624" s="252" t="s">
        <v>74</v>
      </c>
      <c r="B2624" s="252" t="s">
        <v>6461</v>
      </c>
      <c r="C2624" s="253">
        <v>0</v>
      </c>
      <c r="D2624" s="252">
        <v>39792</v>
      </c>
      <c r="E2624" s="252" t="s">
        <v>3039</v>
      </c>
      <c r="F2624" s="254" t="s">
        <v>6462</v>
      </c>
      <c r="G2624" s="252" t="s">
        <v>6514</v>
      </c>
      <c r="H2624" s="252" t="s">
        <v>6515</v>
      </c>
      <c r="I2624" s="252">
        <v>5</v>
      </c>
      <c r="J2624" s="255">
        <v>1</v>
      </c>
      <c r="K2624" s="255">
        <v>1</v>
      </c>
      <c r="L2624" s="255"/>
      <c r="M2624" s="256">
        <v>2.2800000000000001E-4</v>
      </c>
      <c r="N2624" s="249">
        <v>2623</v>
      </c>
    </row>
    <row r="2625" spans="1:14" x14ac:dyDescent="0.25">
      <c r="A2625" s="252" t="s">
        <v>74</v>
      </c>
      <c r="B2625" s="252" t="s">
        <v>6461</v>
      </c>
      <c r="C2625" s="253">
        <v>0</v>
      </c>
      <c r="D2625" s="252">
        <v>39792</v>
      </c>
      <c r="E2625" s="252" t="s">
        <v>1591</v>
      </c>
      <c r="F2625" s="254" t="s">
        <v>6462</v>
      </c>
      <c r="G2625" s="252" t="s">
        <v>4222</v>
      </c>
      <c r="H2625" s="252" t="s">
        <v>6516</v>
      </c>
      <c r="I2625" s="252">
        <v>5</v>
      </c>
      <c r="J2625" s="255">
        <v>1</v>
      </c>
      <c r="K2625" s="255">
        <v>1</v>
      </c>
      <c r="L2625" s="255"/>
      <c r="M2625" s="256">
        <v>5.3399999999999997E-4</v>
      </c>
      <c r="N2625" s="249">
        <v>2624</v>
      </c>
    </row>
    <row r="2626" spans="1:14" x14ac:dyDescent="0.25">
      <c r="A2626" s="252" t="s">
        <v>74</v>
      </c>
      <c r="B2626" s="252" t="s">
        <v>6461</v>
      </c>
      <c r="C2626" s="253">
        <v>0</v>
      </c>
      <c r="D2626" s="252">
        <v>39792</v>
      </c>
      <c r="E2626" s="252" t="s">
        <v>1591</v>
      </c>
      <c r="F2626" s="254" t="s">
        <v>6462</v>
      </c>
      <c r="G2626" s="252" t="s">
        <v>6517</v>
      </c>
      <c r="H2626" s="252" t="s">
        <v>6518</v>
      </c>
      <c r="I2626" s="252">
        <v>5</v>
      </c>
      <c r="J2626" s="255">
        <v>1</v>
      </c>
      <c r="K2626" s="255">
        <v>1</v>
      </c>
      <c r="L2626" s="255"/>
      <c r="M2626" s="256">
        <v>7.2900000000000005E-4</v>
      </c>
      <c r="N2626" s="249">
        <v>2625</v>
      </c>
    </row>
    <row r="2627" spans="1:14" x14ac:dyDescent="0.25">
      <c r="A2627" s="252" t="s">
        <v>74</v>
      </c>
      <c r="B2627" s="252" t="s">
        <v>6461</v>
      </c>
      <c r="C2627" s="253">
        <v>0</v>
      </c>
      <c r="D2627" s="252">
        <v>39792</v>
      </c>
      <c r="E2627" s="252" t="s">
        <v>3039</v>
      </c>
      <c r="F2627" s="254" t="s">
        <v>6462</v>
      </c>
      <c r="G2627" s="252" t="s">
        <v>6519</v>
      </c>
      <c r="H2627" s="252" t="s">
        <v>6520</v>
      </c>
      <c r="I2627" s="252">
        <v>5</v>
      </c>
      <c r="J2627" s="255">
        <v>1</v>
      </c>
      <c r="K2627" s="255">
        <v>1</v>
      </c>
      <c r="L2627" s="255"/>
      <c r="M2627" s="256">
        <v>5.6129999999999999E-3</v>
      </c>
      <c r="N2627" s="249">
        <v>2626</v>
      </c>
    </row>
    <row r="2628" spans="1:14" x14ac:dyDescent="0.25">
      <c r="A2628" s="252" t="s">
        <v>74</v>
      </c>
      <c r="B2628" s="252" t="s">
        <v>6461</v>
      </c>
      <c r="C2628" s="253">
        <v>0</v>
      </c>
      <c r="D2628" s="252">
        <v>39792</v>
      </c>
      <c r="E2628" s="252" t="s">
        <v>3039</v>
      </c>
      <c r="F2628" s="254" t="s">
        <v>6462</v>
      </c>
      <c r="G2628" s="252" t="s">
        <v>6521</v>
      </c>
      <c r="H2628" s="252" t="s">
        <v>6522</v>
      </c>
      <c r="I2628" s="252">
        <v>5</v>
      </c>
      <c r="J2628" s="255">
        <v>1</v>
      </c>
      <c r="K2628" s="255">
        <v>1</v>
      </c>
      <c r="L2628" s="255"/>
      <c r="M2628" s="256">
        <v>1.35E-4</v>
      </c>
      <c r="N2628" s="249">
        <v>2627</v>
      </c>
    </row>
    <row r="2629" spans="1:14" x14ac:dyDescent="0.25">
      <c r="A2629" s="252" t="s">
        <v>74</v>
      </c>
      <c r="B2629" s="252" t="s">
        <v>6461</v>
      </c>
      <c r="C2629" s="253">
        <v>0</v>
      </c>
      <c r="D2629" s="252">
        <v>39792</v>
      </c>
      <c r="E2629" s="252" t="s">
        <v>1591</v>
      </c>
      <c r="F2629" s="254" t="s">
        <v>6462</v>
      </c>
      <c r="G2629" s="252" t="s">
        <v>1543</v>
      </c>
      <c r="H2629" s="252" t="s">
        <v>6523</v>
      </c>
      <c r="I2629" s="252">
        <v>5</v>
      </c>
      <c r="J2629" s="255">
        <v>1</v>
      </c>
      <c r="K2629" s="255">
        <v>1</v>
      </c>
      <c r="L2629" s="255"/>
      <c r="M2629" s="256">
        <v>5.3399999999999997E-4</v>
      </c>
      <c r="N2629" s="249">
        <v>2628</v>
      </c>
    </row>
    <row r="2630" spans="1:14" x14ac:dyDescent="0.25">
      <c r="A2630" s="252" t="s">
        <v>74</v>
      </c>
      <c r="B2630" s="252" t="s">
        <v>6461</v>
      </c>
      <c r="C2630" s="253">
        <v>0</v>
      </c>
      <c r="D2630" s="252">
        <v>39792</v>
      </c>
      <c r="E2630" s="252" t="s">
        <v>1591</v>
      </c>
      <c r="F2630" s="254" t="s">
        <v>6462</v>
      </c>
      <c r="G2630" s="252" t="s">
        <v>2064</v>
      </c>
      <c r="H2630" s="252" t="s">
        <v>6524</v>
      </c>
      <c r="I2630" s="252">
        <v>5</v>
      </c>
      <c r="J2630" s="255">
        <v>1</v>
      </c>
      <c r="K2630" s="255">
        <v>1</v>
      </c>
      <c r="L2630" s="255"/>
      <c r="M2630" s="256">
        <v>7.2900000000000005E-4</v>
      </c>
      <c r="N2630" s="249">
        <v>2629</v>
      </c>
    </row>
    <row r="2631" spans="1:14" x14ac:dyDescent="0.25">
      <c r="A2631" s="252" t="s">
        <v>74</v>
      </c>
      <c r="B2631" s="252" t="s">
        <v>6461</v>
      </c>
      <c r="C2631" s="253">
        <v>0</v>
      </c>
      <c r="D2631" s="252">
        <v>39792</v>
      </c>
      <c r="E2631" s="252" t="s">
        <v>3039</v>
      </c>
      <c r="F2631" s="254" t="s">
        <v>6462</v>
      </c>
      <c r="G2631" s="252" t="s">
        <v>2065</v>
      </c>
      <c r="H2631" s="252" t="s">
        <v>6525</v>
      </c>
      <c r="I2631" s="252">
        <v>5</v>
      </c>
      <c r="J2631" s="255">
        <v>1</v>
      </c>
      <c r="K2631" s="255">
        <v>1</v>
      </c>
      <c r="L2631" s="255"/>
      <c r="M2631" s="256">
        <v>8.7900000000000001E-4</v>
      </c>
      <c r="N2631" s="249">
        <v>2630</v>
      </c>
    </row>
    <row r="2632" spans="1:14" x14ac:dyDescent="0.25">
      <c r="A2632" s="252" t="s">
        <v>74</v>
      </c>
      <c r="B2632" s="252" t="s">
        <v>6461</v>
      </c>
      <c r="C2632" s="253">
        <v>0</v>
      </c>
      <c r="D2632" s="252">
        <v>39792</v>
      </c>
      <c r="E2632" s="252" t="s">
        <v>3039</v>
      </c>
      <c r="F2632" s="254" t="s">
        <v>6462</v>
      </c>
      <c r="G2632" s="252" t="s">
        <v>2066</v>
      </c>
      <c r="H2632" s="252" t="s">
        <v>6526</v>
      </c>
      <c r="I2632" s="252">
        <v>5</v>
      </c>
      <c r="J2632" s="255">
        <v>1</v>
      </c>
      <c r="K2632" s="255">
        <v>1</v>
      </c>
      <c r="L2632" s="255"/>
      <c r="M2632" s="256">
        <v>3.2400000000000001E-4</v>
      </c>
      <c r="N2632" s="249">
        <v>2631</v>
      </c>
    </row>
    <row r="2633" spans="1:14" x14ac:dyDescent="0.25">
      <c r="A2633" s="252" t="s">
        <v>74</v>
      </c>
      <c r="B2633" s="252" t="s">
        <v>6461</v>
      </c>
      <c r="C2633" s="253">
        <v>0</v>
      </c>
      <c r="D2633" s="252">
        <v>39792</v>
      </c>
      <c r="E2633" s="252" t="s">
        <v>3039</v>
      </c>
      <c r="F2633" s="254" t="s">
        <v>6462</v>
      </c>
      <c r="G2633" s="252" t="s">
        <v>2067</v>
      </c>
      <c r="H2633" s="252" t="s">
        <v>6527</v>
      </c>
      <c r="I2633" s="252">
        <v>5</v>
      </c>
      <c r="J2633" s="255">
        <v>1</v>
      </c>
      <c r="K2633" s="255">
        <v>1</v>
      </c>
      <c r="L2633" s="255"/>
      <c r="M2633" s="256">
        <v>6.5639999999999995E-3</v>
      </c>
      <c r="N2633" s="249">
        <v>2632</v>
      </c>
    </row>
    <row r="2634" spans="1:14" x14ac:dyDescent="0.25">
      <c r="A2634" s="252" t="s">
        <v>74</v>
      </c>
      <c r="B2634" s="252" t="s">
        <v>6461</v>
      </c>
      <c r="C2634" s="253">
        <v>0</v>
      </c>
      <c r="D2634" s="252">
        <v>39792</v>
      </c>
      <c r="E2634" s="252" t="s">
        <v>3039</v>
      </c>
      <c r="F2634" s="254" t="s">
        <v>6462</v>
      </c>
      <c r="G2634" s="252" t="s">
        <v>6528</v>
      </c>
      <c r="H2634" s="252" t="s">
        <v>6529</v>
      </c>
      <c r="I2634" s="252">
        <v>5</v>
      </c>
      <c r="J2634" s="255">
        <v>1</v>
      </c>
      <c r="K2634" s="255">
        <v>1</v>
      </c>
      <c r="L2634" s="255"/>
      <c r="M2634" s="256">
        <v>5.5800000000000001E-4</v>
      </c>
      <c r="N2634" s="249">
        <v>2633</v>
      </c>
    </row>
    <row r="2635" spans="1:14" x14ac:dyDescent="0.25">
      <c r="A2635" s="252" t="s">
        <v>74</v>
      </c>
      <c r="B2635" s="252" t="s">
        <v>6461</v>
      </c>
      <c r="C2635" s="253">
        <v>0</v>
      </c>
      <c r="D2635" s="252">
        <v>39792</v>
      </c>
      <c r="E2635" s="252" t="s">
        <v>3039</v>
      </c>
      <c r="F2635" s="254" t="s">
        <v>6462</v>
      </c>
      <c r="G2635" s="252" t="s">
        <v>6530</v>
      </c>
      <c r="H2635" s="252" t="s">
        <v>6531</v>
      </c>
      <c r="I2635" s="252">
        <v>5</v>
      </c>
      <c r="J2635" s="255">
        <v>1</v>
      </c>
      <c r="K2635" s="255">
        <v>1</v>
      </c>
      <c r="L2635" s="255"/>
      <c r="M2635" s="256">
        <v>6.1499999999999988E-4</v>
      </c>
      <c r="N2635" s="249">
        <v>2634</v>
      </c>
    </row>
    <row r="2636" spans="1:14" x14ac:dyDescent="0.25">
      <c r="A2636" s="252" t="s">
        <v>74</v>
      </c>
      <c r="B2636" s="252" t="s">
        <v>6461</v>
      </c>
      <c r="C2636" s="253">
        <v>0</v>
      </c>
      <c r="D2636" s="252">
        <v>39792</v>
      </c>
      <c r="E2636" s="252" t="s">
        <v>1591</v>
      </c>
      <c r="F2636" s="254" t="s">
        <v>6462</v>
      </c>
      <c r="G2636" s="252" t="s">
        <v>2775</v>
      </c>
      <c r="H2636" s="252" t="s">
        <v>6532</v>
      </c>
      <c r="I2636" s="252">
        <v>5</v>
      </c>
      <c r="J2636" s="255">
        <v>1</v>
      </c>
      <c r="K2636" s="255">
        <v>1</v>
      </c>
      <c r="L2636" s="255"/>
      <c r="M2636" s="256">
        <v>5.3399999999999997E-4</v>
      </c>
      <c r="N2636" s="249">
        <v>2635</v>
      </c>
    </row>
    <row r="2637" spans="1:14" x14ac:dyDescent="0.25">
      <c r="A2637" s="252" t="s">
        <v>74</v>
      </c>
      <c r="B2637" s="252" t="s">
        <v>6461</v>
      </c>
      <c r="C2637" s="253">
        <v>0</v>
      </c>
      <c r="D2637" s="252">
        <v>39792</v>
      </c>
      <c r="E2637" s="252" t="s">
        <v>1591</v>
      </c>
      <c r="F2637" s="254" t="s">
        <v>6462</v>
      </c>
      <c r="G2637" s="252" t="s">
        <v>2704</v>
      </c>
      <c r="H2637" s="252" t="s">
        <v>6533</v>
      </c>
      <c r="I2637" s="252">
        <v>5</v>
      </c>
      <c r="J2637" s="255">
        <v>1</v>
      </c>
      <c r="K2637" s="255">
        <v>1</v>
      </c>
      <c r="L2637" s="255"/>
      <c r="M2637" s="256">
        <v>7.2900000000000005E-4</v>
      </c>
      <c r="N2637" s="249">
        <v>2636</v>
      </c>
    </row>
    <row r="2638" spans="1:14" x14ac:dyDescent="0.25">
      <c r="A2638" s="252" t="s">
        <v>74</v>
      </c>
      <c r="B2638" s="252" t="s">
        <v>6461</v>
      </c>
      <c r="C2638" s="253">
        <v>0</v>
      </c>
      <c r="D2638" s="252">
        <v>39792</v>
      </c>
      <c r="E2638" s="252" t="s">
        <v>3039</v>
      </c>
      <c r="F2638" s="254" t="s">
        <v>6462</v>
      </c>
      <c r="G2638" s="252" t="s">
        <v>2071</v>
      </c>
      <c r="H2638" s="252" t="s">
        <v>6534</v>
      </c>
      <c r="I2638" s="252">
        <v>5</v>
      </c>
      <c r="J2638" s="255">
        <v>1</v>
      </c>
      <c r="K2638" s="255">
        <v>1</v>
      </c>
      <c r="L2638" s="255"/>
      <c r="M2638" s="256">
        <v>5.1959999999999992E-3</v>
      </c>
      <c r="N2638" s="249">
        <v>2637</v>
      </c>
    </row>
    <row r="2639" spans="1:14" x14ac:dyDescent="0.25">
      <c r="A2639" s="252" t="s">
        <v>74</v>
      </c>
      <c r="B2639" s="252" t="s">
        <v>6461</v>
      </c>
      <c r="C2639" s="253">
        <v>0</v>
      </c>
      <c r="D2639" s="252">
        <v>39792</v>
      </c>
      <c r="E2639" s="252" t="s">
        <v>3039</v>
      </c>
      <c r="F2639" s="254" t="s">
        <v>6462</v>
      </c>
      <c r="G2639" s="252" t="s">
        <v>2072</v>
      </c>
      <c r="H2639" s="252" t="s">
        <v>6535</v>
      </c>
      <c r="I2639" s="252">
        <v>5</v>
      </c>
      <c r="J2639" s="255">
        <v>1</v>
      </c>
      <c r="K2639" s="255">
        <v>1</v>
      </c>
      <c r="L2639" s="255"/>
      <c r="M2639" s="256">
        <v>1.35E-4</v>
      </c>
      <c r="N2639" s="249">
        <v>2638</v>
      </c>
    </row>
    <row r="2640" spans="1:14" x14ac:dyDescent="0.25">
      <c r="A2640" s="252" t="s">
        <v>74</v>
      </c>
      <c r="B2640" s="252" t="s">
        <v>6461</v>
      </c>
      <c r="C2640" s="253">
        <v>0</v>
      </c>
      <c r="D2640" s="252">
        <v>39792</v>
      </c>
      <c r="E2640" s="252" t="s">
        <v>1591</v>
      </c>
      <c r="F2640" s="254" t="s">
        <v>6462</v>
      </c>
      <c r="G2640" s="252" t="s">
        <v>2778</v>
      </c>
      <c r="H2640" s="252" t="s">
        <v>6536</v>
      </c>
      <c r="I2640" s="252">
        <v>5</v>
      </c>
      <c r="J2640" s="255">
        <v>1</v>
      </c>
      <c r="K2640" s="255">
        <v>1</v>
      </c>
      <c r="L2640" s="255"/>
      <c r="M2640" s="256">
        <v>5.3399999999999997E-4</v>
      </c>
      <c r="N2640" s="249">
        <v>2639</v>
      </c>
    </row>
    <row r="2641" spans="1:14" x14ac:dyDescent="0.25">
      <c r="A2641" s="252" t="s">
        <v>74</v>
      </c>
      <c r="B2641" s="252" t="s">
        <v>6461</v>
      </c>
      <c r="C2641" s="253">
        <v>0</v>
      </c>
      <c r="D2641" s="252">
        <v>39792</v>
      </c>
      <c r="E2641" s="252" t="s">
        <v>1591</v>
      </c>
      <c r="F2641" s="254" t="s">
        <v>6462</v>
      </c>
      <c r="G2641" s="252" t="s">
        <v>2705</v>
      </c>
      <c r="H2641" s="252" t="s">
        <v>6537</v>
      </c>
      <c r="I2641" s="252">
        <v>5</v>
      </c>
      <c r="J2641" s="255">
        <v>1</v>
      </c>
      <c r="K2641" s="255">
        <v>1</v>
      </c>
      <c r="L2641" s="255"/>
      <c r="M2641" s="256">
        <v>7.2900000000000005E-4</v>
      </c>
      <c r="N2641" s="249">
        <v>2640</v>
      </c>
    </row>
    <row r="2642" spans="1:14" x14ac:dyDescent="0.25">
      <c r="A2642" s="252" t="s">
        <v>74</v>
      </c>
      <c r="B2642" s="252" t="s">
        <v>6461</v>
      </c>
      <c r="C2642" s="253">
        <v>0</v>
      </c>
      <c r="D2642" s="252">
        <v>39792</v>
      </c>
      <c r="E2642" s="252" t="s">
        <v>3039</v>
      </c>
      <c r="F2642" s="254" t="s">
        <v>6462</v>
      </c>
      <c r="G2642" s="252" t="s">
        <v>2780</v>
      </c>
      <c r="H2642" s="252" t="s">
        <v>6538</v>
      </c>
      <c r="I2642" s="252">
        <v>5</v>
      </c>
      <c r="J2642" s="255">
        <v>1</v>
      </c>
      <c r="K2642" s="255">
        <v>1</v>
      </c>
      <c r="L2642" s="255"/>
      <c r="M2642" s="256">
        <v>3.1649999999999998E-3</v>
      </c>
      <c r="N2642" s="249">
        <v>2641</v>
      </c>
    </row>
    <row r="2643" spans="1:14" x14ac:dyDescent="0.25">
      <c r="A2643" s="252" t="s">
        <v>74</v>
      </c>
      <c r="B2643" s="252" t="s">
        <v>6461</v>
      </c>
      <c r="C2643" s="253">
        <v>0</v>
      </c>
      <c r="D2643" s="252">
        <v>39792</v>
      </c>
      <c r="E2643" s="252" t="s">
        <v>3039</v>
      </c>
      <c r="F2643" s="254" t="s">
        <v>6462</v>
      </c>
      <c r="G2643" s="252" t="s">
        <v>2706</v>
      </c>
      <c r="H2643" s="252" t="s">
        <v>6539</v>
      </c>
      <c r="I2643" s="252">
        <v>5</v>
      </c>
      <c r="J2643" s="255">
        <v>1</v>
      </c>
      <c r="K2643" s="255">
        <v>1</v>
      </c>
      <c r="L2643" s="255"/>
      <c r="M2643" s="256">
        <v>1.35E-4</v>
      </c>
      <c r="N2643" s="249">
        <v>2642</v>
      </c>
    </row>
    <row r="2644" spans="1:14" x14ac:dyDescent="0.25">
      <c r="A2644" s="252" t="s">
        <v>74</v>
      </c>
      <c r="B2644" s="252" t="s">
        <v>6461</v>
      </c>
      <c r="C2644" s="253">
        <v>0</v>
      </c>
      <c r="D2644" s="252">
        <v>39792</v>
      </c>
      <c r="E2644" s="252" t="s">
        <v>3039</v>
      </c>
      <c r="F2644" s="254" t="s">
        <v>6462</v>
      </c>
      <c r="G2644" s="252" t="s">
        <v>6540</v>
      </c>
      <c r="H2644" s="252" t="s">
        <v>6541</v>
      </c>
      <c r="I2644" s="252">
        <v>5</v>
      </c>
      <c r="J2644" s="255">
        <v>1</v>
      </c>
      <c r="K2644" s="255">
        <v>1</v>
      </c>
      <c r="L2644" s="255"/>
      <c r="M2644" s="256">
        <v>3.1200000000000005E-4</v>
      </c>
      <c r="N2644" s="249">
        <v>2643</v>
      </c>
    </row>
    <row r="2645" spans="1:14" x14ac:dyDescent="0.25">
      <c r="A2645" s="252" t="s">
        <v>74</v>
      </c>
      <c r="B2645" s="252" t="s">
        <v>6461</v>
      </c>
      <c r="C2645" s="253">
        <v>0</v>
      </c>
      <c r="D2645" s="252">
        <v>39792</v>
      </c>
      <c r="E2645" s="252" t="s">
        <v>3039</v>
      </c>
      <c r="F2645" s="254" t="s">
        <v>6462</v>
      </c>
      <c r="G2645" s="252" t="s">
        <v>6542</v>
      </c>
      <c r="H2645" s="252" t="s">
        <v>6543</v>
      </c>
      <c r="I2645" s="252">
        <v>5</v>
      </c>
      <c r="J2645" s="255">
        <v>1</v>
      </c>
      <c r="K2645" s="255">
        <v>1</v>
      </c>
      <c r="L2645" s="255"/>
      <c r="M2645" s="256">
        <v>3.1200000000000005E-4</v>
      </c>
      <c r="N2645" s="249">
        <v>2644</v>
      </c>
    </row>
    <row r="2646" spans="1:14" x14ac:dyDescent="0.25">
      <c r="A2646" s="252" t="s">
        <v>74</v>
      </c>
      <c r="B2646" s="252" t="s">
        <v>6461</v>
      </c>
      <c r="C2646" s="253">
        <v>0</v>
      </c>
      <c r="D2646" s="252">
        <v>39792</v>
      </c>
      <c r="E2646" s="252" t="s">
        <v>3039</v>
      </c>
      <c r="F2646" s="254" t="s">
        <v>6462</v>
      </c>
      <c r="G2646" s="252" t="s">
        <v>2101</v>
      </c>
      <c r="H2646" s="252" t="s">
        <v>6544</v>
      </c>
      <c r="I2646" s="252">
        <v>5</v>
      </c>
      <c r="J2646" s="255">
        <v>1</v>
      </c>
      <c r="K2646" s="255">
        <v>1</v>
      </c>
      <c r="L2646" s="255"/>
      <c r="M2646" s="256">
        <v>1.7999999999999998E-4</v>
      </c>
      <c r="N2646" s="249">
        <v>2645</v>
      </c>
    </row>
    <row r="2647" spans="1:14" x14ac:dyDescent="0.25">
      <c r="A2647" s="252" t="s">
        <v>74</v>
      </c>
      <c r="B2647" s="252" t="s">
        <v>6461</v>
      </c>
      <c r="C2647" s="253">
        <v>0</v>
      </c>
      <c r="D2647" s="252">
        <v>39792</v>
      </c>
      <c r="E2647" s="252" t="s">
        <v>3039</v>
      </c>
      <c r="F2647" s="254" t="s">
        <v>6462</v>
      </c>
      <c r="G2647" s="252" t="s">
        <v>2104</v>
      </c>
      <c r="H2647" s="252" t="s">
        <v>6545</v>
      </c>
      <c r="I2647" s="252">
        <v>5</v>
      </c>
      <c r="J2647" s="255">
        <v>1</v>
      </c>
      <c r="K2647" s="255">
        <v>1</v>
      </c>
      <c r="L2647" s="255"/>
      <c r="M2647" s="256">
        <v>1.7999999999999998E-4</v>
      </c>
      <c r="N2647" s="249">
        <v>2646</v>
      </c>
    </row>
    <row r="2648" spans="1:14" x14ac:dyDescent="0.25">
      <c r="A2648" s="252" t="s">
        <v>74</v>
      </c>
      <c r="B2648" s="252" t="s">
        <v>6461</v>
      </c>
      <c r="C2648" s="253">
        <v>0</v>
      </c>
      <c r="D2648" s="252">
        <v>39792</v>
      </c>
      <c r="E2648" s="252" t="s">
        <v>3039</v>
      </c>
      <c r="F2648" s="254" t="s">
        <v>6462</v>
      </c>
      <c r="G2648" s="252" t="s">
        <v>6546</v>
      </c>
      <c r="H2648" s="252" t="s">
        <v>6547</v>
      </c>
      <c r="I2648" s="252">
        <v>5</v>
      </c>
      <c r="J2648" s="255">
        <v>1</v>
      </c>
      <c r="K2648" s="255">
        <v>1</v>
      </c>
      <c r="L2648" s="255"/>
      <c r="M2648" s="256">
        <v>1.2929999999999999E-3</v>
      </c>
      <c r="N2648" s="249">
        <v>2647</v>
      </c>
    </row>
    <row r="2649" spans="1:14" x14ac:dyDescent="0.25">
      <c r="A2649" s="252" t="s">
        <v>74</v>
      </c>
      <c r="B2649" s="252" t="s">
        <v>6461</v>
      </c>
      <c r="C2649" s="253">
        <v>0</v>
      </c>
      <c r="D2649" s="252">
        <v>39792</v>
      </c>
      <c r="E2649" s="252" t="s">
        <v>3039</v>
      </c>
      <c r="F2649" s="254" t="s">
        <v>6462</v>
      </c>
      <c r="G2649" s="252" t="s">
        <v>2110</v>
      </c>
      <c r="H2649" s="252" t="s">
        <v>6548</v>
      </c>
      <c r="I2649" s="252">
        <v>5</v>
      </c>
      <c r="J2649" s="255">
        <v>1</v>
      </c>
      <c r="K2649" s="255">
        <v>1</v>
      </c>
      <c r="L2649" s="255"/>
      <c r="M2649" s="256">
        <v>2.3159999999999999E-3</v>
      </c>
      <c r="N2649" s="249">
        <v>2648</v>
      </c>
    </row>
    <row r="2650" spans="1:14" x14ac:dyDescent="0.25">
      <c r="A2650" s="252" t="s">
        <v>74</v>
      </c>
      <c r="B2650" s="252" t="s">
        <v>6461</v>
      </c>
      <c r="C2650" s="253">
        <v>0</v>
      </c>
      <c r="D2650" s="252">
        <v>39792</v>
      </c>
      <c r="E2650" s="252" t="s">
        <v>3039</v>
      </c>
      <c r="F2650" s="254" t="s">
        <v>6462</v>
      </c>
      <c r="G2650" s="252" t="s">
        <v>2112</v>
      </c>
      <c r="H2650" s="252" t="s">
        <v>6549</v>
      </c>
      <c r="I2650" s="252">
        <v>5</v>
      </c>
      <c r="J2650" s="255">
        <v>1</v>
      </c>
      <c r="K2650" s="255">
        <v>1</v>
      </c>
      <c r="L2650" s="255"/>
      <c r="M2650" s="256">
        <v>3.8999999999999999E-4</v>
      </c>
      <c r="N2650" s="249">
        <v>2649</v>
      </c>
    </row>
    <row r="2651" spans="1:14" x14ac:dyDescent="0.25">
      <c r="A2651" s="252" t="s">
        <v>74</v>
      </c>
      <c r="B2651" s="252" t="s">
        <v>6461</v>
      </c>
      <c r="C2651" s="253">
        <v>0</v>
      </c>
      <c r="D2651" s="252">
        <v>39792</v>
      </c>
      <c r="E2651" s="252" t="s">
        <v>3039</v>
      </c>
      <c r="F2651" s="254" t="s">
        <v>6462</v>
      </c>
      <c r="G2651" s="252" t="s">
        <v>2114</v>
      </c>
      <c r="H2651" s="252" t="s">
        <v>6550</v>
      </c>
      <c r="I2651" s="252">
        <v>5</v>
      </c>
      <c r="J2651" s="255">
        <v>1</v>
      </c>
      <c r="K2651" s="255">
        <v>1</v>
      </c>
      <c r="L2651" s="255"/>
      <c r="M2651" s="256">
        <v>3.8999999999999999E-4</v>
      </c>
      <c r="N2651" s="249">
        <v>2650</v>
      </c>
    </row>
    <row r="2652" spans="1:14" x14ac:dyDescent="0.25">
      <c r="A2652" s="252" t="s">
        <v>74</v>
      </c>
      <c r="B2652" s="252" t="s">
        <v>6461</v>
      </c>
      <c r="C2652" s="253">
        <v>0</v>
      </c>
      <c r="D2652" s="252">
        <v>39792</v>
      </c>
      <c r="E2652" s="252" t="s">
        <v>3039</v>
      </c>
      <c r="F2652" s="254" t="s">
        <v>6462</v>
      </c>
      <c r="G2652" s="252" t="s">
        <v>2115</v>
      </c>
      <c r="H2652" s="252" t="s">
        <v>6551</v>
      </c>
      <c r="I2652" s="252">
        <v>5</v>
      </c>
      <c r="J2652" s="255">
        <v>1</v>
      </c>
      <c r="K2652" s="255">
        <v>1</v>
      </c>
      <c r="L2652" s="255"/>
      <c r="M2652" s="256">
        <v>1.35E-4</v>
      </c>
      <c r="N2652" s="249">
        <v>2651</v>
      </c>
    </row>
    <row r="2653" spans="1:14" x14ac:dyDescent="0.25">
      <c r="A2653" s="252" t="s">
        <v>74</v>
      </c>
      <c r="B2653" s="252" t="s">
        <v>6461</v>
      </c>
      <c r="C2653" s="253">
        <v>0</v>
      </c>
      <c r="D2653" s="252">
        <v>39792</v>
      </c>
      <c r="E2653" s="252" t="s">
        <v>3039</v>
      </c>
      <c r="F2653" s="254" t="s">
        <v>6462</v>
      </c>
      <c r="G2653" s="252" t="s">
        <v>2123</v>
      </c>
      <c r="H2653" s="252" t="s">
        <v>6552</v>
      </c>
      <c r="I2653" s="252">
        <v>5</v>
      </c>
      <c r="J2653" s="255">
        <v>1</v>
      </c>
      <c r="K2653" s="255">
        <v>1</v>
      </c>
      <c r="L2653" s="255"/>
      <c r="M2653" s="256">
        <v>5.6129999999999999E-3</v>
      </c>
      <c r="N2653" s="249">
        <v>2652</v>
      </c>
    </row>
    <row r="2654" spans="1:14" x14ac:dyDescent="0.25">
      <c r="A2654" s="252" t="s">
        <v>74</v>
      </c>
      <c r="B2654" s="252" t="s">
        <v>6461</v>
      </c>
      <c r="C2654" s="253">
        <v>0</v>
      </c>
      <c r="D2654" s="252">
        <v>39792</v>
      </c>
      <c r="E2654" s="252" t="s">
        <v>3039</v>
      </c>
      <c r="F2654" s="254" t="s">
        <v>6462</v>
      </c>
      <c r="G2654" s="252" t="s">
        <v>2125</v>
      </c>
      <c r="H2654" s="252" t="s">
        <v>6553</v>
      </c>
      <c r="I2654" s="252">
        <v>5</v>
      </c>
      <c r="J2654" s="255">
        <v>1</v>
      </c>
      <c r="K2654" s="255">
        <v>1</v>
      </c>
      <c r="L2654" s="255"/>
      <c r="M2654" s="256">
        <v>1.35E-4</v>
      </c>
      <c r="N2654" s="249">
        <v>2653</v>
      </c>
    </row>
    <row r="2655" spans="1:14" x14ac:dyDescent="0.25">
      <c r="A2655" s="252" t="s">
        <v>74</v>
      </c>
      <c r="B2655" s="252" t="s">
        <v>6461</v>
      </c>
      <c r="C2655" s="253">
        <v>0</v>
      </c>
      <c r="D2655" s="252">
        <v>39792</v>
      </c>
      <c r="E2655" s="252" t="s">
        <v>3039</v>
      </c>
      <c r="F2655" s="254" t="s">
        <v>6462</v>
      </c>
      <c r="G2655" s="252" t="s">
        <v>2135</v>
      </c>
      <c r="H2655" s="252" t="s">
        <v>6554</v>
      </c>
      <c r="I2655" s="252">
        <v>5</v>
      </c>
      <c r="J2655" s="255">
        <v>1</v>
      </c>
      <c r="K2655" s="255">
        <v>1</v>
      </c>
      <c r="L2655" s="255"/>
      <c r="M2655" s="256">
        <v>8.7900000000000001E-4</v>
      </c>
      <c r="N2655" s="249">
        <v>2654</v>
      </c>
    </row>
    <row r="2656" spans="1:14" x14ac:dyDescent="0.25">
      <c r="A2656" s="252" t="s">
        <v>74</v>
      </c>
      <c r="B2656" s="252" t="s">
        <v>6461</v>
      </c>
      <c r="C2656" s="253">
        <v>0</v>
      </c>
      <c r="D2656" s="252">
        <v>39792</v>
      </c>
      <c r="E2656" s="252" t="s">
        <v>3039</v>
      </c>
      <c r="F2656" s="254" t="s">
        <v>6462</v>
      </c>
      <c r="G2656" s="252" t="s">
        <v>2136</v>
      </c>
      <c r="H2656" s="252" t="s">
        <v>6555</v>
      </c>
      <c r="I2656" s="252">
        <v>5</v>
      </c>
      <c r="J2656" s="255">
        <v>1</v>
      </c>
      <c r="K2656" s="255">
        <v>1</v>
      </c>
      <c r="L2656" s="255"/>
      <c r="M2656" s="256">
        <v>3.2400000000000001E-4</v>
      </c>
      <c r="N2656" s="249">
        <v>2655</v>
      </c>
    </row>
    <row r="2657" spans="1:14" x14ac:dyDescent="0.25">
      <c r="A2657" s="252" t="s">
        <v>74</v>
      </c>
      <c r="B2657" s="252" t="s">
        <v>6461</v>
      </c>
      <c r="C2657" s="253">
        <v>0</v>
      </c>
      <c r="D2657" s="252">
        <v>39792</v>
      </c>
      <c r="E2657" s="252" t="s">
        <v>6502</v>
      </c>
      <c r="F2657" s="254" t="s">
        <v>6462</v>
      </c>
      <c r="G2657" s="252" t="s">
        <v>2137</v>
      </c>
      <c r="H2657" s="252" t="s">
        <v>6556</v>
      </c>
      <c r="I2657" s="252">
        <v>3</v>
      </c>
      <c r="J2657" s="255">
        <v>1</v>
      </c>
      <c r="K2657" s="255">
        <v>1</v>
      </c>
      <c r="L2657" s="255"/>
      <c r="M2657" s="256">
        <v>1.7999999999999998E-4</v>
      </c>
      <c r="N2657" s="249">
        <v>2656</v>
      </c>
    </row>
    <row r="2658" spans="1:14" x14ac:dyDescent="0.25">
      <c r="A2658" s="252" t="s">
        <v>74</v>
      </c>
      <c r="B2658" s="252" t="s">
        <v>6461</v>
      </c>
      <c r="C2658" s="253">
        <v>0</v>
      </c>
      <c r="D2658" s="252">
        <v>39792</v>
      </c>
      <c r="E2658" s="252" t="s">
        <v>6502</v>
      </c>
      <c r="F2658" s="254" t="s">
        <v>6462</v>
      </c>
      <c r="G2658" s="252" t="s">
        <v>2141</v>
      </c>
      <c r="H2658" s="252" t="s">
        <v>6557</v>
      </c>
      <c r="I2658" s="252">
        <v>3</v>
      </c>
      <c r="J2658" s="255">
        <v>1</v>
      </c>
      <c r="K2658" s="255">
        <v>1</v>
      </c>
      <c r="L2658" s="255"/>
      <c r="M2658" s="256">
        <v>1.7999999999999998E-4</v>
      </c>
      <c r="N2658" s="249">
        <v>2657</v>
      </c>
    </row>
    <row r="2659" spans="1:14" x14ac:dyDescent="0.25">
      <c r="A2659" s="252" t="s">
        <v>74</v>
      </c>
      <c r="B2659" s="252" t="s">
        <v>6461</v>
      </c>
      <c r="C2659" s="253">
        <v>0</v>
      </c>
      <c r="D2659" s="252">
        <v>39792</v>
      </c>
      <c r="E2659" s="252" t="s">
        <v>6502</v>
      </c>
      <c r="F2659" s="254" t="s">
        <v>6462</v>
      </c>
      <c r="G2659" s="252" t="s">
        <v>6558</v>
      </c>
      <c r="H2659" s="252" t="s">
        <v>6559</v>
      </c>
      <c r="I2659" s="252">
        <v>3</v>
      </c>
      <c r="J2659" s="255">
        <v>1</v>
      </c>
      <c r="K2659" s="255">
        <v>1</v>
      </c>
      <c r="L2659" s="255"/>
      <c r="M2659" s="256">
        <v>1.6799999999999999E-3</v>
      </c>
      <c r="N2659" s="249">
        <v>2658</v>
      </c>
    </row>
    <row r="2660" spans="1:14" x14ac:dyDescent="0.25">
      <c r="A2660" s="252" t="s">
        <v>74</v>
      </c>
      <c r="B2660" s="252" t="s">
        <v>6461</v>
      </c>
      <c r="C2660" s="253">
        <v>0</v>
      </c>
      <c r="D2660" s="252">
        <v>39792</v>
      </c>
      <c r="E2660" s="252" t="s">
        <v>3039</v>
      </c>
      <c r="F2660" s="254" t="s">
        <v>6462</v>
      </c>
      <c r="G2660" s="252" t="s">
        <v>6560</v>
      </c>
      <c r="H2660" s="252" t="s">
        <v>6561</v>
      </c>
      <c r="I2660" s="252">
        <v>5</v>
      </c>
      <c r="J2660" s="255">
        <v>1</v>
      </c>
      <c r="K2660" s="255">
        <v>1</v>
      </c>
      <c r="L2660" s="255"/>
      <c r="M2660" s="256">
        <v>6.5639999999999995E-3</v>
      </c>
      <c r="N2660" s="249">
        <v>2659</v>
      </c>
    </row>
    <row r="2661" spans="1:14" x14ac:dyDescent="0.25">
      <c r="A2661" s="252" t="s">
        <v>74</v>
      </c>
      <c r="B2661" s="252" t="s">
        <v>6461</v>
      </c>
      <c r="C2661" s="253">
        <v>0</v>
      </c>
      <c r="D2661" s="252">
        <v>39792</v>
      </c>
      <c r="E2661" s="252" t="s">
        <v>6502</v>
      </c>
      <c r="F2661" s="254" t="s">
        <v>6462</v>
      </c>
      <c r="G2661" s="252" t="s">
        <v>6562</v>
      </c>
      <c r="H2661" s="252" t="s">
        <v>6563</v>
      </c>
      <c r="I2661" s="252">
        <v>3</v>
      </c>
      <c r="J2661" s="255">
        <v>1</v>
      </c>
      <c r="K2661" s="255">
        <v>1</v>
      </c>
      <c r="L2661" s="255"/>
      <c r="M2661" s="256">
        <v>1.7999999999999998E-4</v>
      </c>
      <c r="N2661" s="249">
        <v>2660</v>
      </c>
    </row>
    <row r="2662" spans="1:14" x14ac:dyDescent="0.25">
      <c r="A2662" s="252" t="s">
        <v>74</v>
      </c>
      <c r="B2662" s="252" t="s">
        <v>6461</v>
      </c>
      <c r="C2662" s="253">
        <v>0</v>
      </c>
      <c r="D2662" s="252">
        <v>39792</v>
      </c>
      <c r="E2662" s="252" t="s">
        <v>6502</v>
      </c>
      <c r="F2662" s="254" t="s">
        <v>6462</v>
      </c>
      <c r="G2662" s="252" t="s">
        <v>6564</v>
      </c>
      <c r="H2662" s="252" t="s">
        <v>6565</v>
      </c>
      <c r="I2662" s="252">
        <v>3</v>
      </c>
      <c r="J2662" s="255">
        <v>1</v>
      </c>
      <c r="K2662" s="255">
        <v>1</v>
      </c>
      <c r="L2662" s="255"/>
      <c r="M2662" s="256">
        <v>1.7999999999999998E-4</v>
      </c>
      <c r="N2662" s="249">
        <v>2661</v>
      </c>
    </row>
    <row r="2663" spans="1:14" x14ac:dyDescent="0.25">
      <c r="A2663" s="252" t="s">
        <v>74</v>
      </c>
      <c r="B2663" s="252" t="s">
        <v>6461</v>
      </c>
      <c r="C2663" s="253">
        <v>0</v>
      </c>
      <c r="D2663" s="252">
        <v>39792</v>
      </c>
      <c r="E2663" s="252" t="s">
        <v>6502</v>
      </c>
      <c r="F2663" s="254" t="s">
        <v>6462</v>
      </c>
      <c r="G2663" s="252" t="s">
        <v>6566</v>
      </c>
      <c r="H2663" s="252" t="s">
        <v>6567</v>
      </c>
      <c r="I2663" s="252">
        <v>3</v>
      </c>
      <c r="J2663" s="255">
        <v>1</v>
      </c>
      <c r="K2663" s="255">
        <v>1</v>
      </c>
      <c r="L2663" s="255"/>
      <c r="M2663" s="256">
        <v>1.7519999999999999E-3</v>
      </c>
      <c r="N2663" s="249">
        <v>2662</v>
      </c>
    </row>
    <row r="2664" spans="1:14" x14ac:dyDescent="0.25">
      <c r="A2664" s="252" t="s">
        <v>74</v>
      </c>
      <c r="B2664" s="252" t="s">
        <v>6461</v>
      </c>
      <c r="C2664" s="253">
        <v>0</v>
      </c>
      <c r="D2664" s="252">
        <v>39792</v>
      </c>
      <c r="E2664" s="252" t="s">
        <v>190</v>
      </c>
      <c r="F2664" s="254" t="s">
        <v>6462</v>
      </c>
      <c r="G2664" s="252" t="s">
        <v>6568</v>
      </c>
      <c r="H2664" s="252" t="s">
        <v>6569</v>
      </c>
      <c r="I2664" s="252">
        <v>5</v>
      </c>
      <c r="J2664" s="255">
        <v>1</v>
      </c>
      <c r="K2664" s="255">
        <v>1</v>
      </c>
      <c r="L2664" s="255"/>
      <c r="M2664" s="256">
        <v>2.7599999999999999E-4</v>
      </c>
      <c r="N2664" s="249">
        <v>2663</v>
      </c>
    </row>
    <row r="2665" spans="1:14" x14ac:dyDescent="0.25">
      <c r="A2665" s="252" t="s">
        <v>74</v>
      </c>
      <c r="B2665" s="252" t="s">
        <v>6461</v>
      </c>
      <c r="C2665" s="253">
        <v>0</v>
      </c>
      <c r="D2665" s="252">
        <v>39792</v>
      </c>
      <c r="E2665" s="252" t="s">
        <v>190</v>
      </c>
      <c r="F2665" s="254" t="s">
        <v>6462</v>
      </c>
      <c r="G2665" s="252" t="s">
        <v>6570</v>
      </c>
      <c r="H2665" s="252" t="s">
        <v>6571</v>
      </c>
      <c r="I2665" s="252">
        <v>5</v>
      </c>
      <c r="J2665" s="255">
        <v>1</v>
      </c>
      <c r="K2665" s="255">
        <v>1</v>
      </c>
      <c r="L2665" s="255"/>
      <c r="M2665" s="256">
        <v>2.7599999999999999E-4</v>
      </c>
      <c r="N2665" s="249">
        <v>2664</v>
      </c>
    </row>
    <row r="2666" spans="1:14" x14ac:dyDescent="0.25">
      <c r="A2666" s="252" t="s">
        <v>74</v>
      </c>
      <c r="B2666" s="252" t="s">
        <v>6461</v>
      </c>
      <c r="C2666" s="253">
        <v>0</v>
      </c>
      <c r="D2666" s="252">
        <v>39792</v>
      </c>
      <c r="E2666" s="252" t="s">
        <v>1591</v>
      </c>
      <c r="F2666" s="254" t="s">
        <v>6462</v>
      </c>
      <c r="G2666" s="252" t="s">
        <v>6572</v>
      </c>
      <c r="H2666" s="252" t="s">
        <v>6573</v>
      </c>
      <c r="I2666" s="252">
        <v>5</v>
      </c>
      <c r="J2666" s="255">
        <v>1</v>
      </c>
      <c r="K2666" s="255">
        <v>1</v>
      </c>
      <c r="L2666" s="255"/>
      <c r="M2666" s="256">
        <v>5.5800000000000001E-4</v>
      </c>
      <c r="N2666" s="249">
        <v>2665</v>
      </c>
    </row>
    <row r="2667" spans="1:14" x14ac:dyDescent="0.25">
      <c r="A2667" s="252" t="s">
        <v>74</v>
      </c>
      <c r="B2667" s="252" t="s">
        <v>6461</v>
      </c>
      <c r="C2667" s="253">
        <v>0</v>
      </c>
      <c r="D2667" s="252">
        <v>39792</v>
      </c>
      <c r="E2667" s="252" t="s">
        <v>1591</v>
      </c>
      <c r="F2667" s="254" t="s">
        <v>6462</v>
      </c>
      <c r="G2667" s="252" t="s">
        <v>6574</v>
      </c>
      <c r="H2667" s="252" t="s">
        <v>6575</v>
      </c>
      <c r="I2667" s="252">
        <v>5</v>
      </c>
      <c r="J2667" s="255">
        <v>1</v>
      </c>
      <c r="K2667" s="255">
        <v>1</v>
      </c>
      <c r="L2667" s="255"/>
      <c r="M2667" s="256">
        <v>6.1499999999999988E-4</v>
      </c>
      <c r="N2667" s="249">
        <v>2666</v>
      </c>
    </row>
    <row r="2668" spans="1:14" x14ac:dyDescent="0.25">
      <c r="A2668" s="252" t="s">
        <v>74</v>
      </c>
      <c r="B2668" s="252" t="s">
        <v>6461</v>
      </c>
      <c r="C2668" s="253">
        <v>0</v>
      </c>
      <c r="D2668" s="252">
        <v>39792</v>
      </c>
      <c r="E2668" s="252" t="s">
        <v>1764</v>
      </c>
      <c r="F2668" s="254" t="s">
        <v>6462</v>
      </c>
      <c r="G2668" s="252" t="s">
        <v>6576</v>
      </c>
      <c r="H2668" s="252" t="s">
        <v>6577</v>
      </c>
      <c r="I2668" s="252">
        <v>3</v>
      </c>
      <c r="J2668" s="255">
        <v>1</v>
      </c>
      <c r="K2668" s="255">
        <v>1</v>
      </c>
      <c r="L2668" s="255"/>
      <c r="M2668" s="256">
        <v>8.9999999999999992E-5</v>
      </c>
      <c r="N2668" s="249">
        <v>2667</v>
      </c>
    </row>
    <row r="2669" spans="1:14" x14ac:dyDescent="0.25">
      <c r="A2669" s="252" t="s">
        <v>74</v>
      </c>
      <c r="B2669" s="252" t="s">
        <v>6461</v>
      </c>
      <c r="C2669" s="253">
        <v>0</v>
      </c>
      <c r="D2669" s="252">
        <v>39792</v>
      </c>
      <c r="E2669" s="252" t="s">
        <v>1764</v>
      </c>
      <c r="F2669" s="254" t="s">
        <v>6462</v>
      </c>
      <c r="G2669" s="252" t="s">
        <v>6578</v>
      </c>
      <c r="H2669" s="252" t="s">
        <v>6579</v>
      </c>
      <c r="I2669" s="252">
        <v>3</v>
      </c>
      <c r="J2669" s="255">
        <v>1</v>
      </c>
      <c r="K2669" s="255">
        <v>1</v>
      </c>
      <c r="L2669" s="255"/>
      <c r="M2669" s="256">
        <v>8.9999999999999992E-5</v>
      </c>
      <c r="N2669" s="249">
        <v>2668</v>
      </c>
    </row>
    <row r="2670" spans="1:14" x14ac:dyDescent="0.25">
      <c r="A2670" s="252" t="s">
        <v>74</v>
      </c>
      <c r="B2670" s="252" t="s">
        <v>6461</v>
      </c>
      <c r="C2670" s="253">
        <v>0</v>
      </c>
      <c r="D2670" s="252">
        <v>39792</v>
      </c>
      <c r="E2670" s="252" t="s">
        <v>1764</v>
      </c>
      <c r="F2670" s="254" t="s">
        <v>6462</v>
      </c>
      <c r="G2670" s="252" t="s">
        <v>6580</v>
      </c>
      <c r="H2670" s="252" t="s">
        <v>6581</v>
      </c>
      <c r="I2670" s="252">
        <v>3</v>
      </c>
      <c r="J2670" s="255">
        <v>1</v>
      </c>
      <c r="K2670" s="255">
        <v>1</v>
      </c>
      <c r="L2670" s="255"/>
      <c r="M2670" s="256">
        <v>7.7999999999999999E-4</v>
      </c>
      <c r="N2670" s="249">
        <v>2669</v>
      </c>
    </row>
    <row r="2671" spans="1:14" x14ac:dyDescent="0.25">
      <c r="A2671" s="252" t="s">
        <v>74</v>
      </c>
      <c r="B2671" s="252" t="s">
        <v>6461</v>
      </c>
      <c r="C2671" s="253">
        <v>0</v>
      </c>
      <c r="D2671" s="252">
        <v>39792</v>
      </c>
      <c r="E2671" s="252" t="s">
        <v>3039</v>
      </c>
      <c r="F2671" s="254" t="s">
        <v>6462</v>
      </c>
      <c r="G2671" s="252" t="s">
        <v>6582</v>
      </c>
      <c r="H2671" s="252" t="s">
        <v>6583</v>
      </c>
      <c r="I2671" s="252">
        <v>5</v>
      </c>
      <c r="J2671" s="255">
        <v>1</v>
      </c>
      <c r="K2671" s="255">
        <v>1</v>
      </c>
      <c r="L2671" s="255"/>
      <c r="M2671" s="256">
        <v>4.9440000000000005E-3</v>
      </c>
      <c r="N2671" s="249">
        <v>2670</v>
      </c>
    </row>
    <row r="2672" spans="1:14" x14ac:dyDescent="0.25">
      <c r="A2672" s="252" t="s">
        <v>74</v>
      </c>
      <c r="B2672" s="252" t="s">
        <v>6461</v>
      </c>
      <c r="C2672" s="253">
        <v>0</v>
      </c>
      <c r="D2672" s="252">
        <v>39792</v>
      </c>
      <c r="E2672" s="252" t="s">
        <v>3039</v>
      </c>
      <c r="F2672" s="254" t="s">
        <v>6462</v>
      </c>
      <c r="G2672" s="252" t="s">
        <v>6584</v>
      </c>
      <c r="H2672" s="252" t="s">
        <v>6585</v>
      </c>
      <c r="I2672" s="252">
        <v>5</v>
      </c>
      <c r="J2672" s="255">
        <v>1</v>
      </c>
      <c r="K2672" s="255">
        <v>1</v>
      </c>
      <c r="L2672" s="255"/>
      <c r="M2672" s="256">
        <v>3.8249999999999994E-3</v>
      </c>
      <c r="N2672" s="249">
        <v>2671</v>
      </c>
    </row>
    <row r="2673" spans="1:14" x14ac:dyDescent="0.25">
      <c r="A2673" s="252" t="s">
        <v>74</v>
      </c>
      <c r="B2673" s="252" t="s">
        <v>6461</v>
      </c>
      <c r="C2673" s="253">
        <v>0</v>
      </c>
      <c r="D2673" s="252">
        <v>39792</v>
      </c>
      <c r="E2673" s="252" t="s">
        <v>3039</v>
      </c>
      <c r="F2673" s="254" t="s">
        <v>6462</v>
      </c>
      <c r="G2673" s="252" t="s">
        <v>6586</v>
      </c>
      <c r="H2673" s="252" t="s">
        <v>6587</v>
      </c>
      <c r="I2673" s="252">
        <v>5</v>
      </c>
      <c r="J2673" s="255">
        <v>1</v>
      </c>
      <c r="K2673" s="255">
        <v>1</v>
      </c>
      <c r="L2673" s="255"/>
      <c r="M2673" s="256">
        <v>4.3679999999999995E-3</v>
      </c>
      <c r="N2673" s="249">
        <v>2672</v>
      </c>
    </row>
    <row r="2674" spans="1:14" x14ac:dyDescent="0.25">
      <c r="A2674" s="252" t="s">
        <v>74</v>
      </c>
      <c r="B2674" s="252" t="s">
        <v>6461</v>
      </c>
      <c r="C2674" s="253">
        <v>0</v>
      </c>
      <c r="D2674" s="252">
        <v>39792</v>
      </c>
      <c r="E2674" s="252" t="s">
        <v>3039</v>
      </c>
      <c r="F2674" s="254" t="s">
        <v>6462</v>
      </c>
      <c r="G2674" s="252" t="s">
        <v>6588</v>
      </c>
      <c r="H2674" s="252" t="s">
        <v>6589</v>
      </c>
      <c r="I2674" s="252">
        <v>5</v>
      </c>
      <c r="J2674" s="255">
        <v>1</v>
      </c>
      <c r="K2674" s="255">
        <v>1</v>
      </c>
      <c r="L2674" s="255"/>
      <c r="M2674" s="256">
        <v>1.35E-4</v>
      </c>
      <c r="N2674" s="249">
        <v>2673</v>
      </c>
    </row>
    <row r="2675" spans="1:14" x14ac:dyDescent="0.25">
      <c r="A2675" s="252" t="s">
        <v>74</v>
      </c>
      <c r="B2675" s="252" t="s">
        <v>6461</v>
      </c>
      <c r="C2675" s="253">
        <v>0</v>
      </c>
      <c r="D2675" s="252">
        <v>39792</v>
      </c>
      <c r="E2675" s="252" t="s">
        <v>1764</v>
      </c>
      <c r="F2675" s="254" t="s">
        <v>6462</v>
      </c>
      <c r="G2675" s="252" t="s">
        <v>6590</v>
      </c>
      <c r="H2675" s="252" t="s">
        <v>6591</v>
      </c>
      <c r="I2675" s="252">
        <v>3</v>
      </c>
      <c r="J2675" s="255">
        <v>1</v>
      </c>
      <c r="K2675" s="255">
        <v>1</v>
      </c>
      <c r="L2675" s="255"/>
      <c r="M2675" s="256">
        <v>8.9999999999999992E-5</v>
      </c>
      <c r="N2675" s="249">
        <v>2674</v>
      </c>
    </row>
    <row r="2676" spans="1:14" x14ac:dyDescent="0.25">
      <c r="A2676" s="252" t="s">
        <v>74</v>
      </c>
      <c r="B2676" s="252" t="s">
        <v>6461</v>
      </c>
      <c r="C2676" s="253">
        <v>0</v>
      </c>
      <c r="D2676" s="252">
        <v>39792</v>
      </c>
      <c r="E2676" s="252" t="s">
        <v>1764</v>
      </c>
      <c r="F2676" s="254" t="s">
        <v>6462</v>
      </c>
      <c r="G2676" s="252" t="s">
        <v>6592</v>
      </c>
      <c r="H2676" s="252" t="s">
        <v>6593</v>
      </c>
      <c r="I2676" s="252">
        <v>3</v>
      </c>
      <c r="J2676" s="255">
        <v>1</v>
      </c>
      <c r="K2676" s="255">
        <v>1</v>
      </c>
      <c r="L2676" s="255"/>
      <c r="M2676" s="256">
        <v>8.9999999999999992E-5</v>
      </c>
      <c r="N2676" s="249">
        <v>2675</v>
      </c>
    </row>
    <row r="2677" spans="1:14" x14ac:dyDescent="0.25">
      <c r="A2677" s="252" t="s">
        <v>74</v>
      </c>
      <c r="B2677" s="252" t="s">
        <v>6461</v>
      </c>
      <c r="C2677" s="253">
        <v>0</v>
      </c>
      <c r="D2677" s="252">
        <v>39792</v>
      </c>
      <c r="E2677" s="252" t="s">
        <v>1764</v>
      </c>
      <c r="F2677" s="254" t="s">
        <v>6462</v>
      </c>
      <c r="G2677" s="252" t="s">
        <v>6594</v>
      </c>
      <c r="H2677" s="252" t="s">
        <v>6595</v>
      </c>
      <c r="I2677" s="252">
        <v>3</v>
      </c>
      <c r="J2677" s="255">
        <v>1</v>
      </c>
      <c r="K2677" s="255">
        <v>1</v>
      </c>
      <c r="L2677" s="255"/>
      <c r="M2677" s="256">
        <v>7.3889999999999997E-3</v>
      </c>
      <c r="N2677" s="249">
        <v>2676</v>
      </c>
    </row>
    <row r="2678" spans="1:14" x14ac:dyDescent="0.25">
      <c r="A2678" s="252" t="s">
        <v>74</v>
      </c>
      <c r="B2678" s="252" t="s">
        <v>6461</v>
      </c>
      <c r="C2678" s="253">
        <v>0</v>
      </c>
      <c r="D2678" s="252">
        <v>39792</v>
      </c>
      <c r="E2678" s="252" t="s">
        <v>1764</v>
      </c>
      <c r="F2678" s="254" t="s">
        <v>6462</v>
      </c>
      <c r="G2678" s="252" t="s">
        <v>6596</v>
      </c>
      <c r="H2678" s="252" t="s">
        <v>6597</v>
      </c>
      <c r="I2678" s="252">
        <v>3</v>
      </c>
      <c r="J2678" s="255">
        <v>1</v>
      </c>
      <c r="K2678" s="255">
        <v>1</v>
      </c>
      <c r="L2678" s="255"/>
      <c r="M2678" s="256">
        <v>8.9999999999999992E-5</v>
      </c>
      <c r="N2678" s="249">
        <v>2677</v>
      </c>
    </row>
    <row r="2679" spans="1:14" x14ac:dyDescent="0.25">
      <c r="A2679" s="252" t="s">
        <v>74</v>
      </c>
      <c r="B2679" s="252" t="s">
        <v>6461</v>
      </c>
      <c r="C2679" s="253">
        <v>0</v>
      </c>
      <c r="D2679" s="252">
        <v>39792</v>
      </c>
      <c r="E2679" s="252" t="s">
        <v>1764</v>
      </c>
      <c r="F2679" s="254" t="s">
        <v>6462</v>
      </c>
      <c r="G2679" s="252" t="s">
        <v>6598</v>
      </c>
      <c r="H2679" s="252" t="s">
        <v>6599</v>
      </c>
      <c r="I2679" s="252">
        <v>3</v>
      </c>
      <c r="J2679" s="255">
        <v>1</v>
      </c>
      <c r="K2679" s="255">
        <v>1</v>
      </c>
      <c r="L2679" s="255"/>
      <c r="M2679" s="256">
        <v>4.2599999999999995E-4</v>
      </c>
      <c r="N2679" s="249">
        <v>2678</v>
      </c>
    </row>
    <row r="2680" spans="1:14" x14ac:dyDescent="0.25">
      <c r="A2680" s="252" t="s">
        <v>74</v>
      </c>
      <c r="B2680" s="252" t="s">
        <v>6461</v>
      </c>
      <c r="C2680" s="253">
        <v>0</v>
      </c>
      <c r="D2680" s="252">
        <v>39792</v>
      </c>
      <c r="E2680" s="252" t="s">
        <v>3039</v>
      </c>
      <c r="F2680" s="254" t="s">
        <v>6462</v>
      </c>
      <c r="G2680" s="252" t="s">
        <v>6600</v>
      </c>
      <c r="H2680" s="252" t="s">
        <v>6601</v>
      </c>
      <c r="I2680" s="252">
        <v>5</v>
      </c>
      <c r="J2680" s="255">
        <v>1</v>
      </c>
      <c r="K2680" s="255">
        <v>1</v>
      </c>
      <c r="L2680" s="255"/>
      <c r="M2680" s="256">
        <v>4.9829999999999996E-3</v>
      </c>
      <c r="N2680" s="249">
        <v>2679</v>
      </c>
    </row>
    <row r="2681" spans="1:14" x14ac:dyDescent="0.25">
      <c r="A2681" s="252" t="s">
        <v>74</v>
      </c>
      <c r="B2681" s="252" t="s">
        <v>6461</v>
      </c>
      <c r="C2681" s="253">
        <v>0</v>
      </c>
      <c r="D2681" s="252">
        <v>39792</v>
      </c>
      <c r="E2681" s="252" t="s">
        <v>3039</v>
      </c>
      <c r="F2681" s="254" t="s">
        <v>6462</v>
      </c>
      <c r="G2681" s="252" t="s">
        <v>6602</v>
      </c>
      <c r="H2681" s="252" t="s">
        <v>6603</v>
      </c>
      <c r="I2681" s="252">
        <v>5</v>
      </c>
      <c r="J2681" s="255">
        <v>1</v>
      </c>
      <c r="K2681" s="255">
        <v>1</v>
      </c>
      <c r="L2681" s="255"/>
      <c r="M2681" s="256">
        <v>1.35E-4</v>
      </c>
      <c r="N2681" s="249">
        <v>2680</v>
      </c>
    </row>
    <row r="2682" spans="1:14" x14ac:dyDescent="0.25">
      <c r="A2682" s="252" t="s">
        <v>74</v>
      </c>
      <c r="B2682" s="252" t="s">
        <v>6461</v>
      </c>
      <c r="C2682" s="253">
        <v>0</v>
      </c>
      <c r="D2682" s="252">
        <v>39792</v>
      </c>
      <c r="E2682" s="252" t="s">
        <v>1591</v>
      </c>
      <c r="F2682" s="254" t="s">
        <v>6462</v>
      </c>
      <c r="G2682" s="252" t="s">
        <v>6604</v>
      </c>
      <c r="H2682" s="252" t="s">
        <v>6605</v>
      </c>
      <c r="I2682" s="252">
        <v>5</v>
      </c>
      <c r="J2682" s="255">
        <v>1</v>
      </c>
      <c r="K2682" s="255">
        <v>1</v>
      </c>
      <c r="L2682" s="255"/>
      <c r="M2682" s="256">
        <v>5.3399999999999997E-4</v>
      </c>
      <c r="N2682" s="249">
        <v>2681</v>
      </c>
    </row>
    <row r="2683" spans="1:14" x14ac:dyDescent="0.25">
      <c r="A2683" s="252" t="s">
        <v>74</v>
      </c>
      <c r="B2683" s="252" t="s">
        <v>6461</v>
      </c>
      <c r="C2683" s="253">
        <v>0</v>
      </c>
      <c r="D2683" s="252">
        <v>39792</v>
      </c>
      <c r="E2683" s="252" t="s">
        <v>1591</v>
      </c>
      <c r="F2683" s="254" t="s">
        <v>6462</v>
      </c>
      <c r="G2683" s="252" t="s">
        <v>6606</v>
      </c>
      <c r="H2683" s="252" t="s">
        <v>6607</v>
      </c>
      <c r="I2683" s="252">
        <v>5</v>
      </c>
      <c r="J2683" s="255">
        <v>1</v>
      </c>
      <c r="K2683" s="255">
        <v>1</v>
      </c>
      <c r="L2683" s="255"/>
      <c r="M2683" s="256">
        <v>7.4399999999999998E-4</v>
      </c>
      <c r="N2683" s="249">
        <v>2682</v>
      </c>
    </row>
    <row r="2684" spans="1:14" x14ac:dyDescent="0.25">
      <c r="A2684" s="252" t="s">
        <v>74</v>
      </c>
      <c r="B2684" s="252" t="s">
        <v>6461</v>
      </c>
      <c r="C2684" s="253">
        <v>0</v>
      </c>
      <c r="D2684" s="252">
        <v>39792</v>
      </c>
      <c r="E2684" s="252" t="s">
        <v>3039</v>
      </c>
      <c r="F2684" s="254" t="s">
        <v>6462</v>
      </c>
      <c r="G2684" s="252" t="s">
        <v>6608</v>
      </c>
      <c r="H2684" s="252" t="s">
        <v>6609</v>
      </c>
      <c r="I2684" s="252">
        <v>5</v>
      </c>
      <c r="J2684" s="255">
        <v>1</v>
      </c>
      <c r="K2684" s="255">
        <v>1</v>
      </c>
      <c r="L2684" s="255"/>
      <c r="M2684" s="256">
        <v>5.7629999999999999E-3</v>
      </c>
      <c r="N2684" s="249">
        <v>2683</v>
      </c>
    </row>
    <row r="2685" spans="1:14" x14ac:dyDescent="0.25">
      <c r="A2685" s="252" t="s">
        <v>74</v>
      </c>
      <c r="B2685" s="252" t="s">
        <v>6461</v>
      </c>
      <c r="C2685" s="253">
        <v>0</v>
      </c>
      <c r="D2685" s="252">
        <v>39792</v>
      </c>
      <c r="E2685" s="252" t="s">
        <v>190</v>
      </c>
      <c r="F2685" s="254" t="s">
        <v>6462</v>
      </c>
      <c r="G2685" s="252" t="s">
        <v>6610</v>
      </c>
      <c r="H2685" s="252" t="s">
        <v>6611</v>
      </c>
      <c r="I2685" s="252">
        <v>5</v>
      </c>
      <c r="J2685" s="255">
        <v>1</v>
      </c>
      <c r="K2685" s="255">
        <v>1</v>
      </c>
      <c r="L2685" s="255"/>
      <c r="M2685" s="256">
        <v>2.0100000000000001E-4</v>
      </c>
      <c r="N2685" s="249">
        <v>2684</v>
      </c>
    </row>
    <row r="2686" spans="1:14" x14ac:dyDescent="0.25">
      <c r="A2686" s="252" t="s">
        <v>74</v>
      </c>
      <c r="B2686" s="252" t="s">
        <v>6461</v>
      </c>
      <c r="C2686" s="253">
        <v>0</v>
      </c>
      <c r="D2686" s="252">
        <v>39792</v>
      </c>
      <c r="E2686" s="252" t="s">
        <v>190</v>
      </c>
      <c r="F2686" s="254" t="s">
        <v>6462</v>
      </c>
      <c r="G2686" s="252" t="s">
        <v>6612</v>
      </c>
      <c r="H2686" s="252" t="s">
        <v>6613</v>
      </c>
      <c r="I2686" s="252">
        <v>5</v>
      </c>
      <c r="J2686" s="255">
        <v>1</v>
      </c>
      <c r="K2686" s="255">
        <v>1</v>
      </c>
      <c r="L2686" s="255"/>
      <c r="M2686" s="256">
        <v>2.0100000000000001E-4</v>
      </c>
      <c r="N2686" s="249">
        <v>2685</v>
      </c>
    </row>
    <row r="2687" spans="1:14" x14ac:dyDescent="0.25">
      <c r="A2687" s="252" t="s">
        <v>74</v>
      </c>
      <c r="B2687" s="252" t="s">
        <v>6461</v>
      </c>
      <c r="C2687" s="253">
        <v>0</v>
      </c>
      <c r="D2687" s="252">
        <v>39792</v>
      </c>
      <c r="E2687" s="252" t="s">
        <v>1591</v>
      </c>
      <c r="F2687" s="254" t="s">
        <v>6462</v>
      </c>
      <c r="G2687" s="252" t="s">
        <v>6614</v>
      </c>
      <c r="H2687" s="252" t="s">
        <v>6615</v>
      </c>
      <c r="I2687" s="252">
        <v>5</v>
      </c>
      <c r="J2687" s="255">
        <v>1</v>
      </c>
      <c r="K2687" s="255">
        <v>1</v>
      </c>
      <c r="L2687" s="255"/>
      <c r="M2687" s="256">
        <v>5.3399999999999997E-4</v>
      </c>
      <c r="N2687" s="249">
        <v>2686</v>
      </c>
    </row>
    <row r="2688" spans="1:14" x14ac:dyDescent="0.25">
      <c r="A2688" s="252" t="s">
        <v>74</v>
      </c>
      <c r="B2688" s="252" t="s">
        <v>6461</v>
      </c>
      <c r="C2688" s="253">
        <v>0</v>
      </c>
      <c r="D2688" s="252">
        <v>39792</v>
      </c>
      <c r="E2688" s="252" t="s">
        <v>1591</v>
      </c>
      <c r="F2688" s="254" t="s">
        <v>6462</v>
      </c>
      <c r="G2688" s="252" t="s">
        <v>6616</v>
      </c>
      <c r="H2688" s="252" t="s">
        <v>6617</v>
      </c>
      <c r="I2688" s="252">
        <v>5</v>
      </c>
      <c r="J2688" s="255">
        <v>1</v>
      </c>
      <c r="K2688" s="255">
        <v>1</v>
      </c>
      <c r="L2688" s="255"/>
      <c r="M2688" s="256">
        <v>7.2900000000000005E-4</v>
      </c>
      <c r="N2688" s="249">
        <v>2687</v>
      </c>
    </row>
    <row r="2689" spans="1:14" x14ac:dyDescent="0.25">
      <c r="A2689" s="252" t="s">
        <v>74</v>
      </c>
      <c r="B2689" s="252" t="s">
        <v>6461</v>
      </c>
      <c r="C2689" s="253">
        <v>0</v>
      </c>
      <c r="D2689" s="252">
        <v>39792</v>
      </c>
      <c r="E2689" s="252" t="s">
        <v>1764</v>
      </c>
      <c r="F2689" s="254" t="s">
        <v>6462</v>
      </c>
      <c r="G2689" s="252" t="s">
        <v>6618</v>
      </c>
      <c r="H2689" s="252" t="s">
        <v>6619</v>
      </c>
      <c r="I2689" s="252">
        <v>3</v>
      </c>
      <c r="J2689" s="255">
        <v>1</v>
      </c>
      <c r="K2689" s="255">
        <v>1</v>
      </c>
      <c r="L2689" s="255"/>
      <c r="M2689" s="256">
        <v>8.9999999999999992E-5</v>
      </c>
      <c r="N2689" s="249">
        <v>2688</v>
      </c>
    </row>
    <row r="2690" spans="1:14" x14ac:dyDescent="0.25">
      <c r="A2690" s="252" t="s">
        <v>74</v>
      </c>
      <c r="B2690" s="252" t="s">
        <v>6461</v>
      </c>
      <c r="C2690" s="253">
        <v>0</v>
      </c>
      <c r="D2690" s="252">
        <v>39792</v>
      </c>
      <c r="E2690" s="252" t="s">
        <v>1764</v>
      </c>
      <c r="F2690" s="254" t="s">
        <v>6462</v>
      </c>
      <c r="G2690" s="252" t="s">
        <v>6620</v>
      </c>
      <c r="H2690" s="252" t="s">
        <v>6621</v>
      </c>
      <c r="I2690" s="252">
        <v>3</v>
      </c>
      <c r="J2690" s="255">
        <v>1</v>
      </c>
      <c r="K2690" s="255">
        <v>1</v>
      </c>
      <c r="L2690" s="255"/>
      <c r="M2690" s="256">
        <v>8.9999999999999992E-5</v>
      </c>
      <c r="N2690" s="249">
        <v>2689</v>
      </c>
    </row>
    <row r="2691" spans="1:14" x14ac:dyDescent="0.25">
      <c r="A2691" s="252" t="s">
        <v>74</v>
      </c>
      <c r="B2691" s="252" t="s">
        <v>6461</v>
      </c>
      <c r="C2691" s="253">
        <v>0</v>
      </c>
      <c r="D2691" s="252">
        <v>39792</v>
      </c>
      <c r="E2691" s="252" t="s">
        <v>1764</v>
      </c>
      <c r="F2691" s="254" t="s">
        <v>6462</v>
      </c>
      <c r="G2691" s="252" t="s">
        <v>6622</v>
      </c>
      <c r="H2691" s="252" t="s">
        <v>6623</v>
      </c>
      <c r="I2691" s="252">
        <v>3</v>
      </c>
      <c r="J2691" s="255">
        <v>1</v>
      </c>
      <c r="K2691" s="255">
        <v>1</v>
      </c>
      <c r="L2691" s="255"/>
      <c r="M2691" s="256">
        <v>1.8218999999999999E-2</v>
      </c>
      <c r="N2691" s="249">
        <v>2690</v>
      </c>
    </row>
    <row r="2692" spans="1:14" x14ac:dyDescent="0.25">
      <c r="A2692" s="252" t="s">
        <v>74</v>
      </c>
      <c r="B2692" s="252" t="s">
        <v>6461</v>
      </c>
      <c r="C2692" s="253">
        <v>0</v>
      </c>
      <c r="D2692" s="252">
        <v>39792</v>
      </c>
      <c r="E2692" s="252" t="s">
        <v>1764</v>
      </c>
      <c r="F2692" s="254" t="s">
        <v>6462</v>
      </c>
      <c r="G2692" s="252" t="s">
        <v>6624</v>
      </c>
      <c r="H2692" s="252" t="s">
        <v>6625</v>
      </c>
      <c r="I2692" s="252">
        <v>3</v>
      </c>
      <c r="J2692" s="255">
        <v>1</v>
      </c>
      <c r="K2692" s="255">
        <v>1</v>
      </c>
      <c r="L2692" s="255"/>
      <c r="M2692" s="256">
        <v>8.9999999999999992E-5</v>
      </c>
      <c r="N2692" s="249">
        <v>2691</v>
      </c>
    </row>
    <row r="2693" spans="1:14" x14ac:dyDescent="0.25">
      <c r="A2693" s="252" t="s">
        <v>74</v>
      </c>
      <c r="B2693" s="252" t="s">
        <v>6461</v>
      </c>
      <c r="C2693" s="253">
        <v>0</v>
      </c>
      <c r="D2693" s="252">
        <v>39792</v>
      </c>
      <c r="E2693" s="252" t="s">
        <v>1764</v>
      </c>
      <c r="F2693" s="254" t="s">
        <v>6462</v>
      </c>
      <c r="G2693" s="252" t="s">
        <v>6626</v>
      </c>
      <c r="H2693" s="252" t="s">
        <v>6627</v>
      </c>
      <c r="I2693" s="252">
        <v>3</v>
      </c>
      <c r="J2693" s="255">
        <v>1</v>
      </c>
      <c r="K2693" s="255">
        <v>1</v>
      </c>
      <c r="L2693" s="255"/>
      <c r="M2693" s="256">
        <v>8.9999999999999992E-5</v>
      </c>
      <c r="N2693" s="249">
        <v>2692</v>
      </c>
    </row>
    <row r="2694" spans="1:14" x14ac:dyDescent="0.25">
      <c r="A2694" s="252" t="s">
        <v>74</v>
      </c>
      <c r="B2694" s="252" t="s">
        <v>6461</v>
      </c>
      <c r="C2694" s="253">
        <v>0</v>
      </c>
      <c r="D2694" s="252">
        <v>39792</v>
      </c>
      <c r="E2694" s="252" t="s">
        <v>3039</v>
      </c>
      <c r="F2694" s="254" t="s">
        <v>6462</v>
      </c>
      <c r="G2694" s="252" t="s">
        <v>6628</v>
      </c>
      <c r="H2694" s="252" t="s">
        <v>6629</v>
      </c>
      <c r="I2694" s="252">
        <v>5</v>
      </c>
      <c r="J2694" s="255">
        <v>1</v>
      </c>
      <c r="K2694" s="255">
        <v>1</v>
      </c>
      <c r="L2694" s="255"/>
      <c r="M2694" s="256">
        <v>1.5572999999999998E-2</v>
      </c>
      <c r="N2694" s="249">
        <v>2693</v>
      </c>
    </row>
    <row r="2695" spans="1:14" x14ac:dyDescent="0.25">
      <c r="A2695" s="252" t="s">
        <v>74</v>
      </c>
      <c r="B2695" s="252" t="s">
        <v>6461</v>
      </c>
      <c r="C2695" s="253">
        <v>0</v>
      </c>
      <c r="D2695" s="252">
        <v>39792</v>
      </c>
      <c r="E2695" s="252" t="s">
        <v>3039</v>
      </c>
      <c r="F2695" s="254" t="s">
        <v>6462</v>
      </c>
      <c r="G2695" s="252" t="s">
        <v>6630</v>
      </c>
      <c r="H2695" s="252" t="s">
        <v>6631</v>
      </c>
      <c r="I2695" s="252">
        <v>5</v>
      </c>
      <c r="J2695" s="255">
        <v>1</v>
      </c>
      <c r="K2695" s="255">
        <v>1</v>
      </c>
      <c r="L2695" s="255"/>
      <c r="M2695" s="256">
        <v>1.5572999999999998E-2</v>
      </c>
      <c r="N2695" s="249">
        <v>2694</v>
      </c>
    </row>
    <row r="2696" spans="1:14" x14ac:dyDescent="0.25">
      <c r="A2696" s="252" t="s">
        <v>74</v>
      </c>
      <c r="B2696" s="252" t="s">
        <v>6461</v>
      </c>
      <c r="C2696" s="253">
        <v>0</v>
      </c>
      <c r="D2696" s="252">
        <v>39792</v>
      </c>
      <c r="E2696" s="252" t="s">
        <v>1591</v>
      </c>
      <c r="F2696" s="254" t="s">
        <v>6462</v>
      </c>
      <c r="G2696" s="252" t="s">
        <v>6632</v>
      </c>
      <c r="H2696" s="252" t="s">
        <v>6633</v>
      </c>
      <c r="I2696" s="252">
        <v>5</v>
      </c>
      <c r="J2696" s="255">
        <v>1</v>
      </c>
      <c r="K2696" s="255">
        <v>1</v>
      </c>
      <c r="L2696" s="255"/>
      <c r="M2696" s="256">
        <v>5.3399999999999997E-4</v>
      </c>
      <c r="N2696" s="249">
        <v>2695</v>
      </c>
    </row>
    <row r="2697" spans="1:14" x14ac:dyDescent="0.25">
      <c r="A2697" s="252" t="s">
        <v>74</v>
      </c>
      <c r="B2697" s="252" t="s">
        <v>6461</v>
      </c>
      <c r="C2697" s="253">
        <v>0</v>
      </c>
      <c r="D2697" s="252">
        <v>39792</v>
      </c>
      <c r="E2697" s="252" t="s">
        <v>1591</v>
      </c>
      <c r="F2697" s="254" t="s">
        <v>6462</v>
      </c>
      <c r="G2697" s="252" t="s">
        <v>6634</v>
      </c>
      <c r="H2697" s="252" t="s">
        <v>6635</v>
      </c>
      <c r="I2697" s="252">
        <v>5</v>
      </c>
      <c r="J2697" s="255">
        <v>1</v>
      </c>
      <c r="K2697" s="255">
        <v>1</v>
      </c>
      <c r="L2697" s="255"/>
      <c r="M2697" s="256">
        <v>7.2900000000000005E-4</v>
      </c>
      <c r="N2697" s="249">
        <v>2696</v>
      </c>
    </row>
    <row r="2698" spans="1:14" x14ac:dyDescent="0.25">
      <c r="A2698" s="252" t="s">
        <v>74</v>
      </c>
      <c r="B2698" s="252" t="s">
        <v>6461</v>
      </c>
      <c r="C2698" s="253">
        <v>0</v>
      </c>
      <c r="D2698" s="252">
        <v>39792</v>
      </c>
      <c r="E2698" s="252" t="s">
        <v>3039</v>
      </c>
      <c r="F2698" s="254" t="s">
        <v>6462</v>
      </c>
      <c r="G2698" s="252" t="s">
        <v>6636</v>
      </c>
      <c r="H2698" s="252" t="s">
        <v>6637</v>
      </c>
      <c r="I2698" s="252">
        <v>5</v>
      </c>
      <c r="J2698" s="255">
        <v>1</v>
      </c>
      <c r="K2698" s="255">
        <v>1</v>
      </c>
      <c r="L2698" s="255"/>
      <c r="M2698" s="256">
        <v>5.7629999999999999E-3</v>
      </c>
      <c r="N2698" s="249">
        <v>2697</v>
      </c>
    </row>
    <row r="2699" spans="1:14" x14ac:dyDescent="0.25">
      <c r="A2699" s="252" t="s">
        <v>74</v>
      </c>
      <c r="B2699" s="252" t="s">
        <v>6461</v>
      </c>
      <c r="C2699" s="253">
        <v>0</v>
      </c>
      <c r="D2699" s="252">
        <v>39792</v>
      </c>
      <c r="E2699" s="252" t="s">
        <v>190</v>
      </c>
      <c r="F2699" s="254" t="s">
        <v>6462</v>
      </c>
      <c r="G2699" s="252" t="s">
        <v>6638</v>
      </c>
      <c r="H2699" s="252" t="s">
        <v>6639</v>
      </c>
      <c r="I2699" s="252">
        <v>5</v>
      </c>
      <c r="J2699" s="255">
        <v>1</v>
      </c>
      <c r="K2699" s="255">
        <v>1</v>
      </c>
      <c r="L2699" s="255"/>
      <c r="M2699" s="256">
        <v>2.0100000000000001E-4</v>
      </c>
      <c r="N2699" s="249">
        <v>2698</v>
      </c>
    </row>
    <row r="2700" spans="1:14" x14ac:dyDescent="0.25">
      <c r="A2700" s="252" t="s">
        <v>74</v>
      </c>
      <c r="B2700" s="252" t="s">
        <v>6461</v>
      </c>
      <c r="C2700" s="253">
        <v>0</v>
      </c>
      <c r="D2700" s="252">
        <v>39792</v>
      </c>
      <c r="E2700" s="252" t="s">
        <v>190</v>
      </c>
      <c r="F2700" s="254" t="s">
        <v>6462</v>
      </c>
      <c r="G2700" s="252" t="s">
        <v>6640</v>
      </c>
      <c r="H2700" s="252" t="s">
        <v>6641</v>
      </c>
      <c r="I2700" s="252">
        <v>5</v>
      </c>
      <c r="J2700" s="255">
        <v>1</v>
      </c>
      <c r="K2700" s="255">
        <v>1</v>
      </c>
      <c r="L2700" s="255"/>
      <c r="M2700" s="256">
        <v>2.0100000000000001E-4</v>
      </c>
      <c r="N2700" s="249">
        <v>2699</v>
      </c>
    </row>
    <row r="2701" spans="1:14" x14ac:dyDescent="0.25">
      <c r="A2701" s="252" t="s">
        <v>74</v>
      </c>
      <c r="B2701" s="252" t="s">
        <v>6461</v>
      </c>
      <c r="C2701" s="253">
        <v>0</v>
      </c>
      <c r="D2701" s="252">
        <v>39792</v>
      </c>
      <c r="E2701" s="252" t="s">
        <v>1591</v>
      </c>
      <c r="F2701" s="254" t="s">
        <v>6462</v>
      </c>
      <c r="G2701" s="252" t="s">
        <v>6642</v>
      </c>
      <c r="H2701" s="252" t="s">
        <v>6643</v>
      </c>
      <c r="I2701" s="252">
        <v>5</v>
      </c>
      <c r="J2701" s="255">
        <v>1</v>
      </c>
      <c r="K2701" s="255">
        <v>1</v>
      </c>
      <c r="L2701" s="255"/>
      <c r="M2701" s="256">
        <v>5.3399999999999997E-4</v>
      </c>
      <c r="N2701" s="249">
        <v>2700</v>
      </c>
    </row>
    <row r="2702" spans="1:14" x14ac:dyDescent="0.25">
      <c r="A2702" s="252" t="s">
        <v>74</v>
      </c>
      <c r="B2702" s="252" t="s">
        <v>6461</v>
      </c>
      <c r="C2702" s="253">
        <v>0</v>
      </c>
      <c r="D2702" s="252">
        <v>39792</v>
      </c>
      <c r="E2702" s="252" t="s">
        <v>1591</v>
      </c>
      <c r="F2702" s="254" t="s">
        <v>6462</v>
      </c>
      <c r="G2702" s="252" t="s">
        <v>6644</v>
      </c>
      <c r="H2702" s="252" t="s">
        <v>6645</v>
      </c>
      <c r="I2702" s="252">
        <v>5</v>
      </c>
      <c r="J2702" s="255">
        <v>1</v>
      </c>
      <c r="K2702" s="255">
        <v>1</v>
      </c>
      <c r="L2702" s="255"/>
      <c r="M2702" s="256">
        <v>7.2900000000000005E-4</v>
      </c>
      <c r="N2702" s="249">
        <v>2701</v>
      </c>
    </row>
    <row r="2703" spans="1:14" x14ac:dyDescent="0.25">
      <c r="A2703" s="252" t="s">
        <v>74</v>
      </c>
      <c r="B2703" s="252" t="s">
        <v>6461</v>
      </c>
      <c r="C2703" s="253">
        <v>0</v>
      </c>
      <c r="D2703" s="252">
        <v>39792</v>
      </c>
      <c r="E2703" s="252" t="s">
        <v>3039</v>
      </c>
      <c r="F2703" s="254" t="s">
        <v>6462</v>
      </c>
      <c r="G2703" s="252" t="s">
        <v>6646</v>
      </c>
      <c r="H2703" s="252" t="s">
        <v>6647</v>
      </c>
      <c r="I2703" s="252">
        <v>5</v>
      </c>
      <c r="J2703" s="255">
        <v>1</v>
      </c>
      <c r="K2703" s="255">
        <v>1</v>
      </c>
      <c r="L2703" s="255"/>
      <c r="M2703" s="256">
        <v>3.4829999999999996E-3</v>
      </c>
      <c r="N2703" s="249">
        <v>2702</v>
      </c>
    </row>
    <row r="2704" spans="1:14" x14ac:dyDescent="0.25">
      <c r="A2704" s="252" t="s">
        <v>74</v>
      </c>
      <c r="B2704" s="252" t="s">
        <v>6461</v>
      </c>
      <c r="C2704" s="253">
        <v>0</v>
      </c>
      <c r="D2704" s="252">
        <v>39792</v>
      </c>
      <c r="E2704" s="252" t="s">
        <v>3039</v>
      </c>
      <c r="F2704" s="254" t="s">
        <v>6462</v>
      </c>
      <c r="G2704" s="252" t="s">
        <v>6648</v>
      </c>
      <c r="H2704" s="252" t="s">
        <v>6649</v>
      </c>
      <c r="I2704" s="252">
        <v>5</v>
      </c>
      <c r="J2704" s="255">
        <v>1</v>
      </c>
      <c r="K2704" s="255">
        <v>1</v>
      </c>
      <c r="L2704" s="255"/>
      <c r="M2704" s="256">
        <v>1.35E-4</v>
      </c>
      <c r="N2704" s="249">
        <v>2703</v>
      </c>
    </row>
    <row r="2705" spans="1:14" x14ac:dyDescent="0.25">
      <c r="A2705" s="252" t="s">
        <v>74</v>
      </c>
      <c r="B2705" s="252" t="s">
        <v>6461</v>
      </c>
      <c r="C2705" s="253">
        <v>0</v>
      </c>
      <c r="D2705" s="252">
        <v>39792</v>
      </c>
      <c r="E2705" s="252" t="s">
        <v>3039</v>
      </c>
      <c r="F2705" s="254" t="s">
        <v>6462</v>
      </c>
      <c r="G2705" s="252" t="s">
        <v>6650</v>
      </c>
      <c r="H2705" s="252" t="s">
        <v>6651</v>
      </c>
      <c r="I2705" s="252">
        <v>5</v>
      </c>
      <c r="J2705" s="255">
        <v>1</v>
      </c>
      <c r="K2705" s="255">
        <v>1</v>
      </c>
      <c r="L2705" s="255"/>
      <c r="M2705" s="256">
        <v>3.4829999999999996E-3</v>
      </c>
      <c r="N2705" s="249">
        <v>2704</v>
      </c>
    </row>
    <row r="2706" spans="1:14" x14ac:dyDescent="0.25">
      <c r="A2706" s="252" t="s">
        <v>74</v>
      </c>
      <c r="B2706" s="252" t="s">
        <v>6461</v>
      </c>
      <c r="C2706" s="253">
        <v>0</v>
      </c>
      <c r="D2706" s="252">
        <v>39792</v>
      </c>
      <c r="E2706" s="252" t="s">
        <v>3039</v>
      </c>
      <c r="F2706" s="254" t="s">
        <v>6462</v>
      </c>
      <c r="G2706" s="252" t="s">
        <v>6652</v>
      </c>
      <c r="H2706" s="252" t="s">
        <v>6653</v>
      </c>
      <c r="I2706" s="252">
        <v>5</v>
      </c>
      <c r="J2706" s="255">
        <v>1</v>
      </c>
      <c r="K2706" s="255">
        <v>1</v>
      </c>
      <c r="L2706" s="255"/>
      <c r="M2706" s="256">
        <v>1.35E-4</v>
      </c>
      <c r="N2706" s="249">
        <v>2705</v>
      </c>
    </row>
    <row r="2707" spans="1:14" x14ac:dyDescent="0.25">
      <c r="A2707" s="252" t="s">
        <v>74</v>
      </c>
      <c r="B2707" s="252" t="s">
        <v>6461</v>
      </c>
      <c r="C2707" s="253">
        <v>0</v>
      </c>
      <c r="D2707" s="252">
        <v>39792</v>
      </c>
      <c r="E2707" s="252" t="s">
        <v>3039</v>
      </c>
      <c r="F2707" s="254" t="s">
        <v>6462</v>
      </c>
      <c r="G2707" s="252" t="s">
        <v>6654</v>
      </c>
      <c r="H2707" s="252" t="s">
        <v>6655</v>
      </c>
      <c r="I2707" s="252">
        <v>5</v>
      </c>
      <c r="J2707" s="255">
        <v>1</v>
      </c>
      <c r="K2707" s="255">
        <v>1</v>
      </c>
      <c r="L2707" s="255"/>
      <c r="M2707" s="256">
        <v>5.7629999999999999E-3</v>
      </c>
      <c r="N2707" s="249">
        <v>2706</v>
      </c>
    </row>
    <row r="2708" spans="1:14" x14ac:dyDescent="0.25">
      <c r="A2708" s="252" t="s">
        <v>74</v>
      </c>
      <c r="B2708" s="252" t="s">
        <v>6461</v>
      </c>
      <c r="C2708" s="253">
        <v>0</v>
      </c>
      <c r="D2708" s="252">
        <v>39792</v>
      </c>
      <c r="E2708" s="252" t="s">
        <v>190</v>
      </c>
      <c r="F2708" s="254" t="s">
        <v>6656</v>
      </c>
      <c r="G2708" s="252" t="s">
        <v>6657</v>
      </c>
      <c r="H2708" s="252" t="s">
        <v>6658</v>
      </c>
      <c r="I2708" s="252">
        <v>5</v>
      </c>
      <c r="J2708" s="255">
        <v>1</v>
      </c>
      <c r="K2708" s="255">
        <v>1</v>
      </c>
      <c r="L2708" s="255"/>
      <c r="M2708" s="256">
        <v>2.0100000000000001E-4</v>
      </c>
      <c r="N2708" s="249">
        <v>2707</v>
      </c>
    </row>
    <row r="2709" spans="1:14" x14ac:dyDescent="0.25">
      <c r="A2709" s="252" t="s">
        <v>74</v>
      </c>
      <c r="B2709" s="252" t="s">
        <v>6461</v>
      </c>
      <c r="C2709" s="253">
        <v>0</v>
      </c>
      <c r="D2709" s="252">
        <v>39792</v>
      </c>
      <c r="E2709" s="252" t="s">
        <v>190</v>
      </c>
      <c r="F2709" s="254" t="s">
        <v>6656</v>
      </c>
      <c r="G2709" s="252" t="s">
        <v>6659</v>
      </c>
      <c r="H2709" s="252" t="s">
        <v>6660</v>
      </c>
      <c r="I2709" s="252">
        <v>5</v>
      </c>
      <c r="J2709" s="255">
        <v>1</v>
      </c>
      <c r="K2709" s="255">
        <v>1</v>
      </c>
      <c r="L2709" s="255"/>
      <c r="M2709" s="256">
        <v>2.0100000000000001E-4</v>
      </c>
      <c r="N2709" s="249">
        <v>2708</v>
      </c>
    </row>
    <row r="2710" spans="1:14" x14ac:dyDescent="0.25">
      <c r="A2710" s="252" t="s">
        <v>74</v>
      </c>
      <c r="B2710" s="252" t="s">
        <v>6461</v>
      </c>
      <c r="C2710" s="253">
        <v>0</v>
      </c>
      <c r="D2710" s="252">
        <v>39792</v>
      </c>
      <c r="E2710" s="252" t="s">
        <v>1591</v>
      </c>
      <c r="F2710" s="254" t="s">
        <v>6656</v>
      </c>
      <c r="G2710" s="252" t="s">
        <v>6661</v>
      </c>
      <c r="H2710" s="252" t="s">
        <v>6662</v>
      </c>
      <c r="I2710" s="252">
        <v>5</v>
      </c>
      <c r="J2710" s="255">
        <v>1</v>
      </c>
      <c r="K2710" s="255">
        <v>1</v>
      </c>
      <c r="L2710" s="255"/>
      <c r="M2710" s="256">
        <v>5.3399999999999997E-4</v>
      </c>
      <c r="N2710" s="249">
        <v>2709</v>
      </c>
    </row>
    <row r="2711" spans="1:14" x14ac:dyDescent="0.25">
      <c r="A2711" s="252" t="s">
        <v>74</v>
      </c>
      <c r="B2711" s="252" t="s">
        <v>6461</v>
      </c>
      <c r="C2711" s="253">
        <v>0</v>
      </c>
      <c r="D2711" s="252">
        <v>39792</v>
      </c>
      <c r="E2711" s="252" t="s">
        <v>1591</v>
      </c>
      <c r="F2711" s="254" t="s">
        <v>6656</v>
      </c>
      <c r="G2711" s="252" t="s">
        <v>6663</v>
      </c>
      <c r="H2711" s="252" t="s">
        <v>6664</v>
      </c>
      <c r="I2711" s="252">
        <v>5</v>
      </c>
      <c r="J2711" s="255">
        <v>1</v>
      </c>
      <c r="K2711" s="255">
        <v>1</v>
      </c>
      <c r="L2711" s="255"/>
      <c r="M2711" s="256">
        <v>5.3399999999999997E-4</v>
      </c>
      <c r="N2711" s="249">
        <v>2710</v>
      </c>
    </row>
    <row r="2712" spans="1:14" x14ac:dyDescent="0.25">
      <c r="A2712" s="252" t="s">
        <v>74</v>
      </c>
      <c r="B2712" s="252" t="s">
        <v>6461</v>
      </c>
      <c r="C2712" s="253">
        <v>0</v>
      </c>
      <c r="D2712" s="252">
        <v>39792</v>
      </c>
      <c r="E2712" s="252" t="s">
        <v>1591</v>
      </c>
      <c r="F2712" s="254" t="s">
        <v>6656</v>
      </c>
      <c r="G2712" s="252" t="s">
        <v>6665</v>
      </c>
      <c r="H2712" s="252" t="s">
        <v>6666</v>
      </c>
      <c r="I2712" s="252">
        <v>5</v>
      </c>
      <c r="J2712" s="255">
        <v>1</v>
      </c>
      <c r="K2712" s="255">
        <v>1</v>
      </c>
      <c r="L2712" s="255"/>
      <c r="M2712" s="256">
        <v>5.3399999999999997E-4</v>
      </c>
      <c r="N2712" s="249">
        <v>2711</v>
      </c>
    </row>
    <row r="2713" spans="1:14" x14ac:dyDescent="0.25">
      <c r="A2713" s="252" t="s">
        <v>74</v>
      </c>
      <c r="B2713" s="252" t="s">
        <v>6461</v>
      </c>
      <c r="C2713" s="253">
        <v>0</v>
      </c>
      <c r="D2713" s="252">
        <v>39792</v>
      </c>
      <c r="E2713" s="252" t="s">
        <v>1591</v>
      </c>
      <c r="F2713" s="254" t="s">
        <v>6656</v>
      </c>
      <c r="G2713" s="252" t="s">
        <v>6667</v>
      </c>
      <c r="H2713" s="252" t="s">
        <v>6668</v>
      </c>
      <c r="I2713" s="252">
        <v>5</v>
      </c>
      <c r="J2713" s="255">
        <v>1</v>
      </c>
      <c r="K2713" s="255">
        <v>1</v>
      </c>
      <c r="L2713" s="255"/>
      <c r="M2713" s="256">
        <v>5.3399999999999997E-4</v>
      </c>
      <c r="N2713" s="249">
        <v>2712</v>
      </c>
    </row>
    <row r="2714" spans="1:14" x14ac:dyDescent="0.25">
      <c r="A2714" s="252" t="s">
        <v>74</v>
      </c>
      <c r="B2714" s="252" t="s">
        <v>6461</v>
      </c>
      <c r="C2714" s="253">
        <v>0</v>
      </c>
      <c r="D2714" s="252">
        <v>39792</v>
      </c>
      <c r="E2714" s="252" t="s">
        <v>3039</v>
      </c>
      <c r="F2714" s="254" t="s">
        <v>6656</v>
      </c>
      <c r="G2714" s="252" t="s">
        <v>6669</v>
      </c>
      <c r="H2714" s="252" t="s">
        <v>6670</v>
      </c>
      <c r="I2714" s="252">
        <v>5</v>
      </c>
      <c r="J2714" s="255">
        <v>1</v>
      </c>
      <c r="K2714" s="255">
        <v>1</v>
      </c>
      <c r="L2714" s="255"/>
      <c r="M2714" s="256">
        <v>5.7720000000000002E-3</v>
      </c>
      <c r="N2714" s="249">
        <v>2713</v>
      </c>
    </row>
    <row r="2715" spans="1:14" x14ac:dyDescent="0.25">
      <c r="A2715" s="252" t="s">
        <v>74</v>
      </c>
      <c r="B2715" s="252" t="s">
        <v>6461</v>
      </c>
      <c r="C2715" s="253">
        <v>0</v>
      </c>
      <c r="D2715" s="252">
        <v>39792</v>
      </c>
      <c r="E2715" s="252" t="s">
        <v>3039</v>
      </c>
      <c r="F2715" s="254" t="s">
        <v>6656</v>
      </c>
      <c r="G2715" s="252" t="s">
        <v>6671</v>
      </c>
      <c r="H2715" s="252" t="s">
        <v>6672</v>
      </c>
      <c r="I2715" s="252">
        <v>5</v>
      </c>
      <c r="J2715" s="255">
        <v>1</v>
      </c>
      <c r="K2715" s="255">
        <v>1</v>
      </c>
      <c r="L2715" s="255"/>
      <c r="M2715" s="256">
        <v>7.4669999999999997E-3</v>
      </c>
      <c r="N2715" s="249">
        <v>2714</v>
      </c>
    </row>
    <row r="2716" spans="1:14" x14ac:dyDescent="0.25">
      <c r="A2716" s="252" t="s">
        <v>74</v>
      </c>
      <c r="B2716" s="252" t="s">
        <v>6461</v>
      </c>
      <c r="C2716" s="253">
        <v>0</v>
      </c>
      <c r="D2716" s="252">
        <v>39792</v>
      </c>
      <c r="E2716" s="252" t="s">
        <v>3039</v>
      </c>
      <c r="F2716" s="254" t="s">
        <v>6656</v>
      </c>
      <c r="G2716" s="252" t="s">
        <v>6673</v>
      </c>
      <c r="H2716" s="252" t="s">
        <v>6674</v>
      </c>
      <c r="I2716" s="252">
        <v>5</v>
      </c>
      <c r="J2716" s="255">
        <v>1</v>
      </c>
      <c r="K2716" s="255">
        <v>1</v>
      </c>
      <c r="L2716" s="255"/>
      <c r="M2716" s="256">
        <v>1.35E-4</v>
      </c>
      <c r="N2716" s="249">
        <v>2715</v>
      </c>
    </row>
    <row r="2717" spans="1:14" x14ac:dyDescent="0.25">
      <c r="A2717" s="252" t="s">
        <v>74</v>
      </c>
      <c r="B2717" s="252" t="s">
        <v>6461</v>
      </c>
      <c r="C2717" s="253">
        <v>0</v>
      </c>
      <c r="D2717" s="252">
        <v>39792</v>
      </c>
      <c r="E2717" s="252" t="s">
        <v>3039</v>
      </c>
      <c r="F2717" s="254" t="s">
        <v>6656</v>
      </c>
      <c r="G2717" s="252" t="s">
        <v>6675</v>
      </c>
      <c r="H2717" s="252" t="s">
        <v>6676</v>
      </c>
      <c r="I2717" s="252">
        <v>5</v>
      </c>
      <c r="J2717" s="255">
        <v>1</v>
      </c>
      <c r="K2717" s="255">
        <v>1</v>
      </c>
      <c r="L2717" s="255"/>
      <c r="M2717" s="256">
        <v>1.35E-4</v>
      </c>
      <c r="N2717" s="249">
        <v>2716</v>
      </c>
    </row>
    <row r="2718" spans="1:14" x14ac:dyDescent="0.25">
      <c r="A2718" s="252" t="s">
        <v>74</v>
      </c>
      <c r="B2718" s="252" t="s">
        <v>6461</v>
      </c>
      <c r="C2718" s="253">
        <v>0</v>
      </c>
      <c r="D2718" s="252">
        <v>39792</v>
      </c>
      <c r="E2718" s="252" t="s">
        <v>3039</v>
      </c>
      <c r="F2718" s="254" t="s">
        <v>6656</v>
      </c>
      <c r="G2718" s="252" t="s">
        <v>6677</v>
      </c>
      <c r="H2718" s="252" t="s">
        <v>6678</v>
      </c>
      <c r="I2718" s="252">
        <v>5</v>
      </c>
      <c r="J2718" s="255">
        <v>1</v>
      </c>
      <c r="K2718" s="255">
        <v>1</v>
      </c>
      <c r="L2718" s="255"/>
      <c r="M2718" s="256">
        <v>9.6600000000000006E-4</v>
      </c>
      <c r="N2718" s="249">
        <v>2717</v>
      </c>
    </row>
    <row r="2719" spans="1:14" x14ac:dyDescent="0.25">
      <c r="A2719" s="252" t="s">
        <v>74</v>
      </c>
      <c r="B2719" s="252" t="s">
        <v>6461</v>
      </c>
      <c r="C2719" s="253">
        <v>0</v>
      </c>
      <c r="D2719" s="252">
        <v>39792</v>
      </c>
      <c r="E2719" s="252" t="s">
        <v>3039</v>
      </c>
      <c r="F2719" s="254" t="s">
        <v>6656</v>
      </c>
      <c r="G2719" s="252" t="s">
        <v>6679</v>
      </c>
      <c r="H2719" s="252" t="s">
        <v>6680</v>
      </c>
      <c r="I2719" s="252">
        <v>5</v>
      </c>
      <c r="J2719" s="255">
        <v>1</v>
      </c>
      <c r="K2719" s="255">
        <v>1</v>
      </c>
      <c r="L2719" s="255"/>
      <c r="M2719" s="256">
        <v>7.4669999999999997E-3</v>
      </c>
      <c r="N2719" s="249">
        <v>2718</v>
      </c>
    </row>
    <row r="2720" spans="1:14" x14ac:dyDescent="0.25">
      <c r="A2720" s="252" t="s">
        <v>74</v>
      </c>
      <c r="B2720" s="252" t="s">
        <v>6461</v>
      </c>
      <c r="C2720" s="253">
        <v>0</v>
      </c>
      <c r="D2720" s="252">
        <v>39792</v>
      </c>
      <c r="E2720" s="252" t="s">
        <v>3039</v>
      </c>
      <c r="F2720" s="254" t="s">
        <v>6656</v>
      </c>
      <c r="G2720" s="252" t="s">
        <v>6681</v>
      </c>
      <c r="H2720" s="252" t="s">
        <v>6682</v>
      </c>
      <c r="I2720" s="252">
        <v>5</v>
      </c>
      <c r="J2720" s="255">
        <v>1</v>
      </c>
      <c r="K2720" s="255">
        <v>1</v>
      </c>
      <c r="L2720" s="255"/>
      <c r="M2720" s="256">
        <v>7.1760000000000001E-3</v>
      </c>
      <c r="N2720" s="249">
        <v>2719</v>
      </c>
    </row>
    <row r="2721" spans="1:14" x14ac:dyDescent="0.25">
      <c r="A2721" s="252" t="s">
        <v>74</v>
      </c>
      <c r="B2721" s="252" t="s">
        <v>6461</v>
      </c>
      <c r="C2721" s="253">
        <v>0</v>
      </c>
      <c r="D2721" s="252">
        <v>39792</v>
      </c>
      <c r="E2721" s="252" t="s">
        <v>3039</v>
      </c>
      <c r="F2721" s="254" t="s">
        <v>6656</v>
      </c>
      <c r="G2721" s="252" t="s">
        <v>6683</v>
      </c>
      <c r="H2721" s="252" t="s">
        <v>6684</v>
      </c>
      <c r="I2721" s="252">
        <v>5</v>
      </c>
      <c r="J2721" s="255">
        <v>1</v>
      </c>
      <c r="K2721" s="255">
        <v>1</v>
      </c>
      <c r="L2721" s="255"/>
      <c r="M2721" s="256">
        <v>1.35E-4</v>
      </c>
      <c r="N2721" s="249">
        <v>2720</v>
      </c>
    </row>
    <row r="2722" spans="1:14" x14ac:dyDescent="0.25">
      <c r="A2722" s="252" t="s">
        <v>74</v>
      </c>
      <c r="B2722" s="252" t="s">
        <v>6461</v>
      </c>
      <c r="C2722" s="253">
        <v>0</v>
      </c>
      <c r="D2722" s="252">
        <v>39792</v>
      </c>
      <c r="E2722" s="252" t="s">
        <v>3039</v>
      </c>
      <c r="F2722" s="254" t="s">
        <v>6656</v>
      </c>
      <c r="G2722" s="252" t="s">
        <v>6685</v>
      </c>
      <c r="H2722" s="252" t="s">
        <v>6686</v>
      </c>
      <c r="I2722" s="252">
        <v>5</v>
      </c>
      <c r="J2722" s="255">
        <v>1</v>
      </c>
      <c r="K2722" s="255">
        <v>1</v>
      </c>
      <c r="L2722" s="255"/>
      <c r="M2722" s="256">
        <v>1.35E-4</v>
      </c>
      <c r="N2722" s="249">
        <v>2721</v>
      </c>
    </row>
    <row r="2723" spans="1:14" x14ac:dyDescent="0.25">
      <c r="A2723" s="252" t="s">
        <v>74</v>
      </c>
      <c r="B2723" s="252" t="s">
        <v>6461</v>
      </c>
      <c r="C2723" s="253">
        <v>0</v>
      </c>
      <c r="D2723" s="252">
        <v>39792</v>
      </c>
      <c r="E2723" s="252" t="s">
        <v>3039</v>
      </c>
      <c r="F2723" s="254" t="s">
        <v>6656</v>
      </c>
      <c r="G2723" s="252" t="s">
        <v>6687</v>
      </c>
      <c r="H2723" s="252" t="s">
        <v>6688</v>
      </c>
      <c r="I2723" s="252">
        <v>5</v>
      </c>
      <c r="J2723" s="255">
        <v>1</v>
      </c>
      <c r="K2723" s="255">
        <v>1</v>
      </c>
      <c r="L2723" s="255"/>
      <c r="M2723" s="256">
        <v>9.2699999999999987E-4</v>
      </c>
      <c r="N2723" s="249">
        <v>2722</v>
      </c>
    </row>
    <row r="2724" spans="1:14" x14ac:dyDescent="0.25">
      <c r="A2724" s="252" t="s">
        <v>74</v>
      </c>
      <c r="B2724" s="252" t="s">
        <v>6461</v>
      </c>
      <c r="C2724" s="253">
        <v>0</v>
      </c>
      <c r="D2724" s="252">
        <v>39792</v>
      </c>
      <c r="E2724" s="252" t="s">
        <v>3039</v>
      </c>
      <c r="F2724" s="254" t="s">
        <v>6656</v>
      </c>
      <c r="G2724" s="252" t="s">
        <v>6689</v>
      </c>
      <c r="H2724" s="252" t="s">
        <v>6690</v>
      </c>
      <c r="I2724" s="252">
        <v>5</v>
      </c>
      <c r="J2724" s="255">
        <v>1</v>
      </c>
      <c r="K2724" s="255">
        <v>1</v>
      </c>
      <c r="L2724" s="255"/>
      <c r="M2724" s="256">
        <v>7.1760000000000001E-3</v>
      </c>
      <c r="N2724" s="249">
        <v>2723</v>
      </c>
    </row>
    <row r="2725" spans="1:14" x14ac:dyDescent="0.25">
      <c r="A2725" s="252" t="s">
        <v>74</v>
      </c>
      <c r="B2725" s="252" t="s">
        <v>6461</v>
      </c>
      <c r="C2725" s="253">
        <v>0</v>
      </c>
      <c r="D2725" s="252">
        <v>39792</v>
      </c>
      <c r="E2725" s="252" t="s">
        <v>3039</v>
      </c>
      <c r="F2725" s="254" t="s">
        <v>6656</v>
      </c>
      <c r="G2725" s="252" t="s">
        <v>6691</v>
      </c>
      <c r="H2725" s="252" t="s">
        <v>6692</v>
      </c>
      <c r="I2725" s="252">
        <v>5</v>
      </c>
      <c r="J2725" s="255">
        <v>1</v>
      </c>
      <c r="K2725" s="255">
        <v>1</v>
      </c>
      <c r="L2725" s="255"/>
      <c r="M2725" s="256">
        <v>1.35E-4</v>
      </c>
      <c r="N2725" s="249">
        <v>2724</v>
      </c>
    </row>
    <row r="2726" spans="1:14" x14ac:dyDescent="0.25">
      <c r="A2726" s="252" t="s">
        <v>74</v>
      </c>
      <c r="B2726" s="252" t="s">
        <v>6461</v>
      </c>
      <c r="C2726" s="253">
        <v>0</v>
      </c>
      <c r="D2726" s="252">
        <v>39792</v>
      </c>
      <c r="E2726" s="252" t="s">
        <v>1764</v>
      </c>
      <c r="F2726" s="254" t="s">
        <v>6656</v>
      </c>
      <c r="G2726" s="252" t="s">
        <v>6693</v>
      </c>
      <c r="H2726" s="252" t="s">
        <v>6694</v>
      </c>
      <c r="I2726" s="252">
        <v>3</v>
      </c>
      <c r="J2726" s="255">
        <v>1</v>
      </c>
      <c r="K2726" s="255">
        <v>1</v>
      </c>
      <c r="L2726" s="255"/>
      <c r="M2726" s="256">
        <v>8.9999999999999992E-5</v>
      </c>
      <c r="N2726" s="249">
        <v>2725</v>
      </c>
    </row>
    <row r="2727" spans="1:14" x14ac:dyDescent="0.25">
      <c r="A2727" s="252" t="s">
        <v>74</v>
      </c>
      <c r="B2727" s="252" t="s">
        <v>6461</v>
      </c>
      <c r="C2727" s="253">
        <v>0</v>
      </c>
      <c r="D2727" s="252">
        <v>39792</v>
      </c>
      <c r="E2727" s="252" t="s">
        <v>1764</v>
      </c>
      <c r="F2727" s="254" t="s">
        <v>6656</v>
      </c>
      <c r="G2727" s="252" t="s">
        <v>6695</v>
      </c>
      <c r="H2727" s="252" t="s">
        <v>6696</v>
      </c>
      <c r="I2727" s="252">
        <v>3</v>
      </c>
      <c r="J2727" s="255">
        <v>1</v>
      </c>
      <c r="K2727" s="255">
        <v>1</v>
      </c>
      <c r="L2727" s="255"/>
      <c r="M2727" s="256">
        <v>8.9999999999999992E-5</v>
      </c>
      <c r="N2727" s="249">
        <v>2726</v>
      </c>
    </row>
    <row r="2728" spans="1:14" x14ac:dyDescent="0.25">
      <c r="A2728" s="252" t="s">
        <v>74</v>
      </c>
      <c r="B2728" s="252" t="s">
        <v>6461</v>
      </c>
      <c r="C2728" s="253">
        <v>0</v>
      </c>
      <c r="D2728" s="252">
        <v>39792</v>
      </c>
      <c r="E2728" s="252" t="s">
        <v>1764</v>
      </c>
      <c r="F2728" s="254" t="s">
        <v>6656</v>
      </c>
      <c r="G2728" s="252" t="s">
        <v>6697</v>
      </c>
      <c r="H2728" s="252" t="s">
        <v>6698</v>
      </c>
      <c r="I2728" s="252">
        <v>3</v>
      </c>
      <c r="J2728" s="255">
        <v>1</v>
      </c>
      <c r="K2728" s="255">
        <v>1</v>
      </c>
      <c r="L2728" s="255"/>
      <c r="M2728" s="256">
        <v>9.6899999999999992E-4</v>
      </c>
      <c r="N2728" s="249">
        <v>2727</v>
      </c>
    </row>
    <row r="2729" spans="1:14" x14ac:dyDescent="0.25">
      <c r="A2729" s="252" t="s">
        <v>74</v>
      </c>
      <c r="B2729" s="252" t="s">
        <v>6461</v>
      </c>
      <c r="C2729" s="253">
        <v>0</v>
      </c>
      <c r="D2729" s="252">
        <v>39792</v>
      </c>
      <c r="E2729" s="252" t="s">
        <v>1764</v>
      </c>
      <c r="F2729" s="254" t="s">
        <v>6656</v>
      </c>
      <c r="G2729" s="252" t="s">
        <v>6699</v>
      </c>
      <c r="H2729" s="252" t="s">
        <v>6700</v>
      </c>
      <c r="I2729" s="252">
        <v>3</v>
      </c>
      <c r="J2729" s="255">
        <v>1</v>
      </c>
      <c r="K2729" s="255">
        <v>1</v>
      </c>
      <c r="L2729" s="255"/>
      <c r="M2729" s="256">
        <v>8.9999999999999992E-5</v>
      </c>
      <c r="N2729" s="249">
        <v>2728</v>
      </c>
    </row>
    <row r="2730" spans="1:14" x14ac:dyDescent="0.25">
      <c r="A2730" s="252" t="s">
        <v>74</v>
      </c>
      <c r="B2730" s="252" t="s">
        <v>6461</v>
      </c>
      <c r="C2730" s="253">
        <v>0</v>
      </c>
      <c r="D2730" s="252">
        <v>39792</v>
      </c>
      <c r="E2730" s="252" t="s">
        <v>1764</v>
      </c>
      <c r="F2730" s="254" t="s">
        <v>6656</v>
      </c>
      <c r="G2730" s="252" t="s">
        <v>6701</v>
      </c>
      <c r="H2730" s="252" t="s">
        <v>6702</v>
      </c>
      <c r="I2730" s="252">
        <v>3</v>
      </c>
      <c r="J2730" s="255">
        <v>1</v>
      </c>
      <c r="K2730" s="255">
        <v>1</v>
      </c>
      <c r="L2730" s="255"/>
      <c r="M2730" s="256">
        <v>8.9999999999999992E-5</v>
      </c>
      <c r="N2730" s="249">
        <v>2729</v>
      </c>
    </row>
    <row r="2731" spans="1:14" x14ac:dyDescent="0.25">
      <c r="A2731" s="252" t="s">
        <v>74</v>
      </c>
      <c r="B2731" s="252" t="s">
        <v>6461</v>
      </c>
      <c r="C2731" s="253">
        <v>0</v>
      </c>
      <c r="D2731" s="252">
        <v>39792</v>
      </c>
      <c r="E2731" s="252" t="s">
        <v>1764</v>
      </c>
      <c r="F2731" s="254" t="s">
        <v>6656</v>
      </c>
      <c r="G2731" s="252" t="s">
        <v>6703</v>
      </c>
      <c r="H2731" s="252" t="s">
        <v>6704</v>
      </c>
      <c r="I2731" s="252">
        <v>3</v>
      </c>
      <c r="J2731" s="255">
        <v>1</v>
      </c>
      <c r="K2731" s="255">
        <v>1</v>
      </c>
      <c r="L2731" s="255"/>
      <c r="M2731" s="256">
        <v>1.1877E-2</v>
      </c>
      <c r="N2731" s="249">
        <v>2730</v>
      </c>
    </row>
    <row r="2732" spans="1:14" x14ac:dyDescent="0.25">
      <c r="A2732" s="252" t="s">
        <v>74</v>
      </c>
      <c r="B2732" s="252" t="s">
        <v>6461</v>
      </c>
      <c r="C2732" s="253">
        <v>0</v>
      </c>
      <c r="D2732" s="252">
        <v>39792</v>
      </c>
      <c r="E2732" s="252" t="s">
        <v>1764</v>
      </c>
      <c r="F2732" s="254" t="s">
        <v>6656</v>
      </c>
      <c r="G2732" s="252" t="s">
        <v>6705</v>
      </c>
      <c r="H2732" s="252" t="s">
        <v>6706</v>
      </c>
      <c r="I2732" s="252">
        <v>3</v>
      </c>
      <c r="J2732" s="255">
        <v>1</v>
      </c>
      <c r="K2732" s="255">
        <v>1</v>
      </c>
      <c r="L2732" s="255"/>
      <c r="M2732" s="256">
        <v>8.9999999999999992E-5</v>
      </c>
      <c r="N2732" s="249">
        <v>2731</v>
      </c>
    </row>
    <row r="2733" spans="1:14" x14ac:dyDescent="0.25">
      <c r="A2733" s="252" t="s">
        <v>74</v>
      </c>
      <c r="B2733" s="252" t="s">
        <v>6461</v>
      </c>
      <c r="C2733" s="253">
        <v>0</v>
      </c>
      <c r="D2733" s="252">
        <v>39792</v>
      </c>
      <c r="E2733" s="252" t="s">
        <v>3039</v>
      </c>
      <c r="F2733" s="254" t="s">
        <v>6656</v>
      </c>
      <c r="G2733" s="252" t="s">
        <v>6707</v>
      </c>
      <c r="H2733" s="252" t="s">
        <v>6708</v>
      </c>
      <c r="I2733" s="252">
        <v>5</v>
      </c>
      <c r="J2733" s="255">
        <v>1</v>
      </c>
      <c r="K2733" s="255">
        <v>1</v>
      </c>
      <c r="L2733" s="255"/>
      <c r="M2733" s="256">
        <v>5.7720000000000002E-3</v>
      </c>
      <c r="N2733" s="249">
        <v>2732</v>
      </c>
    </row>
    <row r="2734" spans="1:14" x14ac:dyDescent="0.25">
      <c r="A2734" s="252" t="s">
        <v>74</v>
      </c>
      <c r="B2734" s="252" t="s">
        <v>6461</v>
      </c>
      <c r="C2734" s="253">
        <v>0</v>
      </c>
      <c r="D2734" s="252">
        <v>39792</v>
      </c>
      <c r="E2734" s="252" t="s">
        <v>190</v>
      </c>
      <c r="F2734" s="254" t="s">
        <v>6656</v>
      </c>
      <c r="G2734" s="252" t="s">
        <v>6709</v>
      </c>
      <c r="H2734" s="252" t="s">
        <v>6710</v>
      </c>
      <c r="I2734" s="252">
        <v>5</v>
      </c>
      <c r="J2734" s="255">
        <v>1</v>
      </c>
      <c r="K2734" s="255">
        <v>1</v>
      </c>
      <c r="L2734" s="255"/>
      <c r="M2734" s="256">
        <v>2.0100000000000001E-4</v>
      </c>
      <c r="N2734" s="249">
        <v>2733</v>
      </c>
    </row>
    <row r="2735" spans="1:14" x14ac:dyDescent="0.25">
      <c r="A2735" s="252" t="s">
        <v>74</v>
      </c>
      <c r="B2735" s="252" t="s">
        <v>6461</v>
      </c>
      <c r="C2735" s="253">
        <v>0</v>
      </c>
      <c r="D2735" s="252">
        <v>39792</v>
      </c>
      <c r="E2735" s="252" t="s">
        <v>190</v>
      </c>
      <c r="F2735" s="254" t="s">
        <v>6656</v>
      </c>
      <c r="G2735" s="252" t="s">
        <v>6711</v>
      </c>
      <c r="H2735" s="252" t="s">
        <v>6712</v>
      </c>
      <c r="I2735" s="252">
        <v>5</v>
      </c>
      <c r="J2735" s="255">
        <v>1</v>
      </c>
      <c r="K2735" s="255">
        <v>1</v>
      </c>
      <c r="L2735" s="255"/>
      <c r="M2735" s="256">
        <v>2.0100000000000001E-4</v>
      </c>
      <c r="N2735" s="249">
        <v>2734</v>
      </c>
    </row>
    <row r="2736" spans="1:14" x14ac:dyDescent="0.25">
      <c r="A2736" s="252" t="s">
        <v>74</v>
      </c>
      <c r="B2736" s="252" t="s">
        <v>6461</v>
      </c>
      <c r="C2736" s="253">
        <v>0</v>
      </c>
      <c r="D2736" s="252">
        <v>39792</v>
      </c>
      <c r="E2736" s="252" t="s">
        <v>1591</v>
      </c>
      <c r="F2736" s="254" t="s">
        <v>6656</v>
      </c>
      <c r="G2736" s="252" t="s">
        <v>6713</v>
      </c>
      <c r="H2736" s="252" t="s">
        <v>6714</v>
      </c>
      <c r="I2736" s="252">
        <v>5</v>
      </c>
      <c r="J2736" s="255">
        <v>1</v>
      </c>
      <c r="K2736" s="255">
        <v>1</v>
      </c>
      <c r="L2736" s="255"/>
      <c r="M2736" s="256">
        <v>5.3399999999999997E-4</v>
      </c>
      <c r="N2736" s="249">
        <v>2735</v>
      </c>
    </row>
    <row r="2737" spans="1:14" x14ac:dyDescent="0.25">
      <c r="A2737" s="252" t="s">
        <v>74</v>
      </c>
      <c r="B2737" s="252" t="s">
        <v>6461</v>
      </c>
      <c r="C2737" s="253">
        <v>0</v>
      </c>
      <c r="D2737" s="252">
        <v>39792</v>
      </c>
      <c r="E2737" s="252" t="s">
        <v>1591</v>
      </c>
      <c r="F2737" s="254" t="s">
        <v>6656</v>
      </c>
      <c r="G2737" s="252" t="s">
        <v>6715</v>
      </c>
      <c r="H2737" s="252" t="s">
        <v>6716</v>
      </c>
      <c r="I2737" s="252">
        <v>5</v>
      </c>
      <c r="J2737" s="255">
        <v>1</v>
      </c>
      <c r="K2737" s="255">
        <v>1</v>
      </c>
      <c r="L2737" s="255"/>
      <c r="M2737" s="256">
        <v>5.3399999999999997E-4</v>
      </c>
      <c r="N2737" s="249">
        <v>2736</v>
      </c>
    </row>
    <row r="2738" spans="1:14" x14ac:dyDescent="0.25">
      <c r="A2738" s="252" t="s">
        <v>74</v>
      </c>
      <c r="B2738" s="252" t="s">
        <v>6461</v>
      </c>
      <c r="C2738" s="253">
        <v>0</v>
      </c>
      <c r="D2738" s="252">
        <v>39792</v>
      </c>
      <c r="E2738" s="252" t="s">
        <v>3039</v>
      </c>
      <c r="F2738" s="254" t="s">
        <v>6656</v>
      </c>
      <c r="G2738" s="252" t="s">
        <v>6717</v>
      </c>
      <c r="H2738" s="252" t="s">
        <v>6718</v>
      </c>
      <c r="I2738" s="252">
        <v>5</v>
      </c>
      <c r="J2738" s="255">
        <v>1</v>
      </c>
      <c r="K2738" s="255">
        <v>1</v>
      </c>
      <c r="L2738" s="255"/>
      <c r="M2738" s="256">
        <v>5.7720000000000002E-3</v>
      </c>
      <c r="N2738" s="249">
        <v>2737</v>
      </c>
    </row>
    <row r="2739" spans="1:14" x14ac:dyDescent="0.25">
      <c r="A2739" s="252" t="s">
        <v>74</v>
      </c>
      <c r="B2739" s="252" t="s">
        <v>6461</v>
      </c>
      <c r="C2739" s="253">
        <v>0</v>
      </c>
      <c r="D2739" s="252">
        <v>39792</v>
      </c>
      <c r="E2739" s="252" t="s">
        <v>1591</v>
      </c>
      <c r="F2739" s="254" t="s">
        <v>6656</v>
      </c>
      <c r="G2739" s="252" t="s">
        <v>6719</v>
      </c>
      <c r="H2739" s="252" t="s">
        <v>6720</v>
      </c>
      <c r="I2739" s="252">
        <v>5</v>
      </c>
      <c r="J2739" s="255">
        <v>1</v>
      </c>
      <c r="K2739" s="255">
        <v>1</v>
      </c>
      <c r="L2739" s="255"/>
      <c r="M2739" s="256">
        <v>5.3399999999999997E-4</v>
      </c>
      <c r="N2739" s="249">
        <v>2738</v>
      </c>
    </row>
    <row r="2740" spans="1:14" x14ac:dyDescent="0.25">
      <c r="A2740" s="252" t="s">
        <v>74</v>
      </c>
      <c r="B2740" s="252" t="s">
        <v>6461</v>
      </c>
      <c r="C2740" s="253">
        <v>0</v>
      </c>
      <c r="D2740" s="252">
        <v>39792</v>
      </c>
      <c r="E2740" s="252" t="s">
        <v>1591</v>
      </c>
      <c r="F2740" s="254" t="s">
        <v>6656</v>
      </c>
      <c r="G2740" s="252" t="s">
        <v>6721</v>
      </c>
      <c r="H2740" s="252" t="s">
        <v>6722</v>
      </c>
      <c r="I2740" s="252">
        <v>5</v>
      </c>
      <c r="J2740" s="255">
        <v>1</v>
      </c>
      <c r="K2740" s="255">
        <v>1</v>
      </c>
      <c r="L2740" s="255"/>
      <c r="M2740" s="256">
        <v>5.3399999999999997E-4</v>
      </c>
      <c r="N2740" s="249">
        <v>2739</v>
      </c>
    </row>
    <row r="2741" spans="1:14" x14ac:dyDescent="0.25">
      <c r="A2741" s="252" t="s">
        <v>74</v>
      </c>
      <c r="B2741" s="252" t="s">
        <v>6461</v>
      </c>
      <c r="C2741" s="253">
        <v>0</v>
      </c>
      <c r="D2741" s="252">
        <v>39792</v>
      </c>
      <c r="E2741" s="252" t="s">
        <v>3039</v>
      </c>
      <c r="F2741" s="254" t="s">
        <v>6656</v>
      </c>
      <c r="G2741" s="252" t="s">
        <v>6723</v>
      </c>
      <c r="H2741" s="252" t="s">
        <v>6724</v>
      </c>
      <c r="I2741" s="252">
        <v>5</v>
      </c>
      <c r="J2741" s="255">
        <v>1</v>
      </c>
      <c r="K2741" s="255">
        <v>1</v>
      </c>
      <c r="L2741" s="255"/>
      <c r="M2741" s="256">
        <v>3.1649999999999998E-3</v>
      </c>
      <c r="N2741" s="249">
        <v>2740</v>
      </c>
    </row>
    <row r="2742" spans="1:14" x14ac:dyDescent="0.25">
      <c r="A2742" s="252" t="s">
        <v>74</v>
      </c>
      <c r="B2742" s="252" t="s">
        <v>6461</v>
      </c>
      <c r="C2742" s="253">
        <v>0</v>
      </c>
      <c r="D2742" s="252">
        <v>39792</v>
      </c>
      <c r="E2742" s="252" t="s">
        <v>3039</v>
      </c>
      <c r="F2742" s="254" t="s">
        <v>6656</v>
      </c>
      <c r="G2742" s="252" t="s">
        <v>6725</v>
      </c>
      <c r="H2742" s="252" t="s">
        <v>6726</v>
      </c>
      <c r="I2742" s="252">
        <v>5</v>
      </c>
      <c r="J2742" s="255">
        <v>1</v>
      </c>
      <c r="K2742" s="255">
        <v>1</v>
      </c>
      <c r="L2742" s="255"/>
      <c r="M2742" s="256">
        <v>1.35E-4</v>
      </c>
      <c r="N2742" s="249">
        <v>2741</v>
      </c>
    </row>
    <row r="2743" spans="1:14" x14ac:dyDescent="0.25">
      <c r="A2743" s="252" t="s">
        <v>74</v>
      </c>
      <c r="B2743" s="252" t="s">
        <v>6461</v>
      </c>
      <c r="C2743" s="253">
        <v>0</v>
      </c>
      <c r="D2743" s="252">
        <v>39792</v>
      </c>
      <c r="E2743" s="252" t="s">
        <v>3039</v>
      </c>
      <c r="F2743" s="254" t="s">
        <v>6656</v>
      </c>
      <c r="G2743" s="252" t="s">
        <v>6727</v>
      </c>
      <c r="H2743" s="252" t="s">
        <v>6728</v>
      </c>
      <c r="I2743" s="252">
        <v>5</v>
      </c>
      <c r="J2743" s="255">
        <v>1</v>
      </c>
      <c r="K2743" s="255">
        <v>1</v>
      </c>
      <c r="L2743" s="255"/>
      <c r="M2743" s="256">
        <v>3.8999999999999999E-4</v>
      </c>
      <c r="N2743" s="249">
        <v>2742</v>
      </c>
    </row>
    <row r="2744" spans="1:14" x14ac:dyDescent="0.25">
      <c r="A2744" s="252" t="s">
        <v>74</v>
      </c>
      <c r="B2744" s="252" t="s">
        <v>6461</v>
      </c>
      <c r="C2744" s="253">
        <v>0</v>
      </c>
      <c r="D2744" s="252">
        <v>39792</v>
      </c>
      <c r="E2744" s="252" t="s">
        <v>3039</v>
      </c>
      <c r="F2744" s="254" t="s">
        <v>6656</v>
      </c>
      <c r="G2744" s="252" t="s">
        <v>6729</v>
      </c>
      <c r="H2744" s="252" t="s">
        <v>6730</v>
      </c>
      <c r="I2744" s="252">
        <v>5</v>
      </c>
      <c r="J2744" s="255">
        <v>1</v>
      </c>
      <c r="K2744" s="255">
        <v>1</v>
      </c>
      <c r="L2744" s="255"/>
      <c r="M2744" s="256">
        <v>3.1649999999999998E-3</v>
      </c>
      <c r="N2744" s="249">
        <v>2743</v>
      </c>
    </row>
    <row r="2745" spans="1:14" x14ac:dyDescent="0.25">
      <c r="A2745" s="252" t="s">
        <v>74</v>
      </c>
      <c r="B2745" s="252" t="s">
        <v>6461</v>
      </c>
      <c r="C2745" s="253">
        <v>0</v>
      </c>
      <c r="D2745" s="252">
        <v>39792</v>
      </c>
      <c r="E2745" s="252" t="s">
        <v>1591</v>
      </c>
      <c r="F2745" s="254" t="s">
        <v>6656</v>
      </c>
      <c r="G2745" s="252" t="s">
        <v>6731</v>
      </c>
      <c r="H2745" s="252" t="s">
        <v>6732</v>
      </c>
      <c r="I2745" s="252">
        <v>5</v>
      </c>
      <c r="J2745" s="255">
        <v>1</v>
      </c>
      <c r="K2745" s="255">
        <v>1</v>
      </c>
      <c r="L2745" s="255"/>
      <c r="M2745" s="256">
        <v>5.3399999999999997E-4</v>
      </c>
      <c r="N2745" s="249">
        <v>2744</v>
      </c>
    </row>
    <row r="2746" spans="1:14" x14ac:dyDescent="0.25">
      <c r="A2746" s="252" t="s">
        <v>74</v>
      </c>
      <c r="B2746" s="252" t="s">
        <v>6461</v>
      </c>
      <c r="C2746" s="253">
        <v>0</v>
      </c>
      <c r="D2746" s="252">
        <v>39792</v>
      </c>
      <c r="E2746" s="252" t="s">
        <v>1591</v>
      </c>
      <c r="F2746" s="254" t="s">
        <v>6656</v>
      </c>
      <c r="G2746" s="252" t="s">
        <v>6733</v>
      </c>
      <c r="H2746" s="252" t="s">
        <v>6734</v>
      </c>
      <c r="I2746" s="252">
        <v>5</v>
      </c>
      <c r="J2746" s="255">
        <v>1</v>
      </c>
      <c r="K2746" s="255">
        <v>1</v>
      </c>
      <c r="L2746" s="255"/>
      <c r="M2746" s="256">
        <v>5.3399999999999997E-4</v>
      </c>
      <c r="N2746" s="249">
        <v>2745</v>
      </c>
    </row>
    <row r="2747" spans="1:14" x14ac:dyDescent="0.25">
      <c r="A2747" s="252" t="s">
        <v>74</v>
      </c>
      <c r="B2747" s="252" t="s">
        <v>6461</v>
      </c>
      <c r="C2747" s="253">
        <v>0</v>
      </c>
      <c r="D2747" s="252">
        <v>39792</v>
      </c>
      <c r="E2747" s="252" t="s">
        <v>3039</v>
      </c>
      <c r="F2747" s="254" t="s">
        <v>6656</v>
      </c>
      <c r="G2747" s="252" t="s">
        <v>6735</v>
      </c>
      <c r="H2747" s="252" t="s">
        <v>6736</v>
      </c>
      <c r="I2747" s="252">
        <v>5</v>
      </c>
      <c r="J2747" s="255">
        <v>1</v>
      </c>
      <c r="K2747" s="255">
        <v>1</v>
      </c>
      <c r="L2747" s="255"/>
      <c r="M2747" s="256">
        <v>5.7720000000000002E-3</v>
      </c>
      <c r="N2747" s="249">
        <v>2746</v>
      </c>
    </row>
    <row r="2748" spans="1:14" x14ac:dyDescent="0.25">
      <c r="A2748" s="252" t="s">
        <v>74</v>
      </c>
      <c r="B2748" s="252" t="s">
        <v>6461</v>
      </c>
      <c r="C2748" s="253">
        <v>0</v>
      </c>
      <c r="D2748" s="252">
        <v>39792</v>
      </c>
      <c r="E2748" s="252" t="s">
        <v>1591</v>
      </c>
      <c r="F2748" s="254" t="s">
        <v>6656</v>
      </c>
      <c r="G2748" s="252" t="s">
        <v>6737</v>
      </c>
      <c r="H2748" s="252" t="s">
        <v>6738</v>
      </c>
      <c r="I2748" s="252">
        <v>5</v>
      </c>
      <c r="J2748" s="255">
        <v>1</v>
      </c>
      <c r="K2748" s="255">
        <v>1</v>
      </c>
      <c r="L2748" s="255"/>
      <c r="M2748" s="256">
        <v>5.3399999999999997E-4</v>
      </c>
      <c r="N2748" s="249">
        <v>2747</v>
      </c>
    </row>
    <row r="2749" spans="1:14" x14ac:dyDescent="0.25">
      <c r="A2749" s="252" t="s">
        <v>74</v>
      </c>
      <c r="B2749" s="252" t="s">
        <v>6461</v>
      </c>
      <c r="C2749" s="253">
        <v>0</v>
      </c>
      <c r="D2749" s="252">
        <v>39792</v>
      </c>
      <c r="E2749" s="252" t="s">
        <v>1591</v>
      </c>
      <c r="F2749" s="254" t="s">
        <v>6656</v>
      </c>
      <c r="G2749" s="252" t="s">
        <v>6739</v>
      </c>
      <c r="H2749" s="252" t="s">
        <v>6740</v>
      </c>
      <c r="I2749" s="252">
        <v>5</v>
      </c>
      <c r="J2749" s="255">
        <v>1</v>
      </c>
      <c r="K2749" s="255">
        <v>1</v>
      </c>
      <c r="L2749" s="255"/>
      <c r="M2749" s="256">
        <v>5.3399999999999997E-4</v>
      </c>
      <c r="N2749" s="249">
        <v>2748</v>
      </c>
    </row>
    <row r="2750" spans="1:14" x14ac:dyDescent="0.25">
      <c r="A2750" s="252" t="s">
        <v>74</v>
      </c>
      <c r="B2750" s="252" t="s">
        <v>6461</v>
      </c>
      <c r="C2750" s="253">
        <v>0</v>
      </c>
      <c r="D2750" s="252">
        <v>39792</v>
      </c>
      <c r="E2750" s="252" t="s">
        <v>3039</v>
      </c>
      <c r="F2750" s="254" t="s">
        <v>6656</v>
      </c>
      <c r="G2750" s="252" t="s">
        <v>6741</v>
      </c>
      <c r="H2750" s="252" t="s">
        <v>6742</v>
      </c>
      <c r="I2750" s="252">
        <v>5</v>
      </c>
      <c r="J2750" s="255">
        <v>1</v>
      </c>
      <c r="K2750" s="255">
        <v>1</v>
      </c>
      <c r="L2750" s="255"/>
      <c r="M2750" s="256">
        <v>5.568E-3</v>
      </c>
      <c r="N2750" s="249">
        <v>2749</v>
      </c>
    </row>
    <row r="2751" spans="1:14" x14ac:dyDescent="0.25">
      <c r="A2751" s="252" t="s">
        <v>74</v>
      </c>
      <c r="B2751" s="252" t="s">
        <v>6461</v>
      </c>
      <c r="C2751" s="253">
        <v>0</v>
      </c>
      <c r="D2751" s="252">
        <v>39792</v>
      </c>
      <c r="E2751" s="252" t="s">
        <v>3039</v>
      </c>
      <c r="F2751" s="254" t="s">
        <v>6656</v>
      </c>
      <c r="G2751" s="252" t="s">
        <v>6743</v>
      </c>
      <c r="H2751" s="252" t="s">
        <v>6744</v>
      </c>
      <c r="I2751" s="252">
        <v>5</v>
      </c>
      <c r="J2751" s="255">
        <v>1</v>
      </c>
      <c r="K2751" s="255">
        <v>1</v>
      </c>
      <c r="L2751" s="255"/>
      <c r="M2751" s="256">
        <v>1.35E-4</v>
      </c>
      <c r="N2751" s="249">
        <v>2750</v>
      </c>
    </row>
    <row r="2752" spans="1:14" x14ac:dyDescent="0.25">
      <c r="A2752" s="252" t="s">
        <v>74</v>
      </c>
      <c r="B2752" s="252" t="s">
        <v>6461</v>
      </c>
      <c r="C2752" s="253">
        <v>0</v>
      </c>
      <c r="D2752" s="252">
        <v>39792</v>
      </c>
      <c r="E2752" s="252" t="s">
        <v>3039</v>
      </c>
      <c r="F2752" s="254" t="s">
        <v>6656</v>
      </c>
      <c r="G2752" s="252" t="s">
        <v>6745</v>
      </c>
      <c r="H2752" s="252" t="s">
        <v>6746</v>
      </c>
      <c r="I2752" s="252">
        <v>5</v>
      </c>
      <c r="J2752" s="255">
        <v>1</v>
      </c>
      <c r="K2752" s="255">
        <v>1</v>
      </c>
      <c r="L2752" s="255"/>
      <c r="M2752" s="256">
        <v>7.1100000000000004E-4</v>
      </c>
      <c r="N2752" s="249">
        <v>2751</v>
      </c>
    </row>
    <row r="2753" spans="1:14" x14ac:dyDescent="0.25">
      <c r="A2753" s="252" t="s">
        <v>74</v>
      </c>
      <c r="B2753" s="252" t="s">
        <v>6461</v>
      </c>
      <c r="C2753" s="253">
        <v>0</v>
      </c>
      <c r="D2753" s="252">
        <v>39792</v>
      </c>
      <c r="E2753" s="252" t="s">
        <v>3039</v>
      </c>
      <c r="F2753" s="254" t="s">
        <v>6656</v>
      </c>
      <c r="G2753" s="252" t="s">
        <v>6747</v>
      </c>
      <c r="H2753" s="252" t="s">
        <v>6748</v>
      </c>
      <c r="I2753" s="252">
        <v>5</v>
      </c>
      <c r="J2753" s="255">
        <v>1</v>
      </c>
      <c r="K2753" s="255">
        <v>1</v>
      </c>
      <c r="L2753" s="255"/>
      <c r="M2753" s="256">
        <v>5.568E-3</v>
      </c>
      <c r="N2753" s="249">
        <v>2752</v>
      </c>
    </row>
    <row r="2754" spans="1:14" x14ac:dyDescent="0.25">
      <c r="A2754" s="252" t="s">
        <v>74</v>
      </c>
      <c r="B2754" s="252" t="s">
        <v>6461</v>
      </c>
      <c r="C2754" s="253">
        <v>0</v>
      </c>
      <c r="D2754" s="252">
        <v>39792</v>
      </c>
      <c r="E2754" s="252" t="s">
        <v>3039</v>
      </c>
      <c r="F2754" s="254" t="s">
        <v>6656</v>
      </c>
      <c r="G2754" s="252" t="s">
        <v>6749</v>
      </c>
      <c r="H2754" s="252" t="s">
        <v>6750</v>
      </c>
      <c r="I2754" s="252">
        <v>5</v>
      </c>
      <c r="J2754" s="255">
        <v>1</v>
      </c>
      <c r="K2754" s="255">
        <v>1</v>
      </c>
      <c r="L2754" s="255"/>
      <c r="M2754" s="256">
        <v>1.35E-4</v>
      </c>
      <c r="N2754" s="249">
        <v>2753</v>
      </c>
    </row>
    <row r="2755" spans="1:14" x14ac:dyDescent="0.25">
      <c r="A2755" s="252" t="s">
        <v>74</v>
      </c>
      <c r="B2755" s="252" t="s">
        <v>6461</v>
      </c>
      <c r="C2755" s="253">
        <v>0</v>
      </c>
      <c r="D2755" s="252">
        <v>39792</v>
      </c>
      <c r="E2755" s="252" t="s">
        <v>1764</v>
      </c>
      <c r="F2755" s="254" t="s">
        <v>6656</v>
      </c>
      <c r="G2755" s="252" t="s">
        <v>6751</v>
      </c>
      <c r="H2755" s="252" t="s">
        <v>6752</v>
      </c>
      <c r="I2755" s="252">
        <v>3</v>
      </c>
      <c r="J2755" s="255">
        <v>1</v>
      </c>
      <c r="K2755" s="255">
        <v>1</v>
      </c>
      <c r="L2755" s="255"/>
      <c r="M2755" s="256">
        <v>8.9999999999999992E-5</v>
      </c>
      <c r="N2755" s="249">
        <v>2754</v>
      </c>
    </row>
    <row r="2756" spans="1:14" x14ac:dyDescent="0.25">
      <c r="A2756" s="252" t="s">
        <v>74</v>
      </c>
      <c r="B2756" s="252" t="s">
        <v>6461</v>
      </c>
      <c r="C2756" s="253">
        <v>0</v>
      </c>
      <c r="D2756" s="252">
        <v>39792</v>
      </c>
      <c r="E2756" s="252" t="s">
        <v>1764</v>
      </c>
      <c r="F2756" s="254" t="s">
        <v>6656</v>
      </c>
      <c r="G2756" s="252" t="s">
        <v>6753</v>
      </c>
      <c r="H2756" s="252" t="s">
        <v>6754</v>
      </c>
      <c r="I2756" s="252">
        <v>3</v>
      </c>
      <c r="J2756" s="255">
        <v>1</v>
      </c>
      <c r="K2756" s="255">
        <v>1</v>
      </c>
      <c r="L2756" s="255"/>
      <c r="M2756" s="256">
        <v>8.9999999999999992E-5</v>
      </c>
      <c r="N2756" s="249">
        <v>2755</v>
      </c>
    </row>
    <row r="2757" spans="1:14" x14ac:dyDescent="0.25">
      <c r="A2757" s="252" t="s">
        <v>74</v>
      </c>
      <c r="B2757" s="252" t="s">
        <v>6461</v>
      </c>
      <c r="C2757" s="253">
        <v>0</v>
      </c>
      <c r="D2757" s="252">
        <v>39792</v>
      </c>
      <c r="E2757" s="252" t="s">
        <v>1764</v>
      </c>
      <c r="F2757" s="254" t="s">
        <v>6656</v>
      </c>
      <c r="G2757" s="252" t="s">
        <v>6755</v>
      </c>
      <c r="H2757" s="252" t="s">
        <v>6756</v>
      </c>
      <c r="I2757" s="252">
        <v>3</v>
      </c>
      <c r="J2757" s="255">
        <v>1</v>
      </c>
      <c r="K2757" s="255">
        <v>1</v>
      </c>
      <c r="L2757" s="255"/>
      <c r="M2757" s="256">
        <v>7.4699999999999994E-4</v>
      </c>
      <c r="N2757" s="249">
        <v>2756</v>
      </c>
    </row>
    <row r="2758" spans="1:14" x14ac:dyDescent="0.25">
      <c r="A2758" s="252" t="s">
        <v>74</v>
      </c>
      <c r="B2758" s="252" t="s">
        <v>6461</v>
      </c>
      <c r="C2758" s="253">
        <v>0</v>
      </c>
      <c r="D2758" s="252">
        <v>39792</v>
      </c>
      <c r="E2758" s="252" t="s">
        <v>3039</v>
      </c>
      <c r="F2758" s="254" t="s">
        <v>6656</v>
      </c>
      <c r="G2758" s="252" t="s">
        <v>6757</v>
      </c>
      <c r="H2758" s="252" t="s">
        <v>6758</v>
      </c>
      <c r="I2758" s="252">
        <v>5</v>
      </c>
      <c r="J2758" s="255">
        <v>1</v>
      </c>
      <c r="K2758" s="255">
        <v>1</v>
      </c>
      <c r="L2758" s="255"/>
      <c r="M2758" s="256">
        <v>4.9650000000000007E-3</v>
      </c>
      <c r="N2758" s="249">
        <v>2757</v>
      </c>
    </row>
    <row r="2759" spans="1:14" x14ac:dyDescent="0.25">
      <c r="A2759" s="252" t="s">
        <v>74</v>
      </c>
      <c r="B2759" s="252" t="s">
        <v>6461</v>
      </c>
      <c r="C2759" s="253">
        <v>0</v>
      </c>
      <c r="D2759" s="252">
        <v>39792</v>
      </c>
      <c r="E2759" s="252" t="s">
        <v>3039</v>
      </c>
      <c r="F2759" s="254" t="s">
        <v>6656</v>
      </c>
      <c r="G2759" s="252" t="s">
        <v>6759</v>
      </c>
      <c r="H2759" s="252" t="s">
        <v>6760</v>
      </c>
      <c r="I2759" s="252">
        <v>5</v>
      </c>
      <c r="J2759" s="255">
        <v>1</v>
      </c>
      <c r="K2759" s="255">
        <v>1</v>
      </c>
      <c r="L2759" s="255"/>
      <c r="M2759" s="256">
        <v>1.9229999999999998E-3</v>
      </c>
      <c r="N2759" s="249">
        <v>2758</v>
      </c>
    </row>
    <row r="2760" spans="1:14" x14ac:dyDescent="0.25">
      <c r="A2760" s="252" t="s">
        <v>74</v>
      </c>
      <c r="B2760" s="252" t="s">
        <v>6461</v>
      </c>
      <c r="C2760" s="253">
        <v>0</v>
      </c>
      <c r="D2760" s="252">
        <v>39792</v>
      </c>
      <c r="E2760" s="252" t="s">
        <v>3039</v>
      </c>
      <c r="F2760" s="254" t="s">
        <v>6656</v>
      </c>
      <c r="G2760" s="252" t="s">
        <v>6761</v>
      </c>
      <c r="H2760" s="252" t="s">
        <v>6762</v>
      </c>
      <c r="I2760" s="252">
        <v>5</v>
      </c>
      <c r="J2760" s="255">
        <v>1</v>
      </c>
      <c r="K2760" s="255">
        <v>1</v>
      </c>
      <c r="L2760" s="255"/>
      <c r="M2760" s="256">
        <v>1.35E-4</v>
      </c>
      <c r="N2760" s="249">
        <v>2759</v>
      </c>
    </row>
    <row r="2761" spans="1:14" x14ac:dyDescent="0.25">
      <c r="A2761" s="252" t="s">
        <v>74</v>
      </c>
      <c r="B2761" s="252" t="s">
        <v>6461</v>
      </c>
      <c r="C2761" s="253">
        <v>0</v>
      </c>
      <c r="D2761" s="252">
        <v>39792</v>
      </c>
      <c r="E2761" s="252" t="s">
        <v>3039</v>
      </c>
      <c r="F2761" s="254" t="s">
        <v>6656</v>
      </c>
      <c r="G2761" s="252" t="s">
        <v>6763</v>
      </c>
      <c r="H2761" s="252" t="s">
        <v>6764</v>
      </c>
      <c r="I2761" s="252">
        <v>5</v>
      </c>
      <c r="J2761" s="255">
        <v>1</v>
      </c>
      <c r="K2761" s="255">
        <v>1</v>
      </c>
      <c r="L2761" s="255"/>
      <c r="M2761" s="256">
        <v>2.2499999999999999E-4</v>
      </c>
      <c r="N2761" s="249">
        <v>2760</v>
      </c>
    </row>
    <row r="2762" spans="1:14" x14ac:dyDescent="0.25">
      <c r="A2762" s="252" t="s">
        <v>74</v>
      </c>
      <c r="B2762" s="252" t="s">
        <v>6461</v>
      </c>
      <c r="C2762" s="253">
        <v>0</v>
      </c>
      <c r="D2762" s="252">
        <v>39792</v>
      </c>
      <c r="E2762" s="252" t="s">
        <v>3039</v>
      </c>
      <c r="F2762" s="254" t="s">
        <v>6656</v>
      </c>
      <c r="G2762" s="252" t="s">
        <v>6765</v>
      </c>
      <c r="H2762" s="252" t="s">
        <v>6766</v>
      </c>
      <c r="I2762" s="252">
        <v>5</v>
      </c>
      <c r="J2762" s="255">
        <v>1</v>
      </c>
      <c r="K2762" s="255">
        <v>1</v>
      </c>
      <c r="L2762" s="255"/>
      <c r="M2762" s="256">
        <v>1.9229999999999998E-3</v>
      </c>
      <c r="N2762" s="249">
        <v>2761</v>
      </c>
    </row>
    <row r="2763" spans="1:14" x14ac:dyDescent="0.25">
      <c r="A2763" s="252" t="s">
        <v>74</v>
      </c>
      <c r="B2763" s="252" t="s">
        <v>6461</v>
      </c>
      <c r="C2763" s="253">
        <v>0</v>
      </c>
      <c r="D2763" s="252">
        <v>39792</v>
      </c>
      <c r="E2763" s="252" t="s">
        <v>3039</v>
      </c>
      <c r="F2763" s="254" t="s">
        <v>6656</v>
      </c>
      <c r="G2763" s="252" t="s">
        <v>6767</v>
      </c>
      <c r="H2763" s="252" t="s">
        <v>6768</v>
      </c>
      <c r="I2763" s="252">
        <v>5</v>
      </c>
      <c r="J2763" s="255">
        <v>1</v>
      </c>
      <c r="K2763" s="255">
        <v>1</v>
      </c>
      <c r="L2763" s="255"/>
      <c r="M2763" s="256">
        <v>4.9650000000000007E-3</v>
      </c>
      <c r="N2763" s="249">
        <v>2762</v>
      </c>
    </row>
    <row r="2764" spans="1:14" x14ac:dyDescent="0.25">
      <c r="A2764" s="252" t="s">
        <v>74</v>
      </c>
      <c r="B2764" s="252" t="s">
        <v>6461</v>
      </c>
      <c r="C2764" s="253">
        <v>0</v>
      </c>
      <c r="D2764" s="252">
        <v>39792</v>
      </c>
      <c r="E2764" s="252" t="s">
        <v>3039</v>
      </c>
      <c r="F2764" s="254" t="s">
        <v>6656</v>
      </c>
      <c r="G2764" s="252" t="s">
        <v>6769</v>
      </c>
      <c r="H2764" s="252" t="s">
        <v>6770</v>
      </c>
      <c r="I2764" s="252">
        <v>5</v>
      </c>
      <c r="J2764" s="255">
        <v>1</v>
      </c>
      <c r="K2764" s="255">
        <v>1</v>
      </c>
      <c r="L2764" s="255"/>
      <c r="M2764" s="256">
        <v>4.986E-3</v>
      </c>
      <c r="N2764" s="249">
        <v>2763</v>
      </c>
    </row>
    <row r="2765" spans="1:14" x14ac:dyDescent="0.25">
      <c r="A2765" s="252" t="s">
        <v>74</v>
      </c>
      <c r="B2765" s="252" t="s">
        <v>6461</v>
      </c>
      <c r="C2765" s="253">
        <v>0</v>
      </c>
      <c r="D2765" s="252">
        <v>39792</v>
      </c>
      <c r="E2765" s="252" t="s">
        <v>3039</v>
      </c>
      <c r="F2765" s="254" t="s">
        <v>6656</v>
      </c>
      <c r="G2765" s="252" t="s">
        <v>6771</v>
      </c>
      <c r="H2765" s="252" t="s">
        <v>6772</v>
      </c>
      <c r="I2765" s="252">
        <v>5</v>
      </c>
      <c r="J2765" s="255">
        <v>1</v>
      </c>
      <c r="K2765" s="255">
        <v>1</v>
      </c>
      <c r="L2765" s="255"/>
      <c r="M2765" s="256">
        <v>1.35E-4</v>
      </c>
      <c r="N2765" s="249">
        <v>2764</v>
      </c>
    </row>
    <row r="2766" spans="1:14" x14ac:dyDescent="0.25">
      <c r="A2766" s="252" t="s">
        <v>74</v>
      </c>
      <c r="B2766" s="252" t="s">
        <v>6461</v>
      </c>
      <c r="C2766" s="253">
        <v>0</v>
      </c>
      <c r="D2766" s="252">
        <v>39792</v>
      </c>
      <c r="E2766" s="252" t="s">
        <v>3039</v>
      </c>
      <c r="F2766" s="254" t="s">
        <v>6656</v>
      </c>
      <c r="G2766" s="252" t="s">
        <v>6773</v>
      </c>
      <c r="H2766" s="252" t="s">
        <v>6774</v>
      </c>
      <c r="I2766" s="252">
        <v>5</v>
      </c>
      <c r="J2766" s="255">
        <v>1</v>
      </c>
      <c r="K2766" s="255">
        <v>1</v>
      </c>
      <c r="L2766" s="255"/>
      <c r="M2766" s="256">
        <v>6.3299999999999999E-4</v>
      </c>
      <c r="N2766" s="249">
        <v>2765</v>
      </c>
    </row>
    <row r="2767" spans="1:14" x14ac:dyDescent="0.25">
      <c r="A2767" s="252" t="s">
        <v>74</v>
      </c>
      <c r="B2767" s="252" t="s">
        <v>6461</v>
      </c>
      <c r="C2767" s="253">
        <v>0</v>
      </c>
      <c r="D2767" s="252">
        <v>39792</v>
      </c>
      <c r="E2767" s="252" t="s">
        <v>3039</v>
      </c>
      <c r="F2767" s="254" t="s">
        <v>6656</v>
      </c>
      <c r="G2767" s="252" t="s">
        <v>6775</v>
      </c>
      <c r="H2767" s="252" t="s">
        <v>6776</v>
      </c>
      <c r="I2767" s="252">
        <v>5</v>
      </c>
      <c r="J2767" s="255">
        <v>1</v>
      </c>
      <c r="K2767" s="255">
        <v>1</v>
      </c>
      <c r="L2767" s="255"/>
      <c r="M2767" s="256">
        <v>4.9829999999999996E-3</v>
      </c>
      <c r="N2767" s="249">
        <v>2766</v>
      </c>
    </row>
    <row r="2768" spans="1:14" x14ac:dyDescent="0.25">
      <c r="A2768" s="252" t="s">
        <v>74</v>
      </c>
      <c r="B2768" s="252" t="s">
        <v>6461</v>
      </c>
      <c r="C2768" s="253">
        <v>0</v>
      </c>
      <c r="D2768" s="252">
        <v>39792</v>
      </c>
      <c r="E2768" s="252" t="s">
        <v>1764</v>
      </c>
      <c r="F2768" s="254" t="s">
        <v>6656</v>
      </c>
      <c r="G2768" s="252" t="s">
        <v>6777</v>
      </c>
      <c r="H2768" s="252" t="s">
        <v>6778</v>
      </c>
      <c r="I2768" s="252">
        <v>3</v>
      </c>
      <c r="J2768" s="255">
        <v>1</v>
      </c>
      <c r="K2768" s="255">
        <v>1</v>
      </c>
      <c r="L2768" s="255"/>
      <c r="M2768" s="256">
        <v>8.9999999999999992E-5</v>
      </c>
      <c r="N2768" s="249">
        <v>2767</v>
      </c>
    </row>
    <row r="2769" spans="1:14" x14ac:dyDescent="0.25">
      <c r="A2769" s="252" t="s">
        <v>74</v>
      </c>
      <c r="B2769" s="252" t="s">
        <v>6461</v>
      </c>
      <c r="C2769" s="253">
        <v>0</v>
      </c>
      <c r="D2769" s="252">
        <v>39792</v>
      </c>
      <c r="E2769" s="252" t="s">
        <v>1764</v>
      </c>
      <c r="F2769" s="254" t="s">
        <v>6656</v>
      </c>
      <c r="G2769" s="252" t="s">
        <v>6779</v>
      </c>
      <c r="H2769" s="252" t="s">
        <v>6780</v>
      </c>
      <c r="I2769" s="252">
        <v>3</v>
      </c>
      <c r="J2769" s="255">
        <v>1</v>
      </c>
      <c r="K2769" s="255">
        <v>1</v>
      </c>
      <c r="L2769" s="255"/>
      <c r="M2769" s="256">
        <v>8.9999999999999992E-5</v>
      </c>
      <c r="N2769" s="249">
        <v>2768</v>
      </c>
    </row>
    <row r="2770" spans="1:14" x14ac:dyDescent="0.25">
      <c r="A2770" s="252" t="s">
        <v>74</v>
      </c>
      <c r="B2770" s="252" t="s">
        <v>6461</v>
      </c>
      <c r="C2770" s="253">
        <v>0</v>
      </c>
      <c r="D2770" s="252">
        <v>39792</v>
      </c>
      <c r="E2770" s="252" t="s">
        <v>1764</v>
      </c>
      <c r="F2770" s="254" t="s">
        <v>6656</v>
      </c>
      <c r="G2770" s="252" t="s">
        <v>6781</v>
      </c>
      <c r="H2770" s="252" t="s">
        <v>6782</v>
      </c>
      <c r="I2770" s="252">
        <v>3</v>
      </c>
      <c r="J2770" s="255">
        <v>1</v>
      </c>
      <c r="K2770" s="255">
        <v>1</v>
      </c>
      <c r="L2770" s="255"/>
      <c r="M2770" s="256">
        <v>7.0530000000000002E-3</v>
      </c>
      <c r="N2770" s="249">
        <v>2769</v>
      </c>
    </row>
    <row r="2771" spans="1:14" x14ac:dyDescent="0.25">
      <c r="A2771" s="252" t="s">
        <v>74</v>
      </c>
      <c r="B2771" s="252" t="s">
        <v>6461</v>
      </c>
      <c r="C2771" s="253">
        <v>0</v>
      </c>
      <c r="D2771" s="252">
        <v>39792</v>
      </c>
      <c r="E2771" s="252" t="s">
        <v>1591</v>
      </c>
      <c r="F2771" s="254" t="s">
        <v>6656</v>
      </c>
      <c r="G2771" s="252" t="s">
        <v>6783</v>
      </c>
      <c r="H2771" s="252" t="s">
        <v>6784</v>
      </c>
      <c r="I2771" s="252">
        <v>5</v>
      </c>
      <c r="J2771" s="255">
        <v>1</v>
      </c>
      <c r="K2771" s="255">
        <v>1</v>
      </c>
      <c r="L2771" s="255"/>
      <c r="M2771" s="256">
        <v>5.3399999999999997E-4</v>
      </c>
      <c r="N2771" s="249">
        <v>2770</v>
      </c>
    </row>
    <row r="2772" spans="1:14" x14ac:dyDescent="0.25">
      <c r="A2772" s="252" t="s">
        <v>74</v>
      </c>
      <c r="B2772" s="252" t="s">
        <v>6461</v>
      </c>
      <c r="C2772" s="253">
        <v>0</v>
      </c>
      <c r="D2772" s="252">
        <v>39792</v>
      </c>
      <c r="E2772" s="252" t="s">
        <v>1591</v>
      </c>
      <c r="F2772" s="254" t="s">
        <v>6656</v>
      </c>
      <c r="G2772" s="252" t="s">
        <v>6785</v>
      </c>
      <c r="H2772" s="252" t="s">
        <v>6786</v>
      </c>
      <c r="I2772" s="252">
        <v>5</v>
      </c>
      <c r="J2772" s="255">
        <v>1</v>
      </c>
      <c r="K2772" s="255">
        <v>1</v>
      </c>
      <c r="L2772" s="255"/>
      <c r="M2772" s="256">
        <v>5.3399999999999997E-4</v>
      </c>
      <c r="N2772" s="249">
        <v>2771</v>
      </c>
    </row>
    <row r="2773" spans="1:14" x14ac:dyDescent="0.25">
      <c r="A2773" s="252" t="s">
        <v>74</v>
      </c>
      <c r="B2773" s="252" t="s">
        <v>6461</v>
      </c>
      <c r="C2773" s="253">
        <v>0</v>
      </c>
      <c r="D2773" s="252">
        <v>39792</v>
      </c>
      <c r="E2773" s="252" t="s">
        <v>3039</v>
      </c>
      <c r="F2773" s="254" t="s">
        <v>6656</v>
      </c>
      <c r="G2773" s="252" t="s">
        <v>6787</v>
      </c>
      <c r="H2773" s="252" t="s">
        <v>6788</v>
      </c>
      <c r="I2773" s="252">
        <v>5</v>
      </c>
      <c r="J2773" s="255">
        <v>1</v>
      </c>
      <c r="K2773" s="255">
        <v>1</v>
      </c>
      <c r="L2773" s="255"/>
      <c r="M2773" s="256">
        <v>6.7769999999999992E-3</v>
      </c>
      <c r="N2773" s="249">
        <v>2772</v>
      </c>
    </row>
    <row r="2774" spans="1:14" x14ac:dyDescent="0.25">
      <c r="A2774" s="252" t="s">
        <v>74</v>
      </c>
      <c r="B2774" s="252" t="s">
        <v>6461</v>
      </c>
      <c r="C2774" s="253">
        <v>0</v>
      </c>
      <c r="D2774" s="252">
        <v>39792</v>
      </c>
      <c r="E2774" s="252" t="s">
        <v>1591</v>
      </c>
      <c r="F2774" s="254" t="s">
        <v>6656</v>
      </c>
      <c r="G2774" s="252" t="s">
        <v>6789</v>
      </c>
      <c r="H2774" s="252" t="s">
        <v>6790</v>
      </c>
      <c r="I2774" s="252">
        <v>5</v>
      </c>
      <c r="J2774" s="255">
        <v>1</v>
      </c>
      <c r="K2774" s="255">
        <v>1</v>
      </c>
      <c r="L2774" s="255"/>
      <c r="M2774" s="256">
        <v>5.3399999999999997E-4</v>
      </c>
      <c r="N2774" s="249">
        <v>2773</v>
      </c>
    </row>
    <row r="2775" spans="1:14" x14ac:dyDescent="0.25">
      <c r="A2775" s="252" t="s">
        <v>74</v>
      </c>
      <c r="B2775" s="252" t="s">
        <v>6461</v>
      </c>
      <c r="C2775" s="253">
        <v>0</v>
      </c>
      <c r="D2775" s="252">
        <v>39792</v>
      </c>
      <c r="E2775" s="252" t="s">
        <v>1591</v>
      </c>
      <c r="F2775" s="254" t="s">
        <v>6656</v>
      </c>
      <c r="G2775" s="252" t="s">
        <v>6791</v>
      </c>
      <c r="H2775" s="252" t="s">
        <v>6792</v>
      </c>
      <c r="I2775" s="252">
        <v>5</v>
      </c>
      <c r="J2775" s="255">
        <v>1</v>
      </c>
      <c r="K2775" s="255">
        <v>1</v>
      </c>
      <c r="L2775" s="255"/>
      <c r="M2775" s="256">
        <v>5.3399999999999997E-4</v>
      </c>
      <c r="N2775" s="249">
        <v>2774</v>
      </c>
    </row>
    <row r="2776" spans="1:14" x14ac:dyDescent="0.25">
      <c r="A2776" s="252" t="s">
        <v>74</v>
      </c>
      <c r="B2776" s="252" t="s">
        <v>6461</v>
      </c>
      <c r="C2776" s="253">
        <v>0</v>
      </c>
      <c r="D2776" s="252">
        <v>39792</v>
      </c>
      <c r="E2776" s="252" t="s">
        <v>3039</v>
      </c>
      <c r="F2776" s="254" t="s">
        <v>6656</v>
      </c>
      <c r="G2776" s="252" t="s">
        <v>6793</v>
      </c>
      <c r="H2776" s="252" t="s">
        <v>6794</v>
      </c>
      <c r="I2776" s="252">
        <v>5</v>
      </c>
      <c r="J2776" s="255">
        <v>1</v>
      </c>
      <c r="K2776" s="255">
        <v>1</v>
      </c>
      <c r="L2776" s="255"/>
      <c r="M2776" s="256">
        <v>4.908E-3</v>
      </c>
      <c r="N2776" s="249">
        <v>2775</v>
      </c>
    </row>
    <row r="2777" spans="1:14" x14ac:dyDescent="0.25">
      <c r="A2777" s="252" t="s">
        <v>74</v>
      </c>
      <c r="B2777" s="252" t="s">
        <v>6461</v>
      </c>
      <c r="C2777" s="253">
        <v>0</v>
      </c>
      <c r="D2777" s="252">
        <v>39792</v>
      </c>
      <c r="E2777" s="252" t="s">
        <v>3039</v>
      </c>
      <c r="F2777" s="254" t="s">
        <v>6656</v>
      </c>
      <c r="G2777" s="252" t="s">
        <v>6795</v>
      </c>
      <c r="H2777" s="252" t="s">
        <v>6796</v>
      </c>
      <c r="I2777" s="252">
        <v>5</v>
      </c>
      <c r="J2777" s="255">
        <v>1</v>
      </c>
      <c r="K2777" s="255">
        <v>1</v>
      </c>
      <c r="L2777" s="255"/>
      <c r="M2777" s="256">
        <v>1.35E-4</v>
      </c>
      <c r="N2777" s="249">
        <v>2776</v>
      </c>
    </row>
    <row r="2778" spans="1:14" x14ac:dyDescent="0.25">
      <c r="A2778" s="252" t="s">
        <v>74</v>
      </c>
      <c r="B2778" s="252" t="s">
        <v>6461</v>
      </c>
      <c r="C2778" s="253">
        <v>0</v>
      </c>
      <c r="D2778" s="252">
        <v>39792</v>
      </c>
      <c r="E2778" s="252" t="s">
        <v>3039</v>
      </c>
      <c r="F2778" s="254" t="s">
        <v>6656</v>
      </c>
      <c r="G2778" s="252" t="s">
        <v>6797</v>
      </c>
      <c r="H2778" s="252" t="s">
        <v>6798</v>
      </c>
      <c r="I2778" s="252">
        <v>5</v>
      </c>
      <c r="J2778" s="255">
        <v>1</v>
      </c>
      <c r="K2778" s="255">
        <v>1</v>
      </c>
      <c r="L2778" s="255"/>
      <c r="M2778" s="256">
        <v>6.240000000000001E-4</v>
      </c>
      <c r="N2778" s="249">
        <v>2777</v>
      </c>
    </row>
    <row r="2779" spans="1:14" x14ac:dyDescent="0.25">
      <c r="A2779" s="252" t="s">
        <v>74</v>
      </c>
      <c r="B2779" s="252" t="s">
        <v>6461</v>
      </c>
      <c r="C2779" s="253">
        <v>0</v>
      </c>
      <c r="D2779" s="252">
        <v>39792</v>
      </c>
      <c r="E2779" s="252" t="s">
        <v>3039</v>
      </c>
      <c r="F2779" s="254" t="s">
        <v>6656</v>
      </c>
      <c r="G2779" s="252" t="s">
        <v>6799</v>
      </c>
      <c r="H2779" s="252" t="s">
        <v>6800</v>
      </c>
      <c r="I2779" s="252">
        <v>5</v>
      </c>
      <c r="J2779" s="255">
        <v>1</v>
      </c>
      <c r="K2779" s="255">
        <v>1</v>
      </c>
      <c r="L2779" s="255"/>
      <c r="M2779" s="256">
        <v>4.908E-3</v>
      </c>
      <c r="N2779" s="249">
        <v>2778</v>
      </c>
    </row>
    <row r="2780" spans="1:14" x14ac:dyDescent="0.25">
      <c r="A2780" s="252" t="s">
        <v>74</v>
      </c>
      <c r="B2780" s="252" t="s">
        <v>6461</v>
      </c>
      <c r="C2780" s="253">
        <v>0</v>
      </c>
      <c r="D2780" s="252">
        <v>39792</v>
      </c>
      <c r="E2780" s="252" t="s">
        <v>3039</v>
      </c>
      <c r="F2780" s="254" t="s">
        <v>6656</v>
      </c>
      <c r="G2780" s="252" t="s">
        <v>6801</v>
      </c>
      <c r="H2780" s="252" t="s">
        <v>6802</v>
      </c>
      <c r="I2780" s="252">
        <v>5</v>
      </c>
      <c r="J2780" s="255">
        <v>1</v>
      </c>
      <c r="K2780" s="255">
        <v>1</v>
      </c>
      <c r="L2780" s="255"/>
      <c r="M2780" s="256">
        <v>1.35E-4</v>
      </c>
      <c r="N2780" s="249">
        <v>2779</v>
      </c>
    </row>
    <row r="2781" spans="1:14" x14ac:dyDescent="0.25">
      <c r="A2781" s="252" t="s">
        <v>74</v>
      </c>
      <c r="B2781" s="252" t="s">
        <v>6461</v>
      </c>
      <c r="C2781" s="253">
        <v>0</v>
      </c>
      <c r="D2781" s="252">
        <v>39792</v>
      </c>
      <c r="E2781" s="252" t="s">
        <v>3039</v>
      </c>
      <c r="F2781" s="254" t="s">
        <v>6656</v>
      </c>
      <c r="G2781" s="252" t="s">
        <v>6803</v>
      </c>
      <c r="H2781" s="252" t="s">
        <v>6804</v>
      </c>
      <c r="I2781" s="252">
        <v>5</v>
      </c>
      <c r="J2781" s="255">
        <v>1</v>
      </c>
      <c r="K2781" s="255">
        <v>1</v>
      </c>
      <c r="L2781" s="255"/>
      <c r="M2781" s="256">
        <v>6.7829999999999991E-3</v>
      </c>
      <c r="N2781" s="249">
        <v>2780</v>
      </c>
    </row>
    <row r="2782" spans="1:14" x14ac:dyDescent="0.25">
      <c r="A2782" s="252" t="s">
        <v>74</v>
      </c>
      <c r="B2782" s="252" t="s">
        <v>6461</v>
      </c>
      <c r="C2782" s="253">
        <v>0</v>
      </c>
      <c r="D2782" s="252">
        <v>39792</v>
      </c>
      <c r="E2782" s="252" t="s">
        <v>1764</v>
      </c>
      <c r="F2782" s="254" t="s">
        <v>6656</v>
      </c>
      <c r="G2782" s="252" t="s">
        <v>6805</v>
      </c>
      <c r="H2782" s="252" t="s">
        <v>6806</v>
      </c>
      <c r="I2782" s="252">
        <v>3</v>
      </c>
      <c r="J2782" s="255">
        <v>1</v>
      </c>
      <c r="K2782" s="255">
        <v>1</v>
      </c>
      <c r="L2782" s="255"/>
      <c r="M2782" s="256">
        <v>8.9999999999999992E-5</v>
      </c>
      <c r="N2782" s="249">
        <v>2781</v>
      </c>
    </row>
    <row r="2783" spans="1:14" x14ac:dyDescent="0.25">
      <c r="A2783" s="252" t="s">
        <v>74</v>
      </c>
      <c r="B2783" s="252" t="s">
        <v>6461</v>
      </c>
      <c r="C2783" s="253">
        <v>0</v>
      </c>
      <c r="D2783" s="252">
        <v>39792</v>
      </c>
      <c r="E2783" s="252" t="s">
        <v>1764</v>
      </c>
      <c r="F2783" s="254" t="s">
        <v>6656</v>
      </c>
      <c r="G2783" s="252" t="s">
        <v>6807</v>
      </c>
      <c r="H2783" s="252" t="s">
        <v>6808</v>
      </c>
      <c r="I2783" s="252">
        <v>3</v>
      </c>
      <c r="J2783" s="255">
        <v>1</v>
      </c>
      <c r="K2783" s="255">
        <v>1</v>
      </c>
      <c r="L2783" s="255"/>
      <c r="M2783" s="256">
        <v>8.9999999999999992E-5</v>
      </c>
      <c r="N2783" s="249">
        <v>2782</v>
      </c>
    </row>
    <row r="2784" spans="1:14" x14ac:dyDescent="0.25">
      <c r="A2784" s="252" t="s">
        <v>74</v>
      </c>
      <c r="B2784" s="252" t="s">
        <v>6461</v>
      </c>
      <c r="C2784" s="253">
        <v>0</v>
      </c>
      <c r="D2784" s="252">
        <v>39792</v>
      </c>
      <c r="E2784" s="252" t="s">
        <v>1764</v>
      </c>
      <c r="F2784" s="254" t="s">
        <v>6656</v>
      </c>
      <c r="G2784" s="252" t="s">
        <v>6809</v>
      </c>
      <c r="H2784" s="252" t="s">
        <v>6810</v>
      </c>
      <c r="I2784" s="252">
        <v>3</v>
      </c>
      <c r="J2784" s="255">
        <v>1</v>
      </c>
      <c r="K2784" s="255">
        <v>1</v>
      </c>
      <c r="L2784" s="255"/>
      <c r="M2784" s="256">
        <v>7.4699999999999994E-4</v>
      </c>
      <c r="N2784" s="249">
        <v>2783</v>
      </c>
    </row>
    <row r="2785" spans="1:14" x14ac:dyDescent="0.25">
      <c r="A2785" s="252" t="s">
        <v>74</v>
      </c>
      <c r="B2785" s="252" t="s">
        <v>6461</v>
      </c>
      <c r="C2785" s="253">
        <v>0</v>
      </c>
      <c r="D2785" s="252">
        <v>39792</v>
      </c>
      <c r="E2785" s="252" t="s">
        <v>3039</v>
      </c>
      <c r="F2785" s="254" t="s">
        <v>6656</v>
      </c>
      <c r="G2785" s="252" t="s">
        <v>1545</v>
      </c>
      <c r="H2785" s="252" t="s">
        <v>6811</v>
      </c>
      <c r="I2785" s="252">
        <v>5</v>
      </c>
      <c r="J2785" s="255">
        <v>1</v>
      </c>
      <c r="K2785" s="255">
        <v>1</v>
      </c>
      <c r="L2785" s="255"/>
      <c r="M2785" s="256">
        <v>1.2014999999999998E-2</v>
      </c>
      <c r="N2785" s="249">
        <v>2784</v>
      </c>
    </row>
    <row r="2786" spans="1:14" x14ac:dyDescent="0.25">
      <c r="A2786" s="252" t="s">
        <v>74</v>
      </c>
      <c r="B2786" s="252" t="s">
        <v>6461</v>
      </c>
      <c r="C2786" s="253">
        <v>0</v>
      </c>
      <c r="D2786" s="252">
        <v>39792</v>
      </c>
      <c r="E2786" s="252" t="s">
        <v>3039</v>
      </c>
      <c r="F2786" s="254" t="s">
        <v>6656</v>
      </c>
      <c r="G2786" s="252" t="s">
        <v>1546</v>
      </c>
      <c r="H2786" s="252" t="s">
        <v>6812</v>
      </c>
      <c r="I2786" s="252">
        <v>5</v>
      </c>
      <c r="J2786" s="255">
        <v>1</v>
      </c>
      <c r="K2786" s="255">
        <v>1</v>
      </c>
      <c r="L2786" s="255"/>
      <c r="M2786" s="256">
        <v>1.35E-4</v>
      </c>
      <c r="N2786" s="249">
        <v>2785</v>
      </c>
    </row>
    <row r="2787" spans="1:14" x14ac:dyDescent="0.25">
      <c r="A2787" s="252" t="s">
        <v>74</v>
      </c>
      <c r="B2787" s="252" t="s">
        <v>6461</v>
      </c>
      <c r="C2787" s="253">
        <v>0</v>
      </c>
      <c r="D2787" s="252">
        <v>39792</v>
      </c>
      <c r="E2787" s="252" t="s">
        <v>3039</v>
      </c>
      <c r="F2787" s="254" t="s">
        <v>6656</v>
      </c>
      <c r="G2787" s="252" t="s">
        <v>6813</v>
      </c>
      <c r="H2787" s="252" t="s">
        <v>6814</v>
      </c>
      <c r="I2787" s="252">
        <v>5</v>
      </c>
      <c r="J2787" s="255">
        <v>1</v>
      </c>
      <c r="K2787" s="255">
        <v>1</v>
      </c>
      <c r="L2787" s="255"/>
      <c r="M2787" s="256">
        <v>1.2014999999999998E-2</v>
      </c>
      <c r="N2787" s="249">
        <v>2786</v>
      </c>
    </row>
    <row r="2788" spans="1:14" x14ac:dyDescent="0.25">
      <c r="A2788" s="252" t="s">
        <v>74</v>
      </c>
      <c r="B2788" s="252" t="s">
        <v>6461</v>
      </c>
      <c r="C2788" s="253">
        <v>0</v>
      </c>
      <c r="D2788" s="252">
        <v>39792</v>
      </c>
      <c r="E2788" s="252" t="s">
        <v>3039</v>
      </c>
      <c r="F2788" s="254" t="s">
        <v>6656</v>
      </c>
      <c r="G2788" s="252" t="s">
        <v>1554</v>
      </c>
      <c r="H2788" s="252" t="s">
        <v>6815</v>
      </c>
      <c r="I2788" s="252">
        <v>5</v>
      </c>
      <c r="J2788" s="255">
        <v>1</v>
      </c>
      <c r="K2788" s="255">
        <v>1</v>
      </c>
      <c r="L2788" s="255"/>
      <c r="M2788" s="256">
        <v>1.5719999999999998E-3</v>
      </c>
      <c r="N2788" s="249">
        <v>2787</v>
      </c>
    </row>
    <row r="2789" spans="1:14" x14ac:dyDescent="0.25">
      <c r="A2789" s="252" t="s">
        <v>74</v>
      </c>
      <c r="B2789" s="252" t="s">
        <v>6461</v>
      </c>
      <c r="C2789" s="253">
        <v>0</v>
      </c>
      <c r="D2789" s="252">
        <v>39792</v>
      </c>
      <c r="E2789" s="252" t="s">
        <v>190</v>
      </c>
      <c r="F2789" s="254" t="s">
        <v>6656</v>
      </c>
      <c r="G2789" s="252" t="s">
        <v>1555</v>
      </c>
      <c r="H2789" s="252" t="s">
        <v>6816</v>
      </c>
      <c r="I2789" s="252">
        <v>5</v>
      </c>
      <c r="J2789" s="255">
        <v>1</v>
      </c>
      <c r="K2789" s="255">
        <v>1</v>
      </c>
      <c r="L2789" s="255"/>
      <c r="M2789" s="256">
        <v>2.0100000000000001E-4</v>
      </c>
      <c r="N2789" s="249">
        <v>2788</v>
      </c>
    </row>
    <row r="2790" spans="1:14" x14ac:dyDescent="0.25">
      <c r="A2790" s="252" t="s">
        <v>74</v>
      </c>
      <c r="B2790" s="252" t="s">
        <v>6461</v>
      </c>
      <c r="C2790" s="253">
        <v>0</v>
      </c>
      <c r="D2790" s="252">
        <v>39792</v>
      </c>
      <c r="E2790" s="252" t="s">
        <v>190</v>
      </c>
      <c r="F2790" s="254" t="s">
        <v>6656</v>
      </c>
      <c r="G2790" s="252" t="s">
        <v>1556</v>
      </c>
      <c r="H2790" s="252" t="s">
        <v>6817</v>
      </c>
      <c r="I2790" s="252">
        <v>5</v>
      </c>
      <c r="J2790" s="255">
        <v>1</v>
      </c>
      <c r="K2790" s="255">
        <v>1</v>
      </c>
      <c r="L2790" s="255"/>
      <c r="M2790" s="256">
        <v>2.0100000000000001E-4</v>
      </c>
      <c r="N2790" s="249">
        <v>2789</v>
      </c>
    </row>
    <row r="2791" spans="1:14" x14ac:dyDescent="0.25">
      <c r="A2791" s="252" t="s">
        <v>74</v>
      </c>
      <c r="B2791" s="252" t="s">
        <v>6461</v>
      </c>
      <c r="C2791" s="253">
        <v>0</v>
      </c>
      <c r="D2791" s="252">
        <v>39792</v>
      </c>
      <c r="E2791" s="252" t="s">
        <v>1591</v>
      </c>
      <c r="F2791" s="254" t="s">
        <v>6656</v>
      </c>
      <c r="G2791" s="252" t="s">
        <v>1557</v>
      </c>
      <c r="H2791" s="252" t="s">
        <v>6818</v>
      </c>
      <c r="I2791" s="252">
        <v>5</v>
      </c>
      <c r="J2791" s="255">
        <v>1</v>
      </c>
      <c r="K2791" s="255">
        <v>1</v>
      </c>
      <c r="L2791" s="255"/>
      <c r="M2791" s="256">
        <v>5.3399999999999997E-4</v>
      </c>
      <c r="N2791" s="249">
        <v>2790</v>
      </c>
    </row>
    <row r="2792" spans="1:14" x14ac:dyDescent="0.25">
      <c r="A2792" s="252" t="s">
        <v>74</v>
      </c>
      <c r="B2792" s="252" t="s">
        <v>6461</v>
      </c>
      <c r="C2792" s="253">
        <v>0</v>
      </c>
      <c r="D2792" s="252">
        <v>39792</v>
      </c>
      <c r="E2792" s="252" t="s">
        <v>1591</v>
      </c>
      <c r="F2792" s="254" t="s">
        <v>6656</v>
      </c>
      <c r="G2792" s="252" t="s">
        <v>6819</v>
      </c>
      <c r="H2792" s="252" t="s">
        <v>6820</v>
      </c>
      <c r="I2792" s="252">
        <v>5</v>
      </c>
      <c r="J2792" s="255">
        <v>1</v>
      </c>
      <c r="K2792" s="255">
        <v>1</v>
      </c>
      <c r="L2792" s="255"/>
      <c r="M2792" s="256">
        <v>5.3399999999999997E-4</v>
      </c>
      <c r="N2792" s="249">
        <v>2791</v>
      </c>
    </row>
    <row r="2793" spans="1:14" x14ac:dyDescent="0.25">
      <c r="A2793" s="252" t="s">
        <v>74</v>
      </c>
      <c r="B2793" s="252" t="s">
        <v>6461</v>
      </c>
      <c r="C2793" s="253">
        <v>0</v>
      </c>
      <c r="D2793" s="252">
        <v>39792</v>
      </c>
      <c r="E2793" s="252" t="s">
        <v>3039</v>
      </c>
      <c r="F2793" s="254" t="s">
        <v>6656</v>
      </c>
      <c r="G2793" s="252" t="s">
        <v>6821</v>
      </c>
      <c r="H2793" s="252" t="s">
        <v>6822</v>
      </c>
      <c r="I2793" s="252">
        <v>5</v>
      </c>
      <c r="J2793" s="255">
        <v>1</v>
      </c>
      <c r="K2793" s="255">
        <v>1</v>
      </c>
      <c r="L2793" s="255"/>
      <c r="M2793" s="256">
        <v>5.7720000000000002E-3</v>
      </c>
      <c r="N2793" s="249">
        <v>2792</v>
      </c>
    </row>
    <row r="2794" spans="1:14" x14ac:dyDescent="0.25">
      <c r="A2794" s="252" t="s">
        <v>74</v>
      </c>
      <c r="B2794" s="252" t="s">
        <v>6461</v>
      </c>
      <c r="C2794" s="253">
        <v>0</v>
      </c>
      <c r="D2794" s="252">
        <v>39792</v>
      </c>
      <c r="E2794" s="252" t="s">
        <v>1591</v>
      </c>
      <c r="F2794" s="254" t="s">
        <v>6656</v>
      </c>
      <c r="G2794" s="252" t="s">
        <v>1558</v>
      </c>
      <c r="H2794" s="252" t="s">
        <v>6823</v>
      </c>
      <c r="I2794" s="252">
        <v>5</v>
      </c>
      <c r="J2794" s="255">
        <v>1</v>
      </c>
      <c r="K2794" s="255">
        <v>1</v>
      </c>
      <c r="L2794" s="255"/>
      <c r="M2794" s="256">
        <v>5.3399999999999997E-4</v>
      </c>
      <c r="N2794" s="249">
        <v>2793</v>
      </c>
    </row>
    <row r="2795" spans="1:14" x14ac:dyDescent="0.25">
      <c r="A2795" s="252" t="s">
        <v>74</v>
      </c>
      <c r="B2795" s="252" t="s">
        <v>6461</v>
      </c>
      <c r="C2795" s="253">
        <v>0</v>
      </c>
      <c r="D2795" s="252">
        <v>39792</v>
      </c>
      <c r="E2795" s="252" t="s">
        <v>1591</v>
      </c>
      <c r="F2795" s="254" t="s">
        <v>6656</v>
      </c>
      <c r="G2795" s="252" t="s">
        <v>2151</v>
      </c>
      <c r="H2795" s="252" t="s">
        <v>6824</v>
      </c>
      <c r="I2795" s="252">
        <v>5</v>
      </c>
      <c r="J2795" s="255">
        <v>1</v>
      </c>
      <c r="K2795" s="255">
        <v>1</v>
      </c>
      <c r="L2795" s="255"/>
      <c r="M2795" s="256">
        <v>5.3399999999999997E-4</v>
      </c>
      <c r="N2795" s="249">
        <v>2794</v>
      </c>
    </row>
    <row r="2796" spans="1:14" x14ac:dyDescent="0.25">
      <c r="A2796" s="252" t="s">
        <v>74</v>
      </c>
      <c r="B2796" s="252" t="s">
        <v>6461</v>
      </c>
      <c r="C2796" s="253">
        <v>0</v>
      </c>
      <c r="D2796" s="252">
        <v>39792</v>
      </c>
      <c r="E2796" s="252" t="s">
        <v>3039</v>
      </c>
      <c r="F2796" s="254" t="s">
        <v>6656</v>
      </c>
      <c r="G2796" s="252" t="s">
        <v>1560</v>
      </c>
      <c r="H2796" s="252" t="s">
        <v>6825</v>
      </c>
      <c r="I2796" s="252">
        <v>5</v>
      </c>
      <c r="J2796" s="255">
        <v>1</v>
      </c>
      <c r="K2796" s="255">
        <v>1</v>
      </c>
      <c r="L2796" s="255"/>
      <c r="M2796" s="256">
        <v>1.8059999999999997E-3</v>
      </c>
      <c r="N2796" s="249">
        <v>2795</v>
      </c>
    </row>
    <row r="2797" spans="1:14" x14ac:dyDescent="0.25">
      <c r="A2797" s="252" t="s">
        <v>74</v>
      </c>
      <c r="B2797" s="252" t="s">
        <v>6461</v>
      </c>
      <c r="C2797" s="253">
        <v>0</v>
      </c>
      <c r="D2797" s="252">
        <v>39792</v>
      </c>
      <c r="E2797" s="252" t="s">
        <v>3039</v>
      </c>
      <c r="F2797" s="254" t="s">
        <v>6656</v>
      </c>
      <c r="G2797" s="252" t="s">
        <v>6826</v>
      </c>
      <c r="H2797" s="252" t="s">
        <v>6827</v>
      </c>
      <c r="I2797" s="252">
        <v>5</v>
      </c>
      <c r="J2797" s="255">
        <v>1</v>
      </c>
      <c r="K2797" s="255">
        <v>1</v>
      </c>
      <c r="L2797" s="255"/>
      <c r="M2797" s="256">
        <v>1.3755E-2</v>
      </c>
      <c r="N2797" s="249">
        <v>2796</v>
      </c>
    </row>
    <row r="2798" spans="1:14" x14ac:dyDescent="0.25">
      <c r="A2798" s="252" t="s">
        <v>74</v>
      </c>
      <c r="B2798" s="252" t="s">
        <v>6461</v>
      </c>
      <c r="C2798" s="253">
        <v>0</v>
      </c>
      <c r="D2798" s="252">
        <v>39792</v>
      </c>
      <c r="E2798" s="252" t="s">
        <v>3039</v>
      </c>
      <c r="F2798" s="254" t="s">
        <v>6656</v>
      </c>
      <c r="G2798" s="252" t="s">
        <v>1566</v>
      </c>
      <c r="H2798" s="252" t="s">
        <v>6828</v>
      </c>
      <c r="I2798" s="252">
        <v>5</v>
      </c>
      <c r="J2798" s="255">
        <v>1</v>
      </c>
      <c r="K2798" s="255">
        <v>1</v>
      </c>
      <c r="L2798" s="255"/>
      <c r="M2798" s="256">
        <v>1.3755E-2</v>
      </c>
      <c r="N2798" s="249">
        <v>2797</v>
      </c>
    </row>
    <row r="2799" spans="1:14" x14ac:dyDescent="0.25">
      <c r="A2799" s="252" t="s">
        <v>74</v>
      </c>
      <c r="B2799" s="252" t="s">
        <v>6461</v>
      </c>
      <c r="C2799" s="253">
        <v>0</v>
      </c>
      <c r="D2799" s="252">
        <v>39792</v>
      </c>
      <c r="E2799" s="252" t="s">
        <v>3039</v>
      </c>
      <c r="F2799" s="254" t="s">
        <v>6656</v>
      </c>
      <c r="G2799" s="252" t="s">
        <v>1567</v>
      </c>
      <c r="H2799" s="252" t="s">
        <v>6829</v>
      </c>
      <c r="I2799" s="252">
        <v>5</v>
      </c>
      <c r="J2799" s="255">
        <v>1</v>
      </c>
      <c r="K2799" s="255">
        <v>1</v>
      </c>
      <c r="L2799" s="255"/>
      <c r="M2799" s="256">
        <v>1.35E-4</v>
      </c>
      <c r="N2799" s="249">
        <v>2798</v>
      </c>
    </row>
    <row r="2800" spans="1:14" x14ac:dyDescent="0.25">
      <c r="A2800" s="252" t="s">
        <v>74</v>
      </c>
      <c r="B2800" s="252" t="s">
        <v>6461</v>
      </c>
      <c r="C2800" s="253">
        <v>0</v>
      </c>
      <c r="D2800" s="252">
        <v>39792</v>
      </c>
      <c r="E2800" s="252" t="s">
        <v>1764</v>
      </c>
      <c r="F2800" s="254" t="s">
        <v>6656</v>
      </c>
      <c r="G2800" s="252" t="s">
        <v>6830</v>
      </c>
      <c r="H2800" s="252" t="s">
        <v>6831</v>
      </c>
      <c r="I2800" s="252">
        <v>3</v>
      </c>
      <c r="J2800" s="255">
        <v>1</v>
      </c>
      <c r="K2800" s="255">
        <v>1</v>
      </c>
      <c r="L2800" s="255"/>
      <c r="M2800" s="256">
        <v>8.9999999999999992E-5</v>
      </c>
      <c r="N2800" s="249">
        <v>2799</v>
      </c>
    </row>
    <row r="2801" spans="1:14" x14ac:dyDescent="0.25">
      <c r="A2801" s="252" t="s">
        <v>74</v>
      </c>
      <c r="B2801" s="252" t="s">
        <v>6461</v>
      </c>
      <c r="C2801" s="253">
        <v>0</v>
      </c>
      <c r="D2801" s="252">
        <v>39792</v>
      </c>
      <c r="E2801" s="252" t="s">
        <v>1764</v>
      </c>
      <c r="F2801" s="254" t="s">
        <v>6656</v>
      </c>
      <c r="G2801" s="252" t="s">
        <v>6832</v>
      </c>
      <c r="H2801" s="252" t="s">
        <v>6833</v>
      </c>
      <c r="I2801" s="252">
        <v>3</v>
      </c>
      <c r="J2801" s="255">
        <v>1</v>
      </c>
      <c r="K2801" s="255">
        <v>1</v>
      </c>
      <c r="L2801" s="255"/>
      <c r="M2801" s="256">
        <v>8.9999999999999992E-5</v>
      </c>
      <c r="N2801" s="249">
        <v>2800</v>
      </c>
    </row>
    <row r="2802" spans="1:14" x14ac:dyDescent="0.25">
      <c r="A2802" s="252" t="s">
        <v>74</v>
      </c>
      <c r="B2802" s="252" t="s">
        <v>6461</v>
      </c>
      <c r="C2802" s="253">
        <v>0</v>
      </c>
      <c r="D2802" s="252">
        <v>39792</v>
      </c>
      <c r="E2802" s="252" t="s">
        <v>1764</v>
      </c>
      <c r="F2802" s="254" t="s">
        <v>6656</v>
      </c>
      <c r="G2802" s="252" t="s">
        <v>6834</v>
      </c>
      <c r="H2802" s="252" t="s">
        <v>6835</v>
      </c>
      <c r="I2802" s="252">
        <v>3</v>
      </c>
      <c r="J2802" s="255">
        <v>1</v>
      </c>
      <c r="K2802" s="255">
        <v>1</v>
      </c>
      <c r="L2802" s="255"/>
      <c r="M2802" s="256">
        <v>2.4785999999999999E-2</v>
      </c>
      <c r="N2802" s="249">
        <v>2801</v>
      </c>
    </row>
    <row r="2803" spans="1:14" x14ac:dyDescent="0.25">
      <c r="A2803" s="252" t="s">
        <v>74</v>
      </c>
      <c r="B2803" s="252" t="s">
        <v>6461</v>
      </c>
      <c r="C2803" s="253">
        <v>0</v>
      </c>
      <c r="D2803" s="252">
        <v>39792</v>
      </c>
      <c r="E2803" s="252" t="s">
        <v>1764</v>
      </c>
      <c r="F2803" s="254" t="s">
        <v>6656</v>
      </c>
      <c r="G2803" s="252" t="s">
        <v>6836</v>
      </c>
      <c r="H2803" s="252" t="s">
        <v>6837</v>
      </c>
      <c r="I2803" s="252">
        <v>3</v>
      </c>
      <c r="J2803" s="255">
        <v>1</v>
      </c>
      <c r="K2803" s="255">
        <v>1</v>
      </c>
      <c r="L2803" s="255"/>
      <c r="M2803" s="256">
        <v>8.9999999999999992E-5</v>
      </c>
      <c r="N2803" s="249">
        <v>2802</v>
      </c>
    </row>
    <row r="2804" spans="1:14" x14ac:dyDescent="0.25">
      <c r="A2804" s="252" t="s">
        <v>74</v>
      </c>
      <c r="B2804" s="252" t="s">
        <v>6461</v>
      </c>
      <c r="C2804" s="253">
        <v>0</v>
      </c>
      <c r="D2804" s="252">
        <v>39792</v>
      </c>
      <c r="E2804" s="252" t="s">
        <v>1764</v>
      </c>
      <c r="F2804" s="254" t="s">
        <v>6656</v>
      </c>
      <c r="G2804" s="252" t="s">
        <v>6838</v>
      </c>
      <c r="H2804" s="252" t="s">
        <v>6839</v>
      </c>
      <c r="I2804" s="252">
        <v>3</v>
      </c>
      <c r="J2804" s="255">
        <v>1</v>
      </c>
      <c r="K2804" s="255">
        <v>1</v>
      </c>
      <c r="L2804" s="255"/>
      <c r="M2804" s="256">
        <v>8.9999999999999992E-5</v>
      </c>
      <c r="N2804" s="249">
        <v>2803</v>
      </c>
    </row>
    <row r="2805" spans="1:14" x14ac:dyDescent="0.25">
      <c r="A2805" s="252" t="s">
        <v>74</v>
      </c>
      <c r="B2805" s="252" t="s">
        <v>6461</v>
      </c>
      <c r="C2805" s="253">
        <v>0</v>
      </c>
      <c r="D2805" s="252">
        <v>39792</v>
      </c>
      <c r="E2805" s="252" t="s">
        <v>1764</v>
      </c>
      <c r="F2805" s="254" t="s">
        <v>6656</v>
      </c>
      <c r="G2805" s="252" t="s">
        <v>6840</v>
      </c>
      <c r="H2805" s="252" t="s">
        <v>6841</v>
      </c>
      <c r="I2805" s="252">
        <v>3</v>
      </c>
      <c r="J2805" s="255">
        <v>1</v>
      </c>
      <c r="K2805" s="255">
        <v>1</v>
      </c>
      <c r="L2805" s="255"/>
      <c r="M2805" s="256">
        <v>8.9999999999999992E-5</v>
      </c>
      <c r="N2805" s="249">
        <v>2804</v>
      </c>
    </row>
    <row r="2806" spans="1:14" x14ac:dyDescent="0.25">
      <c r="A2806" s="252" t="s">
        <v>74</v>
      </c>
      <c r="B2806" s="252" t="s">
        <v>6461</v>
      </c>
      <c r="C2806" s="253">
        <v>0</v>
      </c>
      <c r="D2806" s="252">
        <v>39792</v>
      </c>
      <c r="E2806" s="252" t="s">
        <v>190</v>
      </c>
      <c r="F2806" s="254" t="s">
        <v>6656</v>
      </c>
      <c r="G2806" s="252" t="s">
        <v>1570</v>
      </c>
      <c r="H2806" s="252" t="s">
        <v>6842</v>
      </c>
      <c r="I2806" s="252">
        <v>5</v>
      </c>
      <c r="J2806" s="255">
        <v>1</v>
      </c>
      <c r="K2806" s="255">
        <v>1</v>
      </c>
      <c r="L2806" s="255"/>
      <c r="M2806" s="256">
        <v>2.0100000000000001E-4</v>
      </c>
      <c r="N2806" s="249">
        <v>2805</v>
      </c>
    </row>
    <row r="2807" spans="1:14" x14ac:dyDescent="0.25">
      <c r="A2807" s="252" t="s">
        <v>74</v>
      </c>
      <c r="B2807" s="252" t="s">
        <v>6461</v>
      </c>
      <c r="C2807" s="253">
        <v>0</v>
      </c>
      <c r="D2807" s="252">
        <v>39792</v>
      </c>
      <c r="E2807" s="252" t="s">
        <v>190</v>
      </c>
      <c r="F2807" s="254" t="s">
        <v>6656</v>
      </c>
      <c r="G2807" s="252" t="s">
        <v>1571</v>
      </c>
      <c r="H2807" s="252" t="s">
        <v>6843</v>
      </c>
      <c r="I2807" s="252">
        <v>5</v>
      </c>
      <c r="J2807" s="255">
        <v>1</v>
      </c>
      <c r="K2807" s="255">
        <v>1</v>
      </c>
      <c r="L2807" s="255"/>
      <c r="M2807" s="256">
        <v>2.0100000000000001E-4</v>
      </c>
      <c r="N2807" s="249">
        <v>2806</v>
      </c>
    </row>
    <row r="2808" spans="1:14" x14ac:dyDescent="0.25">
      <c r="A2808" s="252" t="s">
        <v>74</v>
      </c>
      <c r="B2808" s="252" t="s">
        <v>6461</v>
      </c>
      <c r="C2808" s="253">
        <v>0</v>
      </c>
      <c r="D2808" s="252">
        <v>39792</v>
      </c>
      <c r="E2808" s="252" t="s">
        <v>1591</v>
      </c>
      <c r="F2808" s="254" t="s">
        <v>6656</v>
      </c>
      <c r="G2808" s="252" t="s">
        <v>3159</v>
      </c>
      <c r="H2808" s="252" t="s">
        <v>6844</v>
      </c>
      <c r="I2808" s="252">
        <v>5</v>
      </c>
      <c r="J2808" s="255">
        <v>1</v>
      </c>
      <c r="K2808" s="255">
        <v>1</v>
      </c>
      <c r="L2808" s="255"/>
      <c r="M2808" s="256">
        <v>5.3399999999999997E-4</v>
      </c>
      <c r="N2808" s="249">
        <v>2807</v>
      </c>
    </row>
    <row r="2809" spans="1:14" x14ac:dyDescent="0.25">
      <c r="A2809" s="252" t="s">
        <v>74</v>
      </c>
      <c r="B2809" s="252" t="s">
        <v>6461</v>
      </c>
      <c r="C2809" s="253">
        <v>0</v>
      </c>
      <c r="D2809" s="252">
        <v>39792</v>
      </c>
      <c r="E2809" s="252" t="s">
        <v>1591</v>
      </c>
      <c r="F2809" s="254" t="s">
        <v>6656</v>
      </c>
      <c r="G2809" s="252" t="s">
        <v>6845</v>
      </c>
      <c r="H2809" s="252" t="s">
        <v>6846</v>
      </c>
      <c r="I2809" s="252">
        <v>5</v>
      </c>
      <c r="J2809" s="255">
        <v>1</v>
      </c>
      <c r="K2809" s="255">
        <v>1</v>
      </c>
      <c r="L2809" s="255"/>
      <c r="M2809" s="256">
        <v>5.3399999999999997E-4</v>
      </c>
      <c r="N2809" s="249">
        <v>2808</v>
      </c>
    </row>
    <row r="2810" spans="1:14" x14ac:dyDescent="0.25">
      <c r="A2810" s="252" t="s">
        <v>74</v>
      </c>
      <c r="B2810" s="252" t="s">
        <v>6461</v>
      </c>
      <c r="C2810" s="253">
        <v>0</v>
      </c>
      <c r="D2810" s="252">
        <v>39792</v>
      </c>
      <c r="E2810" s="252" t="s">
        <v>3039</v>
      </c>
      <c r="F2810" s="254" t="s">
        <v>6656</v>
      </c>
      <c r="G2810" s="252" t="s">
        <v>6847</v>
      </c>
      <c r="H2810" s="252" t="s">
        <v>6848</v>
      </c>
      <c r="I2810" s="252">
        <v>5</v>
      </c>
      <c r="J2810" s="255">
        <v>1</v>
      </c>
      <c r="K2810" s="255">
        <v>1</v>
      </c>
      <c r="L2810" s="255"/>
      <c r="M2810" s="256">
        <v>5.7720000000000002E-3</v>
      </c>
      <c r="N2810" s="249">
        <v>2809</v>
      </c>
    </row>
    <row r="2811" spans="1:14" x14ac:dyDescent="0.25">
      <c r="A2811" s="252" t="s">
        <v>74</v>
      </c>
      <c r="B2811" s="252" t="s">
        <v>6461</v>
      </c>
      <c r="C2811" s="253">
        <v>0</v>
      </c>
      <c r="D2811" s="252">
        <v>39792</v>
      </c>
      <c r="E2811" s="252" t="s">
        <v>1591</v>
      </c>
      <c r="F2811" s="254" t="s">
        <v>6656</v>
      </c>
      <c r="G2811" s="252" t="s">
        <v>2157</v>
      </c>
      <c r="H2811" s="252" t="s">
        <v>6849</v>
      </c>
      <c r="I2811" s="252">
        <v>5</v>
      </c>
      <c r="J2811" s="255">
        <v>1</v>
      </c>
      <c r="K2811" s="255">
        <v>1</v>
      </c>
      <c r="L2811" s="255"/>
      <c r="M2811" s="256">
        <v>5.3399999999999997E-4</v>
      </c>
      <c r="N2811" s="249">
        <v>2810</v>
      </c>
    </row>
    <row r="2812" spans="1:14" x14ac:dyDescent="0.25">
      <c r="A2812" s="252" t="s">
        <v>74</v>
      </c>
      <c r="B2812" s="252" t="s">
        <v>6461</v>
      </c>
      <c r="C2812" s="253">
        <v>0</v>
      </c>
      <c r="D2812" s="252">
        <v>39792</v>
      </c>
      <c r="E2812" s="252" t="s">
        <v>1591</v>
      </c>
      <c r="F2812" s="254" t="s">
        <v>6656</v>
      </c>
      <c r="G2812" s="252" t="s">
        <v>3165</v>
      </c>
      <c r="H2812" s="252" t="s">
        <v>6850</v>
      </c>
      <c r="I2812" s="252">
        <v>5</v>
      </c>
      <c r="J2812" s="255">
        <v>1</v>
      </c>
      <c r="K2812" s="255">
        <v>1</v>
      </c>
      <c r="L2812" s="255"/>
      <c r="M2812" s="256">
        <v>5.3399999999999997E-4</v>
      </c>
      <c r="N2812" s="249">
        <v>2811</v>
      </c>
    </row>
    <row r="2813" spans="1:14" x14ac:dyDescent="0.25">
      <c r="A2813" s="252" t="s">
        <v>74</v>
      </c>
      <c r="B2813" s="252" t="s">
        <v>6461</v>
      </c>
      <c r="C2813" s="253">
        <v>0</v>
      </c>
      <c r="D2813" s="252">
        <v>39792</v>
      </c>
      <c r="E2813" s="252" t="s">
        <v>3039</v>
      </c>
      <c r="F2813" s="254" t="s">
        <v>6656</v>
      </c>
      <c r="G2813" s="252" t="s">
        <v>1573</v>
      </c>
      <c r="H2813" s="252" t="s">
        <v>6851</v>
      </c>
      <c r="I2813" s="252">
        <v>5</v>
      </c>
      <c r="J2813" s="255">
        <v>1</v>
      </c>
      <c r="K2813" s="255">
        <v>1</v>
      </c>
      <c r="L2813" s="255"/>
      <c r="M2813" s="256">
        <v>4.4910000000000002E-3</v>
      </c>
      <c r="N2813" s="249">
        <v>2812</v>
      </c>
    </row>
    <row r="2814" spans="1:14" x14ac:dyDescent="0.25">
      <c r="A2814" s="252" t="s">
        <v>74</v>
      </c>
      <c r="B2814" s="252" t="s">
        <v>6461</v>
      </c>
      <c r="C2814" s="253">
        <v>0</v>
      </c>
      <c r="D2814" s="252">
        <v>39792</v>
      </c>
      <c r="E2814" s="252" t="s">
        <v>3039</v>
      </c>
      <c r="F2814" s="254" t="s">
        <v>6656</v>
      </c>
      <c r="G2814" s="252" t="s">
        <v>1574</v>
      </c>
      <c r="H2814" s="252" t="s">
        <v>6852</v>
      </c>
      <c r="I2814" s="252">
        <v>5</v>
      </c>
      <c r="J2814" s="255">
        <v>1</v>
      </c>
      <c r="K2814" s="255">
        <v>1</v>
      </c>
      <c r="L2814" s="255"/>
      <c r="M2814" s="256">
        <v>1.35E-4</v>
      </c>
      <c r="N2814" s="249">
        <v>2813</v>
      </c>
    </row>
    <row r="2815" spans="1:14" x14ac:dyDescent="0.25">
      <c r="A2815" s="252" t="s">
        <v>74</v>
      </c>
      <c r="B2815" s="252" t="s">
        <v>6461</v>
      </c>
      <c r="C2815" s="253">
        <v>0</v>
      </c>
      <c r="D2815" s="252">
        <v>39792</v>
      </c>
      <c r="E2815" s="252" t="s">
        <v>3039</v>
      </c>
      <c r="F2815" s="254" t="s">
        <v>6656</v>
      </c>
      <c r="G2815" s="252" t="s">
        <v>2159</v>
      </c>
      <c r="H2815" s="252" t="s">
        <v>6853</v>
      </c>
      <c r="I2815" s="252">
        <v>5</v>
      </c>
      <c r="J2815" s="255">
        <v>1</v>
      </c>
      <c r="K2815" s="255">
        <v>1</v>
      </c>
      <c r="L2815" s="255"/>
      <c r="M2815" s="256">
        <v>1.35E-4</v>
      </c>
      <c r="N2815" s="249">
        <v>2814</v>
      </c>
    </row>
    <row r="2816" spans="1:14" x14ac:dyDescent="0.25">
      <c r="A2816" s="252" t="s">
        <v>74</v>
      </c>
      <c r="B2816" s="252" t="s">
        <v>6461</v>
      </c>
      <c r="C2816" s="253">
        <v>0</v>
      </c>
      <c r="D2816" s="252">
        <v>39792</v>
      </c>
      <c r="E2816" s="252" t="s">
        <v>3039</v>
      </c>
      <c r="F2816" s="254" t="s">
        <v>6656</v>
      </c>
      <c r="G2816" s="252" t="s">
        <v>1575</v>
      </c>
      <c r="H2816" s="252" t="s">
        <v>6854</v>
      </c>
      <c r="I2816" s="252">
        <v>5</v>
      </c>
      <c r="J2816" s="255">
        <v>1</v>
      </c>
      <c r="K2816" s="255">
        <v>1</v>
      </c>
      <c r="L2816" s="255"/>
      <c r="M2816" s="256">
        <v>5.6700000000000001E-4</v>
      </c>
      <c r="N2816" s="249">
        <v>2815</v>
      </c>
    </row>
    <row r="2817" spans="1:14" x14ac:dyDescent="0.25">
      <c r="A2817" s="252" t="s">
        <v>74</v>
      </c>
      <c r="B2817" s="252" t="s">
        <v>6461</v>
      </c>
      <c r="C2817" s="253">
        <v>0</v>
      </c>
      <c r="D2817" s="252">
        <v>39792</v>
      </c>
      <c r="E2817" s="252" t="s">
        <v>3039</v>
      </c>
      <c r="F2817" s="254" t="s">
        <v>6656</v>
      </c>
      <c r="G2817" s="252" t="s">
        <v>1576</v>
      </c>
      <c r="H2817" s="252" t="s">
        <v>6855</v>
      </c>
      <c r="I2817" s="252">
        <v>5</v>
      </c>
      <c r="J2817" s="255">
        <v>1</v>
      </c>
      <c r="K2817" s="255">
        <v>1</v>
      </c>
      <c r="L2817" s="255"/>
      <c r="M2817" s="256">
        <v>4.3109999999999997E-3</v>
      </c>
      <c r="N2817" s="249">
        <v>2816</v>
      </c>
    </row>
    <row r="2818" spans="1:14" x14ac:dyDescent="0.25">
      <c r="A2818" s="252" t="s">
        <v>74</v>
      </c>
      <c r="B2818" s="252" t="s">
        <v>6461</v>
      </c>
      <c r="C2818" s="253">
        <v>0</v>
      </c>
      <c r="D2818" s="252">
        <v>39792</v>
      </c>
      <c r="E2818" s="252" t="s">
        <v>3039</v>
      </c>
      <c r="F2818" s="254" t="s">
        <v>6656</v>
      </c>
      <c r="G2818" s="252" t="s">
        <v>1577</v>
      </c>
      <c r="H2818" s="252" t="s">
        <v>6856</v>
      </c>
      <c r="I2818" s="252">
        <v>5</v>
      </c>
      <c r="J2818" s="255">
        <v>1</v>
      </c>
      <c r="K2818" s="255">
        <v>1</v>
      </c>
      <c r="L2818" s="255"/>
      <c r="M2818" s="256">
        <v>1.35E-4</v>
      </c>
      <c r="N2818" s="249">
        <v>2817</v>
      </c>
    </row>
    <row r="2819" spans="1:14" x14ac:dyDescent="0.25">
      <c r="A2819" s="252" t="s">
        <v>74</v>
      </c>
      <c r="B2819" s="252" t="s">
        <v>6461</v>
      </c>
      <c r="C2819" s="253">
        <v>0</v>
      </c>
      <c r="D2819" s="252">
        <v>39792</v>
      </c>
      <c r="E2819" s="252" t="s">
        <v>3039</v>
      </c>
      <c r="F2819" s="254" t="s">
        <v>6656</v>
      </c>
      <c r="G2819" s="252" t="s">
        <v>6857</v>
      </c>
      <c r="H2819" s="252" t="s">
        <v>6858</v>
      </c>
      <c r="I2819" s="252">
        <v>5</v>
      </c>
      <c r="J2819" s="255">
        <v>1</v>
      </c>
      <c r="K2819" s="255">
        <v>1</v>
      </c>
      <c r="L2819" s="255"/>
      <c r="M2819" s="256">
        <v>1.1835000000000002E-2</v>
      </c>
      <c r="N2819" s="249">
        <v>2818</v>
      </c>
    </row>
    <row r="2820" spans="1:14" x14ac:dyDescent="0.25">
      <c r="A2820" s="252" t="s">
        <v>74</v>
      </c>
      <c r="B2820" s="252" t="s">
        <v>6461</v>
      </c>
      <c r="C2820" s="253">
        <v>0</v>
      </c>
      <c r="D2820" s="252">
        <v>39792</v>
      </c>
      <c r="E2820" s="252" t="s">
        <v>3039</v>
      </c>
      <c r="F2820" s="254" t="s">
        <v>6656</v>
      </c>
      <c r="G2820" s="252" t="s">
        <v>1581</v>
      </c>
      <c r="H2820" s="252" t="s">
        <v>6859</v>
      </c>
      <c r="I2820" s="252">
        <v>5</v>
      </c>
      <c r="J2820" s="255">
        <v>1</v>
      </c>
      <c r="K2820" s="255">
        <v>1</v>
      </c>
      <c r="L2820" s="255"/>
      <c r="M2820" s="256">
        <v>6.8729999999999998E-3</v>
      </c>
      <c r="N2820" s="249">
        <v>2819</v>
      </c>
    </row>
    <row r="2821" spans="1:14" x14ac:dyDescent="0.25">
      <c r="A2821" s="252" t="s">
        <v>74</v>
      </c>
      <c r="B2821" s="252" t="s">
        <v>6461</v>
      </c>
      <c r="C2821" s="253">
        <v>0</v>
      </c>
      <c r="D2821" s="252">
        <v>39792</v>
      </c>
      <c r="E2821" s="252" t="s">
        <v>3039</v>
      </c>
      <c r="F2821" s="254" t="s">
        <v>6656</v>
      </c>
      <c r="G2821" s="252" t="s">
        <v>1582</v>
      </c>
      <c r="H2821" s="252" t="s">
        <v>6860</v>
      </c>
      <c r="I2821" s="252">
        <v>5</v>
      </c>
      <c r="J2821" s="255">
        <v>1</v>
      </c>
      <c r="K2821" s="255">
        <v>1</v>
      </c>
      <c r="L2821" s="255"/>
      <c r="M2821" s="256">
        <v>1.35E-4</v>
      </c>
      <c r="N2821" s="249">
        <v>2820</v>
      </c>
    </row>
    <row r="2822" spans="1:14" x14ac:dyDescent="0.25">
      <c r="A2822" s="252" t="s">
        <v>74</v>
      </c>
      <c r="B2822" s="252" t="s">
        <v>6461</v>
      </c>
      <c r="C2822" s="253">
        <v>0</v>
      </c>
      <c r="D2822" s="252">
        <v>39792</v>
      </c>
      <c r="E2822" s="252" t="s">
        <v>3039</v>
      </c>
      <c r="F2822" s="254" t="s">
        <v>6656</v>
      </c>
      <c r="G2822" s="252" t="s">
        <v>1583</v>
      </c>
      <c r="H2822" s="252" t="s">
        <v>6861</v>
      </c>
      <c r="I2822" s="252">
        <v>5</v>
      </c>
      <c r="J2822" s="255">
        <v>1</v>
      </c>
      <c r="K2822" s="255">
        <v>1</v>
      </c>
      <c r="L2822" s="255"/>
      <c r="M2822" s="256">
        <v>1.35E-4</v>
      </c>
      <c r="N2822" s="249">
        <v>2821</v>
      </c>
    </row>
    <row r="2823" spans="1:14" x14ac:dyDescent="0.25">
      <c r="A2823" s="252" t="s">
        <v>74</v>
      </c>
      <c r="B2823" s="252" t="s">
        <v>6461</v>
      </c>
      <c r="C2823" s="253">
        <v>0</v>
      </c>
      <c r="D2823" s="252">
        <v>39792</v>
      </c>
      <c r="E2823" s="252" t="s">
        <v>3039</v>
      </c>
      <c r="F2823" s="254" t="s">
        <v>6656</v>
      </c>
      <c r="G2823" s="252" t="s">
        <v>6862</v>
      </c>
      <c r="H2823" s="252" t="s">
        <v>6863</v>
      </c>
      <c r="I2823" s="252">
        <v>5</v>
      </c>
      <c r="J2823" s="255">
        <v>1</v>
      </c>
      <c r="K2823" s="255">
        <v>1</v>
      </c>
      <c r="L2823" s="255"/>
      <c r="M2823" s="256">
        <v>8.8500000000000004E-4</v>
      </c>
      <c r="N2823" s="249">
        <v>2822</v>
      </c>
    </row>
    <row r="2824" spans="1:14" x14ac:dyDescent="0.25">
      <c r="A2824" s="252" t="s">
        <v>74</v>
      </c>
      <c r="B2824" s="252" t="s">
        <v>6461</v>
      </c>
      <c r="C2824" s="253">
        <v>0</v>
      </c>
      <c r="D2824" s="252">
        <v>39792</v>
      </c>
      <c r="E2824" s="252" t="s">
        <v>1591</v>
      </c>
      <c r="F2824" s="254" t="s">
        <v>6656</v>
      </c>
      <c r="G2824" s="252" t="s">
        <v>2211</v>
      </c>
      <c r="H2824" s="252" t="s">
        <v>6864</v>
      </c>
      <c r="I2824" s="252">
        <v>5</v>
      </c>
      <c r="J2824" s="255">
        <v>1</v>
      </c>
      <c r="K2824" s="255">
        <v>1</v>
      </c>
      <c r="L2824" s="255"/>
      <c r="M2824" s="256">
        <v>5.3399999999999997E-4</v>
      </c>
      <c r="N2824" s="249">
        <v>2823</v>
      </c>
    </row>
    <row r="2825" spans="1:14" x14ac:dyDescent="0.25">
      <c r="A2825" s="252" t="s">
        <v>74</v>
      </c>
      <c r="B2825" s="252" t="s">
        <v>6461</v>
      </c>
      <c r="C2825" s="253">
        <v>0</v>
      </c>
      <c r="D2825" s="252">
        <v>39792</v>
      </c>
      <c r="E2825" s="252" t="s">
        <v>1591</v>
      </c>
      <c r="F2825" s="254" t="s">
        <v>6656</v>
      </c>
      <c r="G2825" s="252" t="s">
        <v>2213</v>
      </c>
      <c r="H2825" s="252" t="s">
        <v>6865</v>
      </c>
      <c r="I2825" s="252">
        <v>5</v>
      </c>
      <c r="J2825" s="255">
        <v>1</v>
      </c>
      <c r="K2825" s="255">
        <v>1</v>
      </c>
      <c r="L2825" s="255"/>
      <c r="M2825" s="256">
        <v>5.3399999999999997E-4</v>
      </c>
      <c r="N2825" s="249">
        <v>2824</v>
      </c>
    </row>
    <row r="2826" spans="1:14" x14ac:dyDescent="0.25">
      <c r="A2826" s="252" t="s">
        <v>74</v>
      </c>
      <c r="B2826" s="252" t="s">
        <v>6461</v>
      </c>
      <c r="C2826" s="253">
        <v>0</v>
      </c>
      <c r="D2826" s="252">
        <v>39792</v>
      </c>
      <c r="E2826" s="252" t="s">
        <v>3039</v>
      </c>
      <c r="F2826" s="254" t="s">
        <v>6656</v>
      </c>
      <c r="G2826" s="252" t="s">
        <v>1586</v>
      </c>
      <c r="H2826" s="252" t="s">
        <v>6866</v>
      </c>
      <c r="I2826" s="252">
        <v>5</v>
      </c>
      <c r="J2826" s="255">
        <v>1</v>
      </c>
      <c r="K2826" s="255">
        <v>1</v>
      </c>
      <c r="L2826" s="255"/>
      <c r="M2826" s="256">
        <v>5.7720000000000002E-3</v>
      </c>
      <c r="N2826" s="249">
        <v>2825</v>
      </c>
    </row>
    <row r="2827" spans="1:14" x14ac:dyDescent="0.25">
      <c r="A2827" s="252" t="s">
        <v>74</v>
      </c>
      <c r="B2827" s="252" t="s">
        <v>6461</v>
      </c>
      <c r="C2827" s="253">
        <v>0</v>
      </c>
      <c r="D2827" s="252">
        <v>39792</v>
      </c>
      <c r="E2827" s="252" t="s">
        <v>1591</v>
      </c>
      <c r="F2827" s="254" t="s">
        <v>6656</v>
      </c>
      <c r="G2827" s="252" t="s">
        <v>1587</v>
      </c>
      <c r="H2827" s="252" t="s">
        <v>6867</v>
      </c>
      <c r="I2827" s="252">
        <v>5</v>
      </c>
      <c r="J2827" s="255">
        <v>1</v>
      </c>
      <c r="K2827" s="255">
        <v>1</v>
      </c>
      <c r="L2827" s="255"/>
      <c r="M2827" s="256">
        <v>5.3399999999999997E-4</v>
      </c>
      <c r="N2827" s="249">
        <v>2826</v>
      </c>
    </row>
    <row r="2828" spans="1:14" x14ac:dyDescent="0.25">
      <c r="A2828" s="252" t="s">
        <v>74</v>
      </c>
      <c r="B2828" s="252" t="s">
        <v>6461</v>
      </c>
      <c r="C2828" s="253">
        <v>0</v>
      </c>
      <c r="D2828" s="252">
        <v>39792</v>
      </c>
      <c r="E2828" s="252" t="s">
        <v>1591</v>
      </c>
      <c r="F2828" s="254" t="s">
        <v>6656</v>
      </c>
      <c r="G2828" s="252" t="s">
        <v>6868</v>
      </c>
      <c r="H2828" s="252" t="s">
        <v>6869</v>
      </c>
      <c r="I2828" s="252">
        <v>5</v>
      </c>
      <c r="J2828" s="255">
        <v>1</v>
      </c>
      <c r="K2828" s="255">
        <v>1</v>
      </c>
      <c r="L2828" s="255"/>
      <c r="M2828" s="256">
        <v>5.3399999999999997E-4</v>
      </c>
      <c r="N2828" s="249">
        <v>2827</v>
      </c>
    </row>
    <row r="2829" spans="1:14" x14ac:dyDescent="0.25">
      <c r="A2829" s="252" t="s">
        <v>74</v>
      </c>
      <c r="B2829" s="252" t="s">
        <v>6461</v>
      </c>
      <c r="C2829" s="253">
        <v>0</v>
      </c>
      <c r="D2829" s="252">
        <v>39792</v>
      </c>
      <c r="E2829" s="252" t="s">
        <v>3039</v>
      </c>
      <c r="F2829" s="254" t="s">
        <v>6656</v>
      </c>
      <c r="G2829" s="252" t="s">
        <v>6870</v>
      </c>
      <c r="H2829" s="252" t="s">
        <v>6871</v>
      </c>
      <c r="I2829" s="252">
        <v>5</v>
      </c>
      <c r="J2829" s="255">
        <v>1</v>
      </c>
      <c r="K2829" s="255">
        <v>1</v>
      </c>
      <c r="L2829" s="255"/>
      <c r="M2829" s="256">
        <v>9.2940000000000002E-3</v>
      </c>
      <c r="N2829" s="249">
        <v>2828</v>
      </c>
    </row>
    <row r="2830" spans="1:14" x14ac:dyDescent="0.25">
      <c r="A2830" s="252" t="s">
        <v>74</v>
      </c>
      <c r="B2830" s="252" t="s">
        <v>6461</v>
      </c>
      <c r="C2830" s="253">
        <v>0</v>
      </c>
      <c r="D2830" s="252">
        <v>39792</v>
      </c>
      <c r="E2830" s="252" t="s">
        <v>3039</v>
      </c>
      <c r="F2830" s="254" t="s">
        <v>6656</v>
      </c>
      <c r="G2830" s="252" t="s">
        <v>6872</v>
      </c>
      <c r="H2830" s="252" t="s">
        <v>6873</v>
      </c>
      <c r="I2830" s="252">
        <v>5</v>
      </c>
      <c r="J2830" s="255">
        <v>1</v>
      </c>
      <c r="K2830" s="255">
        <v>1</v>
      </c>
      <c r="L2830" s="255"/>
      <c r="M2830" s="256">
        <v>1.35E-4</v>
      </c>
      <c r="N2830" s="249">
        <v>2829</v>
      </c>
    </row>
    <row r="2831" spans="1:14" x14ac:dyDescent="0.25">
      <c r="A2831" s="252" t="s">
        <v>74</v>
      </c>
      <c r="B2831" s="252" t="s">
        <v>6461</v>
      </c>
      <c r="C2831" s="253">
        <v>0</v>
      </c>
      <c r="D2831" s="252">
        <v>39792</v>
      </c>
      <c r="E2831" s="252" t="s">
        <v>3039</v>
      </c>
      <c r="F2831" s="254" t="s">
        <v>6656</v>
      </c>
      <c r="G2831" s="252" t="s">
        <v>1589</v>
      </c>
      <c r="H2831" s="252" t="s">
        <v>6874</v>
      </c>
      <c r="I2831" s="252">
        <v>5</v>
      </c>
      <c r="J2831" s="255">
        <v>1</v>
      </c>
      <c r="K2831" s="255">
        <v>1</v>
      </c>
      <c r="L2831" s="255"/>
      <c r="M2831" s="256">
        <v>1.2090000000000002E-3</v>
      </c>
      <c r="N2831" s="249">
        <v>2830</v>
      </c>
    </row>
    <row r="2832" spans="1:14" x14ac:dyDescent="0.25">
      <c r="A2832" s="252" t="s">
        <v>74</v>
      </c>
      <c r="B2832" s="252" t="s">
        <v>6461</v>
      </c>
      <c r="C2832" s="253">
        <v>0</v>
      </c>
      <c r="D2832" s="252">
        <v>39792</v>
      </c>
      <c r="E2832" s="252" t="s">
        <v>3039</v>
      </c>
      <c r="F2832" s="254" t="s">
        <v>6656</v>
      </c>
      <c r="G2832" s="252" t="s">
        <v>1590</v>
      </c>
      <c r="H2832" s="252" t="s">
        <v>6875</v>
      </c>
      <c r="I2832" s="252">
        <v>5</v>
      </c>
      <c r="J2832" s="255">
        <v>1</v>
      </c>
      <c r="K2832" s="255">
        <v>1</v>
      </c>
      <c r="L2832" s="255"/>
      <c r="M2832" s="256">
        <v>9.2940000000000002E-3</v>
      </c>
      <c r="N2832" s="249">
        <v>2831</v>
      </c>
    </row>
    <row r="2833" spans="1:14" x14ac:dyDescent="0.25">
      <c r="A2833" s="252" t="s">
        <v>74</v>
      </c>
      <c r="B2833" s="252" t="s">
        <v>6461</v>
      </c>
      <c r="C2833" s="253">
        <v>0</v>
      </c>
      <c r="D2833" s="252">
        <v>39792</v>
      </c>
      <c r="E2833" s="252" t="s">
        <v>1591</v>
      </c>
      <c r="F2833" s="254" t="s">
        <v>6656</v>
      </c>
      <c r="G2833" s="252" t="s">
        <v>1596</v>
      </c>
      <c r="H2833" s="252" t="s">
        <v>6876</v>
      </c>
      <c r="I2833" s="252">
        <v>5</v>
      </c>
      <c r="J2833" s="255">
        <v>1</v>
      </c>
      <c r="K2833" s="255">
        <v>1</v>
      </c>
      <c r="L2833" s="255"/>
      <c r="M2833" s="256">
        <v>5.3399999999999997E-4</v>
      </c>
      <c r="N2833" s="249">
        <v>2832</v>
      </c>
    </row>
    <row r="2834" spans="1:14" x14ac:dyDescent="0.25">
      <c r="A2834" s="252" t="s">
        <v>74</v>
      </c>
      <c r="B2834" s="252" t="s">
        <v>6461</v>
      </c>
      <c r="C2834" s="253">
        <v>0</v>
      </c>
      <c r="D2834" s="252">
        <v>39792</v>
      </c>
      <c r="E2834" s="252" t="s">
        <v>190</v>
      </c>
      <c r="F2834" s="254" t="s">
        <v>6656</v>
      </c>
      <c r="G2834" s="252" t="s">
        <v>1597</v>
      </c>
      <c r="H2834" s="252" t="s">
        <v>6877</v>
      </c>
      <c r="I2834" s="252">
        <v>5</v>
      </c>
      <c r="J2834" s="255">
        <v>1</v>
      </c>
      <c r="K2834" s="255">
        <v>1</v>
      </c>
      <c r="L2834" s="255"/>
      <c r="M2834" s="256">
        <v>2.0100000000000001E-4</v>
      </c>
      <c r="N2834" s="249">
        <v>2833</v>
      </c>
    </row>
    <row r="2835" spans="1:14" x14ac:dyDescent="0.25">
      <c r="A2835" s="252" t="s">
        <v>74</v>
      </c>
      <c r="B2835" s="252" t="s">
        <v>6461</v>
      </c>
      <c r="C2835" s="253">
        <v>0</v>
      </c>
      <c r="D2835" s="252">
        <v>39792</v>
      </c>
      <c r="E2835" s="252" t="s">
        <v>190</v>
      </c>
      <c r="F2835" s="254" t="s">
        <v>6656</v>
      </c>
      <c r="G2835" s="252" t="s">
        <v>6878</v>
      </c>
      <c r="H2835" s="252" t="s">
        <v>6879</v>
      </c>
      <c r="I2835" s="252">
        <v>5</v>
      </c>
      <c r="J2835" s="255">
        <v>1</v>
      </c>
      <c r="K2835" s="255">
        <v>1</v>
      </c>
      <c r="L2835" s="255"/>
      <c r="M2835" s="256">
        <v>2.0100000000000001E-4</v>
      </c>
      <c r="N2835" s="249">
        <v>2834</v>
      </c>
    </row>
    <row r="2836" spans="1:14" x14ac:dyDescent="0.25">
      <c r="A2836" s="252" t="s">
        <v>74</v>
      </c>
      <c r="B2836" s="252" t="s">
        <v>6461</v>
      </c>
      <c r="C2836" s="253">
        <v>0</v>
      </c>
      <c r="D2836" s="252">
        <v>39792</v>
      </c>
      <c r="E2836" s="252" t="s">
        <v>1591</v>
      </c>
      <c r="F2836" s="254" t="s">
        <v>6656</v>
      </c>
      <c r="G2836" s="252" t="s">
        <v>6880</v>
      </c>
      <c r="H2836" s="252" t="s">
        <v>6881</v>
      </c>
      <c r="I2836" s="252">
        <v>5</v>
      </c>
      <c r="J2836" s="255">
        <v>1</v>
      </c>
      <c r="K2836" s="255">
        <v>1</v>
      </c>
      <c r="L2836" s="255"/>
      <c r="M2836" s="256">
        <v>5.3399999999999997E-4</v>
      </c>
      <c r="N2836" s="249">
        <v>2835</v>
      </c>
    </row>
    <row r="2837" spans="1:14" x14ac:dyDescent="0.25">
      <c r="A2837" s="252" t="s">
        <v>74</v>
      </c>
      <c r="B2837" s="252" t="s">
        <v>6461</v>
      </c>
      <c r="C2837" s="253">
        <v>0</v>
      </c>
      <c r="D2837" s="252">
        <v>39792</v>
      </c>
      <c r="E2837" s="252" t="s">
        <v>3039</v>
      </c>
      <c r="F2837" s="254" t="s">
        <v>6656</v>
      </c>
      <c r="G2837" s="252" t="s">
        <v>6882</v>
      </c>
      <c r="H2837" s="252" t="s">
        <v>6883</v>
      </c>
      <c r="I2837" s="252">
        <v>5</v>
      </c>
      <c r="J2837" s="255">
        <v>1</v>
      </c>
      <c r="K2837" s="255">
        <v>1</v>
      </c>
      <c r="L2837" s="255"/>
      <c r="M2837" s="256">
        <v>5.7720000000000002E-3</v>
      </c>
      <c r="N2837" s="249">
        <v>2836</v>
      </c>
    </row>
    <row r="2838" spans="1:14" x14ac:dyDescent="0.25">
      <c r="A2838" s="252" t="s">
        <v>74</v>
      </c>
      <c r="B2838" s="252" t="s">
        <v>6461</v>
      </c>
      <c r="C2838" s="253">
        <v>0</v>
      </c>
      <c r="D2838" s="252">
        <v>39792</v>
      </c>
      <c r="E2838" s="252" t="s">
        <v>1591</v>
      </c>
      <c r="F2838" s="254" t="s">
        <v>6656</v>
      </c>
      <c r="G2838" s="252" t="s">
        <v>1600</v>
      </c>
      <c r="H2838" s="252" t="s">
        <v>6884</v>
      </c>
      <c r="I2838" s="252">
        <v>5</v>
      </c>
      <c r="J2838" s="255">
        <v>1</v>
      </c>
      <c r="K2838" s="255">
        <v>1</v>
      </c>
      <c r="L2838" s="255"/>
      <c r="M2838" s="256">
        <v>5.3399999999999997E-4</v>
      </c>
      <c r="N2838" s="249">
        <v>2837</v>
      </c>
    </row>
    <row r="2839" spans="1:14" x14ac:dyDescent="0.25">
      <c r="A2839" s="252" t="s">
        <v>74</v>
      </c>
      <c r="B2839" s="252" t="s">
        <v>6461</v>
      </c>
      <c r="C2839" s="253">
        <v>0</v>
      </c>
      <c r="D2839" s="252">
        <v>39792</v>
      </c>
      <c r="E2839" s="252" t="s">
        <v>1591</v>
      </c>
      <c r="F2839" s="254" t="s">
        <v>6656</v>
      </c>
      <c r="G2839" s="252" t="s">
        <v>1602</v>
      </c>
      <c r="H2839" s="252" t="s">
        <v>6885</v>
      </c>
      <c r="I2839" s="252">
        <v>5</v>
      </c>
      <c r="J2839" s="255">
        <v>1</v>
      </c>
      <c r="K2839" s="255">
        <v>1</v>
      </c>
      <c r="L2839" s="255"/>
      <c r="M2839" s="256">
        <v>5.3399999999999997E-4</v>
      </c>
      <c r="N2839" s="249">
        <v>2838</v>
      </c>
    </row>
    <row r="2840" spans="1:14" x14ac:dyDescent="0.25">
      <c r="A2840" s="252" t="s">
        <v>74</v>
      </c>
      <c r="B2840" s="252" t="s">
        <v>6461</v>
      </c>
      <c r="C2840" s="253">
        <v>0</v>
      </c>
      <c r="D2840" s="252">
        <v>39792</v>
      </c>
      <c r="E2840" s="252" t="s">
        <v>1764</v>
      </c>
      <c r="F2840" s="254" t="s">
        <v>6656</v>
      </c>
      <c r="G2840" s="252" t="s">
        <v>6886</v>
      </c>
      <c r="H2840" s="252" t="s">
        <v>6887</v>
      </c>
      <c r="I2840" s="252">
        <v>3</v>
      </c>
      <c r="J2840" s="255">
        <v>1</v>
      </c>
      <c r="K2840" s="255">
        <v>1</v>
      </c>
      <c r="L2840" s="255"/>
      <c r="M2840" s="256">
        <v>8.9999999999999992E-5</v>
      </c>
      <c r="N2840" s="249">
        <v>2839</v>
      </c>
    </row>
    <row r="2841" spans="1:14" x14ac:dyDescent="0.25">
      <c r="A2841" s="252" t="s">
        <v>74</v>
      </c>
      <c r="B2841" s="252" t="s">
        <v>6461</v>
      </c>
      <c r="C2841" s="253">
        <v>0</v>
      </c>
      <c r="D2841" s="252">
        <v>39792</v>
      </c>
      <c r="E2841" s="252" t="s">
        <v>1764</v>
      </c>
      <c r="F2841" s="254" t="s">
        <v>6656</v>
      </c>
      <c r="G2841" s="252" t="s">
        <v>6888</v>
      </c>
      <c r="H2841" s="252" t="s">
        <v>6889</v>
      </c>
      <c r="I2841" s="252">
        <v>3</v>
      </c>
      <c r="J2841" s="255">
        <v>1</v>
      </c>
      <c r="K2841" s="255">
        <v>1</v>
      </c>
      <c r="L2841" s="255"/>
      <c r="M2841" s="256">
        <v>8.9999999999999992E-5</v>
      </c>
      <c r="N2841" s="249">
        <v>2840</v>
      </c>
    </row>
    <row r="2842" spans="1:14" x14ac:dyDescent="0.25">
      <c r="A2842" s="252" t="s">
        <v>74</v>
      </c>
      <c r="B2842" s="252" t="s">
        <v>6461</v>
      </c>
      <c r="C2842" s="253">
        <v>0</v>
      </c>
      <c r="D2842" s="252">
        <v>39792</v>
      </c>
      <c r="E2842" s="252" t="s">
        <v>1764</v>
      </c>
      <c r="F2842" s="254" t="s">
        <v>6656</v>
      </c>
      <c r="G2842" s="252" t="s">
        <v>6890</v>
      </c>
      <c r="H2842" s="252" t="s">
        <v>6891</v>
      </c>
      <c r="I2842" s="252">
        <v>3</v>
      </c>
      <c r="J2842" s="255">
        <v>1</v>
      </c>
      <c r="K2842" s="255">
        <v>1</v>
      </c>
      <c r="L2842" s="255"/>
      <c r="M2842" s="256">
        <v>7.8630000000000002E-3</v>
      </c>
      <c r="N2842" s="249">
        <v>2841</v>
      </c>
    </row>
    <row r="2843" spans="1:14" x14ac:dyDescent="0.25">
      <c r="A2843" s="252" t="s">
        <v>74</v>
      </c>
      <c r="B2843" s="252" t="s">
        <v>6461</v>
      </c>
      <c r="C2843" s="253">
        <v>0</v>
      </c>
      <c r="D2843" s="252">
        <v>39792</v>
      </c>
      <c r="E2843" s="252" t="s">
        <v>3039</v>
      </c>
      <c r="F2843" s="254" t="s">
        <v>6656</v>
      </c>
      <c r="G2843" s="252" t="s">
        <v>6892</v>
      </c>
      <c r="H2843" s="252" t="s">
        <v>6893</v>
      </c>
      <c r="I2843" s="252">
        <v>5</v>
      </c>
      <c r="J2843" s="255">
        <v>1</v>
      </c>
      <c r="K2843" s="255">
        <v>1</v>
      </c>
      <c r="L2843" s="255"/>
      <c r="M2843" s="256">
        <v>1.2090000000000002E-3</v>
      </c>
      <c r="N2843" s="249">
        <v>2842</v>
      </c>
    </row>
    <row r="2844" spans="1:14" x14ac:dyDescent="0.25">
      <c r="A2844" s="252" t="s">
        <v>74</v>
      </c>
      <c r="B2844" s="252" t="s">
        <v>6461</v>
      </c>
      <c r="C2844" s="253">
        <v>0</v>
      </c>
      <c r="D2844" s="252">
        <v>39792</v>
      </c>
      <c r="E2844" s="252" t="s">
        <v>3039</v>
      </c>
      <c r="F2844" s="254" t="s">
        <v>6656</v>
      </c>
      <c r="G2844" s="252" t="s">
        <v>1607</v>
      </c>
      <c r="H2844" s="252" t="s">
        <v>6894</v>
      </c>
      <c r="I2844" s="252">
        <v>5</v>
      </c>
      <c r="J2844" s="255">
        <v>1</v>
      </c>
      <c r="K2844" s="255">
        <v>1</v>
      </c>
      <c r="L2844" s="255"/>
      <c r="M2844" s="256">
        <v>9.2940000000000002E-3</v>
      </c>
      <c r="N2844" s="249">
        <v>2843</v>
      </c>
    </row>
    <row r="2845" spans="1:14" x14ac:dyDescent="0.25">
      <c r="A2845" s="252" t="s">
        <v>74</v>
      </c>
      <c r="B2845" s="252" t="s">
        <v>6461</v>
      </c>
      <c r="C2845" s="253">
        <v>0</v>
      </c>
      <c r="D2845" s="252">
        <v>39792</v>
      </c>
      <c r="E2845" s="252" t="s">
        <v>3039</v>
      </c>
      <c r="F2845" s="254" t="s">
        <v>6656</v>
      </c>
      <c r="G2845" s="252" t="s">
        <v>1609</v>
      </c>
      <c r="H2845" s="252" t="s">
        <v>6895</v>
      </c>
      <c r="I2845" s="252">
        <v>5</v>
      </c>
      <c r="J2845" s="255">
        <v>1</v>
      </c>
      <c r="K2845" s="255">
        <v>1</v>
      </c>
      <c r="L2845" s="255"/>
      <c r="M2845" s="256">
        <v>1.35E-4</v>
      </c>
      <c r="N2845" s="249">
        <v>2844</v>
      </c>
    </row>
    <row r="2846" spans="1:14" x14ac:dyDescent="0.25">
      <c r="A2846" s="252" t="s">
        <v>74</v>
      </c>
      <c r="B2846" s="252" t="s">
        <v>6461</v>
      </c>
      <c r="C2846" s="253">
        <v>0</v>
      </c>
      <c r="D2846" s="252">
        <v>39792</v>
      </c>
      <c r="E2846" s="252" t="s">
        <v>3039</v>
      </c>
      <c r="F2846" s="254" t="s">
        <v>6656</v>
      </c>
      <c r="G2846" s="252" t="s">
        <v>1610</v>
      </c>
      <c r="H2846" s="252" t="s">
        <v>6896</v>
      </c>
      <c r="I2846" s="252">
        <v>5</v>
      </c>
      <c r="J2846" s="255">
        <v>1</v>
      </c>
      <c r="K2846" s="255">
        <v>1</v>
      </c>
      <c r="L2846" s="255"/>
      <c r="M2846" s="256">
        <v>9.2940000000000002E-3</v>
      </c>
      <c r="N2846" s="249">
        <v>2845</v>
      </c>
    </row>
    <row r="2847" spans="1:14" x14ac:dyDescent="0.25">
      <c r="A2847" s="252" t="s">
        <v>74</v>
      </c>
      <c r="B2847" s="252" t="s">
        <v>6461</v>
      </c>
      <c r="C2847" s="253">
        <v>0</v>
      </c>
      <c r="D2847" s="252">
        <v>39792</v>
      </c>
      <c r="E2847" s="252" t="s">
        <v>3039</v>
      </c>
      <c r="F2847" s="254" t="s">
        <v>6656</v>
      </c>
      <c r="G2847" s="252" t="s">
        <v>1612</v>
      </c>
      <c r="H2847" s="252" t="s">
        <v>6897</v>
      </c>
      <c r="I2847" s="252">
        <v>5</v>
      </c>
      <c r="J2847" s="255">
        <v>1</v>
      </c>
      <c r="K2847" s="255">
        <v>1</v>
      </c>
      <c r="L2847" s="255"/>
      <c r="M2847" s="256">
        <v>1.35E-4</v>
      </c>
      <c r="N2847" s="249">
        <v>2846</v>
      </c>
    </row>
    <row r="2848" spans="1:14" x14ac:dyDescent="0.25">
      <c r="A2848" s="252" t="s">
        <v>74</v>
      </c>
      <c r="B2848" s="252" t="s">
        <v>6461</v>
      </c>
      <c r="C2848" s="253">
        <v>0</v>
      </c>
      <c r="D2848" s="252">
        <v>39792</v>
      </c>
      <c r="E2848" s="252" t="s">
        <v>190</v>
      </c>
      <c r="F2848" s="254" t="s">
        <v>6656</v>
      </c>
      <c r="G2848" s="252" t="s">
        <v>1613</v>
      </c>
      <c r="H2848" s="252" t="s">
        <v>6898</v>
      </c>
      <c r="I2848" s="252">
        <v>5</v>
      </c>
      <c r="J2848" s="255">
        <v>1</v>
      </c>
      <c r="K2848" s="255">
        <v>1</v>
      </c>
      <c r="L2848" s="255"/>
      <c r="M2848" s="256">
        <v>2.0100000000000001E-4</v>
      </c>
      <c r="N2848" s="249">
        <v>2847</v>
      </c>
    </row>
    <row r="2849" spans="1:14" x14ac:dyDescent="0.25">
      <c r="A2849" s="252" t="s">
        <v>74</v>
      </c>
      <c r="B2849" s="252" t="s">
        <v>6461</v>
      </c>
      <c r="C2849" s="253">
        <v>0</v>
      </c>
      <c r="D2849" s="252">
        <v>39792</v>
      </c>
      <c r="E2849" s="252" t="s">
        <v>190</v>
      </c>
      <c r="F2849" s="254" t="s">
        <v>6656</v>
      </c>
      <c r="G2849" s="252" t="s">
        <v>1615</v>
      </c>
      <c r="H2849" s="252" t="s">
        <v>6899</v>
      </c>
      <c r="I2849" s="252">
        <v>5</v>
      </c>
      <c r="J2849" s="255">
        <v>1</v>
      </c>
      <c r="K2849" s="255">
        <v>1</v>
      </c>
      <c r="L2849" s="255"/>
      <c r="M2849" s="256">
        <v>2.0100000000000001E-4</v>
      </c>
      <c r="N2849" s="249">
        <v>2848</v>
      </c>
    </row>
    <row r="2850" spans="1:14" x14ac:dyDescent="0.25">
      <c r="A2850" s="252" t="s">
        <v>74</v>
      </c>
      <c r="B2850" s="252" t="s">
        <v>6461</v>
      </c>
      <c r="C2850" s="253">
        <v>0</v>
      </c>
      <c r="D2850" s="252">
        <v>39792</v>
      </c>
      <c r="E2850" s="252" t="s">
        <v>1591</v>
      </c>
      <c r="F2850" s="254" t="s">
        <v>6656</v>
      </c>
      <c r="G2850" s="252" t="s">
        <v>1616</v>
      </c>
      <c r="H2850" s="252" t="s">
        <v>6900</v>
      </c>
      <c r="I2850" s="252">
        <v>5</v>
      </c>
      <c r="J2850" s="255">
        <v>1</v>
      </c>
      <c r="K2850" s="255">
        <v>1</v>
      </c>
      <c r="L2850" s="255"/>
      <c r="M2850" s="256">
        <v>5.3399999999999997E-4</v>
      </c>
      <c r="N2850" s="249">
        <v>2849</v>
      </c>
    </row>
    <row r="2851" spans="1:14" x14ac:dyDescent="0.25">
      <c r="A2851" s="252" t="s">
        <v>74</v>
      </c>
      <c r="B2851" s="252" t="s">
        <v>6461</v>
      </c>
      <c r="C2851" s="253">
        <v>0</v>
      </c>
      <c r="D2851" s="252">
        <v>39792</v>
      </c>
      <c r="E2851" s="252" t="s">
        <v>1591</v>
      </c>
      <c r="F2851" s="254" t="s">
        <v>6656</v>
      </c>
      <c r="G2851" s="252" t="s">
        <v>1617</v>
      </c>
      <c r="H2851" s="252" t="s">
        <v>6901</v>
      </c>
      <c r="I2851" s="252">
        <v>5</v>
      </c>
      <c r="J2851" s="255">
        <v>1</v>
      </c>
      <c r="K2851" s="255">
        <v>1</v>
      </c>
      <c r="L2851" s="255"/>
      <c r="M2851" s="256">
        <v>5.3399999999999997E-4</v>
      </c>
      <c r="N2851" s="249">
        <v>2850</v>
      </c>
    </row>
    <row r="2852" spans="1:14" x14ac:dyDescent="0.25">
      <c r="A2852" s="252" t="s">
        <v>74</v>
      </c>
      <c r="B2852" s="252" t="s">
        <v>6461</v>
      </c>
      <c r="C2852" s="253">
        <v>0</v>
      </c>
      <c r="D2852" s="252">
        <v>39792</v>
      </c>
      <c r="E2852" s="252" t="s">
        <v>1591</v>
      </c>
      <c r="F2852" s="254" t="s">
        <v>6656</v>
      </c>
      <c r="G2852" s="252" t="s">
        <v>1618</v>
      </c>
      <c r="H2852" s="252" t="s">
        <v>6902</v>
      </c>
      <c r="I2852" s="252">
        <v>5</v>
      </c>
      <c r="J2852" s="255">
        <v>1</v>
      </c>
      <c r="K2852" s="255">
        <v>1</v>
      </c>
      <c r="L2852" s="255"/>
      <c r="M2852" s="256">
        <v>5.3399999999999997E-4</v>
      </c>
      <c r="N2852" s="249">
        <v>2851</v>
      </c>
    </row>
    <row r="2853" spans="1:14" x14ac:dyDescent="0.25">
      <c r="A2853" s="252" t="s">
        <v>74</v>
      </c>
      <c r="B2853" s="252" t="s">
        <v>6461</v>
      </c>
      <c r="C2853" s="253">
        <v>0</v>
      </c>
      <c r="D2853" s="252">
        <v>39792</v>
      </c>
      <c r="E2853" s="252" t="s">
        <v>1591</v>
      </c>
      <c r="F2853" s="254" t="s">
        <v>6656</v>
      </c>
      <c r="G2853" s="252" t="s">
        <v>1620</v>
      </c>
      <c r="H2853" s="252" t="s">
        <v>6903</v>
      </c>
      <c r="I2853" s="252">
        <v>5</v>
      </c>
      <c r="J2853" s="255">
        <v>1</v>
      </c>
      <c r="K2853" s="255">
        <v>1</v>
      </c>
      <c r="L2853" s="255"/>
      <c r="M2853" s="256">
        <v>5.3399999999999997E-4</v>
      </c>
      <c r="N2853" s="249">
        <v>2852</v>
      </c>
    </row>
    <row r="2854" spans="1:14" x14ac:dyDescent="0.25">
      <c r="A2854" s="252" t="s">
        <v>74</v>
      </c>
      <c r="B2854" s="252" t="s">
        <v>6461</v>
      </c>
      <c r="C2854" s="253">
        <v>0</v>
      </c>
      <c r="D2854" s="252">
        <v>39792</v>
      </c>
      <c r="E2854" s="252" t="s">
        <v>3039</v>
      </c>
      <c r="F2854" s="254" t="s">
        <v>6656</v>
      </c>
      <c r="G2854" s="252" t="s">
        <v>6904</v>
      </c>
      <c r="H2854" s="252" t="s">
        <v>6905</v>
      </c>
      <c r="I2854" s="252">
        <v>5</v>
      </c>
      <c r="J2854" s="255">
        <v>1</v>
      </c>
      <c r="K2854" s="255">
        <v>1</v>
      </c>
      <c r="L2854" s="255"/>
      <c r="M2854" s="256">
        <v>5.7720000000000002E-3</v>
      </c>
      <c r="N2854" s="249">
        <v>2853</v>
      </c>
    </row>
    <row r="2855" spans="1:14" x14ac:dyDescent="0.25">
      <c r="A2855" s="252" t="s">
        <v>74</v>
      </c>
      <c r="B2855" s="252" t="s">
        <v>6461</v>
      </c>
      <c r="C2855" s="253">
        <v>0</v>
      </c>
      <c r="D2855" s="252">
        <v>39792</v>
      </c>
      <c r="E2855" s="252" t="s">
        <v>190</v>
      </c>
      <c r="F2855" s="254" t="s">
        <v>6906</v>
      </c>
      <c r="G2855" s="252" t="s">
        <v>1627</v>
      </c>
      <c r="H2855" s="252" t="s">
        <v>6907</v>
      </c>
      <c r="I2855" s="252">
        <v>5</v>
      </c>
      <c r="J2855" s="255">
        <v>1</v>
      </c>
      <c r="K2855" s="255">
        <v>1</v>
      </c>
      <c r="L2855" s="255"/>
      <c r="M2855" s="256">
        <v>2.1299999999999997E-4</v>
      </c>
      <c r="N2855" s="249">
        <v>2854</v>
      </c>
    </row>
    <row r="2856" spans="1:14" x14ac:dyDescent="0.25">
      <c r="A2856" s="252" t="s">
        <v>74</v>
      </c>
      <c r="B2856" s="252" t="s">
        <v>6461</v>
      </c>
      <c r="C2856" s="253">
        <v>0</v>
      </c>
      <c r="D2856" s="252">
        <v>39792</v>
      </c>
      <c r="E2856" s="252" t="s">
        <v>1591</v>
      </c>
      <c r="F2856" s="254" t="s">
        <v>6906</v>
      </c>
      <c r="G2856" s="252" t="s">
        <v>1628</v>
      </c>
      <c r="H2856" s="252" t="s">
        <v>6908</v>
      </c>
      <c r="I2856" s="252">
        <v>5</v>
      </c>
      <c r="J2856" s="255">
        <v>1</v>
      </c>
      <c r="K2856" s="255">
        <v>1</v>
      </c>
      <c r="L2856" s="255"/>
      <c r="M2856" s="256">
        <v>6.1800000000000006E-4</v>
      </c>
      <c r="N2856" s="249">
        <v>2855</v>
      </c>
    </row>
    <row r="2857" spans="1:14" x14ac:dyDescent="0.25">
      <c r="A2857" s="252" t="s">
        <v>74</v>
      </c>
      <c r="B2857" s="252" t="s">
        <v>6461</v>
      </c>
      <c r="C2857" s="253">
        <v>0</v>
      </c>
      <c r="D2857" s="252">
        <v>39792</v>
      </c>
      <c r="E2857" s="252" t="s">
        <v>1591</v>
      </c>
      <c r="F2857" s="254" t="s">
        <v>6906</v>
      </c>
      <c r="G2857" s="252" t="s">
        <v>1629</v>
      </c>
      <c r="H2857" s="252" t="s">
        <v>6909</v>
      </c>
      <c r="I2857" s="252">
        <v>5</v>
      </c>
      <c r="J2857" s="255">
        <v>1</v>
      </c>
      <c r="K2857" s="255">
        <v>1</v>
      </c>
      <c r="L2857" s="255"/>
      <c r="M2857" s="256">
        <v>5.5800000000000001E-4</v>
      </c>
      <c r="N2857" s="249">
        <v>2856</v>
      </c>
    </row>
    <row r="2858" spans="1:14" x14ac:dyDescent="0.25">
      <c r="A2858" s="252" t="s">
        <v>74</v>
      </c>
      <c r="B2858" s="252" t="s">
        <v>6461</v>
      </c>
      <c r="C2858" s="253">
        <v>0</v>
      </c>
      <c r="D2858" s="252">
        <v>39792</v>
      </c>
      <c r="E2858" s="252" t="s">
        <v>190</v>
      </c>
      <c r="F2858" s="254" t="s">
        <v>6906</v>
      </c>
      <c r="G2858" s="252" t="s">
        <v>6910</v>
      </c>
      <c r="H2858" s="252" t="s">
        <v>6911</v>
      </c>
      <c r="I2858" s="252">
        <v>5</v>
      </c>
      <c r="J2858" s="255">
        <v>1</v>
      </c>
      <c r="K2858" s="255">
        <v>1</v>
      </c>
      <c r="L2858" s="255"/>
      <c r="M2858" s="256">
        <v>2.1299999999999997E-4</v>
      </c>
      <c r="N2858" s="249">
        <v>2857</v>
      </c>
    </row>
    <row r="2859" spans="1:14" x14ac:dyDescent="0.25">
      <c r="A2859" s="252" t="s">
        <v>74</v>
      </c>
      <c r="B2859" s="252" t="s">
        <v>6461</v>
      </c>
      <c r="C2859" s="253">
        <v>0</v>
      </c>
      <c r="D2859" s="252">
        <v>39792</v>
      </c>
      <c r="E2859" s="252" t="s">
        <v>3039</v>
      </c>
      <c r="F2859" s="254" t="s">
        <v>6906</v>
      </c>
      <c r="G2859" s="252" t="s">
        <v>1630</v>
      </c>
      <c r="H2859" s="252" t="s">
        <v>6912</v>
      </c>
      <c r="I2859" s="252">
        <v>5</v>
      </c>
      <c r="J2859" s="255">
        <v>1</v>
      </c>
      <c r="K2859" s="255">
        <v>1</v>
      </c>
      <c r="L2859" s="255"/>
      <c r="M2859" s="256">
        <v>5.7329999999999994E-3</v>
      </c>
      <c r="N2859" s="249">
        <v>2858</v>
      </c>
    </row>
    <row r="2860" spans="1:14" x14ac:dyDescent="0.25">
      <c r="A2860" s="252" t="s">
        <v>74</v>
      </c>
      <c r="B2860" s="252" t="s">
        <v>6461</v>
      </c>
      <c r="C2860" s="253">
        <v>0</v>
      </c>
      <c r="D2860" s="252">
        <v>39792</v>
      </c>
      <c r="E2860" s="252" t="s">
        <v>190</v>
      </c>
      <c r="F2860" s="254" t="s">
        <v>6906</v>
      </c>
      <c r="G2860" s="252" t="s">
        <v>6913</v>
      </c>
      <c r="H2860" s="252" t="s">
        <v>6914</v>
      </c>
      <c r="I2860" s="252">
        <v>5</v>
      </c>
      <c r="J2860" s="255">
        <v>1</v>
      </c>
      <c r="K2860" s="255">
        <v>1</v>
      </c>
      <c r="L2860" s="255"/>
      <c r="M2860" s="256">
        <v>2.1299999999999997E-4</v>
      </c>
      <c r="N2860" s="249">
        <v>2859</v>
      </c>
    </row>
    <row r="2861" spans="1:14" x14ac:dyDescent="0.25">
      <c r="A2861" s="252" t="s">
        <v>74</v>
      </c>
      <c r="B2861" s="252" t="s">
        <v>6461</v>
      </c>
      <c r="C2861" s="253">
        <v>0</v>
      </c>
      <c r="D2861" s="252">
        <v>39792</v>
      </c>
      <c r="E2861" s="252" t="s">
        <v>190</v>
      </c>
      <c r="F2861" s="254" t="s">
        <v>6906</v>
      </c>
      <c r="G2861" s="252" t="s">
        <v>6915</v>
      </c>
      <c r="H2861" s="252" t="s">
        <v>6916</v>
      </c>
      <c r="I2861" s="252">
        <v>5</v>
      </c>
      <c r="J2861" s="255">
        <v>1</v>
      </c>
      <c r="K2861" s="255">
        <v>1</v>
      </c>
      <c r="L2861" s="255"/>
      <c r="M2861" s="256">
        <v>2.1299999999999997E-4</v>
      </c>
      <c r="N2861" s="249">
        <v>2860</v>
      </c>
    </row>
    <row r="2862" spans="1:14" x14ac:dyDescent="0.25">
      <c r="A2862" s="252" t="s">
        <v>74</v>
      </c>
      <c r="B2862" s="252" t="s">
        <v>6461</v>
      </c>
      <c r="C2862" s="253">
        <v>0</v>
      </c>
      <c r="D2862" s="252">
        <v>39792</v>
      </c>
      <c r="E2862" s="252" t="s">
        <v>1591</v>
      </c>
      <c r="F2862" s="254" t="s">
        <v>6906</v>
      </c>
      <c r="G2862" s="252" t="s">
        <v>6917</v>
      </c>
      <c r="H2862" s="252" t="s">
        <v>6918</v>
      </c>
      <c r="I2862" s="252">
        <v>5</v>
      </c>
      <c r="J2862" s="255">
        <v>1</v>
      </c>
      <c r="K2862" s="255">
        <v>1</v>
      </c>
      <c r="L2862" s="255"/>
      <c r="M2862" s="256">
        <v>6.1499999999999988E-4</v>
      </c>
      <c r="N2862" s="249">
        <v>2861</v>
      </c>
    </row>
    <row r="2863" spans="1:14" x14ac:dyDescent="0.25">
      <c r="A2863" s="252" t="s">
        <v>74</v>
      </c>
      <c r="B2863" s="252" t="s">
        <v>6461</v>
      </c>
      <c r="C2863" s="253">
        <v>0</v>
      </c>
      <c r="D2863" s="252">
        <v>39792</v>
      </c>
      <c r="E2863" s="252" t="s">
        <v>1591</v>
      </c>
      <c r="F2863" s="254" t="s">
        <v>6906</v>
      </c>
      <c r="G2863" s="252" t="s">
        <v>6919</v>
      </c>
      <c r="H2863" s="252" t="s">
        <v>6920</v>
      </c>
      <c r="I2863" s="252">
        <v>5</v>
      </c>
      <c r="J2863" s="255">
        <v>1</v>
      </c>
      <c r="K2863" s="255">
        <v>1</v>
      </c>
      <c r="L2863" s="255"/>
      <c r="M2863" s="256">
        <v>5.5800000000000001E-4</v>
      </c>
      <c r="N2863" s="249">
        <v>2862</v>
      </c>
    </row>
    <row r="2864" spans="1:14" x14ac:dyDescent="0.25">
      <c r="A2864" s="252" t="s">
        <v>74</v>
      </c>
      <c r="B2864" s="252" t="s">
        <v>6461</v>
      </c>
      <c r="C2864" s="253">
        <v>0</v>
      </c>
      <c r="D2864" s="252">
        <v>39792</v>
      </c>
      <c r="E2864" s="252" t="s">
        <v>3039</v>
      </c>
      <c r="F2864" s="254" t="s">
        <v>6906</v>
      </c>
      <c r="G2864" s="252" t="s">
        <v>6921</v>
      </c>
      <c r="H2864" s="252" t="s">
        <v>6922</v>
      </c>
      <c r="I2864" s="252">
        <v>5</v>
      </c>
      <c r="J2864" s="255">
        <v>1</v>
      </c>
      <c r="K2864" s="255">
        <v>1</v>
      </c>
      <c r="L2864" s="255"/>
      <c r="M2864" s="256">
        <v>8.7900000000000001E-4</v>
      </c>
      <c r="N2864" s="249">
        <v>2863</v>
      </c>
    </row>
    <row r="2865" spans="1:14" x14ac:dyDescent="0.25">
      <c r="A2865" s="252" t="s">
        <v>74</v>
      </c>
      <c r="B2865" s="252" t="s">
        <v>6461</v>
      </c>
      <c r="C2865" s="253">
        <v>0</v>
      </c>
      <c r="D2865" s="252">
        <v>39792</v>
      </c>
      <c r="E2865" s="252" t="s">
        <v>3039</v>
      </c>
      <c r="F2865" s="254" t="s">
        <v>6906</v>
      </c>
      <c r="G2865" s="252" t="s">
        <v>6923</v>
      </c>
      <c r="H2865" s="252" t="s">
        <v>6924</v>
      </c>
      <c r="I2865" s="252">
        <v>5</v>
      </c>
      <c r="J2865" s="255">
        <v>1</v>
      </c>
      <c r="K2865" s="255">
        <v>1</v>
      </c>
      <c r="L2865" s="255"/>
      <c r="M2865" s="256">
        <v>3.2400000000000001E-4</v>
      </c>
      <c r="N2865" s="249">
        <v>2864</v>
      </c>
    </row>
    <row r="2866" spans="1:14" x14ac:dyDescent="0.25">
      <c r="A2866" s="252" t="s">
        <v>74</v>
      </c>
      <c r="B2866" s="252" t="s">
        <v>6461</v>
      </c>
      <c r="C2866" s="253">
        <v>0</v>
      </c>
      <c r="D2866" s="252">
        <v>39792</v>
      </c>
      <c r="E2866" s="252" t="s">
        <v>3039</v>
      </c>
      <c r="F2866" s="254" t="s">
        <v>6906</v>
      </c>
      <c r="G2866" s="252" t="s">
        <v>6925</v>
      </c>
      <c r="H2866" s="252" t="s">
        <v>6926</v>
      </c>
      <c r="I2866" s="252">
        <v>5</v>
      </c>
      <c r="J2866" s="255">
        <v>1</v>
      </c>
      <c r="K2866" s="255">
        <v>1</v>
      </c>
      <c r="L2866" s="255"/>
      <c r="M2866" s="256">
        <v>1.35E-4</v>
      </c>
      <c r="N2866" s="249">
        <v>2865</v>
      </c>
    </row>
    <row r="2867" spans="1:14" x14ac:dyDescent="0.25">
      <c r="A2867" s="252" t="s">
        <v>74</v>
      </c>
      <c r="B2867" s="252" t="s">
        <v>6461</v>
      </c>
      <c r="C2867" s="253">
        <v>0</v>
      </c>
      <c r="D2867" s="252">
        <v>39792</v>
      </c>
      <c r="E2867" s="252" t="s">
        <v>3039</v>
      </c>
      <c r="F2867" s="254" t="s">
        <v>6906</v>
      </c>
      <c r="G2867" s="252" t="s">
        <v>6927</v>
      </c>
      <c r="H2867" s="252" t="s">
        <v>6928</v>
      </c>
      <c r="I2867" s="252">
        <v>5</v>
      </c>
      <c r="J2867" s="255">
        <v>1</v>
      </c>
      <c r="K2867" s="255">
        <v>1</v>
      </c>
      <c r="L2867" s="255"/>
      <c r="M2867" s="256">
        <v>1.02E-4</v>
      </c>
      <c r="N2867" s="249">
        <v>2866</v>
      </c>
    </row>
    <row r="2868" spans="1:14" x14ac:dyDescent="0.25">
      <c r="A2868" s="252" t="s">
        <v>74</v>
      </c>
      <c r="B2868" s="252" t="s">
        <v>6461</v>
      </c>
      <c r="C2868" s="253">
        <v>0</v>
      </c>
      <c r="D2868" s="252">
        <v>39792</v>
      </c>
      <c r="E2868" s="252" t="s">
        <v>3039</v>
      </c>
      <c r="F2868" s="254" t="s">
        <v>6906</v>
      </c>
      <c r="G2868" s="252" t="s">
        <v>6929</v>
      </c>
      <c r="H2868" s="252" t="s">
        <v>6930</v>
      </c>
      <c r="I2868" s="252">
        <v>5</v>
      </c>
      <c r="J2868" s="255">
        <v>1</v>
      </c>
      <c r="K2868" s="255">
        <v>1</v>
      </c>
      <c r="L2868" s="255"/>
      <c r="M2868" s="256">
        <v>8.8199999999999997E-4</v>
      </c>
      <c r="N2868" s="249">
        <v>2867</v>
      </c>
    </row>
    <row r="2869" spans="1:14" x14ac:dyDescent="0.25">
      <c r="A2869" s="252" t="s">
        <v>74</v>
      </c>
      <c r="B2869" s="252" t="s">
        <v>6461</v>
      </c>
      <c r="C2869" s="253">
        <v>0</v>
      </c>
      <c r="D2869" s="252">
        <v>39792</v>
      </c>
      <c r="E2869" s="252" t="s">
        <v>3039</v>
      </c>
      <c r="F2869" s="254" t="s">
        <v>6906</v>
      </c>
      <c r="G2869" s="252" t="s">
        <v>6931</v>
      </c>
      <c r="H2869" s="252" t="s">
        <v>6932</v>
      </c>
      <c r="I2869" s="252">
        <v>5</v>
      </c>
      <c r="J2869" s="255">
        <v>1</v>
      </c>
      <c r="K2869" s="255">
        <v>1</v>
      </c>
      <c r="L2869" s="255"/>
      <c r="M2869" s="256">
        <v>3.2400000000000001E-4</v>
      </c>
      <c r="N2869" s="249">
        <v>2868</v>
      </c>
    </row>
    <row r="2870" spans="1:14" x14ac:dyDescent="0.25">
      <c r="A2870" s="252" t="s">
        <v>74</v>
      </c>
      <c r="B2870" s="252" t="s">
        <v>6461</v>
      </c>
      <c r="C2870" s="253">
        <v>0</v>
      </c>
      <c r="D2870" s="252">
        <v>39792</v>
      </c>
      <c r="E2870" s="252" t="s">
        <v>3039</v>
      </c>
      <c r="F2870" s="254" t="s">
        <v>6906</v>
      </c>
      <c r="G2870" s="252" t="s">
        <v>6933</v>
      </c>
      <c r="H2870" s="252" t="s">
        <v>6934</v>
      </c>
      <c r="I2870" s="252">
        <v>5</v>
      </c>
      <c r="J2870" s="255">
        <v>1</v>
      </c>
      <c r="K2870" s="255">
        <v>1</v>
      </c>
      <c r="L2870" s="255"/>
      <c r="M2870" s="256">
        <v>8.8199999999999997E-4</v>
      </c>
      <c r="N2870" s="249">
        <v>2869</v>
      </c>
    </row>
    <row r="2871" spans="1:14" x14ac:dyDescent="0.25">
      <c r="A2871" s="252" t="s">
        <v>74</v>
      </c>
      <c r="B2871" s="252" t="s">
        <v>6461</v>
      </c>
      <c r="C2871" s="253">
        <v>0</v>
      </c>
      <c r="D2871" s="252">
        <v>39792</v>
      </c>
      <c r="E2871" s="252" t="s">
        <v>3039</v>
      </c>
      <c r="F2871" s="254" t="s">
        <v>6906</v>
      </c>
      <c r="G2871" s="252" t="s">
        <v>6935</v>
      </c>
      <c r="H2871" s="252" t="s">
        <v>6936</v>
      </c>
      <c r="I2871" s="252">
        <v>5</v>
      </c>
      <c r="J2871" s="255">
        <v>1</v>
      </c>
      <c r="K2871" s="255">
        <v>1</v>
      </c>
      <c r="L2871" s="255"/>
      <c r="M2871" s="256">
        <v>3.2400000000000001E-4</v>
      </c>
      <c r="N2871" s="249">
        <v>2870</v>
      </c>
    </row>
    <row r="2872" spans="1:14" x14ac:dyDescent="0.25">
      <c r="A2872" s="252" t="s">
        <v>74</v>
      </c>
      <c r="B2872" s="252" t="s">
        <v>6461</v>
      </c>
      <c r="C2872" s="253">
        <v>0</v>
      </c>
      <c r="D2872" s="252">
        <v>39792</v>
      </c>
      <c r="E2872" s="252" t="s">
        <v>3039</v>
      </c>
      <c r="F2872" s="254" t="s">
        <v>6906</v>
      </c>
      <c r="G2872" s="252" t="s">
        <v>6937</v>
      </c>
      <c r="H2872" s="252" t="s">
        <v>6938</v>
      </c>
      <c r="I2872" s="252">
        <v>5</v>
      </c>
      <c r="J2872" s="255">
        <v>1</v>
      </c>
      <c r="K2872" s="255">
        <v>1</v>
      </c>
      <c r="L2872" s="255"/>
      <c r="M2872" s="256">
        <v>1.35E-4</v>
      </c>
      <c r="N2872" s="249">
        <v>2871</v>
      </c>
    </row>
    <row r="2873" spans="1:14" x14ac:dyDescent="0.25">
      <c r="A2873" s="252" t="s">
        <v>74</v>
      </c>
      <c r="B2873" s="252" t="s">
        <v>6461</v>
      </c>
      <c r="C2873" s="253">
        <v>0</v>
      </c>
      <c r="D2873" s="252">
        <v>39792</v>
      </c>
      <c r="E2873" s="252" t="s">
        <v>6502</v>
      </c>
      <c r="F2873" s="254" t="s">
        <v>6906</v>
      </c>
      <c r="G2873" s="252" t="s">
        <v>6939</v>
      </c>
      <c r="H2873" s="252" t="s">
        <v>6940</v>
      </c>
      <c r="I2873" s="252">
        <v>3</v>
      </c>
      <c r="J2873" s="255">
        <v>1</v>
      </c>
      <c r="K2873" s="255">
        <v>1</v>
      </c>
      <c r="L2873" s="255"/>
      <c r="M2873" s="256">
        <v>1.7999999999999998E-4</v>
      </c>
      <c r="N2873" s="249">
        <v>2872</v>
      </c>
    </row>
    <row r="2874" spans="1:14" x14ac:dyDescent="0.25">
      <c r="A2874" s="252" t="s">
        <v>74</v>
      </c>
      <c r="B2874" s="252" t="s">
        <v>6461</v>
      </c>
      <c r="C2874" s="253">
        <v>0</v>
      </c>
      <c r="D2874" s="252">
        <v>39792</v>
      </c>
      <c r="E2874" s="252" t="s">
        <v>6502</v>
      </c>
      <c r="F2874" s="254" t="s">
        <v>6906</v>
      </c>
      <c r="G2874" s="252" t="s">
        <v>6941</v>
      </c>
      <c r="H2874" s="252" t="s">
        <v>6942</v>
      </c>
      <c r="I2874" s="252">
        <v>3</v>
      </c>
      <c r="J2874" s="255">
        <v>1</v>
      </c>
      <c r="K2874" s="255">
        <v>1</v>
      </c>
      <c r="L2874" s="255"/>
      <c r="M2874" s="256">
        <v>1.7999999999999998E-4</v>
      </c>
      <c r="N2874" s="249">
        <v>2873</v>
      </c>
    </row>
    <row r="2875" spans="1:14" x14ac:dyDescent="0.25">
      <c r="A2875" s="252" t="s">
        <v>74</v>
      </c>
      <c r="B2875" s="252" t="s">
        <v>6461</v>
      </c>
      <c r="C2875" s="253">
        <v>0</v>
      </c>
      <c r="D2875" s="252">
        <v>39792</v>
      </c>
      <c r="E2875" s="252" t="s">
        <v>6502</v>
      </c>
      <c r="F2875" s="254" t="s">
        <v>6906</v>
      </c>
      <c r="G2875" s="252" t="s">
        <v>6943</v>
      </c>
      <c r="H2875" s="252" t="s">
        <v>6944</v>
      </c>
      <c r="I2875" s="252">
        <v>3</v>
      </c>
      <c r="J2875" s="255">
        <v>1</v>
      </c>
      <c r="K2875" s="255">
        <v>1</v>
      </c>
      <c r="L2875" s="255"/>
      <c r="M2875" s="256">
        <v>1.446E-3</v>
      </c>
      <c r="N2875" s="249">
        <v>2874</v>
      </c>
    </row>
    <row r="2876" spans="1:14" x14ac:dyDescent="0.25">
      <c r="A2876" s="252" t="s">
        <v>74</v>
      </c>
      <c r="B2876" s="252" t="s">
        <v>6461</v>
      </c>
      <c r="C2876" s="253">
        <v>0</v>
      </c>
      <c r="D2876" s="252">
        <v>39792</v>
      </c>
      <c r="E2876" s="252" t="s">
        <v>3039</v>
      </c>
      <c r="F2876" s="254" t="s">
        <v>6906</v>
      </c>
      <c r="G2876" s="252" t="s">
        <v>6945</v>
      </c>
      <c r="H2876" s="252" t="s">
        <v>6946</v>
      </c>
      <c r="I2876" s="252">
        <v>5</v>
      </c>
      <c r="J2876" s="255">
        <v>1</v>
      </c>
      <c r="K2876" s="255">
        <v>1</v>
      </c>
      <c r="L2876" s="255"/>
      <c r="M2876" s="256">
        <v>4.2299999999999998E-4</v>
      </c>
      <c r="N2876" s="249">
        <v>2875</v>
      </c>
    </row>
    <row r="2877" spans="1:14" x14ac:dyDescent="0.25">
      <c r="A2877" s="252" t="s">
        <v>74</v>
      </c>
      <c r="B2877" s="252" t="s">
        <v>6461</v>
      </c>
      <c r="C2877" s="253">
        <v>0</v>
      </c>
      <c r="D2877" s="252">
        <v>39792</v>
      </c>
      <c r="E2877" s="252" t="s">
        <v>3039</v>
      </c>
      <c r="F2877" s="254" t="s">
        <v>6906</v>
      </c>
      <c r="G2877" s="252" t="s">
        <v>6947</v>
      </c>
      <c r="H2877" s="252" t="s">
        <v>6948</v>
      </c>
      <c r="I2877" s="252">
        <v>5</v>
      </c>
      <c r="J2877" s="255">
        <v>1</v>
      </c>
      <c r="K2877" s="255">
        <v>1</v>
      </c>
      <c r="L2877" s="255"/>
      <c r="M2877" s="256">
        <v>1.575E-3</v>
      </c>
      <c r="N2877" s="249">
        <v>2876</v>
      </c>
    </row>
    <row r="2878" spans="1:14" x14ac:dyDescent="0.25">
      <c r="A2878" s="252" t="s">
        <v>74</v>
      </c>
      <c r="B2878" s="252" t="s">
        <v>6461</v>
      </c>
      <c r="C2878" s="253">
        <v>0</v>
      </c>
      <c r="D2878" s="252">
        <v>39792</v>
      </c>
      <c r="E2878" s="252" t="s">
        <v>3039</v>
      </c>
      <c r="F2878" s="254" t="s">
        <v>6906</v>
      </c>
      <c r="G2878" s="252" t="s">
        <v>6949</v>
      </c>
      <c r="H2878" s="252" t="s">
        <v>6950</v>
      </c>
      <c r="I2878" s="252">
        <v>5</v>
      </c>
      <c r="J2878" s="255">
        <v>1</v>
      </c>
      <c r="K2878" s="255">
        <v>1</v>
      </c>
      <c r="L2878" s="255"/>
      <c r="M2878" s="256">
        <v>3.15E-3</v>
      </c>
      <c r="N2878" s="249">
        <v>2877</v>
      </c>
    </row>
    <row r="2879" spans="1:14" x14ac:dyDescent="0.25">
      <c r="A2879" s="252" t="s">
        <v>74</v>
      </c>
      <c r="B2879" s="252" t="s">
        <v>6461</v>
      </c>
      <c r="C2879" s="253">
        <v>0</v>
      </c>
      <c r="D2879" s="252">
        <v>39792</v>
      </c>
      <c r="E2879" s="252" t="s">
        <v>3039</v>
      </c>
      <c r="F2879" s="254" t="s">
        <v>6906</v>
      </c>
      <c r="G2879" s="252" t="s">
        <v>6951</v>
      </c>
      <c r="H2879" s="252" t="s">
        <v>6952</v>
      </c>
      <c r="I2879" s="252">
        <v>5</v>
      </c>
      <c r="J2879" s="255">
        <v>1</v>
      </c>
      <c r="K2879" s="255">
        <v>1</v>
      </c>
      <c r="L2879" s="255"/>
      <c r="M2879" s="256">
        <v>3.8999999999999999E-4</v>
      </c>
      <c r="N2879" s="249">
        <v>2878</v>
      </c>
    </row>
    <row r="2880" spans="1:14" x14ac:dyDescent="0.25">
      <c r="A2880" s="252" t="s">
        <v>74</v>
      </c>
      <c r="B2880" s="252" t="s">
        <v>6461</v>
      </c>
      <c r="C2880" s="253">
        <v>0</v>
      </c>
      <c r="D2880" s="252">
        <v>39792</v>
      </c>
      <c r="E2880" s="252" t="s">
        <v>3039</v>
      </c>
      <c r="F2880" s="254" t="s">
        <v>6906</v>
      </c>
      <c r="G2880" s="252" t="s">
        <v>6953</v>
      </c>
      <c r="H2880" s="252" t="s">
        <v>6954</v>
      </c>
      <c r="I2880" s="252">
        <v>5</v>
      </c>
      <c r="J2880" s="255">
        <v>1</v>
      </c>
      <c r="K2880" s="255">
        <v>1</v>
      </c>
      <c r="L2880" s="255"/>
      <c r="M2880" s="256">
        <v>3.8999999999999999E-4</v>
      </c>
      <c r="N2880" s="249">
        <v>2879</v>
      </c>
    </row>
    <row r="2881" spans="1:14" x14ac:dyDescent="0.25">
      <c r="A2881" s="252" t="s">
        <v>74</v>
      </c>
      <c r="B2881" s="252" t="s">
        <v>6461</v>
      </c>
      <c r="C2881" s="253">
        <v>0</v>
      </c>
      <c r="D2881" s="252">
        <v>39792</v>
      </c>
      <c r="E2881" s="252" t="s">
        <v>3039</v>
      </c>
      <c r="F2881" s="254" t="s">
        <v>6906</v>
      </c>
      <c r="G2881" s="252" t="s">
        <v>6955</v>
      </c>
      <c r="H2881" s="252" t="s">
        <v>6956</v>
      </c>
      <c r="I2881" s="252">
        <v>5</v>
      </c>
      <c r="J2881" s="255">
        <v>1</v>
      </c>
      <c r="K2881" s="255">
        <v>1</v>
      </c>
      <c r="L2881" s="255"/>
      <c r="M2881" s="256">
        <v>1.35E-4</v>
      </c>
      <c r="N2881" s="249">
        <v>2880</v>
      </c>
    </row>
    <row r="2882" spans="1:14" x14ac:dyDescent="0.25">
      <c r="A2882" s="252" t="s">
        <v>74</v>
      </c>
      <c r="B2882" s="252" t="s">
        <v>6461</v>
      </c>
      <c r="C2882" s="253">
        <v>0</v>
      </c>
      <c r="D2882" s="252">
        <v>39792</v>
      </c>
      <c r="E2882" s="252" t="s">
        <v>3039</v>
      </c>
      <c r="F2882" s="254" t="s">
        <v>6906</v>
      </c>
      <c r="G2882" s="252" t="s">
        <v>6957</v>
      </c>
      <c r="H2882" s="252" t="s">
        <v>6958</v>
      </c>
      <c r="I2882" s="252">
        <v>5</v>
      </c>
      <c r="J2882" s="255">
        <v>1</v>
      </c>
      <c r="K2882" s="255">
        <v>1</v>
      </c>
      <c r="L2882" s="255"/>
      <c r="M2882" s="256">
        <v>8.8199999999999997E-4</v>
      </c>
      <c r="N2882" s="249">
        <v>2881</v>
      </c>
    </row>
    <row r="2883" spans="1:14" x14ac:dyDescent="0.25">
      <c r="A2883" s="252" t="s">
        <v>74</v>
      </c>
      <c r="B2883" s="252" t="s">
        <v>6461</v>
      </c>
      <c r="C2883" s="253">
        <v>0</v>
      </c>
      <c r="D2883" s="252">
        <v>39792</v>
      </c>
      <c r="E2883" s="252" t="s">
        <v>3039</v>
      </c>
      <c r="F2883" s="254" t="s">
        <v>6906</v>
      </c>
      <c r="G2883" s="252" t="s">
        <v>6959</v>
      </c>
      <c r="H2883" s="252" t="s">
        <v>6960</v>
      </c>
      <c r="I2883" s="252">
        <v>5</v>
      </c>
      <c r="J2883" s="255">
        <v>1</v>
      </c>
      <c r="K2883" s="255">
        <v>1</v>
      </c>
      <c r="L2883" s="255"/>
      <c r="M2883" s="256">
        <v>3.2400000000000001E-4</v>
      </c>
      <c r="N2883" s="249">
        <v>2882</v>
      </c>
    </row>
    <row r="2884" spans="1:14" x14ac:dyDescent="0.25">
      <c r="A2884" s="252" t="s">
        <v>74</v>
      </c>
      <c r="B2884" s="252" t="s">
        <v>6461</v>
      </c>
      <c r="C2884" s="253">
        <v>0</v>
      </c>
      <c r="D2884" s="252">
        <v>39792</v>
      </c>
      <c r="E2884" s="252" t="s">
        <v>3039</v>
      </c>
      <c r="F2884" s="254" t="s">
        <v>6906</v>
      </c>
      <c r="G2884" s="252" t="s">
        <v>6961</v>
      </c>
      <c r="H2884" s="252" t="s">
        <v>6962</v>
      </c>
      <c r="I2884" s="252">
        <v>5</v>
      </c>
      <c r="J2884" s="255">
        <v>1</v>
      </c>
      <c r="K2884" s="255">
        <v>1</v>
      </c>
      <c r="L2884" s="255"/>
      <c r="M2884" s="256">
        <v>5.5439999999999994E-3</v>
      </c>
      <c r="N2884" s="249">
        <v>2883</v>
      </c>
    </row>
    <row r="2885" spans="1:14" x14ac:dyDescent="0.25">
      <c r="A2885" s="252" t="s">
        <v>74</v>
      </c>
      <c r="B2885" s="252" t="s">
        <v>6461</v>
      </c>
      <c r="C2885" s="253">
        <v>0</v>
      </c>
      <c r="D2885" s="252">
        <v>39792</v>
      </c>
      <c r="E2885" s="252" t="s">
        <v>3039</v>
      </c>
      <c r="F2885" s="254" t="s">
        <v>6906</v>
      </c>
      <c r="G2885" s="252" t="s">
        <v>6963</v>
      </c>
      <c r="H2885" s="252" t="s">
        <v>6964</v>
      </c>
      <c r="I2885" s="252">
        <v>5</v>
      </c>
      <c r="J2885" s="255">
        <v>1</v>
      </c>
      <c r="K2885" s="255">
        <v>1</v>
      </c>
      <c r="L2885" s="255"/>
      <c r="M2885" s="256">
        <v>7.4399999999999998E-4</v>
      </c>
      <c r="N2885" s="249">
        <v>2884</v>
      </c>
    </row>
    <row r="2886" spans="1:14" x14ac:dyDescent="0.25">
      <c r="A2886" s="252" t="s">
        <v>74</v>
      </c>
      <c r="B2886" s="252" t="s">
        <v>6461</v>
      </c>
      <c r="C2886" s="253">
        <v>0</v>
      </c>
      <c r="D2886" s="252">
        <v>39792</v>
      </c>
      <c r="E2886" s="252" t="s">
        <v>3039</v>
      </c>
      <c r="F2886" s="254" t="s">
        <v>6906</v>
      </c>
      <c r="G2886" s="252" t="s">
        <v>6965</v>
      </c>
      <c r="H2886" s="252" t="s">
        <v>6966</v>
      </c>
      <c r="I2886" s="252">
        <v>5</v>
      </c>
      <c r="J2886" s="255">
        <v>1</v>
      </c>
      <c r="K2886" s="255">
        <v>1</v>
      </c>
      <c r="L2886" s="255"/>
      <c r="M2886" s="256">
        <v>5.5439999999999994E-3</v>
      </c>
      <c r="N2886" s="249">
        <v>2885</v>
      </c>
    </row>
    <row r="2887" spans="1:14" x14ac:dyDescent="0.25">
      <c r="A2887" s="252" t="s">
        <v>74</v>
      </c>
      <c r="B2887" s="252" t="s">
        <v>6461</v>
      </c>
      <c r="C2887" s="253">
        <v>0</v>
      </c>
      <c r="D2887" s="252">
        <v>39792</v>
      </c>
      <c r="E2887" s="252" t="s">
        <v>3039</v>
      </c>
      <c r="F2887" s="254" t="s">
        <v>6906</v>
      </c>
      <c r="G2887" s="252" t="s">
        <v>6967</v>
      </c>
      <c r="H2887" s="252" t="s">
        <v>6968</v>
      </c>
      <c r="I2887" s="252">
        <v>5</v>
      </c>
      <c r="J2887" s="255">
        <v>1</v>
      </c>
      <c r="K2887" s="255">
        <v>1</v>
      </c>
      <c r="L2887" s="255"/>
      <c r="M2887" s="256">
        <v>6.2550000000000001E-3</v>
      </c>
      <c r="N2887" s="249">
        <v>2886</v>
      </c>
    </row>
    <row r="2888" spans="1:14" x14ac:dyDescent="0.25">
      <c r="A2888" s="252" t="s">
        <v>74</v>
      </c>
      <c r="B2888" s="252" t="s">
        <v>6461</v>
      </c>
      <c r="C2888" s="253">
        <v>0</v>
      </c>
      <c r="D2888" s="252">
        <v>39792</v>
      </c>
      <c r="E2888" s="252" t="s">
        <v>3039</v>
      </c>
      <c r="F2888" s="254" t="s">
        <v>6906</v>
      </c>
      <c r="G2888" s="252" t="s">
        <v>6969</v>
      </c>
      <c r="H2888" s="252" t="s">
        <v>6970</v>
      </c>
      <c r="I2888" s="252">
        <v>5</v>
      </c>
      <c r="J2888" s="255">
        <v>1</v>
      </c>
      <c r="K2888" s="255">
        <v>1</v>
      </c>
      <c r="L2888" s="255"/>
      <c r="M2888" s="256">
        <v>7.1100000000000004E-4</v>
      </c>
      <c r="N2888" s="249">
        <v>2887</v>
      </c>
    </row>
    <row r="2889" spans="1:14" x14ac:dyDescent="0.25">
      <c r="A2889" s="252" t="s">
        <v>74</v>
      </c>
      <c r="B2889" s="252" t="s">
        <v>6461</v>
      </c>
      <c r="C2889" s="253">
        <v>0</v>
      </c>
      <c r="D2889" s="252">
        <v>39792</v>
      </c>
      <c r="E2889" s="252" t="s">
        <v>3039</v>
      </c>
      <c r="F2889" s="254" t="s">
        <v>6906</v>
      </c>
      <c r="G2889" s="252" t="s">
        <v>6971</v>
      </c>
      <c r="H2889" s="252" t="s">
        <v>6972</v>
      </c>
      <c r="I2889" s="252">
        <v>5</v>
      </c>
      <c r="J2889" s="255">
        <v>1</v>
      </c>
      <c r="K2889" s="255">
        <v>1</v>
      </c>
      <c r="L2889" s="255"/>
      <c r="M2889" s="256">
        <v>3.2400000000000001E-4</v>
      </c>
      <c r="N2889" s="249">
        <v>2888</v>
      </c>
    </row>
    <row r="2890" spans="1:14" x14ac:dyDescent="0.25">
      <c r="A2890" s="252" t="s">
        <v>74</v>
      </c>
      <c r="B2890" s="252" t="s">
        <v>6461</v>
      </c>
      <c r="C2890" s="253">
        <v>0</v>
      </c>
      <c r="D2890" s="252">
        <v>39792</v>
      </c>
      <c r="E2890" s="252" t="s">
        <v>3039</v>
      </c>
      <c r="F2890" s="254" t="s">
        <v>6906</v>
      </c>
      <c r="G2890" s="252" t="s">
        <v>6973</v>
      </c>
      <c r="H2890" s="252" t="s">
        <v>6974</v>
      </c>
      <c r="I2890" s="252">
        <v>5</v>
      </c>
      <c r="J2890" s="255">
        <v>1</v>
      </c>
      <c r="K2890" s="255">
        <v>1</v>
      </c>
      <c r="L2890" s="255"/>
      <c r="M2890" s="256">
        <v>8.8199999999999997E-4</v>
      </c>
      <c r="N2890" s="249">
        <v>2889</v>
      </c>
    </row>
    <row r="2891" spans="1:14" x14ac:dyDescent="0.25">
      <c r="A2891" s="252" t="s">
        <v>74</v>
      </c>
      <c r="B2891" s="252" t="s">
        <v>6461</v>
      </c>
      <c r="C2891" s="253">
        <v>0</v>
      </c>
      <c r="D2891" s="252">
        <v>39792</v>
      </c>
      <c r="E2891" s="252" t="s">
        <v>3039</v>
      </c>
      <c r="F2891" s="254" t="s">
        <v>6906</v>
      </c>
      <c r="G2891" s="252" t="s">
        <v>6975</v>
      </c>
      <c r="H2891" s="252" t="s">
        <v>6976</v>
      </c>
      <c r="I2891" s="252">
        <v>5</v>
      </c>
      <c r="J2891" s="255">
        <v>1</v>
      </c>
      <c r="K2891" s="255">
        <v>1</v>
      </c>
      <c r="L2891" s="255"/>
      <c r="M2891" s="256">
        <v>3.2400000000000001E-4</v>
      </c>
      <c r="N2891" s="249">
        <v>2890</v>
      </c>
    </row>
    <row r="2892" spans="1:14" x14ac:dyDescent="0.25">
      <c r="A2892" s="252" t="s">
        <v>74</v>
      </c>
      <c r="B2892" s="252" t="s">
        <v>6461</v>
      </c>
      <c r="C2892" s="253">
        <v>0</v>
      </c>
      <c r="D2892" s="252">
        <v>39792</v>
      </c>
      <c r="E2892" s="252" t="s">
        <v>3039</v>
      </c>
      <c r="F2892" s="254" t="s">
        <v>6906</v>
      </c>
      <c r="G2892" s="252" t="s">
        <v>6977</v>
      </c>
      <c r="H2892" s="252" t="s">
        <v>6978</v>
      </c>
      <c r="I2892" s="252">
        <v>5</v>
      </c>
      <c r="J2892" s="255">
        <v>1</v>
      </c>
      <c r="K2892" s="255">
        <v>1</v>
      </c>
      <c r="L2892" s="255"/>
      <c r="M2892" s="256">
        <v>5.4659999999999995E-3</v>
      </c>
      <c r="N2892" s="249">
        <v>2891</v>
      </c>
    </row>
    <row r="2893" spans="1:14" x14ac:dyDescent="0.25">
      <c r="A2893" s="252" t="s">
        <v>74</v>
      </c>
      <c r="B2893" s="252" t="s">
        <v>6461</v>
      </c>
      <c r="C2893" s="253">
        <v>0</v>
      </c>
      <c r="D2893" s="252">
        <v>39792</v>
      </c>
      <c r="E2893" s="252" t="s">
        <v>3039</v>
      </c>
      <c r="F2893" s="254" t="s">
        <v>6906</v>
      </c>
      <c r="G2893" s="252" t="s">
        <v>6979</v>
      </c>
      <c r="H2893" s="252" t="s">
        <v>6980</v>
      </c>
      <c r="I2893" s="252">
        <v>5</v>
      </c>
      <c r="J2893" s="255">
        <v>1</v>
      </c>
      <c r="K2893" s="255">
        <v>1</v>
      </c>
      <c r="L2893" s="255"/>
      <c r="M2893" s="256">
        <v>3.8999999999999999E-4</v>
      </c>
      <c r="N2893" s="249">
        <v>2892</v>
      </c>
    </row>
    <row r="2894" spans="1:14" x14ac:dyDescent="0.25">
      <c r="A2894" s="252" t="s">
        <v>74</v>
      </c>
      <c r="B2894" s="252" t="s">
        <v>6461</v>
      </c>
      <c r="C2894" s="253">
        <v>0</v>
      </c>
      <c r="D2894" s="252">
        <v>39792</v>
      </c>
      <c r="E2894" s="252" t="s">
        <v>3039</v>
      </c>
      <c r="F2894" s="254" t="s">
        <v>6906</v>
      </c>
      <c r="G2894" s="252" t="s">
        <v>6981</v>
      </c>
      <c r="H2894" s="252" t="s">
        <v>6982</v>
      </c>
      <c r="I2894" s="252">
        <v>5</v>
      </c>
      <c r="J2894" s="255">
        <v>1</v>
      </c>
      <c r="K2894" s="255">
        <v>1</v>
      </c>
      <c r="L2894" s="255"/>
      <c r="M2894" s="256">
        <v>3.8999999999999999E-4</v>
      </c>
      <c r="N2894" s="249">
        <v>2893</v>
      </c>
    </row>
    <row r="2895" spans="1:14" x14ac:dyDescent="0.25">
      <c r="A2895" s="252" t="s">
        <v>74</v>
      </c>
      <c r="B2895" s="252" t="s">
        <v>6461</v>
      </c>
      <c r="C2895" s="253">
        <v>0</v>
      </c>
      <c r="D2895" s="252">
        <v>39792</v>
      </c>
      <c r="E2895" s="252" t="s">
        <v>3039</v>
      </c>
      <c r="F2895" s="254" t="s">
        <v>6906</v>
      </c>
      <c r="G2895" s="252" t="s">
        <v>6983</v>
      </c>
      <c r="H2895" s="252" t="s">
        <v>6984</v>
      </c>
      <c r="I2895" s="252">
        <v>5</v>
      </c>
      <c r="J2895" s="255">
        <v>1</v>
      </c>
      <c r="K2895" s="255">
        <v>1</v>
      </c>
      <c r="L2895" s="255"/>
      <c r="M2895" s="256">
        <v>1.35E-4</v>
      </c>
      <c r="N2895" s="249">
        <v>2894</v>
      </c>
    </row>
    <row r="2896" spans="1:14" x14ac:dyDescent="0.25">
      <c r="A2896" s="252" t="s">
        <v>74</v>
      </c>
      <c r="B2896" s="252" t="s">
        <v>6461</v>
      </c>
      <c r="C2896" s="253">
        <v>0</v>
      </c>
      <c r="D2896" s="252">
        <v>39792</v>
      </c>
      <c r="E2896" s="252" t="s">
        <v>3039</v>
      </c>
      <c r="F2896" s="254" t="s">
        <v>6906</v>
      </c>
      <c r="G2896" s="252" t="s">
        <v>6985</v>
      </c>
      <c r="H2896" s="252" t="s">
        <v>6986</v>
      </c>
      <c r="I2896" s="252">
        <v>5</v>
      </c>
      <c r="J2896" s="255">
        <v>1</v>
      </c>
      <c r="K2896" s="255">
        <v>1</v>
      </c>
      <c r="L2896" s="255"/>
      <c r="M2896" s="256">
        <v>8.7900000000000001E-4</v>
      </c>
      <c r="N2896" s="249">
        <v>2895</v>
      </c>
    </row>
    <row r="2897" spans="1:14" x14ac:dyDescent="0.25">
      <c r="A2897" s="252" t="s">
        <v>74</v>
      </c>
      <c r="B2897" s="252" t="s">
        <v>6461</v>
      </c>
      <c r="C2897" s="253">
        <v>0</v>
      </c>
      <c r="D2897" s="252">
        <v>39792</v>
      </c>
      <c r="E2897" s="252" t="s">
        <v>3039</v>
      </c>
      <c r="F2897" s="254" t="s">
        <v>6906</v>
      </c>
      <c r="G2897" s="252" t="s">
        <v>6987</v>
      </c>
      <c r="H2897" s="252" t="s">
        <v>6988</v>
      </c>
      <c r="I2897" s="252">
        <v>5</v>
      </c>
      <c r="J2897" s="255">
        <v>1</v>
      </c>
      <c r="K2897" s="255">
        <v>1</v>
      </c>
      <c r="L2897" s="255"/>
      <c r="M2897" s="256">
        <v>3.2400000000000001E-4</v>
      </c>
      <c r="N2897" s="249">
        <v>2896</v>
      </c>
    </row>
    <row r="2898" spans="1:14" x14ac:dyDescent="0.25">
      <c r="A2898" s="252" t="s">
        <v>74</v>
      </c>
      <c r="B2898" s="252" t="s">
        <v>6461</v>
      </c>
      <c r="C2898" s="253">
        <v>0</v>
      </c>
      <c r="D2898" s="252">
        <v>39792</v>
      </c>
      <c r="E2898" s="252" t="s">
        <v>3039</v>
      </c>
      <c r="F2898" s="254" t="s">
        <v>6906</v>
      </c>
      <c r="G2898" s="252" t="s">
        <v>6989</v>
      </c>
      <c r="H2898" s="252" t="s">
        <v>6990</v>
      </c>
      <c r="I2898" s="252">
        <v>5</v>
      </c>
      <c r="J2898" s="255">
        <v>1</v>
      </c>
      <c r="K2898" s="255">
        <v>1</v>
      </c>
      <c r="L2898" s="255"/>
      <c r="M2898" s="256">
        <v>1.35E-4</v>
      </c>
      <c r="N2898" s="249">
        <v>2897</v>
      </c>
    </row>
    <row r="2899" spans="1:14" x14ac:dyDescent="0.25">
      <c r="A2899" s="252" t="s">
        <v>74</v>
      </c>
      <c r="B2899" s="252" t="s">
        <v>6461</v>
      </c>
      <c r="C2899" s="253">
        <v>0</v>
      </c>
      <c r="D2899" s="252">
        <v>39792</v>
      </c>
      <c r="E2899" s="252" t="s">
        <v>3039</v>
      </c>
      <c r="F2899" s="254" t="s">
        <v>6906</v>
      </c>
      <c r="G2899" s="252" t="s">
        <v>6991</v>
      </c>
      <c r="H2899" s="252" t="s">
        <v>6992</v>
      </c>
      <c r="I2899" s="252">
        <v>5</v>
      </c>
      <c r="J2899" s="255">
        <v>1</v>
      </c>
      <c r="K2899" s="255">
        <v>1</v>
      </c>
      <c r="L2899" s="255"/>
      <c r="M2899" s="256">
        <v>4.0589999999999992E-3</v>
      </c>
      <c r="N2899" s="249">
        <v>2898</v>
      </c>
    </row>
    <row r="2900" spans="1:14" x14ac:dyDescent="0.25">
      <c r="A2900" s="252" t="s">
        <v>74</v>
      </c>
      <c r="B2900" s="252" t="s">
        <v>6461</v>
      </c>
      <c r="C2900" s="253">
        <v>0</v>
      </c>
      <c r="D2900" s="252">
        <v>39792</v>
      </c>
      <c r="E2900" s="252" t="s">
        <v>6502</v>
      </c>
      <c r="F2900" s="254" t="s">
        <v>6906</v>
      </c>
      <c r="G2900" s="252" t="s">
        <v>6993</v>
      </c>
      <c r="H2900" s="252" t="s">
        <v>6994</v>
      </c>
      <c r="I2900" s="252">
        <v>3</v>
      </c>
      <c r="J2900" s="255">
        <v>1</v>
      </c>
      <c r="K2900" s="255">
        <v>1</v>
      </c>
      <c r="L2900" s="255"/>
      <c r="M2900" s="256">
        <v>1.7999999999999998E-4</v>
      </c>
      <c r="N2900" s="249">
        <v>2899</v>
      </c>
    </row>
    <row r="2901" spans="1:14" x14ac:dyDescent="0.25">
      <c r="A2901" s="252" t="s">
        <v>74</v>
      </c>
      <c r="B2901" s="252" t="s">
        <v>6461</v>
      </c>
      <c r="C2901" s="253">
        <v>0</v>
      </c>
      <c r="D2901" s="252">
        <v>39792</v>
      </c>
      <c r="E2901" s="252" t="s">
        <v>6502</v>
      </c>
      <c r="F2901" s="254" t="s">
        <v>6906</v>
      </c>
      <c r="G2901" s="252" t="s">
        <v>6995</v>
      </c>
      <c r="H2901" s="252" t="s">
        <v>6996</v>
      </c>
      <c r="I2901" s="252">
        <v>3</v>
      </c>
      <c r="J2901" s="255">
        <v>1</v>
      </c>
      <c r="K2901" s="255">
        <v>1</v>
      </c>
      <c r="L2901" s="255"/>
      <c r="M2901" s="256">
        <v>4.3349999999999994E-3</v>
      </c>
      <c r="N2901" s="249">
        <v>2900</v>
      </c>
    </row>
    <row r="2902" spans="1:14" x14ac:dyDescent="0.25">
      <c r="A2902" s="252" t="s">
        <v>74</v>
      </c>
      <c r="B2902" s="252" t="s">
        <v>6461</v>
      </c>
      <c r="C2902" s="253">
        <v>0</v>
      </c>
      <c r="D2902" s="252">
        <v>39792</v>
      </c>
      <c r="E2902" s="252" t="s">
        <v>6502</v>
      </c>
      <c r="F2902" s="254" t="s">
        <v>6906</v>
      </c>
      <c r="G2902" s="252" t="s">
        <v>6997</v>
      </c>
      <c r="H2902" s="252" t="s">
        <v>6998</v>
      </c>
      <c r="I2902" s="252">
        <v>3</v>
      </c>
      <c r="J2902" s="255">
        <v>1</v>
      </c>
      <c r="K2902" s="255">
        <v>1</v>
      </c>
      <c r="L2902" s="255"/>
      <c r="M2902" s="256">
        <v>1.7999999999999998E-4</v>
      </c>
      <c r="N2902" s="249">
        <v>2901</v>
      </c>
    </row>
    <row r="2903" spans="1:14" x14ac:dyDescent="0.25">
      <c r="A2903" s="252" t="s">
        <v>74</v>
      </c>
      <c r="B2903" s="252" t="s">
        <v>6461</v>
      </c>
      <c r="C2903" s="253">
        <v>0</v>
      </c>
      <c r="D2903" s="252">
        <v>39792</v>
      </c>
      <c r="E2903" s="252" t="s">
        <v>3039</v>
      </c>
      <c r="F2903" s="254" t="s">
        <v>6906</v>
      </c>
      <c r="G2903" s="252" t="s">
        <v>6999</v>
      </c>
      <c r="H2903" s="252" t="s">
        <v>7000</v>
      </c>
      <c r="I2903" s="252">
        <v>5</v>
      </c>
      <c r="J2903" s="255">
        <v>1</v>
      </c>
      <c r="K2903" s="255">
        <v>1</v>
      </c>
      <c r="L2903" s="255"/>
      <c r="M2903" s="256">
        <v>7.319999999999999E-4</v>
      </c>
      <c r="N2903" s="249">
        <v>2902</v>
      </c>
    </row>
    <row r="2904" spans="1:14" x14ac:dyDescent="0.25">
      <c r="A2904" s="252" t="s">
        <v>74</v>
      </c>
      <c r="B2904" s="252" t="s">
        <v>6461</v>
      </c>
      <c r="C2904" s="253">
        <v>0</v>
      </c>
      <c r="D2904" s="252">
        <v>39792</v>
      </c>
      <c r="E2904" s="252" t="s">
        <v>3039</v>
      </c>
      <c r="F2904" s="254" t="s">
        <v>6906</v>
      </c>
      <c r="G2904" s="252" t="s">
        <v>7001</v>
      </c>
      <c r="H2904" s="252" t="s">
        <v>7002</v>
      </c>
      <c r="I2904" s="252">
        <v>5</v>
      </c>
      <c r="J2904" s="255">
        <v>1</v>
      </c>
      <c r="K2904" s="255">
        <v>1</v>
      </c>
      <c r="L2904" s="255"/>
      <c r="M2904" s="256">
        <v>5.79E-3</v>
      </c>
      <c r="N2904" s="249">
        <v>2903</v>
      </c>
    </row>
    <row r="2905" spans="1:14" x14ac:dyDescent="0.25">
      <c r="A2905" s="252" t="s">
        <v>74</v>
      </c>
      <c r="B2905" s="252" t="s">
        <v>6461</v>
      </c>
      <c r="C2905" s="253">
        <v>0</v>
      </c>
      <c r="D2905" s="252">
        <v>39792</v>
      </c>
      <c r="E2905" s="252" t="s">
        <v>3039</v>
      </c>
      <c r="F2905" s="254" t="s">
        <v>6906</v>
      </c>
      <c r="G2905" s="252" t="s">
        <v>7003</v>
      </c>
      <c r="H2905" s="252" t="s">
        <v>7004</v>
      </c>
      <c r="I2905" s="252">
        <v>5</v>
      </c>
      <c r="J2905" s="255">
        <v>1</v>
      </c>
      <c r="K2905" s="255">
        <v>1</v>
      </c>
      <c r="L2905" s="255"/>
      <c r="M2905" s="256">
        <v>1.0859999999999999E-3</v>
      </c>
      <c r="N2905" s="249">
        <v>2904</v>
      </c>
    </row>
    <row r="2906" spans="1:14" x14ac:dyDescent="0.25">
      <c r="A2906" s="252" t="s">
        <v>74</v>
      </c>
      <c r="B2906" s="252" t="s">
        <v>6461</v>
      </c>
      <c r="C2906" s="253">
        <v>0</v>
      </c>
      <c r="D2906" s="252">
        <v>39792</v>
      </c>
      <c r="E2906" s="252" t="s">
        <v>3039</v>
      </c>
      <c r="F2906" s="254" t="s">
        <v>6906</v>
      </c>
      <c r="G2906" s="252" t="s">
        <v>7005</v>
      </c>
      <c r="H2906" s="252" t="s">
        <v>7006</v>
      </c>
      <c r="I2906" s="252">
        <v>5</v>
      </c>
      <c r="J2906" s="255">
        <v>1</v>
      </c>
      <c r="K2906" s="255">
        <v>1</v>
      </c>
      <c r="L2906" s="255"/>
      <c r="M2906" s="256">
        <v>8.8199999999999997E-4</v>
      </c>
      <c r="N2906" s="249">
        <v>2905</v>
      </c>
    </row>
    <row r="2907" spans="1:14" x14ac:dyDescent="0.25">
      <c r="A2907" s="252" t="s">
        <v>74</v>
      </c>
      <c r="B2907" s="252" t="s">
        <v>6461</v>
      </c>
      <c r="C2907" s="253">
        <v>0</v>
      </c>
      <c r="D2907" s="252">
        <v>39792</v>
      </c>
      <c r="E2907" s="252" t="s">
        <v>3039</v>
      </c>
      <c r="F2907" s="254" t="s">
        <v>6906</v>
      </c>
      <c r="G2907" s="252" t="s">
        <v>7007</v>
      </c>
      <c r="H2907" s="252" t="s">
        <v>7008</v>
      </c>
      <c r="I2907" s="252">
        <v>5</v>
      </c>
      <c r="J2907" s="255">
        <v>1</v>
      </c>
      <c r="K2907" s="255">
        <v>1</v>
      </c>
      <c r="L2907" s="255"/>
      <c r="M2907" s="256">
        <v>3.2400000000000001E-4</v>
      </c>
      <c r="N2907" s="249">
        <v>2906</v>
      </c>
    </row>
    <row r="2908" spans="1:14" x14ac:dyDescent="0.25">
      <c r="A2908" s="252" t="s">
        <v>74</v>
      </c>
      <c r="B2908" s="252" t="s">
        <v>6461</v>
      </c>
      <c r="C2908" s="253">
        <v>0</v>
      </c>
      <c r="D2908" s="252">
        <v>39792</v>
      </c>
      <c r="E2908" s="252" t="s">
        <v>3039</v>
      </c>
      <c r="F2908" s="254" t="s">
        <v>6906</v>
      </c>
      <c r="G2908" s="252" t="s">
        <v>7009</v>
      </c>
      <c r="H2908" s="252" t="s">
        <v>7010</v>
      </c>
      <c r="I2908" s="252">
        <v>5</v>
      </c>
      <c r="J2908" s="255">
        <v>1</v>
      </c>
      <c r="K2908" s="255">
        <v>1</v>
      </c>
      <c r="L2908" s="255"/>
      <c r="M2908" s="256">
        <v>1.35E-4</v>
      </c>
      <c r="N2908" s="249">
        <v>2907</v>
      </c>
    </row>
    <row r="2909" spans="1:14" x14ac:dyDescent="0.25">
      <c r="A2909" s="252" t="s">
        <v>74</v>
      </c>
      <c r="B2909" s="252" t="s">
        <v>6461</v>
      </c>
      <c r="C2909" s="253">
        <v>0</v>
      </c>
      <c r="D2909" s="252">
        <v>39792</v>
      </c>
      <c r="E2909" s="252" t="s">
        <v>3039</v>
      </c>
      <c r="F2909" s="254" t="s">
        <v>6906</v>
      </c>
      <c r="G2909" s="252" t="s">
        <v>7011</v>
      </c>
      <c r="H2909" s="252" t="s">
        <v>7012</v>
      </c>
      <c r="I2909" s="252">
        <v>5</v>
      </c>
      <c r="J2909" s="255">
        <v>1</v>
      </c>
      <c r="K2909" s="255">
        <v>1</v>
      </c>
      <c r="L2909" s="255"/>
      <c r="M2909" s="256">
        <v>6.5639999999999995E-3</v>
      </c>
      <c r="N2909" s="249">
        <v>2908</v>
      </c>
    </row>
    <row r="2910" spans="1:14" x14ac:dyDescent="0.25">
      <c r="A2910" s="252" t="s">
        <v>74</v>
      </c>
      <c r="B2910" s="252" t="s">
        <v>6461</v>
      </c>
      <c r="C2910" s="253">
        <v>0</v>
      </c>
      <c r="D2910" s="252">
        <v>39792</v>
      </c>
      <c r="E2910" s="252" t="s">
        <v>1591</v>
      </c>
      <c r="F2910" s="254" t="s">
        <v>6906</v>
      </c>
      <c r="G2910" s="252" t="s">
        <v>7013</v>
      </c>
      <c r="H2910" s="252" t="s">
        <v>7014</v>
      </c>
      <c r="I2910" s="252">
        <v>5</v>
      </c>
      <c r="J2910" s="255">
        <v>1</v>
      </c>
      <c r="K2910" s="255">
        <v>1</v>
      </c>
      <c r="L2910" s="255"/>
      <c r="M2910" s="256">
        <v>6.1499999999999988E-4</v>
      </c>
      <c r="N2910" s="249">
        <v>2909</v>
      </c>
    </row>
    <row r="2911" spans="1:14" x14ac:dyDescent="0.25">
      <c r="A2911" s="252" t="s">
        <v>74</v>
      </c>
      <c r="B2911" s="252" t="s">
        <v>6461</v>
      </c>
      <c r="C2911" s="253">
        <v>0</v>
      </c>
      <c r="D2911" s="252">
        <v>39792</v>
      </c>
      <c r="E2911" s="252" t="s">
        <v>1591</v>
      </c>
      <c r="F2911" s="254" t="s">
        <v>6906</v>
      </c>
      <c r="G2911" s="252" t="s">
        <v>7015</v>
      </c>
      <c r="H2911" s="252" t="s">
        <v>7016</v>
      </c>
      <c r="I2911" s="252">
        <v>5</v>
      </c>
      <c r="J2911" s="255">
        <v>1</v>
      </c>
      <c r="K2911" s="255">
        <v>1</v>
      </c>
      <c r="L2911" s="255"/>
      <c r="M2911" s="256">
        <v>5.5800000000000001E-4</v>
      </c>
      <c r="N2911" s="249">
        <v>2910</v>
      </c>
    </row>
    <row r="2912" spans="1:14" x14ac:dyDescent="0.25">
      <c r="A2912" s="252" t="s">
        <v>74</v>
      </c>
      <c r="B2912" s="252" t="s">
        <v>6461</v>
      </c>
      <c r="C2912" s="253">
        <v>0</v>
      </c>
      <c r="D2912" s="252">
        <v>39792</v>
      </c>
      <c r="E2912" s="252" t="s">
        <v>3039</v>
      </c>
      <c r="F2912" s="254" t="s">
        <v>6906</v>
      </c>
      <c r="G2912" s="252" t="s">
        <v>7017</v>
      </c>
      <c r="H2912" s="252" t="s">
        <v>7018</v>
      </c>
      <c r="I2912" s="252">
        <v>5</v>
      </c>
      <c r="J2912" s="255">
        <v>1</v>
      </c>
      <c r="K2912" s="255">
        <v>1</v>
      </c>
      <c r="L2912" s="255"/>
      <c r="M2912" s="256">
        <v>2.8170000000000001E-3</v>
      </c>
      <c r="N2912" s="249">
        <v>2911</v>
      </c>
    </row>
    <row r="2913" spans="1:14" x14ac:dyDescent="0.25">
      <c r="A2913" s="252" t="s">
        <v>74</v>
      </c>
      <c r="B2913" s="252" t="s">
        <v>6461</v>
      </c>
      <c r="C2913" s="253">
        <v>0</v>
      </c>
      <c r="D2913" s="252">
        <v>39792</v>
      </c>
      <c r="E2913" s="252" t="s">
        <v>3039</v>
      </c>
      <c r="F2913" s="254" t="s">
        <v>6906</v>
      </c>
      <c r="G2913" s="252" t="s">
        <v>7019</v>
      </c>
      <c r="H2913" s="252" t="s">
        <v>7020</v>
      </c>
      <c r="I2913" s="252">
        <v>5</v>
      </c>
      <c r="J2913" s="255">
        <v>1</v>
      </c>
      <c r="K2913" s="255">
        <v>1</v>
      </c>
      <c r="L2913" s="255"/>
      <c r="M2913" s="256">
        <v>3.8999999999999999E-4</v>
      </c>
      <c r="N2913" s="249">
        <v>2912</v>
      </c>
    </row>
    <row r="2914" spans="1:14" x14ac:dyDescent="0.25">
      <c r="A2914" s="252" t="s">
        <v>74</v>
      </c>
      <c r="B2914" s="252" t="s">
        <v>6461</v>
      </c>
      <c r="C2914" s="253">
        <v>0</v>
      </c>
      <c r="D2914" s="252">
        <v>39792</v>
      </c>
      <c r="E2914" s="252" t="s">
        <v>3039</v>
      </c>
      <c r="F2914" s="254" t="s">
        <v>6906</v>
      </c>
      <c r="G2914" s="252" t="s">
        <v>7021</v>
      </c>
      <c r="H2914" s="252" t="s">
        <v>7022</v>
      </c>
      <c r="I2914" s="252">
        <v>5</v>
      </c>
      <c r="J2914" s="255">
        <v>1</v>
      </c>
      <c r="K2914" s="255">
        <v>1</v>
      </c>
      <c r="L2914" s="255"/>
      <c r="M2914" s="256">
        <v>3.8999999999999999E-4</v>
      </c>
      <c r="N2914" s="249">
        <v>2913</v>
      </c>
    </row>
    <row r="2915" spans="1:14" x14ac:dyDescent="0.25">
      <c r="A2915" s="252" t="s">
        <v>74</v>
      </c>
      <c r="B2915" s="252" t="s">
        <v>6461</v>
      </c>
      <c r="C2915" s="253">
        <v>0</v>
      </c>
      <c r="D2915" s="252">
        <v>39792</v>
      </c>
      <c r="E2915" s="252" t="s">
        <v>3039</v>
      </c>
      <c r="F2915" s="254" t="s">
        <v>6906</v>
      </c>
      <c r="G2915" s="252" t="s">
        <v>7023</v>
      </c>
      <c r="H2915" s="252" t="s">
        <v>7024</v>
      </c>
      <c r="I2915" s="252">
        <v>5</v>
      </c>
      <c r="J2915" s="255">
        <v>1</v>
      </c>
      <c r="K2915" s="255">
        <v>1</v>
      </c>
      <c r="L2915" s="255"/>
      <c r="M2915" s="256">
        <v>1.35E-4</v>
      </c>
      <c r="N2915" s="249">
        <v>2914</v>
      </c>
    </row>
    <row r="2916" spans="1:14" x14ac:dyDescent="0.25">
      <c r="A2916" s="252" t="s">
        <v>74</v>
      </c>
      <c r="B2916" s="252" t="s">
        <v>6461</v>
      </c>
      <c r="C2916" s="253">
        <v>0</v>
      </c>
      <c r="D2916" s="252">
        <v>39792</v>
      </c>
      <c r="E2916" s="252" t="s">
        <v>3039</v>
      </c>
      <c r="F2916" s="254" t="s">
        <v>6906</v>
      </c>
      <c r="G2916" s="252" t="s">
        <v>7025</v>
      </c>
      <c r="H2916" s="252" t="s">
        <v>7026</v>
      </c>
      <c r="I2916" s="252">
        <v>5</v>
      </c>
      <c r="J2916" s="255">
        <v>1</v>
      </c>
      <c r="K2916" s="255">
        <v>1</v>
      </c>
      <c r="L2916" s="255"/>
      <c r="M2916" s="256">
        <v>8.8199999999999997E-4</v>
      </c>
      <c r="N2916" s="249">
        <v>2915</v>
      </c>
    </row>
    <row r="2917" spans="1:14" x14ac:dyDescent="0.25">
      <c r="A2917" s="252" t="s">
        <v>74</v>
      </c>
      <c r="B2917" s="252" t="s">
        <v>6461</v>
      </c>
      <c r="C2917" s="253">
        <v>0</v>
      </c>
      <c r="D2917" s="252">
        <v>39792</v>
      </c>
      <c r="E2917" s="252" t="s">
        <v>3039</v>
      </c>
      <c r="F2917" s="254" t="s">
        <v>6906</v>
      </c>
      <c r="G2917" s="252" t="s">
        <v>7027</v>
      </c>
      <c r="H2917" s="252" t="s">
        <v>7028</v>
      </c>
      <c r="I2917" s="252">
        <v>5</v>
      </c>
      <c r="J2917" s="255">
        <v>1</v>
      </c>
      <c r="K2917" s="255">
        <v>1</v>
      </c>
      <c r="L2917" s="255"/>
      <c r="M2917" s="256">
        <v>3.2400000000000001E-4</v>
      </c>
      <c r="N2917" s="249">
        <v>2916</v>
      </c>
    </row>
    <row r="2918" spans="1:14" x14ac:dyDescent="0.25">
      <c r="A2918" s="252" t="s">
        <v>74</v>
      </c>
      <c r="B2918" s="252" t="s">
        <v>6461</v>
      </c>
      <c r="C2918" s="253">
        <v>0</v>
      </c>
      <c r="D2918" s="252">
        <v>39792</v>
      </c>
      <c r="E2918" s="252" t="s">
        <v>3039</v>
      </c>
      <c r="F2918" s="254" t="s">
        <v>6906</v>
      </c>
      <c r="G2918" s="252" t="s">
        <v>7029</v>
      </c>
      <c r="H2918" s="252" t="s">
        <v>7030</v>
      </c>
      <c r="I2918" s="252">
        <v>5</v>
      </c>
      <c r="J2918" s="255">
        <v>1</v>
      </c>
      <c r="K2918" s="255">
        <v>1</v>
      </c>
      <c r="L2918" s="255"/>
      <c r="M2918" s="256">
        <v>2.8170000000000001E-3</v>
      </c>
      <c r="N2918" s="249">
        <v>2917</v>
      </c>
    </row>
    <row r="2919" spans="1:14" x14ac:dyDescent="0.25">
      <c r="A2919" s="252" t="s">
        <v>74</v>
      </c>
      <c r="B2919" s="252" t="s">
        <v>6461</v>
      </c>
      <c r="C2919" s="253">
        <v>0</v>
      </c>
      <c r="D2919" s="252">
        <v>39792</v>
      </c>
      <c r="E2919" s="252" t="s">
        <v>3039</v>
      </c>
      <c r="F2919" s="254" t="s">
        <v>6906</v>
      </c>
      <c r="G2919" s="252" t="s">
        <v>7031</v>
      </c>
      <c r="H2919" s="252" t="s">
        <v>7032</v>
      </c>
      <c r="I2919" s="252">
        <v>5</v>
      </c>
      <c r="J2919" s="255">
        <v>1</v>
      </c>
      <c r="K2919" s="255">
        <v>1</v>
      </c>
      <c r="L2919" s="255"/>
      <c r="M2919" s="256">
        <v>3.8999999999999999E-4</v>
      </c>
      <c r="N2919" s="249">
        <v>2918</v>
      </c>
    </row>
    <row r="2920" spans="1:14" x14ac:dyDescent="0.25">
      <c r="A2920" s="252" t="s">
        <v>74</v>
      </c>
      <c r="B2920" s="252" t="s">
        <v>6461</v>
      </c>
      <c r="C2920" s="253">
        <v>0</v>
      </c>
      <c r="D2920" s="252">
        <v>39792</v>
      </c>
      <c r="E2920" s="252" t="s">
        <v>3039</v>
      </c>
      <c r="F2920" s="254" t="s">
        <v>6906</v>
      </c>
      <c r="G2920" s="252" t="s">
        <v>7033</v>
      </c>
      <c r="H2920" s="252" t="s">
        <v>7034</v>
      </c>
      <c r="I2920" s="252">
        <v>5</v>
      </c>
      <c r="J2920" s="255">
        <v>1</v>
      </c>
      <c r="K2920" s="255">
        <v>1</v>
      </c>
      <c r="L2920" s="255"/>
      <c r="M2920" s="256">
        <v>3.8999999999999999E-4</v>
      </c>
      <c r="N2920" s="249">
        <v>2919</v>
      </c>
    </row>
    <row r="2921" spans="1:14" x14ac:dyDescent="0.25">
      <c r="A2921" s="252" t="s">
        <v>74</v>
      </c>
      <c r="B2921" s="252" t="s">
        <v>6461</v>
      </c>
      <c r="C2921" s="253">
        <v>0</v>
      </c>
      <c r="D2921" s="252">
        <v>39792</v>
      </c>
      <c r="E2921" s="252" t="s">
        <v>6502</v>
      </c>
      <c r="F2921" s="254" t="s">
        <v>6906</v>
      </c>
      <c r="G2921" s="252" t="s">
        <v>7035</v>
      </c>
      <c r="H2921" s="252" t="s">
        <v>7036</v>
      </c>
      <c r="I2921" s="252">
        <v>3</v>
      </c>
      <c r="J2921" s="255">
        <v>1</v>
      </c>
      <c r="K2921" s="255">
        <v>1</v>
      </c>
      <c r="L2921" s="255"/>
      <c r="M2921" s="256">
        <v>1.7999999999999998E-4</v>
      </c>
      <c r="N2921" s="249">
        <v>2920</v>
      </c>
    </row>
    <row r="2922" spans="1:14" x14ac:dyDescent="0.25">
      <c r="A2922" s="252" t="s">
        <v>74</v>
      </c>
      <c r="B2922" s="252" t="s">
        <v>6461</v>
      </c>
      <c r="C2922" s="253">
        <v>0</v>
      </c>
      <c r="D2922" s="252">
        <v>39792</v>
      </c>
      <c r="E2922" s="252" t="s">
        <v>6502</v>
      </c>
      <c r="F2922" s="254" t="s">
        <v>6906</v>
      </c>
      <c r="G2922" s="252" t="s">
        <v>7037</v>
      </c>
      <c r="H2922" s="252" t="s">
        <v>7038</v>
      </c>
      <c r="I2922" s="252">
        <v>3</v>
      </c>
      <c r="J2922" s="255">
        <v>1</v>
      </c>
      <c r="K2922" s="255">
        <v>1</v>
      </c>
      <c r="L2922" s="255"/>
      <c r="M2922" s="256">
        <v>1.7999999999999998E-4</v>
      </c>
      <c r="N2922" s="249">
        <v>2921</v>
      </c>
    </row>
    <row r="2923" spans="1:14" x14ac:dyDescent="0.25">
      <c r="A2923" s="252" t="s">
        <v>74</v>
      </c>
      <c r="B2923" s="252" t="s">
        <v>6461</v>
      </c>
      <c r="C2923" s="253">
        <v>0</v>
      </c>
      <c r="D2923" s="252">
        <v>39792</v>
      </c>
      <c r="E2923" s="252" t="s">
        <v>6502</v>
      </c>
      <c r="F2923" s="254" t="s">
        <v>6906</v>
      </c>
      <c r="G2923" s="252" t="s">
        <v>7039</v>
      </c>
      <c r="H2923" s="252" t="s">
        <v>7040</v>
      </c>
      <c r="I2923" s="252">
        <v>3</v>
      </c>
      <c r="J2923" s="255">
        <v>1</v>
      </c>
      <c r="K2923" s="255">
        <v>1</v>
      </c>
      <c r="L2923" s="255"/>
      <c r="M2923" s="256">
        <v>1.446E-3</v>
      </c>
      <c r="N2923" s="249">
        <v>2922</v>
      </c>
    </row>
    <row r="2924" spans="1:14" x14ac:dyDescent="0.25">
      <c r="A2924" s="252" t="s">
        <v>74</v>
      </c>
      <c r="B2924" s="252" t="s">
        <v>6461</v>
      </c>
      <c r="C2924" s="253">
        <v>0</v>
      </c>
      <c r="D2924" s="252">
        <v>39792</v>
      </c>
      <c r="E2924" s="252" t="s">
        <v>3039</v>
      </c>
      <c r="F2924" s="254" t="s">
        <v>6906</v>
      </c>
      <c r="G2924" s="252" t="s">
        <v>7041</v>
      </c>
      <c r="H2924" s="252" t="s">
        <v>7042</v>
      </c>
      <c r="I2924" s="252">
        <v>5</v>
      </c>
      <c r="J2924" s="255">
        <v>1</v>
      </c>
      <c r="K2924" s="255">
        <v>1</v>
      </c>
      <c r="L2924" s="255"/>
      <c r="M2924" s="256">
        <v>3.7800000000000003E-4</v>
      </c>
      <c r="N2924" s="249">
        <v>2923</v>
      </c>
    </row>
    <row r="2925" spans="1:14" x14ac:dyDescent="0.25">
      <c r="A2925" s="252" t="s">
        <v>74</v>
      </c>
      <c r="B2925" s="252" t="s">
        <v>6461</v>
      </c>
      <c r="C2925" s="253">
        <v>0</v>
      </c>
      <c r="D2925" s="252">
        <v>39792</v>
      </c>
      <c r="E2925" s="252" t="s">
        <v>6502</v>
      </c>
      <c r="F2925" s="254" t="s">
        <v>6906</v>
      </c>
      <c r="G2925" s="252" t="s">
        <v>7043</v>
      </c>
      <c r="H2925" s="252" t="s">
        <v>7044</v>
      </c>
      <c r="I2925" s="252">
        <v>3</v>
      </c>
      <c r="J2925" s="255">
        <v>1</v>
      </c>
      <c r="K2925" s="255">
        <v>1</v>
      </c>
      <c r="L2925" s="255"/>
      <c r="M2925" s="256">
        <v>1.7999999999999998E-4</v>
      </c>
      <c r="N2925" s="249">
        <v>2924</v>
      </c>
    </row>
    <row r="2926" spans="1:14" x14ac:dyDescent="0.25">
      <c r="A2926" s="252" t="s">
        <v>74</v>
      </c>
      <c r="B2926" s="252" t="s">
        <v>6461</v>
      </c>
      <c r="C2926" s="253">
        <v>0</v>
      </c>
      <c r="D2926" s="252">
        <v>39792</v>
      </c>
      <c r="E2926" s="252" t="s">
        <v>6502</v>
      </c>
      <c r="F2926" s="254" t="s">
        <v>6906</v>
      </c>
      <c r="G2926" s="252" t="s">
        <v>7045</v>
      </c>
      <c r="H2926" s="252" t="s">
        <v>7046</v>
      </c>
      <c r="I2926" s="252">
        <v>3</v>
      </c>
      <c r="J2926" s="255">
        <v>1</v>
      </c>
      <c r="K2926" s="255">
        <v>1</v>
      </c>
      <c r="L2926" s="255"/>
      <c r="M2926" s="256">
        <v>1.7999999999999998E-4</v>
      </c>
      <c r="N2926" s="249">
        <v>2925</v>
      </c>
    </row>
    <row r="2927" spans="1:14" x14ac:dyDescent="0.25">
      <c r="A2927" s="252" t="s">
        <v>74</v>
      </c>
      <c r="B2927" s="252" t="s">
        <v>6461</v>
      </c>
      <c r="C2927" s="253">
        <v>0</v>
      </c>
      <c r="D2927" s="252">
        <v>39792</v>
      </c>
      <c r="E2927" s="252" t="s">
        <v>6502</v>
      </c>
      <c r="F2927" s="254" t="s">
        <v>6906</v>
      </c>
      <c r="G2927" s="252" t="s">
        <v>7047</v>
      </c>
      <c r="H2927" s="252" t="s">
        <v>7048</v>
      </c>
      <c r="I2927" s="252">
        <v>3</v>
      </c>
      <c r="J2927" s="255">
        <v>1</v>
      </c>
      <c r="K2927" s="255">
        <v>1</v>
      </c>
      <c r="L2927" s="255"/>
      <c r="M2927" s="256">
        <v>3.5819999999999997E-3</v>
      </c>
      <c r="N2927" s="249">
        <v>2926</v>
      </c>
    </row>
    <row r="2928" spans="1:14" x14ac:dyDescent="0.25">
      <c r="A2928" s="252" t="s">
        <v>74</v>
      </c>
      <c r="B2928" s="252" t="s">
        <v>6461</v>
      </c>
      <c r="C2928" s="253">
        <v>0</v>
      </c>
      <c r="D2928" s="252">
        <v>39792</v>
      </c>
      <c r="E2928" s="252" t="s">
        <v>1591</v>
      </c>
      <c r="F2928" s="254" t="s">
        <v>6906</v>
      </c>
      <c r="G2928" s="252" t="s">
        <v>7049</v>
      </c>
      <c r="H2928" s="252" t="s">
        <v>7050</v>
      </c>
      <c r="I2928" s="252">
        <v>5</v>
      </c>
      <c r="J2928" s="255">
        <v>1</v>
      </c>
      <c r="K2928" s="255">
        <v>1</v>
      </c>
      <c r="L2928" s="255"/>
      <c r="M2928" s="256">
        <v>6.1499999999999988E-4</v>
      </c>
      <c r="N2928" s="249">
        <v>2927</v>
      </c>
    </row>
    <row r="2929" spans="1:14" x14ac:dyDescent="0.25">
      <c r="A2929" s="252" t="s">
        <v>74</v>
      </c>
      <c r="B2929" s="252" t="s">
        <v>6461</v>
      </c>
      <c r="C2929" s="253">
        <v>0</v>
      </c>
      <c r="D2929" s="252">
        <v>39792</v>
      </c>
      <c r="E2929" s="252" t="s">
        <v>1591</v>
      </c>
      <c r="F2929" s="254" t="s">
        <v>6906</v>
      </c>
      <c r="G2929" s="252" t="s">
        <v>7051</v>
      </c>
      <c r="H2929" s="252" t="s">
        <v>7052</v>
      </c>
      <c r="I2929" s="252">
        <v>5</v>
      </c>
      <c r="J2929" s="255">
        <v>1</v>
      </c>
      <c r="K2929" s="255">
        <v>1</v>
      </c>
      <c r="L2929" s="255"/>
      <c r="M2929" s="256">
        <v>5.5800000000000001E-4</v>
      </c>
      <c r="N2929" s="249">
        <v>2928</v>
      </c>
    </row>
    <row r="2930" spans="1:14" x14ac:dyDescent="0.25">
      <c r="A2930" s="252" t="s">
        <v>74</v>
      </c>
      <c r="B2930" s="252" t="s">
        <v>6461</v>
      </c>
      <c r="C2930" s="253">
        <v>0</v>
      </c>
      <c r="D2930" s="252">
        <v>39792</v>
      </c>
      <c r="E2930" s="252" t="s">
        <v>3039</v>
      </c>
      <c r="F2930" s="254" t="s">
        <v>6906</v>
      </c>
      <c r="G2930" s="252" t="s">
        <v>7053</v>
      </c>
      <c r="H2930" s="252" t="s">
        <v>7054</v>
      </c>
      <c r="I2930" s="252">
        <v>5</v>
      </c>
      <c r="J2930" s="255">
        <v>1</v>
      </c>
      <c r="K2930" s="255">
        <v>1</v>
      </c>
      <c r="L2930" s="255"/>
      <c r="M2930" s="256">
        <v>6.2159999999999993E-3</v>
      </c>
      <c r="N2930" s="249">
        <v>2929</v>
      </c>
    </row>
    <row r="2931" spans="1:14" x14ac:dyDescent="0.25">
      <c r="A2931" s="252" t="s">
        <v>74</v>
      </c>
      <c r="B2931" s="252" t="s">
        <v>6461</v>
      </c>
      <c r="C2931" s="253">
        <v>0</v>
      </c>
      <c r="D2931" s="252">
        <v>39792</v>
      </c>
      <c r="E2931" s="252" t="s">
        <v>1591</v>
      </c>
      <c r="F2931" s="254" t="s">
        <v>6906</v>
      </c>
      <c r="G2931" s="252" t="s">
        <v>7055</v>
      </c>
      <c r="H2931" s="252" t="s">
        <v>7056</v>
      </c>
      <c r="I2931" s="252">
        <v>5</v>
      </c>
      <c r="J2931" s="255">
        <v>1</v>
      </c>
      <c r="K2931" s="255">
        <v>1</v>
      </c>
      <c r="L2931" s="255"/>
      <c r="M2931" s="256">
        <v>6.1499999999999988E-4</v>
      </c>
      <c r="N2931" s="249">
        <v>2930</v>
      </c>
    </row>
    <row r="2932" spans="1:14" x14ac:dyDescent="0.25">
      <c r="A2932" s="252" t="s">
        <v>74</v>
      </c>
      <c r="B2932" s="252" t="s">
        <v>6461</v>
      </c>
      <c r="C2932" s="253">
        <v>0</v>
      </c>
      <c r="D2932" s="252">
        <v>39792</v>
      </c>
      <c r="E2932" s="252" t="s">
        <v>1591</v>
      </c>
      <c r="F2932" s="254" t="s">
        <v>6906</v>
      </c>
      <c r="G2932" s="252" t="s">
        <v>7057</v>
      </c>
      <c r="H2932" s="252" t="s">
        <v>7058</v>
      </c>
      <c r="I2932" s="252">
        <v>5</v>
      </c>
      <c r="J2932" s="255">
        <v>1</v>
      </c>
      <c r="K2932" s="255">
        <v>1</v>
      </c>
      <c r="L2932" s="255"/>
      <c r="M2932" s="256">
        <v>5.5800000000000001E-4</v>
      </c>
      <c r="N2932" s="249">
        <v>2931</v>
      </c>
    </row>
    <row r="2933" spans="1:14" x14ac:dyDescent="0.25">
      <c r="A2933" s="252" t="s">
        <v>74</v>
      </c>
      <c r="B2933" s="252" t="s">
        <v>6461</v>
      </c>
      <c r="C2933" s="253">
        <v>0</v>
      </c>
      <c r="D2933" s="252">
        <v>39792</v>
      </c>
      <c r="E2933" s="252" t="s">
        <v>7059</v>
      </c>
      <c r="F2933" s="254" t="s">
        <v>6906</v>
      </c>
      <c r="G2933" s="252" t="s">
        <v>7060</v>
      </c>
      <c r="H2933" s="252" t="s">
        <v>7061</v>
      </c>
      <c r="I2933" s="252">
        <v>5</v>
      </c>
      <c r="J2933" s="255">
        <v>1</v>
      </c>
      <c r="K2933" s="255">
        <v>1</v>
      </c>
      <c r="L2933" s="255"/>
      <c r="M2933" s="256">
        <v>4.1670000000000006E-3</v>
      </c>
      <c r="N2933" s="249">
        <v>2932</v>
      </c>
    </row>
    <row r="2934" spans="1:14" x14ac:dyDescent="0.25">
      <c r="A2934" s="252" t="s">
        <v>74</v>
      </c>
      <c r="B2934" s="252" t="s">
        <v>6461</v>
      </c>
      <c r="C2934" s="253">
        <v>0</v>
      </c>
      <c r="D2934" s="252">
        <v>39792</v>
      </c>
      <c r="E2934" s="252" t="s">
        <v>7059</v>
      </c>
      <c r="F2934" s="254" t="s">
        <v>6906</v>
      </c>
      <c r="G2934" s="252" t="s">
        <v>7062</v>
      </c>
      <c r="H2934" s="252" t="s">
        <v>7063</v>
      </c>
      <c r="I2934" s="252">
        <v>5</v>
      </c>
      <c r="J2934" s="255">
        <v>1</v>
      </c>
      <c r="K2934" s="255">
        <v>1</v>
      </c>
      <c r="L2934" s="255"/>
      <c r="M2934" s="256">
        <v>3.8999999999999999E-4</v>
      </c>
      <c r="N2934" s="249">
        <v>2933</v>
      </c>
    </row>
    <row r="2935" spans="1:14" x14ac:dyDescent="0.25">
      <c r="A2935" s="252" t="s">
        <v>74</v>
      </c>
      <c r="B2935" s="252" t="s">
        <v>6461</v>
      </c>
      <c r="C2935" s="253">
        <v>0</v>
      </c>
      <c r="D2935" s="252">
        <v>39792</v>
      </c>
      <c r="E2935" s="252" t="s">
        <v>7059</v>
      </c>
      <c r="F2935" s="254" t="s">
        <v>6906</v>
      </c>
      <c r="G2935" s="252" t="s">
        <v>7064</v>
      </c>
      <c r="H2935" s="252" t="s">
        <v>7065</v>
      </c>
      <c r="I2935" s="252">
        <v>5</v>
      </c>
      <c r="J2935" s="255">
        <v>1</v>
      </c>
      <c r="K2935" s="255">
        <v>1</v>
      </c>
      <c r="L2935" s="255"/>
      <c r="M2935" s="256">
        <v>3.8999999999999999E-4</v>
      </c>
      <c r="N2935" s="249">
        <v>2934</v>
      </c>
    </row>
    <row r="2936" spans="1:14" x14ac:dyDescent="0.25">
      <c r="A2936" s="252" t="s">
        <v>74</v>
      </c>
      <c r="B2936" s="252" t="s">
        <v>6461</v>
      </c>
      <c r="C2936" s="253">
        <v>0</v>
      </c>
      <c r="D2936" s="252">
        <v>39792</v>
      </c>
      <c r="E2936" s="252" t="s">
        <v>7059</v>
      </c>
      <c r="F2936" s="254" t="s">
        <v>6906</v>
      </c>
      <c r="G2936" s="252" t="s">
        <v>7066</v>
      </c>
      <c r="H2936" s="252" t="s">
        <v>7067</v>
      </c>
      <c r="I2936" s="252">
        <v>5</v>
      </c>
      <c r="J2936" s="255">
        <v>1</v>
      </c>
      <c r="K2936" s="255">
        <v>1</v>
      </c>
      <c r="L2936" s="255"/>
      <c r="M2936" s="256">
        <v>1.35E-4</v>
      </c>
      <c r="N2936" s="249">
        <v>2935</v>
      </c>
    </row>
    <row r="2937" spans="1:14" x14ac:dyDescent="0.25">
      <c r="A2937" s="252" t="s">
        <v>74</v>
      </c>
      <c r="B2937" s="252" t="s">
        <v>6461</v>
      </c>
      <c r="C2937" s="253">
        <v>0</v>
      </c>
      <c r="D2937" s="252">
        <v>39792</v>
      </c>
      <c r="E2937" s="252" t="s">
        <v>7059</v>
      </c>
      <c r="F2937" s="254" t="s">
        <v>6906</v>
      </c>
      <c r="G2937" s="252" t="s">
        <v>7068</v>
      </c>
      <c r="H2937" s="252" t="s">
        <v>7069</v>
      </c>
      <c r="I2937" s="252">
        <v>5</v>
      </c>
      <c r="J2937" s="255">
        <v>1</v>
      </c>
      <c r="K2937" s="255">
        <v>1</v>
      </c>
      <c r="L2937" s="255"/>
      <c r="M2937" s="256">
        <v>8.8199999999999997E-4</v>
      </c>
      <c r="N2937" s="249">
        <v>2936</v>
      </c>
    </row>
    <row r="2938" spans="1:14" x14ac:dyDescent="0.25">
      <c r="A2938" s="252" t="s">
        <v>74</v>
      </c>
      <c r="B2938" s="252" t="s">
        <v>6461</v>
      </c>
      <c r="C2938" s="253">
        <v>0</v>
      </c>
      <c r="D2938" s="252">
        <v>39792</v>
      </c>
      <c r="E2938" s="252" t="s">
        <v>7059</v>
      </c>
      <c r="F2938" s="254" t="s">
        <v>6906</v>
      </c>
      <c r="G2938" s="252" t="s">
        <v>7070</v>
      </c>
      <c r="H2938" s="252" t="s">
        <v>7071</v>
      </c>
      <c r="I2938" s="252">
        <v>5</v>
      </c>
      <c r="J2938" s="255">
        <v>1</v>
      </c>
      <c r="K2938" s="255">
        <v>1</v>
      </c>
      <c r="L2938" s="255"/>
      <c r="M2938" s="256">
        <v>3.2400000000000001E-4</v>
      </c>
      <c r="N2938" s="249">
        <v>2937</v>
      </c>
    </row>
    <row r="2939" spans="1:14" x14ac:dyDescent="0.25">
      <c r="A2939" s="252" t="s">
        <v>74</v>
      </c>
      <c r="B2939" s="252" t="s">
        <v>6461</v>
      </c>
      <c r="C2939" s="253">
        <v>0</v>
      </c>
      <c r="D2939" s="252">
        <v>39792</v>
      </c>
      <c r="E2939" s="252" t="s">
        <v>1591</v>
      </c>
      <c r="F2939" s="254" t="s">
        <v>6906</v>
      </c>
      <c r="G2939" s="252" t="s">
        <v>7072</v>
      </c>
      <c r="H2939" s="252" t="s">
        <v>7073</v>
      </c>
      <c r="I2939" s="252">
        <v>5</v>
      </c>
      <c r="J2939" s="255">
        <v>1</v>
      </c>
      <c r="K2939" s="255">
        <v>1</v>
      </c>
      <c r="L2939" s="255"/>
      <c r="M2939" s="256">
        <v>6.1499999999999988E-4</v>
      </c>
      <c r="N2939" s="249">
        <v>2938</v>
      </c>
    </row>
    <row r="2940" spans="1:14" x14ac:dyDescent="0.25">
      <c r="A2940" s="252" t="s">
        <v>74</v>
      </c>
      <c r="B2940" s="252" t="s">
        <v>6461</v>
      </c>
      <c r="C2940" s="253">
        <v>0</v>
      </c>
      <c r="D2940" s="252">
        <v>39792</v>
      </c>
      <c r="E2940" s="252" t="s">
        <v>1591</v>
      </c>
      <c r="F2940" s="254" t="s">
        <v>6906</v>
      </c>
      <c r="G2940" s="252" t="s">
        <v>7074</v>
      </c>
      <c r="H2940" s="252" t="s">
        <v>7075</v>
      </c>
      <c r="I2940" s="252">
        <v>5</v>
      </c>
      <c r="J2940" s="255">
        <v>1</v>
      </c>
      <c r="K2940" s="255">
        <v>1</v>
      </c>
      <c r="L2940" s="255"/>
      <c r="M2940" s="256">
        <v>5.5800000000000001E-4</v>
      </c>
      <c r="N2940" s="249">
        <v>2939</v>
      </c>
    </row>
    <row r="2941" spans="1:14" x14ac:dyDescent="0.25">
      <c r="A2941" s="252" t="s">
        <v>74</v>
      </c>
      <c r="B2941" s="252" t="s">
        <v>6461</v>
      </c>
      <c r="C2941" s="253">
        <v>0</v>
      </c>
      <c r="D2941" s="252">
        <v>39792</v>
      </c>
      <c r="E2941" s="252" t="s">
        <v>3039</v>
      </c>
      <c r="F2941" s="254" t="s">
        <v>6906</v>
      </c>
      <c r="G2941" s="252" t="s">
        <v>7076</v>
      </c>
      <c r="H2941" s="252" t="s">
        <v>7077</v>
      </c>
      <c r="I2941" s="252">
        <v>5</v>
      </c>
      <c r="J2941" s="255">
        <v>1</v>
      </c>
      <c r="K2941" s="255">
        <v>1</v>
      </c>
      <c r="L2941" s="255"/>
      <c r="M2941" s="256">
        <v>5.7329999999999994E-3</v>
      </c>
      <c r="N2941" s="249">
        <v>2940</v>
      </c>
    </row>
    <row r="2942" spans="1:14" x14ac:dyDescent="0.25">
      <c r="A2942" s="252" t="s">
        <v>74</v>
      </c>
      <c r="B2942" s="252" t="s">
        <v>6461</v>
      </c>
      <c r="C2942" s="253">
        <v>0</v>
      </c>
      <c r="D2942" s="252">
        <v>39792</v>
      </c>
      <c r="E2942" s="252" t="s">
        <v>1591</v>
      </c>
      <c r="F2942" s="254" t="s">
        <v>6906</v>
      </c>
      <c r="G2942" s="252" t="s">
        <v>7078</v>
      </c>
      <c r="H2942" s="252" t="s">
        <v>7079</v>
      </c>
      <c r="I2942" s="252">
        <v>5</v>
      </c>
      <c r="J2942" s="255">
        <v>1</v>
      </c>
      <c r="K2942" s="255">
        <v>1</v>
      </c>
      <c r="L2942" s="255"/>
      <c r="M2942" s="256">
        <v>6.1499999999999988E-4</v>
      </c>
      <c r="N2942" s="249">
        <v>2941</v>
      </c>
    </row>
    <row r="2943" spans="1:14" x14ac:dyDescent="0.25">
      <c r="A2943" s="252" t="s">
        <v>74</v>
      </c>
      <c r="B2943" s="252" t="s">
        <v>6461</v>
      </c>
      <c r="C2943" s="253">
        <v>0</v>
      </c>
      <c r="D2943" s="252">
        <v>39792</v>
      </c>
      <c r="E2943" s="252" t="s">
        <v>1591</v>
      </c>
      <c r="F2943" s="254" t="s">
        <v>6906</v>
      </c>
      <c r="G2943" s="252" t="s">
        <v>7080</v>
      </c>
      <c r="H2943" s="252" t="s">
        <v>7081</v>
      </c>
      <c r="I2943" s="252">
        <v>5</v>
      </c>
      <c r="J2943" s="255">
        <v>1</v>
      </c>
      <c r="K2943" s="255">
        <v>1</v>
      </c>
      <c r="L2943" s="255"/>
      <c r="M2943" s="256">
        <v>5.5800000000000001E-4</v>
      </c>
      <c r="N2943" s="249">
        <v>2942</v>
      </c>
    </row>
    <row r="2944" spans="1:14" x14ac:dyDescent="0.25">
      <c r="A2944" s="252" t="s">
        <v>74</v>
      </c>
      <c r="B2944" s="252" t="s">
        <v>6461</v>
      </c>
      <c r="C2944" s="253">
        <v>0</v>
      </c>
      <c r="D2944" s="252">
        <v>39792</v>
      </c>
      <c r="E2944" s="252" t="s">
        <v>3039</v>
      </c>
      <c r="F2944" s="254" t="s">
        <v>6906</v>
      </c>
      <c r="G2944" s="252" t="s">
        <v>7082</v>
      </c>
      <c r="H2944" s="252" t="s">
        <v>7083</v>
      </c>
      <c r="I2944" s="252">
        <v>5</v>
      </c>
      <c r="J2944" s="255">
        <v>1</v>
      </c>
      <c r="K2944" s="255">
        <v>1</v>
      </c>
      <c r="L2944" s="255"/>
      <c r="M2944" s="256">
        <v>3.1200000000000005E-4</v>
      </c>
      <c r="N2944" s="249">
        <v>2943</v>
      </c>
    </row>
    <row r="2945" spans="1:14" x14ac:dyDescent="0.25">
      <c r="A2945" s="252" t="s">
        <v>74</v>
      </c>
      <c r="B2945" s="252" t="s">
        <v>6461</v>
      </c>
      <c r="C2945" s="253">
        <v>0</v>
      </c>
      <c r="D2945" s="252">
        <v>39792</v>
      </c>
      <c r="E2945" s="252" t="s">
        <v>6502</v>
      </c>
      <c r="F2945" s="254" t="s">
        <v>6906</v>
      </c>
      <c r="G2945" s="252" t="s">
        <v>7084</v>
      </c>
      <c r="H2945" s="252" t="s">
        <v>7085</v>
      </c>
      <c r="I2945" s="252">
        <v>3</v>
      </c>
      <c r="J2945" s="255">
        <v>1</v>
      </c>
      <c r="K2945" s="255">
        <v>1</v>
      </c>
      <c r="L2945" s="255"/>
      <c r="M2945" s="256">
        <v>1.7999999999999998E-4</v>
      </c>
      <c r="N2945" s="249">
        <v>2944</v>
      </c>
    </row>
    <row r="2946" spans="1:14" x14ac:dyDescent="0.25">
      <c r="A2946" s="252" t="s">
        <v>74</v>
      </c>
      <c r="B2946" s="252" t="s">
        <v>6461</v>
      </c>
      <c r="C2946" s="253">
        <v>0</v>
      </c>
      <c r="D2946" s="252">
        <v>39792</v>
      </c>
      <c r="E2946" s="252" t="s">
        <v>6502</v>
      </c>
      <c r="F2946" s="254" t="s">
        <v>6906</v>
      </c>
      <c r="G2946" s="252" t="s">
        <v>7086</v>
      </c>
      <c r="H2946" s="252" t="s">
        <v>7087</v>
      </c>
      <c r="I2946" s="252">
        <v>3</v>
      </c>
      <c r="J2946" s="255">
        <v>1</v>
      </c>
      <c r="K2946" s="255">
        <v>1</v>
      </c>
      <c r="L2946" s="255"/>
      <c r="M2946" s="256">
        <v>1.7999999999999998E-4</v>
      </c>
      <c r="N2946" s="249">
        <v>2945</v>
      </c>
    </row>
    <row r="2947" spans="1:14" x14ac:dyDescent="0.25">
      <c r="A2947" s="252" t="s">
        <v>74</v>
      </c>
      <c r="B2947" s="252" t="s">
        <v>6461</v>
      </c>
      <c r="C2947" s="253">
        <v>0</v>
      </c>
      <c r="D2947" s="252">
        <v>39792</v>
      </c>
      <c r="E2947" s="252" t="s">
        <v>6502</v>
      </c>
      <c r="F2947" s="254" t="s">
        <v>6906</v>
      </c>
      <c r="G2947" s="252" t="s">
        <v>7088</v>
      </c>
      <c r="H2947" s="252" t="s">
        <v>7089</v>
      </c>
      <c r="I2947" s="252">
        <v>3</v>
      </c>
      <c r="J2947" s="255">
        <v>1</v>
      </c>
      <c r="K2947" s="255">
        <v>1</v>
      </c>
      <c r="L2947" s="255"/>
      <c r="M2947" s="256">
        <v>1.098E-3</v>
      </c>
      <c r="N2947" s="249">
        <v>2946</v>
      </c>
    </row>
    <row r="2948" spans="1:14" x14ac:dyDescent="0.25">
      <c r="A2948" s="252" t="s">
        <v>74</v>
      </c>
      <c r="B2948" s="252" t="s">
        <v>6461</v>
      </c>
      <c r="C2948" s="253">
        <v>0</v>
      </c>
      <c r="D2948" s="252">
        <v>39792</v>
      </c>
      <c r="E2948" s="252" t="s">
        <v>3039</v>
      </c>
      <c r="F2948" s="254" t="s">
        <v>6906</v>
      </c>
      <c r="G2948" s="252" t="s">
        <v>7090</v>
      </c>
      <c r="H2948" s="252" t="s">
        <v>7091</v>
      </c>
      <c r="I2948" s="252">
        <v>5</v>
      </c>
      <c r="J2948" s="255">
        <v>1</v>
      </c>
      <c r="K2948" s="255">
        <v>1</v>
      </c>
      <c r="L2948" s="255"/>
      <c r="M2948" s="256">
        <v>2.3159999999999999E-3</v>
      </c>
      <c r="N2948" s="249">
        <v>2947</v>
      </c>
    </row>
    <row r="2949" spans="1:14" x14ac:dyDescent="0.25">
      <c r="A2949" s="252" t="s">
        <v>74</v>
      </c>
      <c r="B2949" s="252" t="s">
        <v>6461</v>
      </c>
      <c r="C2949" s="253">
        <v>0</v>
      </c>
      <c r="D2949" s="252">
        <v>39792</v>
      </c>
      <c r="E2949" s="252" t="s">
        <v>3039</v>
      </c>
      <c r="F2949" s="254" t="s">
        <v>6906</v>
      </c>
      <c r="G2949" s="252" t="s">
        <v>7092</v>
      </c>
      <c r="H2949" s="252" t="s">
        <v>7093</v>
      </c>
      <c r="I2949" s="252">
        <v>5</v>
      </c>
      <c r="J2949" s="255">
        <v>1</v>
      </c>
      <c r="K2949" s="255">
        <v>1</v>
      </c>
      <c r="L2949" s="255"/>
      <c r="M2949" s="256">
        <v>3.8999999999999999E-4</v>
      </c>
      <c r="N2949" s="249">
        <v>2948</v>
      </c>
    </row>
    <row r="2950" spans="1:14" x14ac:dyDescent="0.25">
      <c r="A2950" s="252" t="s">
        <v>74</v>
      </c>
      <c r="B2950" s="252" t="s">
        <v>6461</v>
      </c>
      <c r="C2950" s="253">
        <v>0</v>
      </c>
      <c r="D2950" s="252">
        <v>39792</v>
      </c>
      <c r="E2950" s="252" t="s">
        <v>3039</v>
      </c>
      <c r="F2950" s="254" t="s">
        <v>6906</v>
      </c>
      <c r="G2950" s="252" t="s">
        <v>7094</v>
      </c>
      <c r="H2950" s="252" t="s">
        <v>7095</v>
      </c>
      <c r="I2950" s="252">
        <v>5</v>
      </c>
      <c r="J2950" s="255">
        <v>1</v>
      </c>
      <c r="K2950" s="255">
        <v>1</v>
      </c>
      <c r="L2950" s="255"/>
      <c r="M2950" s="256">
        <v>3.8999999999999999E-4</v>
      </c>
      <c r="N2950" s="249">
        <v>2949</v>
      </c>
    </row>
    <row r="2951" spans="1:14" x14ac:dyDescent="0.25">
      <c r="A2951" s="252" t="s">
        <v>74</v>
      </c>
      <c r="B2951" s="252" t="s">
        <v>6461</v>
      </c>
      <c r="C2951" s="253">
        <v>0</v>
      </c>
      <c r="D2951" s="252">
        <v>39792</v>
      </c>
      <c r="E2951" s="252" t="s">
        <v>3039</v>
      </c>
      <c r="F2951" s="254" t="s">
        <v>6906</v>
      </c>
      <c r="G2951" s="252" t="s">
        <v>7096</v>
      </c>
      <c r="H2951" s="252" t="s">
        <v>7097</v>
      </c>
      <c r="I2951" s="252">
        <v>5</v>
      </c>
      <c r="J2951" s="255">
        <v>1</v>
      </c>
      <c r="K2951" s="255">
        <v>1</v>
      </c>
      <c r="L2951" s="255"/>
      <c r="M2951" s="256">
        <v>1.35E-4</v>
      </c>
      <c r="N2951" s="249">
        <v>2950</v>
      </c>
    </row>
    <row r="2952" spans="1:14" x14ac:dyDescent="0.25">
      <c r="A2952" s="252" t="s">
        <v>74</v>
      </c>
      <c r="B2952" s="252" t="s">
        <v>6461</v>
      </c>
      <c r="C2952" s="253">
        <v>0</v>
      </c>
      <c r="D2952" s="252">
        <v>39792</v>
      </c>
      <c r="E2952" s="252" t="s">
        <v>3039</v>
      </c>
      <c r="F2952" s="254" t="s">
        <v>6906</v>
      </c>
      <c r="G2952" s="252" t="s">
        <v>7098</v>
      </c>
      <c r="H2952" s="252" t="s">
        <v>7099</v>
      </c>
      <c r="I2952" s="252">
        <v>5</v>
      </c>
      <c r="J2952" s="255">
        <v>1</v>
      </c>
      <c r="K2952" s="255">
        <v>1</v>
      </c>
      <c r="L2952" s="255"/>
      <c r="M2952" s="256">
        <v>1.02E-4</v>
      </c>
      <c r="N2952" s="249">
        <v>2951</v>
      </c>
    </row>
    <row r="2953" spans="1:14" x14ac:dyDescent="0.25">
      <c r="A2953" s="252" t="s">
        <v>74</v>
      </c>
      <c r="B2953" s="252" t="s">
        <v>6461</v>
      </c>
      <c r="C2953" s="253">
        <v>0</v>
      </c>
      <c r="D2953" s="252">
        <v>39792</v>
      </c>
      <c r="E2953" s="252" t="s">
        <v>3039</v>
      </c>
      <c r="F2953" s="254" t="s">
        <v>6906</v>
      </c>
      <c r="G2953" s="252" t="s">
        <v>7100</v>
      </c>
      <c r="H2953" s="252" t="s">
        <v>7101</v>
      </c>
      <c r="I2953" s="252">
        <v>5</v>
      </c>
      <c r="J2953" s="255">
        <v>1</v>
      </c>
      <c r="K2953" s="255">
        <v>1</v>
      </c>
      <c r="L2953" s="255"/>
      <c r="M2953" s="256">
        <v>8.8199999999999997E-4</v>
      </c>
      <c r="N2953" s="249">
        <v>2952</v>
      </c>
    </row>
    <row r="2954" spans="1:14" x14ac:dyDescent="0.25">
      <c r="A2954" s="252" t="s">
        <v>74</v>
      </c>
      <c r="B2954" s="252" t="s">
        <v>6461</v>
      </c>
      <c r="C2954" s="253">
        <v>0</v>
      </c>
      <c r="D2954" s="252">
        <v>39792</v>
      </c>
      <c r="E2954" s="252" t="s">
        <v>3039</v>
      </c>
      <c r="F2954" s="254" t="s">
        <v>6906</v>
      </c>
      <c r="G2954" s="252" t="s">
        <v>7102</v>
      </c>
      <c r="H2954" s="252" t="s">
        <v>7103</v>
      </c>
      <c r="I2954" s="252">
        <v>5</v>
      </c>
      <c r="J2954" s="255">
        <v>1</v>
      </c>
      <c r="K2954" s="255">
        <v>1</v>
      </c>
      <c r="L2954" s="255"/>
      <c r="M2954" s="256">
        <v>3.2400000000000001E-4</v>
      </c>
      <c r="N2954" s="249">
        <v>2953</v>
      </c>
    </row>
    <row r="2955" spans="1:14" x14ac:dyDescent="0.25">
      <c r="A2955" s="252" t="s">
        <v>74</v>
      </c>
      <c r="B2955" s="252" t="s">
        <v>6461</v>
      </c>
      <c r="C2955" s="253">
        <v>0</v>
      </c>
      <c r="D2955" s="252">
        <v>39792</v>
      </c>
      <c r="E2955" s="252" t="s">
        <v>3039</v>
      </c>
      <c r="F2955" s="254" t="s">
        <v>6906</v>
      </c>
      <c r="G2955" s="252" t="s">
        <v>7104</v>
      </c>
      <c r="H2955" s="252" t="s">
        <v>7105</v>
      </c>
      <c r="I2955" s="252">
        <v>5</v>
      </c>
      <c r="J2955" s="255">
        <v>1</v>
      </c>
      <c r="K2955" s="255">
        <v>1</v>
      </c>
      <c r="L2955" s="255"/>
      <c r="M2955" s="256">
        <v>8.8199999999999997E-4</v>
      </c>
      <c r="N2955" s="249">
        <v>2954</v>
      </c>
    </row>
    <row r="2956" spans="1:14" x14ac:dyDescent="0.25">
      <c r="A2956" s="252" t="s">
        <v>74</v>
      </c>
      <c r="B2956" s="252" t="s">
        <v>6461</v>
      </c>
      <c r="C2956" s="253">
        <v>0</v>
      </c>
      <c r="D2956" s="252">
        <v>39792</v>
      </c>
      <c r="E2956" s="252" t="s">
        <v>3039</v>
      </c>
      <c r="F2956" s="254" t="s">
        <v>6906</v>
      </c>
      <c r="G2956" s="252" t="s">
        <v>7106</v>
      </c>
      <c r="H2956" s="252" t="s">
        <v>7107</v>
      </c>
      <c r="I2956" s="252">
        <v>5</v>
      </c>
      <c r="J2956" s="255">
        <v>1</v>
      </c>
      <c r="K2956" s="255">
        <v>1</v>
      </c>
      <c r="L2956" s="255"/>
      <c r="M2956" s="256">
        <v>3.2400000000000001E-4</v>
      </c>
      <c r="N2956" s="249">
        <v>2955</v>
      </c>
    </row>
    <row r="2957" spans="1:14" x14ac:dyDescent="0.25">
      <c r="A2957" s="252" t="s">
        <v>74</v>
      </c>
      <c r="B2957" s="252" t="s">
        <v>6461</v>
      </c>
      <c r="C2957" s="253">
        <v>0</v>
      </c>
      <c r="D2957" s="252">
        <v>39792</v>
      </c>
      <c r="E2957" s="252" t="s">
        <v>3039</v>
      </c>
      <c r="F2957" s="254" t="s">
        <v>6906</v>
      </c>
      <c r="G2957" s="252" t="s">
        <v>7108</v>
      </c>
      <c r="H2957" s="252" t="s">
        <v>7109</v>
      </c>
      <c r="I2957" s="252">
        <v>5</v>
      </c>
      <c r="J2957" s="255">
        <v>1</v>
      </c>
      <c r="K2957" s="255">
        <v>1</v>
      </c>
      <c r="L2957" s="255"/>
      <c r="M2957" s="256">
        <v>2.2769999999999999E-3</v>
      </c>
      <c r="N2957" s="249">
        <v>2956</v>
      </c>
    </row>
    <row r="2958" spans="1:14" x14ac:dyDescent="0.25">
      <c r="A2958" s="252" t="s">
        <v>74</v>
      </c>
      <c r="B2958" s="252" t="s">
        <v>6461</v>
      </c>
      <c r="C2958" s="253">
        <v>0</v>
      </c>
      <c r="D2958" s="252">
        <v>39792</v>
      </c>
      <c r="E2958" s="252" t="s">
        <v>3039</v>
      </c>
      <c r="F2958" s="254" t="s">
        <v>6906</v>
      </c>
      <c r="G2958" s="252" t="s">
        <v>7110</v>
      </c>
      <c r="H2958" s="252" t="s">
        <v>7111</v>
      </c>
      <c r="I2958" s="252">
        <v>5</v>
      </c>
      <c r="J2958" s="255">
        <v>1</v>
      </c>
      <c r="K2958" s="255">
        <v>1</v>
      </c>
      <c r="L2958" s="255"/>
      <c r="M2958" s="256">
        <v>5.6789999999999992E-3</v>
      </c>
      <c r="N2958" s="249">
        <v>2957</v>
      </c>
    </row>
    <row r="2959" spans="1:14" x14ac:dyDescent="0.25">
      <c r="A2959" s="252" t="s">
        <v>74</v>
      </c>
      <c r="B2959" s="252" t="s">
        <v>6461</v>
      </c>
      <c r="C2959" s="253">
        <v>0</v>
      </c>
      <c r="D2959" s="252">
        <v>39792</v>
      </c>
      <c r="E2959" s="252" t="s">
        <v>3039</v>
      </c>
      <c r="F2959" s="254" t="s">
        <v>6906</v>
      </c>
      <c r="G2959" s="252" t="s">
        <v>7112</v>
      </c>
      <c r="H2959" s="252" t="s">
        <v>7113</v>
      </c>
      <c r="I2959" s="252">
        <v>5</v>
      </c>
      <c r="J2959" s="255">
        <v>1</v>
      </c>
      <c r="K2959" s="255">
        <v>1</v>
      </c>
      <c r="L2959" s="255"/>
      <c r="M2959" s="256">
        <v>8.8199999999999997E-4</v>
      </c>
      <c r="N2959" s="249">
        <v>2958</v>
      </c>
    </row>
    <row r="2960" spans="1:14" x14ac:dyDescent="0.25">
      <c r="A2960" s="252" t="s">
        <v>74</v>
      </c>
      <c r="B2960" s="252" t="s">
        <v>6461</v>
      </c>
      <c r="C2960" s="253">
        <v>0</v>
      </c>
      <c r="D2960" s="252">
        <v>39792</v>
      </c>
      <c r="E2960" s="252" t="s">
        <v>3039</v>
      </c>
      <c r="F2960" s="254" t="s">
        <v>6906</v>
      </c>
      <c r="G2960" s="252" t="s">
        <v>7114</v>
      </c>
      <c r="H2960" s="252" t="s">
        <v>7115</v>
      </c>
      <c r="I2960" s="252">
        <v>5</v>
      </c>
      <c r="J2960" s="255">
        <v>1</v>
      </c>
      <c r="K2960" s="255">
        <v>1</v>
      </c>
      <c r="L2960" s="255"/>
      <c r="M2960" s="256">
        <v>3.2400000000000001E-4</v>
      </c>
      <c r="N2960" s="249">
        <v>2959</v>
      </c>
    </row>
    <row r="2961" spans="1:14" x14ac:dyDescent="0.25">
      <c r="A2961" s="252" t="s">
        <v>74</v>
      </c>
      <c r="B2961" s="252" t="s">
        <v>6461</v>
      </c>
      <c r="C2961" s="253">
        <v>0</v>
      </c>
      <c r="D2961" s="252">
        <v>39792</v>
      </c>
      <c r="E2961" s="252" t="s">
        <v>6502</v>
      </c>
      <c r="F2961" s="254" t="s">
        <v>6906</v>
      </c>
      <c r="G2961" s="252" t="s">
        <v>7116</v>
      </c>
      <c r="H2961" s="252" t="s">
        <v>7117</v>
      </c>
      <c r="I2961" s="252">
        <v>3</v>
      </c>
      <c r="J2961" s="255">
        <v>1</v>
      </c>
      <c r="K2961" s="255">
        <v>1</v>
      </c>
      <c r="L2961" s="255"/>
      <c r="M2961" s="256">
        <v>1.7999999999999998E-4</v>
      </c>
      <c r="N2961" s="249">
        <v>2960</v>
      </c>
    </row>
    <row r="2962" spans="1:14" x14ac:dyDescent="0.25">
      <c r="A2962" s="252" t="s">
        <v>74</v>
      </c>
      <c r="B2962" s="252" t="s">
        <v>6461</v>
      </c>
      <c r="C2962" s="253">
        <v>0</v>
      </c>
      <c r="D2962" s="252">
        <v>39792</v>
      </c>
      <c r="E2962" s="252" t="s">
        <v>6502</v>
      </c>
      <c r="F2962" s="254" t="s">
        <v>6906</v>
      </c>
      <c r="G2962" s="252" t="s">
        <v>7118</v>
      </c>
      <c r="H2962" s="252" t="s">
        <v>7119</v>
      </c>
      <c r="I2962" s="252">
        <v>3</v>
      </c>
      <c r="J2962" s="255">
        <v>1</v>
      </c>
      <c r="K2962" s="255">
        <v>1</v>
      </c>
      <c r="L2962" s="255"/>
      <c r="M2962" s="256">
        <v>1.7999999999999998E-4</v>
      </c>
      <c r="N2962" s="249">
        <v>2961</v>
      </c>
    </row>
    <row r="2963" spans="1:14" x14ac:dyDescent="0.25">
      <c r="A2963" s="252" t="s">
        <v>74</v>
      </c>
      <c r="B2963" s="252" t="s">
        <v>6461</v>
      </c>
      <c r="C2963" s="253">
        <v>0</v>
      </c>
      <c r="D2963" s="252">
        <v>39792</v>
      </c>
      <c r="E2963" s="252" t="s">
        <v>6502</v>
      </c>
      <c r="F2963" s="254" t="s">
        <v>6906</v>
      </c>
      <c r="G2963" s="252" t="s">
        <v>7120</v>
      </c>
      <c r="H2963" s="252" t="s">
        <v>7121</v>
      </c>
      <c r="I2963" s="252">
        <v>3</v>
      </c>
      <c r="J2963" s="255">
        <v>1</v>
      </c>
      <c r="K2963" s="255">
        <v>1</v>
      </c>
      <c r="L2963" s="255"/>
      <c r="M2963" s="256">
        <v>1.6799999999999999E-3</v>
      </c>
      <c r="N2963" s="249">
        <v>2962</v>
      </c>
    </row>
    <row r="2964" spans="1:14" x14ac:dyDescent="0.25">
      <c r="A2964" s="252" t="s">
        <v>74</v>
      </c>
      <c r="B2964" s="252" t="s">
        <v>6461</v>
      </c>
      <c r="C2964" s="253">
        <v>0</v>
      </c>
      <c r="D2964" s="252">
        <v>39792</v>
      </c>
      <c r="E2964" s="252" t="s">
        <v>3039</v>
      </c>
      <c r="F2964" s="254" t="s">
        <v>6906</v>
      </c>
      <c r="G2964" s="252" t="s">
        <v>7122</v>
      </c>
      <c r="H2964" s="252" t="s">
        <v>7123</v>
      </c>
      <c r="I2964" s="252">
        <v>5</v>
      </c>
      <c r="J2964" s="255">
        <v>1</v>
      </c>
      <c r="K2964" s="255">
        <v>1</v>
      </c>
      <c r="L2964" s="255"/>
      <c r="M2964" s="256">
        <v>6.5639999999999995E-3</v>
      </c>
      <c r="N2964" s="249">
        <v>2963</v>
      </c>
    </row>
    <row r="2965" spans="1:14" x14ac:dyDescent="0.25">
      <c r="A2965" s="252" t="s">
        <v>74</v>
      </c>
      <c r="B2965" s="252" t="s">
        <v>6461</v>
      </c>
      <c r="C2965" s="253">
        <v>0</v>
      </c>
      <c r="D2965" s="252">
        <v>39792</v>
      </c>
      <c r="E2965" s="252" t="s">
        <v>1591</v>
      </c>
      <c r="F2965" s="254" t="s">
        <v>6906</v>
      </c>
      <c r="G2965" s="252" t="s">
        <v>7124</v>
      </c>
      <c r="H2965" s="252" t="s">
        <v>7125</v>
      </c>
      <c r="I2965" s="252">
        <v>5</v>
      </c>
      <c r="J2965" s="255">
        <v>1</v>
      </c>
      <c r="K2965" s="255">
        <v>1</v>
      </c>
      <c r="L2965" s="255"/>
      <c r="M2965" s="256">
        <v>6.1499999999999988E-4</v>
      </c>
      <c r="N2965" s="249">
        <v>2964</v>
      </c>
    </row>
    <row r="2966" spans="1:14" x14ac:dyDescent="0.25">
      <c r="A2966" s="252" t="s">
        <v>74</v>
      </c>
      <c r="B2966" s="252" t="s">
        <v>6461</v>
      </c>
      <c r="C2966" s="253">
        <v>0</v>
      </c>
      <c r="D2966" s="252">
        <v>39792</v>
      </c>
      <c r="E2966" s="252" t="s">
        <v>1591</v>
      </c>
      <c r="F2966" s="254" t="s">
        <v>6906</v>
      </c>
      <c r="G2966" s="252" t="s">
        <v>7126</v>
      </c>
      <c r="H2966" s="252" t="s">
        <v>7127</v>
      </c>
      <c r="I2966" s="252">
        <v>5</v>
      </c>
      <c r="J2966" s="255">
        <v>1</v>
      </c>
      <c r="K2966" s="255">
        <v>1</v>
      </c>
      <c r="L2966" s="255"/>
      <c r="M2966" s="256">
        <v>5.5800000000000001E-4</v>
      </c>
      <c r="N2966" s="249">
        <v>2965</v>
      </c>
    </row>
    <row r="2967" spans="1:14" x14ac:dyDescent="0.25">
      <c r="A2967" s="252" t="s">
        <v>74</v>
      </c>
      <c r="B2967" s="252" t="s">
        <v>6461</v>
      </c>
      <c r="C2967" s="253">
        <v>0</v>
      </c>
      <c r="D2967" s="252">
        <v>39792</v>
      </c>
      <c r="E2967" s="252" t="s">
        <v>6502</v>
      </c>
      <c r="F2967" s="254" t="s">
        <v>6906</v>
      </c>
      <c r="G2967" s="252" t="s">
        <v>7128</v>
      </c>
      <c r="H2967" s="252" t="s">
        <v>7129</v>
      </c>
      <c r="I2967" s="252">
        <v>3</v>
      </c>
      <c r="J2967" s="255">
        <v>1</v>
      </c>
      <c r="K2967" s="255">
        <v>1</v>
      </c>
      <c r="L2967" s="255"/>
      <c r="M2967" s="256">
        <v>1.7999999999999998E-4</v>
      </c>
      <c r="N2967" s="249">
        <v>2966</v>
      </c>
    </row>
    <row r="2968" spans="1:14" x14ac:dyDescent="0.25">
      <c r="A2968" s="252" t="s">
        <v>74</v>
      </c>
      <c r="B2968" s="252" t="s">
        <v>6461</v>
      </c>
      <c r="C2968" s="253">
        <v>0</v>
      </c>
      <c r="D2968" s="252">
        <v>39792</v>
      </c>
      <c r="E2968" s="252" t="s">
        <v>6502</v>
      </c>
      <c r="F2968" s="254" t="s">
        <v>6906</v>
      </c>
      <c r="G2968" s="252" t="s">
        <v>7130</v>
      </c>
      <c r="H2968" s="252" t="s">
        <v>7131</v>
      </c>
      <c r="I2968" s="252">
        <v>3</v>
      </c>
      <c r="J2968" s="255">
        <v>1</v>
      </c>
      <c r="K2968" s="255">
        <v>1</v>
      </c>
      <c r="L2968" s="255"/>
      <c r="M2968" s="256">
        <v>1.7999999999999998E-4</v>
      </c>
      <c r="N2968" s="249">
        <v>2967</v>
      </c>
    </row>
    <row r="2969" spans="1:14" x14ac:dyDescent="0.25">
      <c r="A2969" s="252" t="s">
        <v>74</v>
      </c>
      <c r="B2969" s="252" t="s">
        <v>6461</v>
      </c>
      <c r="C2969" s="253">
        <v>0</v>
      </c>
      <c r="D2969" s="252">
        <v>39792</v>
      </c>
      <c r="E2969" s="252" t="s">
        <v>6502</v>
      </c>
      <c r="F2969" s="254" t="s">
        <v>6906</v>
      </c>
      <c r="G2969" s="252" t="s">
        <v>7132</v>
      </c>
      <c r="H2969" s="252" t="s">
        <v>7133</v>
      </c>
      <c r="I2969" s="252">
        <v>3</v>
      </c>
      <c r="J2969" s="255">
        <v>1</v>
      </c>
      <c r="K2969" s="255">
        <v>1</v>
      </c>
      <c r="L2969" s="255"/>
      <c r="M2969" s="256">
        <v>1.8E-3</v>
      </c>
      <c r="N2969" s="249">
        <v>2968</v>
      </c>
    </row>
    <row r="2970" spans="1:14" x14ac:dyDescent="0.25">
      <c r="A2970" s="252" t="s">
        <v>74</v>
      </c>
      <c r="B2970" s="252" t="s">
        <v>6461</v>
      </c>
      <c r="C2970" s="253">
        <v>0</v>
      </c>
      <c r="D2970" s="252">
        <v>39792</v>
      </c>
      <c r="E2970" s="252" t="s">
        <v>3039</v>
      </c>
      <c r="F2970" s="254" t="s">
        <v>6906</v>
      </c>
      <c r="G2970" s="252" t="s">
        <v>7134</v>
      </c>
      <c r="H2970" s="252" t="s">
        <v>7135</v>
      </c>
      <c r="I2970" s="252">
        <v>5</v>
      </c>
      <c r="J2970" s="255">
        <v>1</v>
      </c>
      <c r="K2970" s="255">
        <v>1</v>
      </c>
      <c r="L2970" s="255"/>
      <c r="M2970" s="256">
        <v>1.1498999999999999E-2</v>
      </c>
      <c r="N2970" s="249">
        <v>2969</v>
      </c>
    </row>
    <row r="2971" spans="1:14" x14ac:dyDescent="0.25">
      <c r="A2971" s="252" t="s">
        <v>74</v>
      </c>
      <c r="B2971" s="252" t="s">
        <v>6461</v>
      </c>
      <c r="C2971" s="253">
        <v>0</v>
      </c>
      <c r="D2971" s="252">
        <v>39792</v>
      </c>
      <c r="E2971" s="252" t="s">
        <v>3039</v>
      </c>
      <c r="F2971" s="254" t="s">
        <v>6906</v>
      </c>
      <c r="G2971" s="252" t="s">
        <v>7136</v>
      </c>
      <c r="H2971" s="252" t="s">
        <v>7137</v>
      </c>
      <c r="I2971" s="252">
        <v>5</v>
      </c>
      <c r="J2971" s="255">
        <v>1</v>
      </c>
      <c r="K2971" s="255">
        <v>1</v>
      </c>
      <c r="L2971" s="255"/>
      <c r="M2971" s="256">
        <v>1.539E-3</v>
      </c>
      <c r="N2971" s="249">
        <v>2970</v>
      </c>
    </row>
    <row r="2972" spans="1:14" x14ac:dyDescent="0.25">
      <c r="A2972" s="252" t="s">
        <v>74</v>
      </c>
      <c r="B2972" s="252" t="s">
        <v>6461</v>
      </c>
      <c r="C2972" s="253">
        <v>0</v>
      </c>
      <c r="D2972" s="252">
        <v>39792</v>
      </c>
      <c r="E2972" s="252" t="s">
        <v>3039</v>
      </c>
      <c r="F2972" s="254" t="s">
        <v>6906</v>
      </c>
      <c r="G2972" s="252" t="s">
        <v>7138</v>
      </c>
      <c r="H2972" s="252" t="s">
        <v>7139</v>
      </c>
      <c r="I2972" s="252">
        <v>5</v>
      </c>
      <c r="J2972" s="255">
        <v>1</v>
      </c>
      <c r="K2972" s="255">
        <v>1</v>
      </c>
      <c r="L2972" s="255"/>
      <c r="M2972" s="256">
        <v>1.1498999999999999E-2</v>
      </c>
      <c r="N2972" s="249">
        <v>2971</v>
      </c>
    </row>
    <row r="2973" spans="1:14" x14ac:dyDescent="0.25">
      <c r="A2973" s="252" t="s">
        <v>74</v>
      </c>
      <c r="B2973" s="252" t="s">
        <v>6461</v>
      </c>
      <c r="C2973" s="253">
        <v>0</v>
      </c>
      <c r="D2973" s="252">
        <v>39792</v>
      </c>
      <c r="E2973" s="252" t="s">
        <v>3039</v>
      </c>
      <c r="F2973" s="254" t="s">
        <v>6906</v>
      </c>
      <c r="G2973" s="252" t="s">
        <v>7140</v>
      </c>
      <c r="H2973" s="252" t="s">
        <v>7141</v>
      </c>
      <c r="I2973" s="252">
        <v>5</v>
      </c>
      <c r="J2973" s="255">
        <v>1</v>
      </c>
      <c r="K2973" s="255">
        <v>1</v>
      </c>
      <c r="L2973" s="255"/>
      <c r="M2973" s="256">
        <v>8.8199999999999997E-4</v>
      </c>
      <c r="N2973" s="249">
        <v>2972</v>
      </c>
    </row>
    <row r="2974" spans="1:14" x14ac:dyDescent="0.25">
      <c r="A2974" s="252" t="s">
        <v>74</v>
      </c>
      <c r="B2974" s="252" t="s">
        <v>6461</v>
      </c>
      <c r="C2974" s="253">
        <v>0</v>
      </c>
      <c r="D2974" s="252">
        <v>39792</v>
      </c>
      <c r="E2974" s="252" t="s">
        <v>3039</v>
      </c>
      <c r="F2974" s="254" t="s">
        <v>6906</v>
      </c>
      <c r="G2974" s="252" t="s">
        <v>7142</v>
      </c>
      <c r="H2974" s="252" t="s">
        <v>7143</v>
      </c>
      <c r="I2974" s="252">
        <v>5</v>
      </c>
      <c r="J2974" s="255">
        <v>1</v>
      </c>
      <c r="K2974" s="255">
        <v>1</v>
      </c>
      <c r="L2974" s="255"/>
      <c r="M2974" s="256">
        <v>3.2400000000000001E-4</v>
      </c>
      <c r="N2974" s="249">
        <v>2973</v>
      </c>
    </row>
    <row r="2975" spans="1:14" x14ac:dyDescent="0.25">
      <c r="A2975" s="252" t="s">
        <v>74</v>
      </c>
      <c r="B2975" s="252" t="s">
        <v>6461</v>
      </c>
      <c r="C2975" s="253">
        <v>0</v>
      </c>
      <c r="D2975" s="252">
        <v>39792</v>
      </c>
      <c r="E2975" s="252" t="s">
        <v>3039</v>
      </c>
      <c r="F2975" s="254" t="s">
        <v>6906</v>
      </c>
      <c r="G2975" s="252" t="s">
        <v>7144</v>
      </c>
      <c r="H2975" s="252" t="s">
        <v>7145</v>
      </c>
      <c r="I2975" s="252">
        <v>5</v>
      </c>
      <c r="J2975" s="255">
        <v>1</v>
      </c>
      <c r="K2975" s="255">
        <v>1</v>
      </c>
      <c r="L2975" s="255"/>
      <c r="M2975" s="256">
        <v>8.8199999999999997E-4</v>
      </c>
      <c r="N2975" s="249">
        <v>2974</v>
      </c>
    </row>
    <row r="2976" spans="1:14" x14ac:dyDescent="0.25">
      <c r="A2976" s="252" t="s">
        <v>74</v>
      </c>
      <c r="B2976" s="252" t="s">
        <v>6461</v>
      </c>
      <c r="C2976" s="253">
        <v>0</v>
      </c>
      <c r="D2976" s="252">
        <v>39792</v>
      </c>
      <c r="E2976" s="252" t="s">
        <v>3039</v>
      </c>
      <c r="F2976" s="254" t="s">
        <v>6906</v>
      </c>
      <c r="G2976" s="252" t="s">
        <v>7146</v>
      </c>
      <c r="H2976" s="252" t="s">
        <v>7147</v>
      </c>
      <c r="I2976" s="252">
        <v>5</v>
      </c>
      <c r="J2976" s="255">
        <v>1</v>
      </c>
      <c r="K2976" s="255">
        <v>1</v>
      </c>
      <c r="L2976" s="255"/>
      <c r="M2976" s="256">
        <v>3.2400000000000001E-4</v>
      </c>
      <c r="N2976" s="249">
        <v>2975</v>
      </c>
    </row>
    <row r="2977" spans="1:14" x14ac:dyDescent="0.25">
      <c r="A2977" s="252" t="s">
        <v>74</v>
      </c>
      <c r="B2977" s="252" t="s">
        <v>6461</v>
      </c>
      <c r="C2977" s="253">
        <v>0</v>
      </c>
      <c r="D2977" s="252">
        <v>39792</v>
      </c>
      <c r="E2977" s="252" t="s">
        <v>3039</v>
      </c>
      <c r="F2977" s="254" t="s">
        <v>6906</v>
      </c>
      <c r="G2977" s="252" t="s">
        <v>7148</v>
      </c>
      <c r="H2977" s="252" t="s">
        <v>7149</v>
      </c>
      <c r="I2977" s="252">
        <v>5</v>
      </c>
      <c r="J2977" s="255">
        <v>1</v>
      </c>
      <c r="K2977" s="255">
        <v>1</v>
      </c>
      <c r="L2977" s="255"/>
      <c r="M2977" s="256">
        <v>1.02E-4</v>
      </c>
      <c r="N2977" s="249">
        <v>2976</v>
      </c>
    </row>
    <row r="2978" spans="1:14" x14ac:dyDescent="0.25">
      <c r="A2978" s="252" t="s">
        <v>74</v>
      </c>
      <c r="B2978" s="252" t="s">
        <v>6461</v>
      </c>
      <c r="C2978" s="253">
        <v>0</v>
      </c>
      <c r="D2978" s="252">
        <v>39792</v>
      </c>
      <c r="E2978" s="252" t="s">
        <v>1591</v>
      </c>
      <c r="F2978" s="254" t="s">
        <v>6906</v>
      </c>
      <c r="G2978" s="252" t="s">
        <v>1635</v>
      </c>
      <c r="H2978" s="252" t="s">
        <v>7150</v>
      </c>
      <c r="I2978" s="252">
        <v>5</v>
      </c>
      <c r="J2978" s="255">
        <v>1</v>
      </c>
      <c r="K2978" s="255">
        <v>1</v>
      </c>
      <c r="L2978" s="255"/>
      <c r="M2978" s="256">
        <v>6.1499999999999988E-4</v>
      </c>
      <c r="N2978" s="249">
        <v>2977</v>
      </c>
    </row>
    <row r="2979" spans="1:14" x14ac:dyDescent="0.25">
      <c r="A2979" s="252" t="s">
        <v>74</v>
      </c>
      <c r="B2979" s="252" t="s">
        <v>6461</v>
      </c>
      <c r="C2979" s="253">
        <v>0</v>
      </c>
      <c r="D2979" s="252">
        <v>39792</v>
      </c>
      <c r="E2979" s="252" t="s">
        <v>1591</v>
      </c>
      <c r="F2979" s="254" t="s">
        <v>6906</v>
      </c>
      <c r="G2979" s="252" t="s">
        <v>2216</v>
      </c>
      <c r="H2979" s="252" t="s">
        <v>7151</v>
      </c>
      <c r="I2979" s="252">
        <v>5</v>
      </c>
      <c r="J2979" s="255">
        <v>1</v>
      </c>
      <c r="K2979" s="255">
        <v>1</v>
      </c>
      <c r="L2979" s="255"/>
      <c r="M2979" s="256">
        <v>5.5800000000000001E-4</v>
      </c>
      <c r="N2979" s="249">
        <v>2978</v>
      </c>
    </row>
    <row r="2980" spans="1:14" x14ac:dyDescent="0.25">
      <c r="A2980" s="252" t="s">
        <v>74</v>
      </c>
      <c r="B2980" s="252" t="s">
        <v>6461</v>
      </c>
      <c r="C2980" s="253">
        <v>0</v>
      </c>
      <c r="D2980" s="252">
        <v>39792</v>
      </c>
      <c r="E2980" s="252" t="s">
        <v>3039</v>
      </c>
      <c r="F2980" s="254" t="s">
        <v>6906</v>
      </c>
      <c r="G2980" s="252" t="s">
        <v>7152</v>
      </c>
      <c r="H2980" s="252" t="s">
        <v>7153</v>
      </c>
      <c r="I2980" s="252">
        <v>5</v>
      </c>
      <c r="J2980" s="255">
        <v>1</v>
      </c>
      <c r="K2980" s="255">
        <v>1</v>
      </c>
      <c r="L2980" s="255"/>
      <c r="M2980" s="256">
        <v>5.7329999999999994E-3</v>
      </c>
      <c r="N2980" s="249">
        <v>2979</v>
      </c>
    </row>
    <row r="2981" spans="1:14" x14ac:dyDescent="0.25">
      <c r="A2981" s="252" t="s">
        <v>74</v>
      </c>
      <c r="B2981" s="252" t="s">
        <v>6461</v>
      </c>
      <c r="C2981" s="253">
        <v>0</v>
      </c>
      <c r="D2981" s="252">
        <v>39792</v>
      </c>
      <c r="E2981" s="252" t="s">
        <v>1591</v>
      </c>
      <c r="F2981" s="254" t="s">
        <v>6906</v>
      </c>
      <c r="G2981" s="252" t="s">
        <v>1638</v>
      </c>
      <c r="H2981" s="252" t="s">
        <v>7154</v>
      </c>
      <c r="I2981" s="252">
        <v>5</v>
      </c>
      <c r="J2981" s="255">
        <v>1</v>
      </c>
      <c r="K2981" s="255">
        <v>1</v>
      </c>
      <c r="L2981" s="255"/>
      <c r="M2981" s="256">
        <v>6.1499999999999988E-4</v>
      </c>
      <c r="N2981" s="249">
        <v>2980</v>
      </c>
    </row>
    <row r="2982" spans="1:14" x14ac:dyDescent="0.25">
      <c r="A2982" s="252" t="s">
        <v>74</v>
      </c>
      <c r="B2982" s="252" t="s">
        <v>6461</v>
      </c>
      <c r="C2982" s="253">
        <v>0</v>
      </c>
      <c r="D2982" s="252">
        <v>39792</v>
      </c>
      <c r="E2982" s="252" t="s">
        <v>1591</v>
      </c>
      <c r="F2982" s="254" t="s">
        <v>6906</v>
      </c>
      <c r="G2982" s="252" t="s">
        <v>2221</v>
      </c>
      <c r="H2982" s="252" t="s">
        <v>7155</v>
      </c>
      <c r="I2982" s="252">
        <v>5</v>
      </c>
      <c r="J2982" s="255">
        <v>1</v>
      </c>
      <c r="K2982" s="255">
        <v>1</v>
      </c>
      <c r="L2982" s="255"/>
      <c r="M2982" s="256">
        <v>5.5800000000000001E-4</v>
      </c>
      <c r="N2982" s="249">
        <v>2981</v>
      </c>
    </row>
    <row r="2983" spans="1:14" x14ac:dyDescent="0.25">
      <c r="A2983" s="252" t="s">
        <v>74</v>
      </c>
      <c r="B2983" s="252" t="s">
        <v>6461</v>
      </c>
      <c r="C2983" s="253">
        <v>0</v>
      </c>
      <c r="D2983" s="252">
        <v>39792</v>
      </c>
      <c r="E2983" s="252" t="s">
        <v>3039</v>
      </c>
      <c r="F2983" s="254" t="s">
        <v>6906</v>
      </c>
      <c r="G2983" s="252" t="s">
        <v>7156</v>
      </c>
      <c r="H2983" s="252" t="s">
        <v>7157</v>
      </c>
      <c r="I2983" s="252">
        <v>5</v>
      </c>
      <c r="J2983" s="255">
        <v>1</v>
      </c>
      <c r="K2983" s="255">
        <v>1</v>
      </c>
      <c r="L2983" s="255"/>
      <c r="M2983" s="256">
        <v>1.02E-4</v>
      </c>
      <c r="N2983" s="249">
        <v>2982</v>
      </c>
    </row>
    <row r="2984" spans="1:14" x14ac:dyDescent="0.25">
      <c r="A2984" s="252" t="s">
        <v>74</v>
      </c>
      <c r="B2984" s="252" t="s">
        <v>6461</v>
      </c>
      <c r="C2984" s="253">
        <v>0</v>
      </c>
      <c r="D2984" s="252">
        <v>39792</v>
      </c>
      <c r="E2984" s="252" t="s">
        <v>3039</v>
      </c>
      <c r="F2984" s="254" t="s">
        <v>6906</v>
      </c>
      <c r="G2984" s="252" t="s">
        <v>1641</v>
      </c>
      <c r="H2984" s="252" t="s">
        <v>7158</v>
      </c>
      <c r="I2984" s="252">
        <v>5</v>
      </c>
      <c r="J2984" s="255">
        <v>1</v>
      </c>
      <c r="K2984" s="255">
        <v>1</v>
      </c>
      <c r="L2984" s="255"/>
      <c r="M2984" s="256">
        <v>8.8199999999999997E-4</v>
      </c>
      <c r="N2984" s="249">
        <v>2983</v>
      </c>
    </row>
    <row r="2985" spans="1:14" x14ac:dyDescent="0.25">
      <c r="A2985" s="252" t="s">
        <v>74</v>
      </c>
      <c r="B2985" s="252" t="s">
        <v>6461</v>
      </c>
      <c r="C2985" s="253">
        <v>0</v>
      </c>
      <c r="D2985" s="252">
        <v>39792</v>
      </c>
      <c r="E2985" s="252" t="s">
        <v>3039</v>
      </c>
      <c r="F2985" s="254" t="s">
        <v>6906</v>
      </c>
      <c r="G2985" s="252" t="s">
        <v>1642</v>
      </c>
      <c r="H2985" s="252" t="s">
        <v>7159</v>
      </c>
      <c r="I2985" s="252">
        <v>5</v>
      </c>
      <c r="J2985" s="255">
        <v>1</v>
      </c>
      <c r="K2985" s="255">
        <v>1</v>
      </c>
      <c r="L2985" s="255"/>
      <c r="M2985" s="256">
        <v>3.2400000000000001E-4</v>
      </c>
      <c r="N2985" s="249">
        <v>2984</v>
      </c>
    </row>
    <row r="2986" spans="1:14" x14ac:dyDescent="0.25">
      <c r="A2986" s="252" t="s">
        <v>74</v>
      </c>
      <c r="B2986" s="252" t="s">
        <v>6461</v>
      </c>
      <c r="C2986" s="253">
        <v>0</v>
      </c>
      <c r="D2986" s="252">
        <v>39792</v>
      </c>
      <c r="E2986" s="252" t="s">
        <v>3039</v>
      </c>
      <c r="F2986" s="254" t="s">
        <v>6906</v>
      </c>
      <c r="G2986" s="252" t="s">
        <v>7160</v>
      </c>
      <c r="H2986" s="252" t="s">
        <v>7161</v>
      </c>
      <c r="I2986" s="252">
        <v>5</v>
      </c>
      <c r="J2986" s="255">
        <v>1</v>
      </c>
      <c r="K2986" s="255">
        <v>1</v>
      </c>
      <c r="L2986" s="255"/>
      <c r="M2986" s="256">
        <v>8.8199999999999997E-4</v>
      </c>
      <c r="N2986" s="249">
        <v>2985</v>
      </c>
    </row>
    <row r="2987" spans="1:14" x14ac:dyDescent="0.25">
      <c r="A2987" s="252" t="s">
        <v>74</v>
      </c>
      <c r="B2987" s="252" t="s">
        <v>6461</v>
      </c>
      <c r="C2987" s="253">
        <v>0</v>
      </c>
      <c r="D2987" s="252">
        <v>39792</v>
      </c>
      <c r="E2987" s="252" t="s">
        <v>3039</v>
      </c>
      <c r="F2987" s="254" t="s">
        <v>6906</v>
      </c>
      <c r="G2987" s="252" t="s">
        <v>2227</v>
      </c>
      <c r="H2987" s="252" t="s">
        <v>7162</v>
      </c>
      <c r="I2987" s="252">
        <v>5</v>
      </c>
      <c r="J2987" s="255">
        <v>1</v>
      </c>
      <c r="K2987" s="255">
        <v>1</v>
      </c>
      <c r="L2987" s="255"/>
      <c r="M2987" s="256">
        <v>3.2400000000000001E-4</v>
      </c>
      <c r="N2987" s="249">
        <v>2986</v>
      </c>
    </row>
    <row r="2988" spans="1:14" x14ac:dyDescent="0.25">
      <c r="A2988" s="252" t="s">
        <v>74</v>
      </c>
      <c r="B2988" s="252" t="s">
        <v>6461</v>
      </c>
      <c r="C2988" s="253">
        <v>0</v>
      </c>
      <c r="D2988" s="252">
        <v>39792</v>
      </c>
      <c r="E2988" s="252" t="s">
        <v>3039</v>
      </c>
      <c r="F2988" s="254" t="s">
        <v>6906</v>
      </c>
      <c r="G2988" s="252" t="s">
        <v>7163</v>
      </c>
      <c r="H2988" s="252" t="s">
        <v>7164</v>
      </c>
      <c r="I2988" s="252">
        <v>5</v>
      </c>
      <c r="J2988" s="255">
        <v>1</v>
      </c>
      <c r="K2988" s="255">
        <v>1</v>
      </c>
      <c r="L2988" s="255"/>
      <c r="M2988" s="256">
        <v>1.3649999999999999E-2</v>
      </c>
      <c r="N2988" s="249">
        <v>2987</v>
      </c>
    </row>
    <row r="2989" spans="1:14" x14ac:dyDescent="0.25">
      <c r="A2989" s="252" t="s">
        <v>74</v>
      </c>
      <c r="B2989" s="252" t="s">
        <v>6461</v>
      </c>
      <c r="C2989" s="253">
        <v>0</v>
      </c>
      <c r="D2989" s="252">
        <v>39792</v>
      </c>
      <c r="E2989" s="252" t="s">
        <v>3039</v>
      </c>
      <c r="F2989" s="254" t="s">
        <v>6906</v>
      </c>
      <c r="G2989" s="252" t="s">
        <v>7165</v>
      </c>
      <c r="H2989" s="252" t="s">
        <v>7166</v>
      </c>
      <c r="I2989" s="252">
        <v>5</v>
      </c>
      <c r="J2989" s="255">
        <v>1</v>
      </c>
      <c r="K2989" s="255">
        <v>1</v>
      </c>
      <c r="L2989" s="255"/>
      <c r="M2989" s="256">
        <v>1.8269999999999998E-3</v>
      </c>
      <c r="N2989" s="249">
        <v>2988</v>
      </c>
    </row>
    <row r="2990" spans="1:14" x14ac:dyDescent="0.25">
      <c r="A2990" s="252" t="s">
        <v>74</v>
      </c>
      <c r="B2990" s="252" t="s">
        <v>6461</v>
      </c>
      <c r="C2990" s="253">
        <v>0</v>
      </c>
      <c r="D2990" s="252">
        <v>39792</v>
      </c>
      <c r="E2990" s="252" t="s">
        <v>3039</v>
      </c>
      <c r="F2990" s="254" t="s">
        <v>6906</v>
      </c>
      <c r="G2990" s="252" t="s">
        <v>7167</v>
      </c>
      <c r="H2990" s="252" t="s">
        <v>7168</v>
      </c>
      <c r="I2990" s="252">
        <v>5</v>
      </c>
      <c r="J2990" s="255">
        <v>1</v>
      </c>
      <c r="K2990" s="255">
        <v>1</v>
      </c>
      <c r="L2990" s="255"/>
      <c r="M2990" s="256">
        <v>1.3649999999999999E-2</v>
      </c>
      <c r="N2990" s="249">
        <v>2989</v>
      </c>
    </row>
    <row r="2991" spans="1:14" x14ac:dyDescent="0.25">
      <c r="A2991" s="252" t="s">
        <v>74</v>
      </c>
      <c r="B2991" s="252" t="s">
        <v>6461</v>
      </c>
      <c r="C2991" s="253">
        <v>0</v>
      </c>
      <c r="D2991" s="252">
        <v>39792</v>
      </c>
      <c r="E2991" s="252" t="s">
        <v>3039</v>
      </c>
      <c r="F2991" s="254" t="s">
        <v>6906</v>
      </c>
      <c r="G2991" s="252" t="s">
        <v>1646</v>
      </c>
      <c r="H2991" s="252" t="s">
        <v>7169</v>
      </c>
      <c r="I2991" s="252">
        <v>5</v>
      </c>
      <c r="J2991" s="255">
        <v>1</v>
      </c>
      <c r="K2991" s="255">
        <v>1</v>
      </c>
      <c r="L2991" s="255"/>
      <c r="M2991" s="256">
        <v>8.8199999999999997E-4</v>
      </c>
      <c r="N2991" s="249">
        <v>2990</v>
      </c>
    </row>
    <row r="2992" spans="1:14" x14ac:dyDescent="0.25">
      <c r="A2992" s="252" t="s">
        <v>74</v>
      </c>
      <c r="B2992" s="252" t="s">
        <v>6461</v>
      </c>
      <c r="C2992" s="253">
        <v>0</v>
      </c>
      <c r="D2992" s="252">
        <v>39792</v>
      </c>
      <c r="E2992" s="252" t="s">
        <v>3039</v>
      </c>
      <c r="F2992" s="254" t="s">
        <v>6906</v>
      </c>
      <c r="G2992" s="252" t="s">
        <v>1647</v>
      </c>
      <c r="H2992" s="252" t="s">
        <v>7170</v>
      </c>
      <c r="I2992" s="252">
        <v>5</v>
      </c>
      <c r="J2992" s="255">
        <v>1</v>
      </c>
      <c r="K2992" s="255">
        <v>1</v>
      </c>
      <c r="L2992" s="255"/>
      <c r="M2992" s="256">
        <v>3.2400000000000001E-4</v>
      </c>
      <c r="N2992" s="249">
        <v>2991</v>
      </c>
    </row>
    <row r="2993" spans="1:14" x14ac:dyDescent="0.25">
      <c r="A2993" s="252" t="s">
        <v>74</v>
      </c>
      <c r="B2993" s="252" t="s">
        <v>6461</v>
      </c>
      <c r="C2993" s="253">
        <v>0</v>
      </c>
      <c r="D2993" s="252">
        <v>39792</v>
      </c>
      <c r="E2993" s="252" t="s">
        <v>3039</v>
      </c>
      <c r="F2993" s="254" t="s">
        <v>6906</v>
      </c>
      <c r="G2993" s="252" t="s">
        <v>1649</v>
      </c>
      <c r="H2993" s="252" t="s">
        <v>7171</v>
      </c>
      <c r="I2993" s="252">
        <v>5</v>
      </c>
      <c r="J2993" s="255">
        <v>1</v>
      </c>
      <c r="K2993" s="255">
        <v>1</v>
      </c>
      <c r="L2993" s="255"/>
      <c r="M2993" s="256">
        <v>8.8199999999999997E-4</v>
      </c>
      <c r="N2993" s="249">
        <v>2992</v>
      </c>
    </row>
    <row r="2994" spans="1:14" x14ac:dyDescent="0.25">
      <c r="A2994" s="252" t="s">
        <v>74</v>
      </c>
      <c r="B2994" s="252" t="s">
        <v>6461</v>
      </c>
      <c r="C2994" s="253">
        <v>0</v>
      </c>
      <c r="D2994" s="252">
        <v>39792</v>
      </c>
      <c r="E2994" s="252" t="s">
        <v>3039</v>
      </c>
      <c r="F2994" s="254" t="s">
        <v>6906</v>
      </c>
      <c r="G2994" s="252" t="s">
        <v>1650</v>
      </c>
      <c r="H2994" s="252" t="s">
        <v>7172</v>
      </c>
      <c r="I2994" s="252">
        <v>5</v>
      </c>
      <c r="J2994" s="255">
        <v>1</v>
      </c>
      <c r="K2994" s="255">
        <v>1</v>
      </c>
      <c r="L2994" s="255"/>
      <c r="M2994" s="256">
        <v>3.2400000000000001E-4</v>
      </c>
      <c r="N2994" s="249">
        <v>2993</v>
      </c>
    </row>
    <row r="2995" spans="1:14" x14ac:dyDescent="0.25">
      <c r="A2995" s="252" t="s">
        <v>74</v>
      </c>
      <c r="B2995" s="252" t="s">
        <v>6461</v>
      </c>
      <c r="C2995" s="253">
        <v>0</v>
      </c>
      <c r="D2995" s="252">
        <v>39792</v>
      </c>
      <c r="E2995" s="252" t="s">
        <v>3039</v>
      </c>
      <c r="F2995" s="254" t="s">
        <v>6906</v>
      </c>
      <c r="G2995" s="252" t="s">
        <v>7173</v>
      </c>
      <c r="H2995" s="252" t="s">
        <v>7174</v>
      </c>
      <c r="I2995" s="252">
        <v>5</v>
      </c>
      <c r="J2995" s="255">
        <v>1</v>
      </c>
      <c r="K2995" s="255">
        <v>1</v>
      </c>
      <c r="L2995" s="255"/>
      <c r="M2995" s="256">
        <v>1.02E-4</v>
      </c>
      <c r="N2995" s="249">
        <v>2994</v>
      </c>
    </row>
    <row r="2996" spans="1:14" x14ac:dyDescent="0.25">
      <c r="A2996" s="252" t="s">
        <v>74</v>
      </c>
      <c r="B2996" s="252" t="s">
        <v>6461</v>
      </c>
      <c r="C2996" s="253">
        <v>0</v>
      </c>
      <c r="D2996" s="252">
        <v>39792</v>
      </c>
      <c r="E2996" s="252" t="s">
        <v>1591</v>
      </c>
      <c r="F2996" s="254" t="s">
        <v>6906</v>
      </c>
      <c r="G2996" s="252" t="s">
        <v>1653</v>
      </c>
      <c r="H2996" s="252" t="s">
        <v>7175</v>
      </c>
      <c r="I2996" s="252">
        <v>5</v>
      </c>
      <c r="J2996" s="255">
        <v>1</v>
      </c>
      <c r="K2996" s="255">
        <v>1</v>
      </c>
      <c r="L2996" s="255"/>
      <c r="M2996" s="256">
        <v>2.1299999999999997E-4</v>
      </c>
      <c r="N2996" s="249">
        <v>2995</v>
      </c>
    </row>
    <row r="2997" spans="1:14" x14ac:dyDescent="0.25">
      <c r="A2997" s="252" t="s">
        <v>74</v>
      </c>
      <c r="B2997" s="252" t="s">
        <v>6461</v>
      </c>
      <c r="C2997" s="253">
        <v>0</v>
      </c>
      <c r="D2997" s="252">
        <v>39792</v>
      </c>
      <c r="E2997" s="252" t="s">
        <v>1591</v>
      </c>
      <c r="F2997" s="254" t="s">
        <v>6906</v>
      </c>
      <c r="G2997" s="252" t="s">
        <v>1654</v>
      </c>
      <c r="H2997" s="252" t="s">
        <v>7176</v>
      </c>
      <c r="I2997" s="252">
        <v>5</v>
      </c>
      <c r="J2997" s="255">
        <v>1</v>
      </c>
      <c r="K2997" s="255">
        <v>1</v>
      </c>
      <c r="L2997" s="255"/>
      <c r="M2997" s="256">
        <v>2.1299999999999997E-4</v>
      </c>
      <c r="N2997" s="249">
        <v>2996</v>
      </c>
    </row>
    <row r="2998" spans="1:14" x14ac:dyDescent="0.25">
      <c r="A2998" s="252" t="s">
        <v>74</v>
      </c>
      <c r="B2998" s="252" t="s">
        <v>6461</v>
      </c>
      <c r="C2998" s="253">
        <v>0</v>
      </c>
      <c r="D2998" s="252">
        <v>39792</v>
      </c>
      <c r="E2998" s="252" t="s">
        <v>1591</v>
      </c>
      <c r="F2998" s="254" t="s">
        <v>6906</v>
      </c>
      <c r="G2998" s="252" t="s">
        <v>2231</v>
      </c>
      <c r="H2998" s="252" t="s">
        <v>7177</v>
      </c>
      <c r="I2998" s="252">
        <v>5</v>
      </c>
      <c r="J2998" s="255">
        <v>1</v>
      </c>
      <c r="K2998" s="255">
        <v>1</v>
      </c>
      <c r="L2998" s="255"/>
      <c r="M2998" s="256">
        <v>6.1499999999999988E-4</v>
      </c>
      <c r="N2998" s="249">
        <v>2997</v>
      </c>
    </row>
    <row r="2999" spans="1:14" x14ac:dyDescent="0.25">
      <c r="A2999" s="252" t="s">
        <v>74</v>
      </c>
      <c r="B2999" s="252" t="s">
        <v>6461</v>
      </c>
      <c r="C2999" s="253">
        <v>0</v>
      </c>
      <c r="D2999" s="252">
        <v>39792</v>
      </c>
      <c r="E2999" s="252" t="s">
        <v>1591</v>
      </c>
      <c r="F2999" s="254" t="s">
        <v>6906</v>
      </c>
      <c r="G2999" s="252" t="s">
        <v>7178</v>
      </c>
      <c r="H2999" s="252" t="s">
        <v>7179</v>
      </c>
      <c r="I2999" s="252">
        <v>5</v>
      </c>
      <c r="J2999" s="255">
        <v>1</v>
      </c>
      <c r="K2999" s="255">
        <v>1</v>
      </c>
      <c r="L2999" s="255"/>
      <c r="M2999" s="256">
        <v>5.5800000000000001E-4</v>
      </c>
      <c r="N2999" s="249">
        <v>2998</v>
      </c>
    </row>
    <row r="3000" spans="1:14" x14ac:dyDescent="0.25">
      <c r="A3000" s="252" t="s">
        <v>74</v>
      </c>
      <c r="B3000" s="252" t="s">
        <v>6461</v>
      </c>
      <c r="C3000" s="253">
        <v>0</v>
      </c>
      <c r="D3000" s="252">
        <v>39792</v>
      </c>
      <c r="E3000" s="252" t="s">
        <v>3039</v>
      </c>
      <c r="F3000" s="254" t="s">
        <v>6906</v>
      </c>
      <c r="G3000" s="252" t="s">
        <v>7180</v>
      </c>
      <c r="H3000" s="252" t="s">
        <v>7181</v>
      </c>
      <c r="I3000" s="252">
        <v>5</v>
      </c>
      <c r="J3000" s="255">
        <v>1</v>
      </c>
      <c r="K3000" s="255">
        <v>1</v>
      </c>
      <c r="L3000" s="255"/>
      <c r="M3000" s="256">
        <v>5.7329999999999994E-3</v>
      </c>
      <c r="N3000" s="249">
        <v>2999</v>
      </c>
    </row>
    <row r="3001" spans="1:14" x14ac:dyDescent="0.25">
      <c r="A3001" s="252" t="s">
        <v>74</v>
      </c>
      <c r="B3001" s="252" t="s">
        <v>6461</v>
      </c>
      <c r="C3001" s="253">
        <v>0</v>
      </c>
      <c r="D3001" s="252">
        <v>39792</v>
      </c>
      <c r="E3001" s="252" t="s">
        <v>1591</v>
      </c>
      <c r="F3001" s="254" t="s">
        <v>6906</v>
      </c>
      <c r="G3001" s="252" t="s">
        <v>1657</v>
      </c>
      <c r="H3001" s="252" t="s">
        <v>7182</v>
      </c>
      <c r="I3001" s="252">
        <v>5</v>
      </c>
      <c r="J3001" s="255">
        <v>1</v>
      </c>
      <c r="K3001" s="255">
        <v>1</v>
      </c>
      <c r="L3001" s="255"/>
      <c r="M3001" s="256">
        <v>2.1299999999999997E-4</v>
      </c>
      <c r="N3001" s="249">
        <v>3000</v>
      </c>
    </row>
    <row r="3002" spans="1:14" x14ac:dyDescent="0.25">
      <c r="A3002" s="252" t="s">
        <v>74</v>
      </c>
      <c r="B3002" s="252" t="s">
        <v>6461</v>
      </c>
      <c r="C3002" s="253">
        <v>0</v>
      </c>
      <c r="D3002" s="252">
        <v>39792</v>
      </c>
      <c r="E3002" s="252" t="s">
        <v>1591</v>
      </c>
      <c r="F3002" s="254" t="s">
        <v>6906</v>
      </c>
      <c r="G3002" s="252" t="s">
        <v>2232</v>
      </c>
      <c r="H3002" s="252" t="s">
        <v>7183</v>
      </c>
      <c r="I3002" s="252">
        <v>5</v>
      </c>
      <c r="J3002" s="255">
        <v>1</v>
      </c>
      <c r="K3002" s="255">
        <v>1</v>
      </c>
      <c r="L3002" s="255"/>
      <c r="M3002" s="256">
        <v>2.1299999999999997E-4</v>
      </c>
      <c r="N3002" s="249">
        <v>3001</v>
      </c>
    </row>
    <row r="3003" spans="1:14" x14ac:dyDescent="0.25">
      <c r="A3003" s="252" t="s">
        <v>74</v>
      </c>
      <c r="B3003" s="252" t="s">
        <v>6461</v>
      </c>
      <c r="C3003" s="253">
        <v>0</v>
      </c>
      <c r="D3003" s="252">
        <v>39792</v>
      </c>
      <c r="E3003" s="252" t="s">
        <v>1591</v>
      </c>
      <c r="F3003" s="254" t="s">
        <v>6906</v>
      </c>
      <c r="G3003" s="252" t="s">
        <v>7184</v>
      </c>
      <c r="H3003" s="252" t="s">
        <v>7185</v>
      </c>
      <c r="I3003" s="252">
        <v>5</v>
      </c>
      <c r="J3003" s="255">
        <v>1</v>
      </c>
      <c r="K3003" s="255">
        <v>1</v>
      </c>
      <c r="L3003" s="255"/>
      <c r="M3003" s="256">
        <v>6.1499999999999988E-4</v>
      </c>
      <c r="N3003" s="249">
        <v>3002</v>
      </c>
    </row>
    <row r="3004" spans="1:14" x14ac:dyDescent="0.25">
      <c r="A3004" s="252" t="s">
        <v>74</v>
      </c>
      <c r="B3004" s="252" t="s">
        <v>6461</v>
      </c>
      <c r="C3004" s="253">
        <v>0</v>
      </c>
      <c r="D3004" s="252">
        <v>39792</v>
      </c>
      <c r="E3004" s="252" t="s">
        <v>1591</v>
      </c>
      <c r="F3004" s="254" t="s">
        <v>6906</v>
      </c>
      <c r="G3004" s="252" t="s">
        <v>7186</v>
      </c>
      <c r="H3004" s="252" t="s">
        <v>7187</v>
      </c>
      <c r="I3004" s="252">
        <v>5</v>
      </c>
      <c r="J3004" s="255">
        <v>1</v>
      </c>
      <c r="K3004" s="255">
        <v>1</v>
      </c>
      <c r="L3004" s="255"/>
      <c r="M3004" s="256">
        <v>5.5800000000000001E-4</v>
      </c>
      <c r="N3004" s="249">
        <v>3003</v>
      </c>
    </row>
    <row r="3005" spans="1:14" x14ac:dyDescent="0.25">
      <c r="A3005" s="252" t="s">
        <v>74</v>
      </c>
      <c r="B3005" s="252" t="s">
        <v>6461</v>
      </c>
      <c r="C3005" s="253">
        <v>0</v>
      </c>
      <c r="D3005" s="252">
        <v>39792</v>
      </c>
      <c r="E3005" s="252" t="s">
        <v>3039</v>
      </c>
      <c r="F3005" s="254" t="s">
        <v>6906</v>
      </c>
      <c r="G3005" s="252" t="s">
        <v>7188</v>
      </c>
      <c r="H3005" s="252" t="s">
        <v>7189</v>
      </c>
      <c r="I3005" s="252">
        <v>5</v>
      </c>
      <c r="J3005" s="255">
        <v>1</v>
      </c>
      <c r="K3005" s="255">
        <v>1</v>
      </c>
      <c r="L3005" s="255"/>
      <c r="M3005" s="256">
        <v>1.02E-4</v>
      </c>
      <c r="N3005" s="249">
        <v>3004</v>
      </c>
    </row>
    <row r="3006" spans="1:14" x14ac:dyDescent="0.25">
      <c r="A3006" s="252" t="s">
        <v>74</v>
      </c>
      <c r="B3006" s="252" t="s">
        <v>6461</v>
      </c>
      <c r="C3006" s="253">
        <v>0</v>
      </c>
      <c r="D3006" s="252">
        <v>39792</v>
      </c>
      <c r="E3006" s="252" t="s">
        <v>3039</v>
      </c>
      <c r="F3006" s="254" t="s">
        <v>6906</v>
      </c>
      <c r="G3006" s="252" t="s">
        <v>1659</v>
      </c>
      <c r="H3006" s="252" t="s">
        <v>7190</v>
      </c>
      <c r="I3006" s="252">
        <v>5</v>
      </c>
      <c r="J3006" s="255">
        <v>1</v>
      </c>
      <c r="K3006" s="255">
        <v>1</v>
      </c>
      <c r="L3006" s="255"/>
      <c r="M3006" s="256">
        <v>8.8199999999999997E-4</v>
      </c>
      <c r="N3006" s="249">
        <v>3005</v>
      </c>
    </row>
    <row r="3007" spans="1:14" x14ac:dyDescent="0.25">
      <c r="A3007" s="252" t="s">
        <v>74</v>
      </c>
      <c r="B3007" s="252" t="s">
        <v>6461</v>
      </c>
      <c r="C3007" s="253">
        <v>0</v>
      </c>
      <c r="D3007" s="252">
        <v>39792</v>
      </c>
      <c r="E3007" s="252" t="s">
        <v>3039</v>
      </c>
      <c r="F3007" s="254" t="s">
        <v>6906</v>
      </c>
      <c r="G3007" s="252" t="s">
        <v>1660</v>
      </c>
      <c r="H3007" s="252" t="s">
        <v>7191</v>
      </c>
      <c r="I3007" s="252">
        <v>5</v>
      </c>
      <c r="J3007" s="255">
        <v>1</v>
      </c>
      <c r="K3007" s="255">
        <v>1</v>
      </c>
      <c r="L3007" s="255"/>
      <c r="M3007" s="256">
        <v>3.2400000000000001E-4</v>
      </c>
      <c r="N3007" s="249">
        <v>3006</v>
      </c>
    </row>
    <row r="3008" spans="1:14" x14ac:dyDescent="0.25">
      <c r="A3008" s="252" t="s">
        <v>74</v>
      </c>
      <c r="B3008" s="252" t="s">
        <v>6461</v>
      </c>
      <c r="C3008" s="253">
        <v>0</v>
      </c>
      <c r="D3008" s="252">
        <v>39792</v>
      </c>
      <c r="E3008" s="252" t="s">
        <v>3039</v>
      </c>
      <c r="F3008" s="254" t="s">
        <v>6906</v>
      </c>
      <c r="G3008" s="252" t="s">
        <v>1662</v>
      </c>
      <c r="H3008" s="252" t="s">
        <v>7192</v>
      </c>
      <c r="I3008" s="252">
        <v>5</v>
      </c>
      <c r="J3008" s="255">
        <v>1</v>
      </c>
      <c r="K3008" s="255">
        <v>1</v>
      </c>
      <c r="L3008" s="255"/>
      <c r="M3008" s="256">
        <v>8.8199999999999997E-4</v>
      </c>
      <c r="N3008" s="249">
        <v>3007</v>
      </c>
    </row>
    <row r="3009" spans="1:14" x14ac:dyDescent="0.25">
      <c r="A3009" s="252" t="s">
        <v>74</v>
      </c>
      <c r="B3009" s="252" t="s">
        <v>6461</v>
      </c>
      <c r="C3009" s="253">
        <v>0</v>
      </c>
      <c r="D3009" s="252">
        <v>39792</v>
      </c>
      <c r="E3009" s="252" t="s">
        <v>3039</v>
      </c>
      <c r="F3009" s="254" t="s">
        <v>6906</v>
      </c>
      <c r="G3009" s="252" t="s">
        <v>1663</v>
      </c>
      <c r="H3009" s="252" t="s">
        <v>7193</v>
      </c>
      <c r="I3009" s="252">
        <v>5</v>
      </c>
      <c r="J3009" s="255">
        <v>1</v>
      </c>
      <c r="K3009" s="255">
        <v>1</v>
      </c>
      <c r="L3009" s="255"/>
      <c r="M3009" s="256">
        <v>3.2400000000000001E-4</v>
      </c>
      <c r="N3009" s="249">
        <v>3008</v>
      </c>
    </row>
    <row r="3010" spans="1:14" x14ac:dyDescent="0.25">
      <c r="A3010" s="252" t="s">
        <v>74</v>
      </c>
      <c r="B3010" s="252" t="s">
        <v>6461</v>
      </c>
      <c r="C3010" s="253">
        <v>0</v>
      </c>
      <c r="D3010" s="252">
        <v>39792</v>
      </c>
      <c r="E3010" s="252" t="s">
        <v>3039</v>
      </c>
      <c r="F3010" s="254" t="s">
        <v>6906</v>
      </c>
      <c r="G3010" s="252" t="s">
        <v>7194</v>
      </c>
      <c r="H3010" s="252" t="s">
        <v>7195</v>
      </c>
      <c r="I3010" s="252">
        <v>5</v>
      </c>
      <c r="J3010" s="255">
        <v>1</v>
      </c>
      <c r="K3010" s="255">
        <v>1</v>
      </c>
      <c r="L3010" s="255"/>
      <c r="M3010" s="256">
        <v>1.3640999999999999E-2</v>
      </c>
      <c r="N3010" s="249">
        <v>3009</v>
      </c>
    </row>
    <row r="3011" spans="1:14" x14ac:dyDescent="0.25">
      <c r="A3011" s="252" t="s">
        <v>74</v>
      </c>
      <c r="B3011" s="252" t="s">
        <v>6461</v>
      </c>
      <c r="C3011" s="253">
        <v>0</v>
      </c>
      <c r="D3011" s="252">
        <v>39792</v>
      </c>
      <c r="E3011" s="252" t="s">
        <v>3039</v>
      </c>
      <c r="F3011" s="254" t="s">
        <v>6906</v>
      </c>
      <c r="G3011" s="252" t="s">
        <v>7196</v>
      </c>
      <c r="H3011" s="252" t="s">
        <v>7197</v>
      </c>
      <c r="I3011" s="252">
        <v>5</v>
      </c>
      <c r="J3011" s="255">
        <v>1</v>
      </c>
      <c r="K3011" s="255">
        <v>1</v>
      </c>
      <c r="L3011" s="255"/>
      <c r="M3011" s="256">
        <v>1.8269999999999998E-3</v>
      </c>
      <c r="N3011" s="249">
        <v>3010</v>
      </c>
    </row>
    <row r="3012" spans="1:14" x14ac:dyDescent="0.25">
      <c r="A3012" s="252" t="s">
        <v>74</v>
      </c>
      <c r="B3012" s="252" t="s">
        <v>6461</v>
      </c>
      <c r="C3012" s="253">
        <v>0</v>
      </c>
      <c r="D3012" s="252">
        <v>39792</v>
      </c>
      <c r="E3012" s="252" t="s">
        <v>3039</v>
      </c>
      <c r="F3012" s="254" t="s">
        <v>6906</v>
      </c>
      <c r="G3012" s="252" t="s">
        <v>1668</v>
      </c>
      <c r="H3012" s="252" t="s">
        <v>7198</v>
      </c>
      <c r="I3012" s="252">
        <v>5</v>
      </c>
      <c r="J3012" s="255">
        <v>1</v>
      </c>
      <c r="K3012" s="255">
        <v>1</v>
      </c>
      <c r="L3012" s="255"/>
      <c r="M3012" s="256">
        <v>1.3640999999999999E-2</v>
      </c>
      <c r="N3012" s="249">
        <v>3011</v>
      </c>
    </row>
    <row r="3013" spans="1:14" x14ac:dyDescent="0.25">
      <c r="A3013" s="252" t="s">
        <v>74</v>
      </c>
      <c r="B3013" s="252" t="s">
        <v>6461</v>
      </c>
      <c r="C3013" s="253">
        <v>0</v>
      </c>
      <c r="D3013" s="252">
        <v>39792</v>
      </c>
      <c r="E3013" s="252" t="s">
        <v>190</v>
      </c>
      <c r="F3013" s="254" t="s">
        <v>6906</v>
      </c>
      <c r="G3013" s="252" t="s">
        <v>2238</v>
      </c>
      <c r="H3013" s="252" t="s">
        <v>7199</v>
      </c>
      <c r="I3013" s="252">
        <v>5</v>
      </c>
      <c r="J3013" s="255">
        <v>1</v>
      </c>
      <c r="K3013" s="255">
        <v>1</v>
      </c>
      <c r="L3013" s="255"/>
      <c r="M3013" s="256">
        <v>2.1299999999999997E-4</v>
      </c>
      <c r="N3013" s="249">
        <v>3012</v>
      </c>
    </row>
    <row r="3014" spans="1:14" x14ac:dyDescent="0.25">
      <c r="A3014" s="252" t="s">
        <v>74</v>
      </c>
      <c r="B3014" s="252" t="s">
        <v>6461</v>
      </c>
      <c r="C3014" s="253">
        <v>0</v>
      </c>
      <c r="D3014" s="252">
        <v>39792</v>
      </c>
      <c r="E3014" s="252" t="s">
        <v>190</v>
      </c>
      <c r="F3014" s="254" t="s">
        <v>6906</v>
      </c>
      <c r="G3014" s="252" t="s">
        <v>3379</v>
      </c>
      <c r="H3014" s="252" t="s">
        <v>7200</v>
      </c>
      <c r="I3014" s="252">
        <v>5</v>
      </c>
      <c r="J3014" s="255">
        <v>1</v>
      </c>
      <c r="K3014" s="255">
        <v>1</v>
      </c>
      <c r="L3014" s="255"/>
      <c r="M3014" s="256">
        <v>2.1299999999999997E-4</v>
      </c>
      <c r="N3014" s="249">
        <v>3013</v>
      </c>
    </row>
    <row r="3015" spans="1:14" x14ac:dyDescent="0.25">
      <c r="A3015" s="252" t="s">
        <v>74</v>
      </c>
      <c r="B3015" s="252" t="s">
        <v>6461</v>
      </c>
      <c r="C3015" s="253">
        <v>0</v>
      </c>
      <c r="D3015" s="252">
        <v>39792</v>
      </c>
      <c r="E3015" s="252" t="s">
        <v>1591</v>
      </c>
      <c r="F3015" s="254" t="s">
        <v>6906</v>
      </c>
      <c r="G3015" s="252" t="s">
        <v>3381</v>
      </c>
      <c r="H3015" s="252" t="s">
        <v>7201</v>
      </c>
      <c r="I3015" s="252">
        <v>5</v>
      </c>
      <c r="J3015" s="255">
        <v>1</v>
      </c>
      <c r="K3015" s="255">
        <v>1</v>
      </c>
      <c r="L3015" s="255"/>
      <c r="M3015" s="256">
        <v>6.1499999999999988E-4</v>
      </c>
      <c r="N3015" s="249">
        <v>3014</v>
      </c>
    </row>
    <row r="3016" spans="1:14" x14ac:dyDescent="0.25">
      <c r="A3016" s="252" t="s">
        <v>74</v>
      </c>
      <c r="B3016" s="252" t="s">
        <v>6461</v>
      </c>
      <c r="C3016" s="253">
        <v>0</v>
      </c>
      <c r="D3016" s="252">
        <v>39792</v>
      </c>
      <c r="E3016" s="252" t="s">
        <v>1591</v>
      </c>
      <c r="F3016" s="254" t="s">
        <v>6906</v>
      </c>
      <c r="G3016" s="252" t="s">
        <v>3383</v>
      </c>
      <c r="H3016" s="252" t="s">
        <v>7202</v>
      </c>
      <c r="I3016" s="252">
        <v>5</v>
      </c>
      <c r="J3016" s="255">
        <v>1</v>
      </c>
      <c r="K3016" s="255">
        <v>1</v>
      </c>
      <c r="L3016" s="255"/>
      <c r="M3016" s="256">
        <v>5.5800000000000001E-4</v>
      </c>
      <c r="N3016" s="249">
        <v>3015</v>
      </c>
    </row>
    <row r="3017" spans="1:14" x14ac:dyDescent="0.25">
      <c r="A3017" s="252" t="s">
        <v>74</v>
      </c>
      <c r="B3017" s="252" t="s">
        <v>6461</v>
      </c>
      <c r="C3017" s="253">
        <v>0</v>
      </c>
      <c r="D3017" s="252">
        <v>39792</v>
      </c>
      <c r="E3017" s="252" t="s">
        <v>190</v>
      </c>
      <c r="F3017" s="254" t="s">
        <v>6906</v>
      </c>
      <c r="G3017" s="252" t="s">
        <v>1671</v>
      </c>
      <c r="H3017" s="252" t="s">
        <v>7203</v>
      </c>
      <c r="I3017" s="252">
        <v>5</v>
      </c>
      <c r="J3017" s="255">
        <v>1</v>
      </c>
      <c r="K3017" s="255">
        <v>1</v>
      </c>
      <c r="L3017" s="255"/>
      <c r="M3017" s="256">
        <v>2.0999999999999998E-4</v>
      </c>
      <c r="N3017" s="249">
        <v>3016</v>
      </c>
    </row>
    <row r="3018" spans="1:14" x14ac:dyDescent="0.25">
      <c r="A3018" s="252" t="s">
        <v>74</v>
      </c>
      <c r="B3018" s="252" t="s">
        <v>6461</v>
      </c>
      <c r="C3018" s="253">
        <v>0</v>
      </c>
      <c r="D3018" s="252">
        <v>39792</v>
      </c>
      <c r="E3018" s="252" t="s">
        <v>190</v>
      </c>
      <c r="F3018" s="254" t="s">
        <v>6906</v>
      </c>
      <c r="G3018" s="252" t="s">
        <v>1672</v>
      </c>
      <c r="H3018" s="252" t="s">
        <v>7204</v>
      </c>
      <c r="I3018" s="252">
        <v>5</v>
      </c>
      <c r="J3018" s="255">
        <v>1</v>
      </c>
      <c r="K3018" s="255">
        <v>1</v>
      </c>
      <c r="L3018" s="255"/>
      <c r="M3018" s="256">
        <v>2.0999999999999998E-4</v>
      </c>
      <c r="N3018" s="249">
        <v>3017</v>
      </c>
    </row>
    <row r="3019" spans="1:14" x14ac:dyDescent="0.25">
      <c r="A3019" s="252" t="s">
        <v>74</v>
      </c>
      <c r="B3019" s="252" t="s">
        <v>6461</v>
      </c>
      <c r="C3019" s="253">
        <v>0</v>
      </c>
      <c r="D3019" s="252">
        <v>39792</v>
      </c>
      <c r="E3019" s="252" t="s">
        <v>1591</v>
      </c>
      <c r="F3019" s="254" t="s">
        <v>6906</v>
      </c>
      <c r="G3019" s="252" t="s">
        <v>1673</v>
      </c>
      <c r="H3019" s="252" t="s">
        <v>7205</v>
      </c>
      <c r="I3019" s="252">
        <v>5</v>
      </c>
      <c r="J3019" s="255">
        <v>1</v>
      </c>
      <c r="K3019" s="255">
        <v>1</v>
      </c>
      <c r="L3019" s="255"/>
      <c r="M3019" s="256">
        <v>6.1499999999999988E-4</v>
      </c>
      <c r="N3019" s="249">
        <v>3018</v>
      </c>
    </row>
    <row r="3020" spans="1:14" x14ac:dyDescent="0.25">
      <c r="A3020" s="252" t="s">
        <v>74</v>
      </c>
      <c r="B3020" s="252" t="s">
        <v>6461</v>
      </c>
      <c r="C3020" s="253">
        <v>0</v>
      </c>
      <c r="D3020" s="252">
        <v>39792</v>
      </c>
      <c r="E3020" s="252" t="s">
        <v>1591</v>
      </c>
      <c r="F3020" s="254" t="s">
        <v>6906</v>
      </c>
      <c r="G3020" s="252" t="s">
        <v>3413</v>
      </c>
      <c r="H3020" s="252" t="s">
        <v>7206</v>
      </c>
      <c r="I3020" s="252">
        <v>5</v>
      </c>
      <c r="J3020" s="255">
        <v>1</v>
      </c>
      <c r="K3020" s="255">
        <v>1</v>
      </c>
      <c r="L3020" s="255"/>
      <c r="M3020" s="256">
        <v>5.5800000000000001E-4</v>
      </c>
      <c r="N3020" s="249">
        <v>3019</v>
      </c>
    </row>
    <row r="3021" spans="1:14" x14ac:dyDescent="0.25">
      <c r="A3021" s="252" t="s">
        <v>74</v>
      </c>
      <c r="B3021" s="252" t="s">
        <v>6461</v>
      </c>
      <c r="C3021" s="253">
        <v>0</v>
      </c>
      <c r="D3021" s="252">
        <v>39792</v>
      </c>
      <c r="E3021" s="252" t="s">
        <v>3039</v>
      </c>
      <c r="F3021" s="254" t="s">
        <v>6906</v>
      </c>
      <c r="G3021" s="252" t="s">
        <v>1674</v>
      </c>
      <c r="H3021" s="252" t="s">
        <v>7207</v>
      </c>
      <c r="I3021" s="252">
        <v>5</v>
      </c>
      <c r="J3021" s="255">
        <v>1</v>
      </c>
      <c r="K3021" s="255">
        <v>1</v>
      </c>
      <c r="L3021" s="255"/>
      <c r="M3021" s="256">
        <v>8.7300000000000008E-4</v>
      </c>
      <c r="N3021" s="249">
        <v>3020</v>
      </c>
    </row>
    <row r="3022" spans="1:14" x14ac:dyDescent="0.25">
      <c r="A3022" s="252" t="s">
        <v>74</v>
      </c>
      <c r="B3022" s="252" t="s">
        <v>6461</v>
      </c>
      <c r="C3022" s="253">
        <v>0</v>
      </c>
      <c r="D3022" s="252">
        <v>39792</v>
      </c>
      <c r="E3022" s="252" t="s">
        <v>3039</v>
      </c>
      <c r="F3022" s="254" t="s">
        <v>6906</v>
      </c>
      <c r="G3022" s="252" t="s">
        <v>1676</v>
      </c>
      <c r="H3022" s="252" t="s">
        <v>7208</v>
      </c>
      <c r="I3022" s="252">
        <v>5</v>
      </c>
      <c r="J3022" s="255">
        <v>1</v>
      </c>
      <c r="K3022" s="255">
        <v>1</v>
      </c>
      <c r="L3022" s="255"/>
      <c r="M3022" s="256">
        <v>3.2400000000000001E-4</v>
      </c>
      <c r="N3022" s="249">
        <v>3021</v>
      </c>
    </row>
    <row r="3023" spans="1:14" x14ac:dyDescent="0.25">
      <c r="A3023" s="252" t="s">
        <v>74</v>
      </c>
      <c r="B3023" s="252" t="s">
        <v>6461</v>
      </c>
      <c r="C3023" s="253">
        <v>0</v>
      </c>
      <c r="D3023" s="252">
        <v>39792</v>
      </c>
      <c r="E3023" s="252" t="s">
        <v>3039</v>
      </c>
      <c r="F3023" s="254" t="s">
        <v>6906</v>
      </c>
      <c r="G3023" s="252" t="s">
        <v>2239</v>
      </c>
      <c r="H3023" s="252" t="s">
        <v>7209</v>
      </c>
      <c r="I3023" s="252">
        <v>5</v>
      </c>
      <c r="J3023" s="255">
        <v>1</v>
      </c>
      <c r="K3023" s="255">
        <v>1</v>
      </c>
      <c r="L3023" s="255"/>
      <c r="M3023" s="256">
        <v>1.02E-4</v>
      </c>
      <c r="N3023" s="249">
        <v>3022</v>
      </c>
    </row>
    <row r="3024" spans="1:14" x14ac:dyDescent="0.25">
      <c r="A3024" s="252" t="s">
        <v>74</v>
      </c>
      <c r="B3024" s="252" t="s">
        <v>6461</v>
      </c>
      <c r="C3024" s="253">
        <v>0</v>
      </c>
      <c r="D3024" s="252">
        <v>39792</v>
      </c>
      <c r="E3024" s="252" t="s">
        <v>3039</v>
      </c>
      <c r="F3024" s="254" t="s">
        <v>6906</v>
      </c>
      <c r="G3024" s="252" t="s">
        <v>1681</v>
      </c>
      <c r="H3024" s="252" t="s">
        <v>7210</v>
      </c>
      <c r="I3024" s="252">
        <v>5</v>
      </c>
      <c r="J3024" s="255">
        <v>1</v>
      </c>
      <c r="K3024" s="255">
        <v>1</v>
      </c>
      <c r="L3024" s="255"/>
      <c r="M3024" s="256">
        <v>8.7300000000000008E-4</v>
      </c>
      <c r="N3024" s="249">
        <v>3023</v>
      </c>
    </row>
    <row r="3025" spans="1:14" x14ac:dyDescent="0.25">
      <c r="A3025" s="252" t="s">
        <v>74</v>
      </c>
      <c r="B3025" s="252" t="s">
        <v>6461</v>
      </c>
      <c r="C3025" s="253">
        <v>0</v>
      </c>
      <c r="D3025" s="252">
        <v>39792</v>
      </c>
      <c r="E3025" s="252" t="s">
        <v>3039</v>
      </c>
      <c r="F3025" s="254" t="s">
        <v>6906</v>
      </c>
      <c r="G3025" s="252" t="s">
        <v>1683</v>
      </c>
      <c r="H3025" s="252" t="s">
        <v>7211</v>
      </c>
      <c r="I3025" s="252">
        <v>5</v>
      </c>
      <c r="J3025" s="255">
        <v>1</v>
      </c>
      <c r="K3025" s="255">
        <v>1</v>
      </c>
      <c r="L3025" s="255"/>
      <c r="M3025" s="256">
        <v>3.2400000000000001E-4</v>
      </c>
      <c r="N3025" s="249">
        <v>3024</v>
      </c>
    </row>
    <row r="3026" spans="1:14" x14ac:dyDescent="0.25">
      <c r="A3026" s="252" t="s">
        <v>74</v>
      </c>
      <c r="B3026" s="252" t="s">
        <v>6461</v>
      </c>
      <c r="C3026" s="253">
        <v>0</v>
      </c>
      <c r="D3026" s="252">
        <v>39792</v>
      </c>
      <c r="E3026" s="252" t="s">
        <v>3039</v>
      </c>
      <c r="F3026" s="254" t="s">
        <v>6906</v>
      </c>
      <c r="G3026" s="252" t="s">
        <v>1684</v>
      </c>
      <c r="H3026" s="252" t="s">
        <v>7212</v>
      </c>
      <c r="I3026" s="252">
        <v>5</v>
      </c>
      <c r="J3026" s="255">
        <v>1</v>
      </c>
      <c r="K3026" s="255">
        <v>1</v>
      </c>
      <c r="L3026" s="255"/>
      <c r="M3026" s="256">
        <v>1.35E-4</v>
      </c>
      <c r="N3026" s="249">
        <v>3025</v>
      </c>
    </row>
    <row r="3027" spans="1:14" x14ac:dyDescent="0.25">
      <c r="A3027" s="252" t="s">
        <v>74</v>
      </c>
      <c r="B3027" s="252" t="s">
        <v>6461</v>
      </c>
      <c r="C3027" s="253">
        <v>0</v>
      </c>
      <c r="D3027" s="252">
        <v>39792</v>
      </c>
      <c r="E3027" s="252" t="s">
        <v>3039</v>
      </c>
      <c r="F3027" s="254" t="s">
        <v>6906</v>
      </c>
      <c r="G3027" s="252" t="s">
        <v>7213</v>
      </c>
      <c r="H3027" s="252" t="s">
        <v>7214</v>
      </c>
      <c r="I3027" s="252">
        <v>5</v>
      </c>
      <c r="J3027" s="255">
        <v>1</v>
      </c>
      <c r="K3027" s="255">
        <v>1</v>
      </c>
      <c r="L3027" s="255"/>
      <c r="M3027" s="256">
        <v>5.7720000000000002E-3</v>
      </c>
      <c r="N3027" s="249">
        <v>3026</v>
      </c>
    </row>
    <row r="3028" spans="1:14" x14ac:dyDescent="0.25">
      <c r="A3028" s="252" t="s">
        <v>74</v>
      </c>
      <c r="B3028" s="252" t="s">
        <v>6461</v>
      </c>
      <c r="C3028" s="253">
        <v>0</v>
      </c>
      <c r="D3028" s="252">
        <v>39792</v>
      </c>
      <c r="E3028" s="252" t="s">
        <v>3039</v>
      </c>
      <c r="F3028" s="254" t="s">
        <v>6906</v>
      </c>
      <c r="G3028" s="252" t="s">
        <v>1687</v>
      </c>
      <c r="H3028" s="252" t="s">
        <v>7215</v>
      </c>
      <c r="I3028" s="252">
        <v>5</v>
      </c>
      <c r="J3028" s="255">
        <v>1</v>
      </c>
      <c r="K3028" s="255">
        <v>1</v>
      </c>
      <c r="L3028" s="255"/>
      <c r="M3028" s="256">
        <v>8.8199999999999997E-4</v>
      </c>
      <c r="N3028" s="249">
        <v>3027</v>
      </c>
    </row>
    <row r="3029" spans="1:14" x14ac:dyDescent="0.25">
      <c r="A3029" s="252" t="s">
        <v>74</v>
      </c>
      <c r="B3029" s="252" t="s">
        <v>6461</v>
      </c>
      <c r="C3029" s="253">
        <v>0</v>
      </c>
      <c r="D3029" s="252">
        <v>39792</v>
      </c>
      <c r="E3029" s="252" t="s">
        <v>3039</v>
      </c>
      <c r="F3029" s="254" t="s">
        <v>6906</v>
      </c>
      <c r="G3029" s="252" t="s">
        <v>1689</v>
      </c>
      <c r="H3029" s="252" t="s">
        <v>7216</v>
      </c>
      <c r="I3029" s="252">
        <v>5</v>
      </c>
      <c r="J3029" s="255">
        <v>1</v>
      </c>
      <c r="K3029" s="255">
        <v>1</v>
      </c>
      <c r="L3029" s="255"/>
      <c r="M3029" s="256">
        <v>3.2400000000000001E-4</v>
      </c>
      <c r="N3029" s="249">
        <v>3028</v>
      </c>
    </row>
    <row r="3030" spans="1:14" x14ac:dyDescent="0.25">
      <c r="A3030" s="252" t="s">
        <v>74</v>
      </c>
      <c r="B3030" s="252" t="s">
        <v>6461</v>
      </c>
      <c r="C3030" s="253">
        <v>0</v>
      </c>
      <c r="D3030" s="252">
        <v>39792</v>
      </c>
      <c r="E3030" s="252" t="s">
        <v>3039</v>
      </c>
      <c r="F3030" s="254" t="s">
        <v>6906</v>
      </c>
      <c r="G3030" s="252" t="s">
        <v>1690</v>
      </c>
      <c r="H3030" s="252" t="s">
        <v>7217</v>
      </c>
      <c r="I3030" s="252">
        <v>5</v>
      </c>
      <c r="J3030" s="255">
        <v>1</v>
      </c>
      <c r="K3030" s="255">
        <v>1</v>
      </c>
      <c r="L3030" s="255"/>
      <c r="M3030" s="256">
        <v>1.35E-4</v>
      </c>
      <c r="N3030" s="249">
        <v>3029</v>
      </c>
    </row>
    <row r="3031" spans="1:14" x14ac:dyDescent="0.25">
      <c r="A3031" s="252" t="s">
        <v>74</v>
      </c>
      <c r="B3031" s="252" t="s">
        <v>6461</v>
      </c>
      <c r="C3031" s="253">
        <v>0</v>
      </c>
      <c r="D3031" s="252">
        <v>39792</v>
      </c>
      <c r="E3031" s="252" t="s">
        <v>6502</v>
      </c>
      <c r="F3031" s="254" t="s">
        <v>6906</v>
      </c>
      <c r="G3031" s="252" t="s">
        <v>1691</v>
      </c>
      <c r="H3031" s="252" t="s">
        <v>7218</v>
      </c>
      <c r="I3031" s="252">
        <v>3</v>
      </c>
      <c r="J3031" s="255">
        <v>1</v>
      </c>
      <c r="K3031" s="255">
        <v>1</v>
      </c>
      <c r="L3031" s="255"/>
      <c r="M3031" s="256">
        <v>1.7999999999999998E-4</v>
      </c>
      <c r="N3031" s="249">
        <v>3030</v>
      </c>
    </row>
    <row r="3032" spans="1:14" x14ac:dyDescent="0.25">
      <c r="A3032" s="252" t="s">
        <v>74</v>
      </c>
      <c r="B3032" s="252" t="s">
        <v>6461</v>
      </c>
      <c r="C3032" s="253">
        <v>0</v>
      </c>
      <c r="D3032" s="252">
        <v>39792</v>
      </c>
      <c r="E3032" s="252" t="s">
        <v>6502</v>
      </c>
      <c r="F3032" s="254" t="s">
        <v>6906</v>
      </c>
      <c r="G3032" s="252" t="s">
        <v>1693</v>
      </c>
      <c r="H3032" s="252" t="s">
        <v>7219</v>
      </c>
      <c r="I3032" s="252">
        <v>3</v>
      </c>
      <c r="J3032" s="255">
        <v>1</v>
      </c>
      <c r="K3032" s="255">
        <v>1</v>
      </c>
      <c r="L3032" s="255"/>
      <c r="M3032" s="256">
        <v>1.7999999999999998E-4</v>
      </c>
      <c r="N3032" s="249">
        <v>3031</v>
      </c>
    </row>
    <row r="3033" spans="1:14" x14ac:dyDescent="0.25">
      <c r="A3033" s="252" t="s">
        <v>74</v>
      </c>
      <c r="B3033" s="252" t="s">
        <v>6461</v>
      </c>
      <c r="C3033" s="253">
        <v>0</v>
      </c>
      <c r="D3033" s="252">
        <v>39792</v>
      </c>
      <c r="E3033" s="252" t="s">
        <v>6502</v>
      </c>
      <c r="F3033" s="254" t="s">
        <v>6906</v>
      </c>
      <c r="G3033" s="252" t="s">
        <v>7220</v>
      </c>
      <c r="H3033" s="252" t="s">
        <v>7221</v>
      </c>
      <c r="I3033" s="252">
        <v>3</v>
      </c>
      <c r="J3033" s="255">
        <v>1</v>
      </c>
      <c r="K3033" s="255">
        <v>1</v>
      </c>
      <c r="L3033" s="255"/>
      <c r="M3033" s="256">
        <v>1.488E-3</v>
      </c>
      <c r="N3033" s="249">
        <v>3032</v>
      </c>
    </row>
    <row r="3034" spans="1:14" x14ac:dyDescent="0.25">
      <c r="A3034" s="252" t="s">
        <v>74</v>
      </c>
      <c r="B3034" s="252" t="s">
        <v>6461</v>
      </c>
      <c r="C3034" s="253">
        <v>0</v>
      </c>
      <c r="D3034" s="252">
        <v>39792</v>
      </c>
      <c r="E3034" s="252" t="s">
        <v>3039</v>
      </c>
      <c r="F3034" s="254" t="s">
        <v>6906</v>
      </c>
      <c r="G3034" s="252" t="s">
        <v>1694</v>
      </c>
      <c r="H3034" s="252" t="s">
        <v>7222</v>
      </c>
      <c r="I3034" s="252">
        <v>5</v>
      </c>
      <c r="J3034" s="255">
        <v>1</v>
      </c>
      <c r="K3034" s="255">
        <v>1</v>
      </c>
      <c r="L3034" s="255"/>
      <c r="M3034" s="256">
        <v>3.1349999999999998E-3</v>
      </c>
      <c r="N3034" s="249">
        <v>3033</v>
      </c>
    </row>
    <row r="3035" spans="1:14" x14ac:dyDescent="0.25">
      <c r="A3035" s="252" t="s">
        <v>74</v>
      </c>
      <c r="B3035" s="252" t="s">
        <v>6461</v>
      </c>
      <c r="C3035" s="253">
        <v>0</v>
      </c>
      <c r="D3035" s="252">
        <v>39792</v>
      </c>
      <c r="E3035" s="252" t="s">
        <v>3039</v>
      </c>
      <c r="F3035" s="254" t="s">
        <v>6906</v>
      </c>
      <c r="G3035" s="252" t="s">
        <v>1696</v>
      </c>
      <c r="H3035" s="252" t="s">
        <v>7223</v>
      </c>
      <c r="I3035" s="252">
        <v>5</v>
      </c>
      <c r="J3035" s="255">
        <v>1</v>
      </c>
      <c r="K3035" s="255">
        <v>1</v>
      </c>
      <c r="L3035" s="255"/>
      <c r="M3035" s="256">
        <v>3.8999999999999999E-4</v>
      </c>
      <c r="N3035" s="249">
        <v>3034</v>
      </c>
    </row>
    <row r="3036" spans="1:14" x14ac:dyDescent="0.25">
      <c r="A3036" s="252" t="s">
        <v>74</v>
      </c>
      <c r="B3036" s="252" t="s">
        <v>6461</v>
      </c>
      <c r="C3036" s="253">
        <v>0</v>
      </c>
      <c r="D3036" s="252">
        <v>39792</v>
      </c>
      <c r="E3036" s="252" t="s">
        <v>3039</v>
      </c>
      <c r="F3036" s="254" t="s">
        <v>6906</v>
      </c>
      <c r="G3036" s="252" t="s">
        <v>1697</v>
      </c>
      <c r="H3036" s="252" t="s">
        <v>7224</v>
      </c>
      <c r="I3036" s="252">
        <v>5</v>
      </c>
      <c r="J3036" s="255">
        <v>1</v>
      </c>
      <c r="K3036" s="255">
        <v>1</v>
      </c>
      <c r="L3036" s="255"/>
      <c r="M3036" s="256">
        <v>3.8999999999999999E-4</v>
      </c>
      <c r="N3036" s="249">
        <v>3035</v>
      </c>
    </row>
    <row r="3037" spans="1:14" x14ac:dyDescent="0.25">
      <c r="A3037" s="252" t="s">
        <v>74</v>
      </c>
      <c r="B3037" s="252" t="s">
        <v>6461</v>
      </c>
      <c r="C3037" s="253">
        <v>0</v>
      </c>
      <c r="D3037" s="252">
        <v>39792</v>
      </c>
      <c r="E3037" s="252" t="s">
        <v>3039</v>
      </c>
      <c r="F3037" s="254" t="s">
        <v>6906</v>
      </c>
      <c r="G3037" s="252" t="s">
        <v>1698</v>
      </c>
      <c r="H3037" s="252" t="s">
        <v>7225</v>
      </c>
      <c r="I3037" s="252">
        <v>5</v>
      </c>
      <c r="J3037" s="255">
        <v>1</v>
      </c>
      <c r="K3037" s="255">
        <v>1</v>
      </c>
      <c r="L3037" s="255"/>
      <c r="M3037" s="256">
        <v>1.35E-4</v>
      </c>
      <c r="N3037" s="249">
        <v>3036</v>
      </c>
    </row>
    <row r="3038" spans="1:14" x14ac:dyDescent="0.25">
      <c r="A3038" s="252" t="s">
        <v>74</v>
      </c>
      <c r="B3038" s="252" t="s">
        <v>6461</v>
      </c>
      <c r="C3038" s="253">
        <v>0</v>
      </c>
      <c r="D3038" s="252">
        <v>39792</v>
      </c>
      <c r="E3038" s="252" t="s">
        <v>3039</v>
      </c>
      <c r="F3038" s="254" t="s">
        <v>6906</v>
      </c>
      <c r="G3038" s="252" t="s">
        <v>1699</v>
      </c>
      <c r="H3038" s="252" t="s">
        <v>7226</v>
      </c>
      <c r="I3038" s="252">
        <v>5</v>
      </c>
      <c r="J3038" s="255">
        <v>1</v>
      </c>
      <c r="K3038" s="255">
        <v>1</v>
      </c>
      <c r="L3038" s="255"/>
      <c r="M3038" s="256">
        <v>2.349E-3</v>
      </c>
      <c r="N3038" s="249">
        <v>3037</v>
      </c>
    </row>
    <row r="3039" spans="1:14" x14ac:dyDescent="0.25">
      <c r="A3039" s="252" t="s">
        <v>74</v>
      </c>
      <c r="B3039" s="252" t="s">
        <v>6461</v>
      </c>
      <c r="C3039" s="253">
        <v>0</v>
      </c>
      <c r="D3039" s="252">
        <v>39792</v>
      </c>
      <c r="E3039" s="252" t="s">
        <v>3039</v>
      </c>
      <c r="F3039" s="254" t="s">
        <v>6906</v>
      </c>
      <c r="G3039" s="252" t="s">
        <v>1701</v>
      </c>
      <c r="H3039" s="252" t="s">
        <v>7227</v>
      </c>
      <c r="I3039" s="252">
        <v>5</v>
      </c>
      <c r="J3039" s="255">
        <v>1</v>
      </c>
      <c r="K3039" s="255">
        <v>1</v>
      </c>
      <c r="L3039" s="255"/>
      <c r="M3039" s="256">
        <v>3.8999999999999999E-4</v>
      </c>
      <c r="N3039" s="249">
        <v>3038</v>
      </c>
    </row>
    <row r="3040" spans="1:14" x14ac:dyDescent="0.25">
      <c r="A3040" s="252" t="s">
        <v>74</v>
      </c>
      <c r="B3040" s="252" t="s">
        <v>6461</v>
      </c>
      <c r="C3040" s="253">
        <v>0</v>
      </c>
      <c r="D3040" s="252">
        <v>39792</v>
      </c>
      <c r="E3040" s="252" t="s">
        <v>3039</v>
      </c>
      <c r="F3040" s="254" t="s">
        <v>6906</v>
      </c>
      <c r="G3040" s="252" t="s">
        <v>1702</v>
      </c>
      <c r="H3040" s="252" t="s">
        <v>7228</v>
      </c>
      <c r="I3040" s="252">
        <v>5</v>
      </c>
      <c r="J3040" s="255">
        <v>1</v>
      </c>
      <c r="K3040" s="255">
        <v>1</v>
      </c>
      <c r="L3040" s="255"/>
      <c r="M3040" s="256">
        <v>1.35E-4</v>
      </c>
      <c r="N3040" s="249">
        <v>3039</v>
      </c>
    </row>
    <row r="3041" spans="1:14" x14ac:dyDescent="0.25">
      <c r="A3041" s="252" t="s">
        <v>74</v>
      </c>
      <c r="B3041" s="252" t="s">
        <v>6461</v>
      </c>
      <c r="C3041" s="253">
        <v>0</v>
      </c>
      <c r="D3041" s="252">
        <v>39792</v>
      </c>
      <c r="E3041" s="252" t="s">
        <v>3039</v>
      </c>
      <c r="F3041" s="254" t="s">
        <v>6906</v>
      </c>
      <c r="G3041" s="252" t="s">
        <v>2240</v>
      </c>
      <c r="H3041" s="252" t="s">
        <v>7229</v>
      </c>
      <c r="I3041" s="252">
        <v>5</v>
      </c>
      <c r="J3041" s="255">
        <v>1</v>
      </c>
      <c r="K3041" s="255">
        <v>1</v>
      </c>
      <c r="L3041" s="255"/>
      <c r="M3041" s="256">
        <v>5.7629999999999999E-3</v>
      </c>
      <c r="N3041" s="249">
        <v>3040</v>
      </c>
    </row>
    <row r="3042" spans="1:14" x14ac:dyDescent="0.25">
      <c r="A3042" s="252" t="s">
        <v>74</v>
      </c>
      <c r="B3042" s="252" t="s">
        <v>6461</v>
      </c>
      <c r="C3042" s="253">
        <v>0</v>
      </c>
      <c r="D3042" s="252">
        <v>39792</v>
      </c>
      <c r="E3042" s="252" t="s">
        <v>3039</v>
      </c>
      <c r="F3042" s="254" t="s">
        <v>7230</v>
      </c>
      <c r="G3042" s="252" t="s">
        <v>1705</v>
      </c>
      <c r="H3042" s="252" t="s">
        <v>7231</v>
      </c>
      <c r="I3042" s="252">
        <v>5</v>
      </c>
      <c r="J3042" s="255">
        <v>1</v>
      </c>
      <c r="K3042" s="255">
        <v>1</v>
      </c>
      <c r="L3042" s="255"/>
      <c r="M3042" s="256">
        <v>1.92E-3</v>
      </c>
      <c r="N3042" s="249">
        <v>3041</v>
      </c>
    </row>
    <row r="3043" spans="1:14" x14ac:dyDescent="0.25">
      <c r="A3043" s="252" t="s">
        <v>74</v>
      </c>
      <c r="B3043" s="252" t="s">
        <v>6461</v>
      </c>
      <c r="C3043" s="253">
        <v>0</v>
      </c>
      <c r="D3043" s="252">
        <v>39792</v>
      </c>
      <c r="E3043" s="252" t="s">
        <v>3039</v>
      </c>
      <c r="F3043" s="254" t="s">
        <v>7230</v>
      </c>
      <c r="G3043" s="252" t="s">
        <v>1707</v>
      </c>
      <c r="H3043" s="252" t="s">
        <v>7232</v>
      </c>
      <c r="I3043" s="252">
        <v>5</v>
      </c>
      <c r="J3043" s="255">
        <v>1</v>
      </c>
      <c r="K3043" s="255">
        <v>1</v>
      </c>
      <c r="L3043" s="255"/>
      <c r="M3043" s="256">
        <v>1.35E-4</v>
      </c>
      <c r="N3043" s="249">
        <v>3042</v>
      </c>
    </row>
    <row r="3044" spans="1:14" x14ac:dyDescent="0.25">
      <c r="A3044" s="252" t="s">
        <v>74</v>
      </c>
      <c r="B3044" s="252" t="s">
        <v>6461</v>
      </c>
      <c r="C3044" s="253">
        <v>0</v>
      </c>
      <c r="D3044" s="252">
        <v>39792</v>
      </c>
      <c r="E3044" s="252" t="s">
        <v>3039</v>
      </c>
      <c r="F3044" s="254" t="s">
        <v>7230</v>
      </c>
      <c r="G3044" s="252" t="s">
        <v>1708</v>
      </c>
      <c r="H3044" s="252" t="s">
        <v>7233</v>
      </c>
      <c r="I3044" s="252">
        <v>5</v>
      </c>
      <c r="J3044" s="255">
        <v>1</v>
      </c>
      <c r="K3044" s="255">
        <v>1</v>
      </c>
      <c r="L3044" s="255"/>
      <c r="M3044" s="256">
        <v>1.3008E-2</v>
      </c>
      <c r="N3044" s="249">
        <v>3043</v>
      </c>
    </row>
    <row r="3045" spans="1:14" x14ac:dyDescent="0.25">
      <c r="A3045" s="252" t="s">
        <v>74</v>
      </c>
      <c r="B3045" s="252" t="s">
        <v>6461</v>
      </c>
      <c r="C3045" s="253">
        <v>0</v>
      </c>
      <c r="D3045" s="252">
        <v>39792</v>
      </c>
      <c r="E3045" s="252" t="s">
        <v>3039</v>
      </c>
      <c r="F3045" s="254" t="s">
        <v>7230</v>
      </c>
      <c r="G3045" s="252" t="s">
        <v>1710</v>
      </c>
      <c r="H3045" s="252" t="s">
        <v>7234</v>
      </c>
      <c r="I3045" s="252">
        <v>5</v>
      </c>
      <c r="J3045" s="255">
        <v>1</v>
      </c>
      <c r="K3045" s="255">
        <v>1</v>
      </c>
      <c r="L3045" s="255"/>
      <c r="M3045" s="256">
        <v>3.8999999999999999E-4</v>
      </c>
      <c r="N3045" s="249">
        <v>3044</v>
      </c>
    </row>
    <row r="3046" spans="1:14" x14ac:dyDescent="0.25">
      <c r="A3046" s="252" t="s">
        <v>74</v>
      </c>
      <c r="B3046" s="252" t="s">
        <v>6461</v>
      </c>
      <c r="C3046" s="253">
        <v>0</v>
      </c>
      <c r="D3046" s="252">
        <v>39792</v>
      </c>
      <c r="E3046" s="252" t="s">
        <v>3039</v>
      </c>
      <c r="F3046" s="254" t="s">
        <v>7230</v>
      </c>
      <c r="G3046" s="252" t="s">
        <v>1711</v>
      </c>
      <c r="H3046" s="252" t="s">
        <v>7235</v>
      </c>
      <c r="I3046" s="252">
        <v>5</v>
      </c>
      <c r="J3046" s="255">
        <v>1</v>
      </c>
      <c r="K3046" s="255">
        <v>1</v>
      </c>
      <c r="L3046" s="255"/>
      <c r="M3046" s="256">
        <v>3.8999999999999999E-4</v>
      </c>
      <c r="N3046" s="249">
        <v>3045</v>
      </c>
    </row>
    <row r="3047" spans="1:14" x14ac:dyDescent="0.25">
      <c r="A3047" s="252" t="s">
        <v>74</v>
      </c>
      <c r="B3047" s="252" t="s">
        <v>6461</v>
      </c>
      <c r="C3047" s="253">
        <v>0</v>
      </c>
      <c r="D3047" s="252">
        <v>39792</v>
      </c>
      <c r="E3047" s="252" t="s">
        <v>3039</v>
      </c>
      <c r="F3047" s="254" t="s">
        <v>7230</v>
      </c>
      <c r="G3047" s="252" t="s">
        <v>1712</v>
      </c>
      <c r="H3047" s="252" t="s">
        <v>7236</v>
      </c>
      <c r="I3047" s="252">
        <v>5</v>
      </c>
      <c r="J3047" s="255">
        <v>1</v>
      </c>
      <c r="K3047" s="255">
        <v>1</v>
      </c>
      <c r="L3047" s="255"/>
      <c r="M3047" s="256">
        <v>1.35E-4</v>
      </c>
      <c r="N3047" s="249">
        <v>3046</v>
      </c>
    </row>
    <row r="3048" spans="1:14" x14ac:dyDescent="0.25">
      <c r="A3048" s="252" t="s">
        <v>74</v>
      </c>
      <c r="B3048" s="252" t="s">
        <v>6461</v>
      </c>
      <c r="C3048" s="253">
        <v>0</v>
      </c>
      <c r="D3048" s="252">
        <v>39792</v>
      </c>
      <c r="E3048" s="252" t="s">
        <v>3039</v>
      </c>
      <c r="F3048" s="254" t="s">
        <v>7230</v>
      </c>
      <c r="G3048" s="252" t="s">
        <v>7237</v>
      </c>
      <c r="H3048" s="252" t="s">
        <v>7238</v>
      </c>
      <c r="I3048" s="252">
        <v>5</v>
      </c>
      <c r="J3048" s="255">
        <v>1</v>
      </c>
      <c r="K3048" s="255">
        <v>1</v>
      </c>
      <c r="L3048" s="255"/>
      <c r="M3048" s="256">
        <v>1.3008E-2</v>
      </c>
      <c r="N3048" s="249">
        <v>3047</v>
      </c>
    </row>
    <row r="3049" spans="1:14" x14ac:dyDescent="0.25">
      <c r="A3049" s="252" t="s">
        <v>74</v>
      </c>
      <c r="B3049" s="252" t="s">
        <v>6461</v>
      </c>
      <c r="C3049" s="253">
        <v>0</v>
      </c>
      <c r="D3049" s="252">
        <v>39792</v>
      </c>
      <c r="E3049" s="252" t="s">
        <v>3039</v>
      </c>
      <c r="F3049" s="254" t="s">
        <v>7230</v>
      </c>
      <c r="G3049" s="252" t="s">
        <v>7239</v>
      </c>
      <c r="H3049" s="252" t="s">
        <v>7240</v>
      </c>
      <c r="I3049" s="252">
        <v>5</v>
      </c>
      <c r="J3049" s="255">
        <v>1</v>
      </c>
      <c r="K3049" s="255">
        <v>1</v>
      </c>
      <c r="L3049" s="255"/>
      <c r="M3049" s="256">
        <v>3.8999999999999999E-4</v>
      </c>
      <c r="N3049" s="249">
        <v>3048</v>
      </c>
    </row>
    <row r="3050" spans="1:14" x14ac:dyDescent="0.25">
      <c r="A3050" s="252" t="s">
        <v>74</v>
      </c>
      <c r="B3050" s="252" t="s">
        <v>6461</v>
      </c>
      <c r="C3050" s="253">
        <v>0</v>
      </c>
      <c r="D3050" s="252">
        <v>39792</v>
      </c>
      <c r="E3050" s="252" t="s">
        <v>3039</v>
      </c>
      <c r="F3050" s="254" t="s">
        <v>7230</v>
      </c>
      <c r="G3050" s="252" t="s">
        <v>7241</v>
      </c>
      <c r="H3050" s="252" t="s">
        <v>7242</v>
      </c>
      <c r="I3050" s="252">
        <v>5</v>
      </c>
      <c r="J3050" s="255">
        <v>1</v>
      </c>
      <c r="K3050" s="255">
        <v>1</v>
      </c>
      <c r="L3050" s="255"/>
      <c r="M3050" s="256">
        <v>3.8999999999999999E-4</v>
      </c>
      <c r="N3050" s="249">
        <v>3049</v>
      </c>
    </row>
    <row r="3051" spans="1:14" x14ac:dyDescent="0.25">
      <c r="A3051" s="252" t="s">
        <v>74</v>
      </c>
      <c r="B3051" s="252" t="s">
        <v>6461</v>
      </c>
      <c r="C3051" s="253">
        <v>0</v>
      </c>
      <c r="D3051" s="252">
        <v>39792</v>
      </c>
      <c r="E3051" s="252" t="s">
        <v>3039</v>
      </c>
      <c r="F3051" s="254" t="s">
        <v>7230</v>
      </c>
      <c r="G3051" s="252" t="s">
        <v>7243</v>
      </c>
      <c r="H3051" s="252" t="s">
        <v>7244</v>
      </c>
      <c r="I3051" s="252">
        <v>5</v>
      </c>
      <c r="J3051" s="255">
        <v>1</v>
      </c>
      <c r="K3051" s="255">
        <v>1</v>
      </c>
      <c r="L3051" s="255"/>
      <c r="M3051" s="256">
        <v>1.35E-4</v>
      </c>
      <c r="N3051" s="249">
        <v>3050</v>
      </c>
    </row>
    <row r="3052" spans="1:14" x14ac:dyDescent="0.25">
      <c r="A3052" s="252" t="s">
        <v>74</v>
      </c>
      <c r="B3052" s="252" t="s">
        <v>6461</v>
      </c>
      <c r="C3052" s="253">
        <v>0</v>
      </c>
      <c r="D3052" s="252">
        <v>39792</v>
      </c>
      <c r="E3052" s="252" t="s">
        <v>3039</v>
      </c>
      <c r="F3052" s="254" t="s">
        <v>7230</v>
      </c>
      <c r="G3052" s="252" t="s">
        <v>7245</v>
      </c>
      <c r="H3052" s="252" t="s">
        <v>7246</v>
      </c>
      <c r="I3052" s="252">
        <v>5</v>
      </c>
      <c r="J3052" s="255">
        <v>1</v>
      </c>
      <c r="K3052" s="255">
        <v>1</v>
      </c>
      <c r="L3052" s="255"/>
      <c r="M3052" s="256">
        <v>1.35E-4</v>
      </c>
      <c r="N3052" s="249">
        <v>3051</v>
      </c>
    </row>
    <row r="3053" spans="1:14" x14ac:dyDescent="0.25">
      <c r="A3053" s="252" t="s">
        <v>74</v>
      </c>
      <c r="B3053" s="252" t="s">
        <v>6461</v>
      </c>
      <c r="C3053" s="253">
        <v>0</v>
      </c>
      <c r="D3053" s="252">
        <v>39792</v>
      </c>
      <c r="E3053" s="252" t="s">
        <v>3039</v>
      </c>
      <c r="F3053" s="254" t="s">
        <v>7230</v>
      </c>
      <c r="G3053" s="252" t="s">
        <v>7247</v>
      </c>
      <c r="H3053" s="252" t="s">
        <v>7248</v>
      </c>
      <c r="I3053" s="252">
        <v>5</v>
      </c>
      <c r="J3053" s="255">
        <v>1</v>
      </c>
      <c r="K3053" s="255">
        <v>1</v>
      </c>
      <c r="L3053" s="255"/>
      <c r="M3053" s="256">
        <v>4.736999999999999E-3</v>
      </c>
      <c r="N3053" s="249">
        <v>3052</v>
      </c>
    </row>
    <row r="3054" spans="1:14" x14ac:dyDescent="0.25">
      <c r="A3054" s="252" t="s">
        <v>74</v>
      </c>
      <c r="B3054" s="252" t="s">
        <v>6461</v>
      </c>
      <c r="C3054" s="253">
        <v>0</v>
      </c>
      <c r="D3054" s="252">
        <v>39792</v>
      </c>
      <c r="E3054" s="252" t="s">
        <v>3039</v>
      </c>
      <c r="F3054" s="254" t="s">
        <v>7230</v>
      </c>
      <c r="G3054" s="252" t="s">
        <v>7249</v>
      </c>
      <c r="H3054" s="252" t="s">
        <v>7250</v>
      </c>
      <c r="I3054" s="252">
        <v>5</v>
      </c>
      <c r="J3054" s="255">
        <v>1</v>
      </c>
      <c r="K3054" s="255">
        <v>1</v>
      </c>
      <c r="L3054" s="255"/>
      <c r="M3054" s="256">
        <v>3.8999999999999999E-4</v>
      </c>
      <c r="N3054" s="249">
        <v>3053</v>
      </c>
    </row>
    <row r="3055" spans="1:14" x14ac:dyDescent="0.25">
      <c r="A3055" s="252" t="s">
        <v>74</v>
      </c>
      <c r="B3055" s="252" t="s">
        <v>6461</v>
      </c>
      <c r="C3055" s="253">
        <v>0</v>
      </c>
      <c r="D3055" s="252">
        <v>39792</v>
      </c>
      <c r="E3055" s="252" t="s">
        <v>3039</v>
      </c>
      <c r="F3055" s="254" t="s">
        <v>7230</v>
      </c>
      <c r="G3055" s="252" t="s">
        <v>7251</v>
      </c>
      <c r="H3055" s="252" t="s">
        <v>7252</v>
      </c>
      <c r="I3055" s="252">
        <v>5</v>
      </c>
      <c r="J3055" s="255">
        <v>1</v>
      </c>
      <c r="K3055" s="255">
        <v>1</v>
      </c>
      <c r="L3055" s="255"/>
      <c r="M3055" s="256">
        <v>3.8700000000000003E-4</v>
      </c>
      <c r="N3055" s="249">
        <v>3054</v>
      </c>
    </row>
    <row r="3056" spans="1:14" x14ac:dyDescent="0.25">
      <c r="A3056" s="252" t="s">
        <v>74</v>
      </c>
      <c r="B3056" s="252" t="s">
        <v>6461</v>
      </c>
      <c r="C3056" s="253">
        <v>0</v>
      </c>
      <c r="D3056" s="252">
        <v>39792</v>
      </c>
      <c r="E3056" s="252" t="s">
        <v>3039</v>
      </c>
      <c r="F3056" s="254" t="s">
        <v>7230</v>
      </c>
      <c r="G3056" s="252" t="s">
        <v>7253</v>
      </c>
      <c r="H3056" s="252" t="s">
        <v>7254</v>
      </c>
      <c r="I3056" s="252">
        <v>5</v>
      </c>
      <c r="J3056" s="255">
        <v>1</v>
      </c>
      <c r="K3056" s="255">
        <v>1</v>
      </c>
      <c r="L3056" s="255"/>
      <c r="M3056" s="256">
        <v>1.35E-4</v>
      </c>
      <c r="N3056" s="249">
        <v>3055</v>
      </c>
    </row>
    <row r="3057" spans="1:14" x14ac:dyDescent="0.25">
      <c r="A3057" s="252" t="s">
        <v>74</v>
      </c>
      <c r="B3057" s="252" t="s">
        <v>6461</v>
      </c>
      <c r="C3057" s="253">
        <v>0</v>
      </c>
      <c r="D3057" s="252">
        <v>39792</v>
      </c>
      <c r="E3057" s="252" t="s">
        <v>3039</v>
      </c>
      <c r="F3057" s="254" t="s">
        <v>7230</v>
      </c>
      <c r="G3057" s="252" t="s">
        <v>7255</v>
      </c>
      <c r="H3057" s="252" t="s">
        <v>7256</v>
      </c>
      <c r="I3057" s="252">
        <v>5</v>
      </c>
      <c r="J3057" s="255">
        <v>1</v>
      </c>
      <c r="K3057" s="255">
        <v>1</v>
      </c>
      <c r="L3057" s="255"/>
      <c r="M3057" s="256">
        <v>1.35E-4</v>
      </c>
      <c r="N3057" s="249">
        <v>3056</v>
      </c>
    </row>
    <row r="3058" spans="1:14" x14ac:dyDescent="0.25">
      <c r="A3058" s="252" t="s">
        <v>74</v>
      </c>
      <c r="B3058" s="252" t="s">
        <v>6461</v>
      </c>
      <c r="C3058" s="253">
        <v>0</v>
      </c>
      <c r="D3058" s="252">
        <v>39792</v>
      </c>
      <c r="E3058" s="252" t="s">
        <v>6502</v>
      </c>
      <c r="F3058" s="254" t="s">
        <v>7230</v>
      </c>
      <c r="G3058" s="252" t="s">
        <v>2241</v>
      </c>
      <c r="H3058" s="252" t="s">
        <v>7257</v>
      </c>
      <c r="I3058" s="252">
        <v>3</v>
      </c>
      <c r="J3058" s="255">
        <v>1</v>
      </c>
      <c r="K3058" s="255">
        <v>1</v>
      </c>
      <c r="L3058" s="255"/>
      <c r="M3058" s="256">
        <v>1.7999999999999998E-4</v>
      </c>
      <c r="N3058" s="249">
        <v>3057</v>
      </c>
    </row>
    <row r="3059" spans="1:14" x14ac:dyDescent="0.25">
      <c r="A3059" s="252" t="s">
        <v>74</v>
      </c>
      <c r="B3059" s="252" t="s">
        <v>6461</v>
      </c>
      <c r="C3059" s="253">
        <v>0</v>
      </c>
      <c r="D3059" s="252">
        <v>39792</v>
      </c>
      <c r="E3059" s="252" t="s">
        <v>6502</v>
      </c>
      <c r="F3059" s="254" t="s">
        <v>7230</v>
      </c>
      <c r="G3059" s="252" t="s">
        <v>7258</v>
      </c>
      <c r="H3059" s="252" t="s">
        <v>7259</v>
      </c>
      <c r="I3059" s="252">
        <v>3</v>
      </c>
      <c r="J3059" s="255">
        <v>1</v>
      </c>
      <c r="K3059" s="255">
        <v>1</v>
      </c>
      <c r="L3059" s="255"/>
      <c r="M3059" s="256">
        <v>4.6740000000000002E-3</v>
      </c>
      <c r="N3059" s="249">
        <v>3058</v>
      </c>
    </row>
    <row r="3060" spans="1:14" x14ac:dyDescent="0.25">
      <c r="A3060" s="252" t="s">
        <v>74</v>
      </c>
      <c r="B3060" s="252" t="s">
        <v>6461</v>
      </c>
      <c r="C3060" s="253">
        <v>0</v>
      </c>
      <c r="D3060" s="252">
        <v>39792</v>
      </c>
      <c r="E3060" s="252" t="s">
        <v>6502</v>
      </c>
      <c r="F3060" s="254" t="s">
        <v>7230</v>
      </c>
      <c r="G3060" s="252" t="s">
        <v>7260</v>
      </c>
      <c r="H3060" s="252" t="s">
        <v>7261</v>
      </c>
      <c r="I3060" s="252">
        <v>3</v>
      </c>
      <c r="J3060" s="255">
        <v>1</v>
      </c>
      <c r="K3060" s="255">
        <v>1</v>
      </c>
      <c r="L3060" s="255"/>
      <c r="M3060" s="256">
        <v>1.7999999999999998E-4</v>
      </c>
      <c r="N3060" s="249">
        <v>3059</v>
      </c>
    </row>
    <row r="3061" spans="1:14" x14ac:dyDescent="0.25">
      <c r="A3061" s="252" t="s">
        <v>74</v>
      </c>
      <c r="B3061" s="252" t="s">
        <v>6461</v>
      </c>
      <c r="C3061" s="253">
        <v>0</v>
      </c>
      <c r="D3061" s="252">
        <v>39792</v>
      </c>
      <c r="E3061" s="252" t="s">
        <v>1591</v>
      </c>
      <c r="F3061" s="254" t="s">
        <v>7230</v>
      </c>
      <c r="G3061" s="252" t="s">
        <v>2244</v>
      </c>
      <c r="H3061" s="252" t="s">
        <v>7262</v>
      </c>
      <c r="I3061" s="252">
        <v>5</v>
      </c>
      <c r="J3061" s="255">
        <v>1</v>
      </c>
      <c r="K3061" s="255">
        <v>1</v>
      </c>
      <c r="L3061" s="255"/>
      <c r="M3061" s="256">
        <v>1.6200000000000001E-4</v>
      </c>
      <c r="N3061" s="249">
        <v>3060</v>
      </c>
    </row>
    <row r="3062" spans="1:14" x14ac:dyDescent="0.25">
      <c r="A3062" s="252" t="s">
        <v>74</v>
      </c>
      <c r="B3062" s="252" t="s">
        <v>6461</v>
      </c>
      <c r="C3062" s="253">
        <v>0</v>
      </c>
      <c r="D3062" s="252">
        <v>39792</v>
      </c>
      <c r="E3062" s="252" t="s">
        <v>1591</v>
      </c>
      <c r="F3062" s="254" t="s">
        <v>7230</v>
      </c>
      <c r="G3062" s="252" t="s">
        <v>2246</v>
      </c>
      <c r="H3062" s="252" t="s">
        <v>7263</v>
      </c>
      <c r="I3062" s="252">
        <v>5</v>
      </c>
      <c r="J3062" s="255">
        <v>1</v>
      </c>
      <c r="K3062" s="255">
        <v>1</v>
      </c>
      <c r="L3062" s="255"/>
      <c r="M3062" s="256">
        <v>1.6200000000000001E-4</v>
      </c>
      <c r="N3062" s="249">
        <v>3061</v>
      </c>
    </row>
    <row r="3063" spans="1:14" x14ac:dyDescent="0.25">
      <c r="A3063" s="252" t="s">
        <v>74</v>
      </c>
      <c r="B3063" s="252" t="s">
        <v>6461</v>
      </c>
      <c r="C3063" s="253">
        <v>0</v>
      </c>
      <c r="D3063" s="252">
        <v>39792</v>
      </c>
      <c r="E3063" s="252" t="s">
        <v>1591</v>
      </c>
      <c r="F3063" s="254" t="s">
        <v>7230</v>
      </c>
      <c r="G3063" s="252" t="s">
        <v>2247</v>
      </c>
      <c r="H3063" s="252" t="s">
        <v>7264</v>
      </c>
      <c r="I3063" s="252">
        <v>5</v>
      </c>
      <c r="J3063" s="255">
        <v>1</v>
      </c>
      <c r="K3063" s="255">
        <v>1</v>
      </c>
      <c r="L3063" s="255"/>
      <c r="M3063" s="256">
        <v>5.5800000000000001E-4</v>
      </c>
      <c r="N3063" s="249">
        <v>3062</v>
      </c>
    </row>
    <row r="3064" spans="1:14" x14ac:dyDescent="0.25">
      <c r="A3064" s="252" t="s">
        <v>74</v>
      </c>
      <c r="B3064" s="252" t="s">
        <v>6461</v>
      </c>
      <c r="C3064" s="253">
        <v>0</v>
      </c>
      <c r="D3064" s="252">
        <v>39792</v>
      </c>
      <c r="E3064" s="252" t="s">
        <v>1591</v>
      </c>
      <c r="F3064" s="254" t="s">
        <v>7230</v>
      </c>
      <c r="G3064" s="252" t="s">
        <v>2249</v>
      </c>
      <c r="H3064" s="252" t="s">
        <v>7265</v>
      </c>
      <c r="I3064" s="252">
        <v>5</v>
      </c>
      <c r="J3064" s="255">
        <v>1</v>
      </c>
      <c r="K3064" s="255">
        <v>1</v>
      </c>
      <c r="L3064" s="255"/>
      <c r="M3064" s="256">
        <v>6.1499999999999988E-4</v>
      </c>
      <c r="N3064" s="249">
        <v>3063</v>
      </c>
    </row>
    <row r="3065" spans="1:14" x14ac:dyDescent="0.25">
      <c r="A3065" s="252" t="s">
        <v>74</v>
      </c>
      <c r="B3065" s="252" t="s">
        <v>6461</v>
      </c>
      <c r="C3065" s="253">
        <v>0</v>
      </c>
      <c r="D3065" s="252">
        <v>39792</v>
      </c>
      <c r="E3065" s="252" t="s">
        <v>3039</v>
      </c>
      <c r="F3065" s="254" t="s">
        <v>7230</v>
      </c>
      <c r="G3065" s="252" t="s">
        <v>7266</v>
      </c>
      <c r="H3065" s="252" t="s">
        <v>7267</v>
      </c>
      <c r="I3065" s="252">
        <v>5</v>
      </c>
      <c r="J3065" s="255">
        <v>1</v>
      </c>
      <c r="K3065" s="255">
        <v>1</v>
      </c>
      <c r="L3065" s="255"/>
      <c r="M3065" s="256">
        <v>5.7329999999999994E-3</v>
      </c>
      <c r="N3065" s="249">
        <v>3064</v>
      </c>
    </row>
    <row r="3066" spans="1:14" x14ac:dyDescent="0.25">
      <c r="A3066" s="252" t="s">
        <v>74</v>
      </c>
      <c r="B3066" s="252" t="s">
        <v>6461</v>
      </c>
      <c r="C3066" s="253">
        <v>0</v>
      </c>
      <c r="D3066" s="252">
        <v>39792</v>
      </c>
      <c r="E3066" s="252" t="s">
        <v>6502</v>
      </c>
      <c r="F3066" s="254" t="s">
        <v>7230</v>
      </c>
      <c r="G3066" s="252" t="s">
        <v>2271</v>
      </c>
      <c r="H3066" s="252" t="s">
        <v>7268</v>
      </c>
      <c r="I3066" s="252">
        <v>3</v>
      </c>
      <c r="J3066" s="255">
        <v>1</v>
      </c>
      <c r="K3066" s="255">
        <v>1</v>
      </c>
      <c r="L3066" s="255"/>
      <c r="M3066" s="256">
        <v>1.7999999999999998E-4</v>
      </c>
      <c r="N3066" s="249">
        <v>3065</v>
      </c>
    </row>
    <row r="3067" spans="1:14" x14ac:dyDescent="0.25">
      <c r="A3067" s="252" t="s">
        <v>74</v>
      </c>
      <c r="B3067" s="252" t="s">
        <v>6461</v>
      </c>
      <c r="C3067" s="253">
        <v>0</v>
      </c>
      <c r="D3067" s="252">
        <v>39792</v>
      </c>
      <c r="E3067" s="252" t="s">
        <v>6502</v>
      </c>
      <c r="F3067" s="254" t="s">
        <v>7230</v>
      </c>
      <c r="G3067" s="252" t="s">
        <v>2275</v>
      </c>
      <c r="H3067" s="252" t="s">
        <v>7269</v>
      </c>
      <c r="I3067" s="252">
        <v>3</v>
      </c>
      <c r="J3067" s="255">
        <v>1</v>
      </c>
      <c r="K3067" s="255">
        <v>1</v>
      </c>
      <c r="L3067" s="255"/>
      <c r="M3067" s="256">
        <v>1.7999999999999998E-4</v>
      </c>
      <c r="N3067" s="249">
        <v>3066</v>
      </c>
    </row>
    <row r="3068" spans="1:14" x14ac:dyDescent="0.25">
      <c r="A3068" s="252" t="s">
        <v>74</v>
      </c>
      <c r="B3068" s="252" t="s">
        <v>6461</v>
      </c>
      <c r="C3068" s="253">
        <v>0</v>
      </c>
      <c r="D3068" s="252">
        <v>39792</v>
      </c>
      <c r="E3068" s="252" t="s">
        <v>6502</v>
      </c>
      <c r="F3068" s="254" t="s">
        <v>7230</v>
      </c>
      <c r="G3068" s="252" t="s">
        <v>7270</v>
      </c>
      <c r="H3068" s="252" t="s">
        <v>7271</v>
      </c>
      <c r="I3068" s="252">
        <v>3</v>
      </c>
      <c r="J3068" s="255">
        <v>1</v>
      </c>
      <c r="K3068" s="255">
        <v>1</v>
      </c>
      <c r="L3068" s="255"/>
      <c r="M3068" s="256">
        <v>3.1380000000000002E-3</v>
      </c>
      <c r="N3068" s="249">
        <v>3067</v>
      </c>
    </row>
    <row r="3069" spans="1:14" x14ac:dyDescent="0.25">
      <c r="A3069" s="252" t="s">
        <v>74</v>
      </c>
      <c r="B3069" s="252" t="s">
        <v>6461</v>
      </c>
      <c r="C3069" s="253">
        <v>0</v>
      </c>
      <c r="D3069" s="252">
        <v>39792</v>
      </c>
      <c r="E3069" s="252" t="s">
        <v>1591</v>
      </c>
      <c r="F3069" s="254" t="s">
        <v>7230</v>
      </c>
      <c r="G3069" s="252" t="s">
        <v>2279</v>
      </c>
      <c r="H3069" s="252" t="s">
        <v>7272</v>
      </c>
      <c r="I3069" s="252">
        <v>5</v>
      </c>
      <c r="J3069" s="255">
        <v>1</v>
      </c>
      <c r="K3069" s="255">
        <v>1</v>
      </c>
      <c r="L3069" s="255"/>
      <c r="M3069" s="256">
        <v>6.1499999999999988E-4</v>
      </c>
      <c r="N3069" s="249">
        <v>3068</v>
      </c>
    </row>
    <row r="3070" spans="1:14" x14ac:dyDescent="0.25">
      <c r="A3070" s="252" t="s">
        <v>74</v>
      </c>
      <c r="B3070" s="252" t="s">
        <v>6461</v>
      </c>
      <c r="C3070" s="253">
        <v>0</v>
      </c>
      <c r="D3070" s="252">
        <v>39792</v>
      </c>
      <c r="E3070" s="252" t="s">
        <v>1591</v>
      </c>
      <c r="F3070" s="254" t="s">
        <v>7230</v>
      </c>
      <c r="G3070" s="252" t="s">
        <v>2280</v>
      </c>
      <c r="H3070" s="252" t="s">
        <v>7273</v>
      </c>
      <c r="I3070" s="252">
        <v>5</v>
      </c>
      <c r="J3070" s="255">
        <v>1</v>
      </c>
      <c r="K3070" s="255">
        <v>1</v>
      </c>
      <c r="L3070" s="255"/>
      <c r="M3070" s="256">
        <v>1.134E-3</v>
      </c>
      <c r="N3070" s="249">
        <v>3069</v>
      </c>
    </row>
    <row r="3071" spans="1:14" x14ac:dyDescent="0.25">
      <c r="A3071" s="252" t="s">
        <v>74</v>
      </c>
      <c r="B3071" s="252" t="s">
        <v>6461</v>
      </c>
      <c r="C3071" s="253">
        <v>0</v>
      </c>
      <c r="D3071" s="252">
        <v>39792</v>
      </c>
      <c r="E3071" s="252" t="s">
        <v>1591</v>
      </c>
      <c r="F3071" s="254" t="s">
        <v>7230</v>
      </c>
      <c r="G3071" s="252" t="s">
        <v>2283</v>
      </c>
      <c r="H3071" s="252" t="s">
        <v>7274</v>
      </c>
      <c r="I3071" s="252">
        <v>5</v>
      </c>
      <c r="J3071" s="255">
        <v>1</v>
      </c>
      <c r="K3071" s="255">
        <v>1</v>
      </c>
      <c r="L3071" s="255"/>
      <c r="M3071" s="256">
        <v>5.5800000000000001E-4</v>
      </c>
      <c r="N3071" s="249">
        <v>3070</v>
      </c>
    </row>
    <row r="3072" spans="1:14" x14ac:dyDescent="0.25">
      <c r="A3072" s="252" t="s">
        <v>74</v>
      </c>
      <c r="B3072" s="252" t="s">
        <v>6461</v>
      </c>
      <c r="C3072" s="253">
        <v>0</v>
      </c>
      <c r="D3072" s="252">
        <v>39792</v>
      </c>
      <c r="E3072" s="252" t="s">
        <v>3039</v>
      </c>
      <c r="F3072" s="254" t="s">
        <v>7230</v>
      </c>
      <c r="G3072" s="252" t="s">
        <v>7275</v>
      </c>
      <c r="H3072" s="252" t="s">
        <v>7276</v>
      </c>
      <c r="I3072" s="252">
        <v>5</v>
      </c>
      <c r="J3072" s="255">
        <v>1</v>
      </c>
      <c r="K3072" s="255">
        <v>1</v>
      </c>
      <c r="L3072" s="255"/>
      <c r="M3072" s="256">
        <v>5.7720000000000002E-3</v>
      </c>
      <c r="N3072" s="249">
        <v>3071</v>
      </c>
    </row>
    <row r="3073" spans="1:14" x14ac:dyDescent="0.25">
      <c r="A3073" s="252" t="s">
        <v>74</v>
      </c>
      <c r="B3073" s="252" t="s">
        <v>6461</v>
      </c>
      <c r="C3073" s="253">
        <v>0</v>
      </c>
      <c r="D3073" s="252">
        <v>39792</v>
      </c>
      <c r="E3073" s="252" t="s">
        <v>3039</v>
      </c>
      <c r="F3073" s="254" t="s">
        <v>7230</v>
      </c>
      <c r="G3073" s="252" t="s">
        <v>7277</v>
      </c>
      <c r="H3073" s="252" t="s">
        <v>7278</v>
      </c>
      <c r="I3073" s="252">
        <v>5</v>
      </c>
      <c r="J3073" s="255">
        <v>1</v>
      </c>
      <c r="K3073" s="255">
        <v>1</v>
      </c>
      <c r="L3073" s="255"/>
      <c r="M3073" s="256">
        <v>2.8170000000000001E-3</v>
      </c>
      <c r="N3073" s="249">
        <v>3072</v>
      </c>
    </row>
    <row r="3074" spans="1:14" x14ac:dyDescent="0.25">
      <c r="A3074" s="252" t="s">
        <v>74</v>
      </c>
      <c r="B3074" s="252" t="s">
        <v>6461</v>
      </c>
      <c r="C3074" s="253">
        <v>0</v>
      </c>
      <c r="D3074" s="252">
        <v>39792</v>
      </c>
      <c r="E3074" s="252" t="s">
        <v>3039</v>
      </c>
      <c r="F3074" s="254" t="s">
        <v>7230</v>
      </c>
      <c r="G3074" s="252" t="s">
        <v>2321</v>
      </c>
      <c r="H3074" s="252" t="s">
        <v>7279</v>
      </c>
      <c r="I3074" s="252">
        <v>5</v>
      </c>
      <c r="J3074" s="255">
        <v>1</v>
      </c>
      <c r="K3074" s="255">
        <v>1</v>
      </c>
      <c r="L3074" s="255"/>
      <c r="M3074" s="256">
        <v>3.8999999999999999E-4</v>
      </c>
      <c r="N3074" s="249">
        <v>3073</v>
      </c>
    </row>
    <row r="3075" spans="1:14" x14ac:dyDescent="0.25">
      <c r="A3075" s="252" t="s">
        <v>74</v>
      </c>
      <c r="B3075" s="252" t="s">
        <v>6461</v>
      </c>
      <c r="C3075" s="253">
        <v>0</v>
      </c>
      <c r="D3075" s="252">
        <v>39792</v>
      </c>
      <c r="E3075" s="252" t="s">
        <v>3039</v>
      </c>
      <c r="F3075" s="254" t="s">
        <v>7230</v>
      </c>
      <c r="G3075" s="252" t="s">
        <v>2322</v>
      </c>
      <c r="H3075" s="252" t="s">
        <v>7280</v>
      </c>
      <c r="I3075" s="252">
        <v>5</v>
      </c>
      <c r="J3075" s="255">
        <v>1</v>
      </c>
      <c r="K3075" s="255">
        <v>1</v>
      </c>
      <c r="L3075" s="255"/>
      <c r="M3075" s="256">
        <v>3.8700000000000003E-4</v>
      </c>
      <c r="N3075" s="249">
        <v>3074</v>
      </c>
    </row>
    <row r="3076" spans="1:14" x14ac:dyDescent="0.25">
      <c r="A3076" s="252" t="s">
        <v>74</v>
      </c>
      <c r="B3076" s="252" t="s">
        <v>6461</v>
      </c>
      <c r="C3076" s="253">
        <v>0</v>
      </c>
      <c r="D3076" s="252">
        <v>39792</v>
      </c>
      <c r="E3076" s="252" t="s">
        <v>3039</v>
      </c>
      <c r="F3076" s="254" t="s">
        <v>7230</v>
      </c>
      <c r="G3076" s="252" t="s">
        <v>2323</v>
      </c>
      <c r="H3076" s="252" t="s">
        <v>7281</v>
      </c>
      <c r="I3076" s="252">
        <v>5</v>
      </c>
      <c r="J3076" s="255">
        <v>1</v>
      </c>
      <c r="K3076" s="255">
        <v>1</v>
      </c>
      <c r="L3076" s="255"/>
      <c r="M3076" s="256">
        <v>1.35E-4</v>
      </c>
      <c r="N3076" s="249">
        <v>3075</v>
      </c>
    </row>
    <row r="3077" spans="1:14" x14ac:dyDescent="0.25">
      <c r="A3077" s="252" t="s">
        <v>74</v>
      </c>
      <c r="B3077" s="252" t="s">
        <v>6461</v>
      </c>
      <c r="C3077" s="253">
        <v>0</v>
      </c>
      <c r="D3077" s="252">
        <v>39792</v>
      </c>
      <c r="E3077" s="252" t="s">
        <v>3039</v>
      </c>
      <c r="F3077" s="254" t="s">
        <v>7230</v>
      </c>
      <c r="G3077" s="252" t="s">
        <v>2324</v>
      </c>
      <c r="H3077" s="252" t="s">
        <v>7282</v>
      </c>
      <c r="I3077" s="252">
        <v>5</v>
      </c>
      <c r="J3077" s="255">
        <v>1</v>
      </c>
      <c r="K3077" s="255">
        <v>1</v>
      </c>
      <c r="L3077" s="255"/>
      <c r="M3077" s="256">
        <v>1.35E-4</v>
      </c>
      <c r="N3077" s="249">
        <v>3076</v>
      </c>
    </row>
    <row r="3078" spans="1:14" x14ac:dyDescent="0.25">
      <c r="A3078" s="252" t="s">
        <v>74</v>
      </c>
      <c r="B3078" s="252" t="s">
        <v>6461</v>
      </c>
      <c r="C3078" s="253">
        <v>0</v>
      </c>
      <c r="D3078" s="252">
        <v>39792</v>
      </c>
      <c r="E3078" s="252" t="s">
        <v>3039</v>
      </c>
      <c r="F3078" s="254" t="s">
        <v>7230</v>
      </c>
      <c r="G3078" s="252" t="s">
        <v>2325</v>
      </c>
      <c r="H3078" s="252" t="s">
        <v>7283</v>
      </c>
      <c r="I3078" s="252">
        <v>5</v>
      </c>
      <c r="J3078" s="255">
        <v>1</v>
      </c>
      <c r="K3078" s="255">
        <v>1</v>
      </c>
      <c r="L3078" s="255"/>
      <c r="M3078" s="256">
        <v>3.7800000000000003E-4</v>
      </c>
      <c r="N3078" s="249">
        <v>3077</v>
      </c>
    </row>
    <row r="3079" spans="1:14" x14ac:dyDescent="0.25">
      <c r="A3079" s="252" t="s">
        <v>74</v>
      </c>
      <c r="B3079" s="252" t="s">
        <v>6461</v>
      </c>
      <c r="C3079" s="253">
        <v>0</v>
      </c>
      <c r="D3079" s="252">
        <v>39792</v>
      </c>
      <c r="E3079" s="252" t="s">
        <v>6502</v>
      </c>
      <c r="F3079" s="254" t="s">
        <v>7230</v>
      </c>
      <c r="G3079" s="252" t="s">
        <v>7284</v>
      </c>
      <c r="H3079" s="252" t="s">
        <v>7285</v>
      </c>
      <c r="I3079" s="252">
        <v>3</v>
      </c>
      <c r="J3079" s="255">
        <v>1</v>
      </c>
      <c r="K3079" s="255">
        <v>1</v>
      </c>
      <c r="L3079" s="255"/>
      <c r="M3079" s="256">
        <v>1.7999999999999998E-4</v>
      </c>
      <c r="N3079" s="249">
        <v>3078</v>
      </c>
    </row>
    <row r="3080" spans="1:14" x14ac:dyDescent="0.25">
      <c r="A3080" s="252" t="s">
        <v>74</v>
      </c>
      <c r="B3080" s="252" t="s">
        <v>6461</v>
      </c>
      <c r="C3080" s="253">
        <v>0</v>
      </c>
      <c r="D3080" s="252">
        <v>39792</v>
      </c>
      <c r="E3080" s="252" t="s">
        <v>6502</v>
      </c>
      <c r="F3080" s="254" t="s">
        <v>7230</v>
      </c>
      <c r="G3080" s="252" t="s">
        <v>7286</v>
      </c>
      <c r="H3080" s="252" t="s">
        <v>7287</v>
      </c>
      <c r="I3080" s="252">
        <v>3</v>
      </c>
      <c r="J3080" s="255">
        <v>1</v>
      </c>
      <c r="K3080" s="255">
        <v>1</v>
      </c>
      <c r="L3080" s="255"/>
      <c r="M3080" s="256">
        <v>1.7999999999999998E-4</v>
      </c>
      <c r="N3080" s="249">
        <v>3079</v>
      </c>
    </row>
    <row r="3081" spans="1:14" x14ac:dyDescent="0.25">
      <c r="A3081" s="252" t="s">
        <v>74</v>
      </c>
      <c r="B3081" s="252" t="s">
        <v>6461</v>
      </c>
      <c r="C3081" s="253">
        <v>0</v>
      </c>
      <c r="D3081" s="252">
        <v>39792</v>
      </c>
      <c r="E3081" s="252" t="s">
        <v>6502</v>
      </c>
      <c r="F3081" s="254" t="s">
        <v>7230</v>
      </c>
      <c r="G3081" s="252" t="s">
        <v>7288</v>
      </c>
      <c r="H3081" s="252" t="s">
        <v>7289</v>
      </c>
      <c r="I3081" s="252">
        <v>3</v>
      </c>
      <c r="J3081" s="255">
        <v>1</v>
      </c>
      <c r="K3081" s="255">
        <v>1</v>
      </c>
      <c r="L3081" s="255"/>
      <c r="M3081" s="256">
        <v>1.2509999999999999E-3</v>
      </c>
      <c r="N3081" s="249">
        <v>3080</v>
      </c>
    </row>
    <row r="3082" spans="1:14" x14ac:dyDescent="0.25">
      <c r="A3082" s="252" t="s">
        <v>74</v>
      </c>
      <c r="B3082" s="252" t="s">
        <v>6461</v>
      </c>
      <c r="C3082" s="253">
        <v>0</v>
      </c>
      <c r="D3082" s="252">
        <v>39792</v>
      </c>
      <c r="E3082" s="252" t="s">
        <v>3039</v>
      </c>
      <c r="F3082" s="254" t="s">
        <v>7230</v>
      </c>
      <c r="G3082" s="252" t="s">
        <v>7290</v>
      </c>
      <c r="H3082" s="252" t="s">
        <v>7291</v>
      </c>
      <c r="I3082" s="252">
        <v>5</v>
      </c>
      <c r="J3082" s="255">
        <v>1</v>
      </c>
      <c r="K3082" s="255">
        <v>1</v>
      </c>
      <c r="L3082" s="255"/>
      <c r="M3082" s="256">
        <v>2.8170000000000001E-3</v>
      </c>
      <c r="N3082" s="249">
        <v>3081</v>
      </c>
    </row>
    <row r="3083" spans="1:14" x14ac:dyDescent="0.25">
      <c r="A3083" s="252" t="s">
        <v>74</v>
      </c>
      <c r="B3083" s="252" t="s">
        <v>6461</v>
      </c>
      <c r="C3083" s="253">
        <v>0</v>
      </c>
      <c r="D3083" s="252">
        <v>39792</v>
      </c>
      <c r="E3083" s="252" t="s">
        <v>3039</v>
      </c>
      <c r="F3083" s="254" t="s">
        <v>7230</v>
      </c>
      <c r="G3083" s="252" t="s">
        <v>7292</v>
      </c>
      <c r="H3083" s="252" t="s">
        <v>7293</v>
      </c>
      <c r="I3083" s="252">
        <v>5</v>
      </c>
      <c r="J3083" s="255">
        <v>1</v>
      </c>
      <c r="K3083" s="255">
        <v>1</v>
      </c>
      <c r="L3083" s="255"/>
      <c r="M3083" s="256">
        <v>3.8999999999999999E-4</v>
      </c>
      <c r="N3083" s="249">
        <v>3082</v>
      </c>
    </row>
    <row r="3084" spans="1:14" x14ac:dyDescent="0.25">
      <c r="A3084" s="252" t="s">
        <v>74</v>
      </c>
      <c r="B3084" s="252" t="s">
        <v>6461</v>
      </c>
      <c r="C3084" s="253">
        <v>0</v>
      </c>
      <c r="D3084" s="252">
        <v>39792</v>
      </c>
      <c r="E3084" s="252" t="s">
        <v>3039</v>
      </c>
      <c r="F3084" s="254" t="s">
        <v>7230</v>
      </c>
      <c r="G3084" s="252" t="s">
        <v>7294</v>
      </c>
      <c r="H3084" s="252" t="s">
        <v>7295</v>
      </c>
      <c r="I3084" s="252">
        <v>5</v>
      </c>
      <c r="J3084" s="255">
        <v>1</v>
      </c>
      <c r="K3084" s="255">
        <v>1</v>
      </c>
      <c r="L3084" s="255"/>
      <c r="M3084" s="256">
        <v>3.8999999999999999E-4</v>
      </c>
      <c r="N3084" s="249">
        <v>3083</v>
      </c>
    </row>
    <row r="3085" spans="1:14" x14ac:dyDescent="0.25">
      <c r="A3085" s="252" t="s">
        <v>74</v>
      </c>
      <c r="B3085" s="252" t="s">
        <v>6461</v>
      </c>
      <c r="C3085" s="253">
        <v>0</v>
      </c>
      <c r="D3085" s="252">
        <v>39792</v>
      </c>
      <c r="E3085" s="252" t="s">
        <v>1591</v>
      </c>
      <c r="F3085" s="254" t="s">
        <v>7230</v>
      </c>
      <c r="G3085" s="252" t="s">
        <v>7296</v>
      </c>
      <c r="H3085" s="252" t="s">
        <v>7297</v>
      </c>
      <c r="I3085" s="252">
        <v>5</v>
      </c>
      <c r="J3085" s="255">
        <v>1</v>
      </c>
      <c r="K3085" s="255">
        <v>1</v>
      </c>
      <c r="L3085" s="255"/>
      <c r="M3085" s="256">
        <v>6.1499999999999988E-4</v>
      </c>
      <c r="N3085" s="249">
        <v>3084</v>
      </c>
    </row>
    <row r="3086" spans="1:14" x14ac:dyDescent="0.25">
      <c r="A3086" s="252" t="s">
        <v>74</v>
      </c>
      <c r="B3086" s="252" t="s">
        <v>6461</v>
      </c>
      <c r="C3086" s="253">
        <v>0</v>
      </c>
      <c r="D3086" s="252">
        <v>39792</v>
      </c>
      <c r="E3086" s="252" t="s">
        <v>1591</v>
      </c>
      <c r="F3086" s="254" t="s">
        <v>7230</v>
      </c>
      <c r="G3086" s="252" t="s">
        <v>7298</v>
      </c>
      <c r="H3086" s="252" t="s">
        <v>7299</v>
      </c>
      <c r="I3086" s="252">
        <v>5</v>
      </c>
      <c r="J3086" s="255">
        <v>1</v>
      </c>
      <c r="K3086" s="255">
        <v>1</v>
      </c>
      <c r="L3086" s="255"/>
      <c r="M3086" s="256">
        <v>5.5800000000000001E-4</v>
      </c>
      <c r="N3086" s="249">
        <v>3085</v>
      </c>
    </row>
    <row r="3087" spans="1:14" x14ac:dyDescent="0.25">
      <c r="A3087" s="252" t="s">
        <v>74</v>
      </c>
      <c r="B3087" s="252" t="s">
        <v>6461</v>
      </c>
      <c r="C3087" s="253">
        <v>0</v>
      </c>
      <c r="D3087" s="252">
        <v>39792</v>
      </c>
      <c r="E3087" s="252" t="s">
        <v>3039</v>
      </c>
      <c r="F3087" s="254" t="s">
        <v>7230</v>
      </c>
      <c r="G3087" s="252" t="s">
        <v>7300</v>
      </c>
      <c r="H3087" s="252" t="s">
        <v>7301</v>
      </c>
      <c r="I3087" s="252">
        <v>5</v>
      </c>
      <c r="J3087" s="255">
        <v>1</v>
      </c>
      <c r="K3087" s="255">
        <v>1</v>
      </c>
      <c r="L3087" s="255"/>
      <c r="M3087" s="256">
        <v>5.7329999999999994E-3</v>
      </c>
      <c r="N3087" s="249">
        <v>3086</v>
      </c>
    </row>
    <row r="3088" spans="1:14" x14ac:dyDescent="0.25">
      <c r="A3088" s="252" t="s">
        <v>74</v>
      </c>
      <c r="B3088" s="252" t="s">
        <v>6461</v>
      </c>
      <c r="C3088" s="253">
        <v>0</v>
      </c>
      <c r="D3088" s="252">
        <v>39792</v>
      </c>
      <c r="E3088" s="252" t="s">
        <v>1591</v>
      </c>
      <c r="F3088" s="254" t="s">
        <v>7230</v>
      </c>
      <c r="G3088" s="252" t="s">
        <v>7302</v>
      </c>
      <c r="H3088" s="252" t="s">
        <v>7303</v>
      </c>
      <c r="I3088" s="252">
        <v>5</v>
      </c>
      <c r="J3088" s="255">
        <v>1</v>
      </c>
      <c r="K3088" s="255">
        <v>1</v>
      </c>
      <c r="L3088" s="255"/>
      <c r="M3088" s="256">
        <v>6.1499999999999988E-4</v>
      </c>
      <c r="N3088" s="249">
        <v>3087</v>
      </c>
    </row>
    <row r="3089" spans="1:14" x14ac:dyDescent="0.25">
      <c r="A3089" s="252" t="s">
        <v>74</v>
      </c>
      <c r="B3089" s="252" t="s">
        <v>6461</v>
      </c>
      <c r="C3089" s="253">
        <v>0</v>
      </c>
      <c r="D3089" s="252">
        <v>39792</v>
      </c>
      <c r="E3089" s="252" t="s">
        <v>1591</v>
      </c>
      <c r="F3089" s="254" t="s">
        <v>7230</v>
      </c>
      <c r="G3089" s="252" t="s">
        <v>7304</v>
      </c>
      <c r="H3089" s="252" t="s">
        <v>7305</v>
      </c>
      <c r="I3089" s="252">
        <v>5</v>
      </c>
      <c r="J3089" s="255">
        <v>1</v>
      </c>
      <c r="K3089" s="255">
        <v>1</v>
      </c>
      <c r="L3089" s="255"/>
      <c r="M3089" s="256">
        <v>5.5800000000000001E-4</v>
      </c>
      <c r="N3089" s="249">
        <v>3088</v>
      </c>
    </row>
    <row r="3090" spans="1:14" x14ac:dyDescent="0.25">
      <c r="A3090" s="252" t="s">
        <v>74</v>
      </c>
      <c r="B3090" s="252" t="s">
        <v>6461</v>
      </c>
      <c r="C3090" s="253">
        <v>0</v>
      </c>
      <c r="D3090" s="252">
        <v>39792</v>
      </c>
      <c r="E3090" s="252" t="s">
        <v>3039</v>
      </c>
      <c r="F3090" s="254" t="s">
        <v>7230</v>
      </c>
      <c r="G3090" s="252" t="s">
        <v>7306</v>
      </c>
      <c r="H3090" s="252" t="s">
        <v>7307</v>
      </c>
      <c r="I3090" s="252">
        <v>5</v>
      </c>
      <c r="J3090" s="255">
        <v>1</v>
      </c>
      <c r="K3090" s="255">
        <v>1</v>
      </c>
      <c r="L3090" s="255"/>
      <c r="M3090" s="256">
        <v>1.02E-4</v>
      </c>
      <c r="N3090" s="249">
        <v>3089</v>
      </c>
    </row>
    <row r="3091" spans="1:14" x14ac:dyDescent="0.25">
      <c r="A3091" s="252" t="s">
        <v>74</v>
      </c>
      <c r="B3091" s="252" t="s">
        <v>6461</v>
      </c>
      <c r="C3091" s="253">
        <v>0</v>
      </c>
      <c r="D3091" s="252">
        <v>39792</v>
      </c>
      <c r="E3091" s="252" t="s">
        <v>3039</v>
      </c>
      <c r="F3091" s="254" t="s">
        <v>7230</v>
      </c>
      <c r="G3091" s="252" t="s">
        <v>7308</v>
      </c>
      <c r="H3091" s="252" t="s">
        <v>7309</v>
      </c>
      <c r="I3091" s="252">
        <v>5</v>
      </c>
      <c r="J3091" s="255">
        <v>1</v>
      </c>
      <c r="K3091" s="255">
        <v>1</v>
      </c>
      <c r="L3091" s="255"/>
      <c r="M3091" s="256">
        <v>8.7900000000000001E-4</v>
      </c>
      <c r="N3091" s="249">
        <v>3090</v>
      </c>
    </row>
    <row r="3092" spans="1:14" x14ac:dyDescent="0.25">
      <c r="A3092" s="252" t="s">
        <v>74</v>
      </c>
      <c r="B3092" s="252" t="s">
        <v>6461</v>
      </c>
      <c r="C3092" s="253">
        <v>0</v>
      </c>
      <c r="D3092" s="252">
        <v>39792</v>
      </c>
      <c r="E3092" s="252" t="s">
        <v>3039</v>
      </c>
      <c r="F3092" s="254" t="s">
        <v>7230</v>
      </c>
      <c r="G3092" s="252" t="s">
        <v>7310</v>
      </c>
      <c r="H3092" s="252" t="s">
        <v>7311</v>
      </c>
      <c r="I3092" s="252">
        <v>5</v>
      </c>
      <c r="J3092" s="255">
        <v>1</v>
      </c>
      <c r="K3092" s="255">
        <v>1</v>
      </c>
      <c r="L3092" s="255"/>
      <c r="M3092" s="256">
        <v>3.2400000000000001E-4</v>
      </c>
      <c r="N3092" s="249">
        <v>3091</v>
      </c>
    </row>
    <row r="3093" spans="1:14" x14ac:dyDescent="0.25">
      <c r="A3093" s="252" t="s">
        <v>74</v>
      </c>
      <c r="B3093" s="252" t="s">
        <v>6461</v>
      </c>
      <c r="C3093" s="253">
        <v>0</v>
      </c>
      <c r="D3093" s="252">
        <v>39792</v>
      </c>
      <c r="E3093" s="252" t="s">
        <v>3039</v>
      </c>
      <c r="F3093" s="254" t="s">
        <v>7230</v>
      </c>
      <c r="G3093" s="252" t="s">
        <v>7312</v>
      </c>
      <c r="H3093" s="252" t="s">
        <v>7313</v>
      </c>
      <c r="I3093" s="252">
        <v>5</v>
      </c>
      <c r="J3093" s="255">
        <v>1</v>
      </c>
      <c r="K3093" s="255">
        <v>1</v>
      </c>
      <c r="L3093" s="255"/>
      <c r="M3093" s="256">
        <v>1.35E-4</v>
      </c>
      <c r="N3093" s="249">
        <v>3092</v>
      </c>
    </row>
    <row r="3094" spans="1:14" x14ac:dyDescent="0.25">
      <c r="A3094" s="252" t="s">
        <v>74</v>
      </c>
      <c r="B3094" s="252" t="s">
        <v>6461</v>
      </c>
      <c r="C3094" s="253">
        <v>0</v>
      </c>
      <c r="D3094" s="252">
        <v>39792</v>
      </c>
      <c r="E3094" s="252" t="s">
        <v>3039</v>
      </c>
      <c r="F3094" s="254" t="s">
        <v>7230</v>
      </c>
      <c r="G3094" s="252" t="s">
        <v>7314</v>
      </c>
      <c r="H3094" s="252" t="s">
        <v>7315</v>
      </c>
      <c r="I3094" s="252">
        <v>5</v>
      </c>
      <c r="J3094" s="255">
        <v>1</v>
      </c>
      <c r="K3094" s="255">
        <v>1</v>
      </c>
      <c r="L3094" s="255"/>
      <c r="M3094" s="256">
        <v>8.7900000000000001E-4</v>
      </c>
      <c r="N3094" s="249">
        <v>3093</v>
      </c>
    </row>
    <row r="3095" spans="1:14" x14ac:dyDescent="0.25">
      <c r="A3095" s="252" t="s">
        <v>74</v>
      </c>
      <c r="B3095" s="252" t="s">
        <v>6461</v>
      </c>
      <c r="C3095" s="253">
        <v>0</v>
      </c>
      <c r="D3095" s="252">
        <v>39792</v>
      </c>
      <c r="E3095" s="252" t="s">
        <v>3039</v>
      </c>
      <c r="F3095" s="254" t="s">
        <v>7230</v>
      </c>
      <c r="G3095" s="252" t="s">
        <v>7316</v>
      </c>
      <c r="H3095" s="252" t="s">
        <v>7317</v>
      </c>
      <c r="I3095" s="252">
        <v>5</v>
      </c>
      <c r="J3095" s="255">
        <v>1</v>
      </c>
      <c r="K3095" s="255">
        <v>1</v>
      </c>
      <c r="L3095" s="255"/>
      <c r="M3095" s="256">
        <v>3.2400000000000001E-4</v>
      </c>
      <c r="N3095" s="249">
        <v>3094</v>
      </c>
    </row>
    <row r="3096" spans="1:14" x14ac:dyDescent="0.25">
      <c r="A3096" s="252" t="s">
        <v>74</v>
      </c>
      <c r="B3096" s="252" t="s">
        <v>6461</v>
      </c>
      <c r="C3096" s="253">
        <v>0</v>
      </c>
      <c r="D3096" s="252">
        <v>39792</v>
      </c>
      <c r="E3096" s="252" t="s">
        <v>6502</v>
      </c>
      <c r="F3096" s="254" t="s">
        <v>7230</v>
      </c>
      <c r="G3096" s="252" t="s">
        <v>7318</v>
      </c>
      <c r="H3096" s="252" t="s">
        <v>7319</v>
      </c>
      <c r="I3096" s="252">
        <v>3</v>
      </c>
      <c r="J3096" s="255">
        <v>1</v>
      </c>
      <c r="K3096" s="255">
        <v>1</v>
      </c>
      <c r="L3096" s="255"/>
      <c r="M3096" s="256">
        <v>1.7999999999999998E-4</v>
      </c>
      <c r="N3096" s="249">
        <v>3095</v>
      </c>
    </row>
    <row r="3097" spans="1:14" x14ac:dyDescent="0.25">
      <c r="A3097" s="252" t="s">
        <v>74</v>
      </c>
      <c r="B3097" s="252" t="s">
        <v>6461</v>
      </c>
      <c r="C3097" s="253">
        <v>0</v>
      </c>
      <c r="D3097" s="252">
        <v>39792</v>
      </c>
      <c r="E3097" s="252" t="s">
        <v>6502</v>
      </c>
      <c r="F3097" s="254" t="s">
        <v>7230</v>
      </c>
      <c r="G3097" s="252" t="s">
        <v>7320</v>
      </c>
      <c r="H3097" s="252" t="s">
        <v>7321</v>
      </c>
      <c r="I3097" s="252">
        <v>3</v>
      </c>
      <c r="J3097" s="255">
        <v>1</v>
      </c>
      <c r="K3097" s="255">
        <v>1</v>
      </c>
      <c r="L3097" s="255"/>
      <c r="M3097" s="256">
        <v>8.208E-3</v>
      </c>
      <c r="N3097" s="249">
        <v>3096</v>
      </c>
    </row>
    <row r="3098" spans="1:14" x14ac:dyDescent="0.25">
      <c r="A3098" s="252" t="s">
        <v>74</v>
      </c>
      <c r="B3098" s="252" t="s">
        <v>6461</v>
      </c>
      <c r="C3098" s="253">
        <v>0</v>
      </c>
      <c r="D3098" s="252">
        <v>39792</v>
      </c>
      <c r="E3098" s="252" t="s">
        <v>6502</v>
      </c>
      <c r="F3098" s="254" t="s">
        <v>7230</v>
      </c>
      <c r="G3098" s="252" t="s">
        <v>7322</v>
      </c>
      <c r="H3098" s="252" t="s">
        <v>7323</v>
      </c>
      <c r="I3098" s="252">
        <v>3</v>
      </c>
      <c r="J3098" s="255">
        <v>1</v>
      </c>
      <c r="K3098" s="255">
        <v>1</v>
      </c>
      <c r="L3098" s="255"/>
      <c r="M3098" s="256">
        <v>1.7999999999999998E-4</v>
      </c>
      <c r="N3098" s="249">
        <v>3097</v>
      </c>
    </row>
    <row r="3099" spans="1:14" x14ac:dyDescent="0.25">
      <c r="A3099" s="252" t="s">
        <v>74</v>
      </c>
      <c r="B3099" s="252" t="s">
        <v>6461</v>
      </c>
      <c r="C3099" s="253">
        <v>0</v>
      </c>
      <c r="D3099" s="252">
        <v>39792</v>
      </c>
      <c r="E3099" s="252" t="s">
        <v>3039</v>
      </c>
      <c r="F3099" s="254" t="s">
        <v>7230</v>
      </c>
      <c r="G3099" s="252" t="s">
        <v>7324</v>
      </c>
      <c r="H3099" s="252" t="s">
        <v>7325</v>
      </c>
      <c r="I3099" s="252">
        <v>5</v>
      </c>
      <c r="J3099" s="255">
        <v>1</v>
      </c>
      <c r="K3099" s="255">
        <v>1</v>
      </c>
      <c r="L3099" s="255"/>
      <c r="M3099" s="256">
        <v>1.1498999999999999E-2</v>
      </c>
      <c r="N3099" s="249">
        <v>3098</v>
      </c>
    </row>
    <row r="3100" spans="1:14" x14ac:dyDescent="0.25">
      <c r="A3100" s="252" t="s">
        <v>74</v>
      </c>
      <c r="B3100" s="252" t="s">
        <v>6461</v>
      </c>
      <c r="C3100" s="253">
        <v>0</v>
      </c>
      <c r="D3100" s="252">
        <v>39792</v>
      </c>
      <c r="E3100" s="252" t="s">
        <v>3039</v>
      </c>
      <c r="F3100" s="254" t="s">
        <v>7230</v>
      </c>
      <c r="G3100" s="252" t="s">
        <v>7326</v>
      </c>
      <c r="H3100" s="252" t="s">
        <v>7327</v>
      </c>
      <c r="I3100" s="252">
        <v>5</v>
      </c>
      <c r="J3100" s="255">
        <v>1</v>
      </c>
      <c r="K3100" s="255">
        <v>1</v>
      </c>
      <c r="L3100" s="255"/>
      <c r="M3100" s="256">
        <v>1.539E-3</v>
      </c>
      <c r="N3100" s="249">
        <v>3099</v>
      </c>
    </row>
    <row r="3101" spans="1:14" x14ac:dyDescent="0.25">
      <c r="A3101" s="252" t="s">
        <v>74</v>
      </c>
      <c r="B3101" s="252" t="s">
        <v>6461</v>
      </c>
      <c r="C3101" s="253">
        <v>0</v>
      </c>
      <c r="D3101" s="252">
        <v>39792</v>
      </c>
      <c r="E3101" s="252" t="s">
        <v>3039</v>
      </c>
      <c r="F3101" s="254" t="s">
        <v>7230</v>
      </c>
      <c r="G3101" s="252" t="s">
        <v>7328</v>
      </c>
      <c r="H3101" s="252" t="s">
        <v>7329</v>
      </c>
      <c r="I3101" s="252">
        <v>5</v>
      </c>
      <c r="J3101" s="255">
        <v>1</v>
      </c>
      <c r="K3101" s="255">
        <v>1</v>
      </c>
      <c r="L3101" s="255"/>
      <c r="M3101" s="256">
        <v>1.1498999999999999E-2</v>
      </c>
      <c r="N3101" s="249">
        <v>3100</v>
      </c>
    </row>
    <row r="3102" spans="1:14" x14ac:dyDescent="0.25">
      <c r="A3102" s="252" t="s">
        <v>74</v>
      </c>
      <c r="B3102" s="252" t="s">
        <v>6461</v>
      </c>
      <c r="C3102" s="253">
        <v>0</v>
      </c>
      <c r="D3102" s="252">
        <v>39792</v>
      </c>
      <c r="E3102" s="252" t="s">
        <v>3039</v>
      </c>
      <c r="F3102" s="254" t="s">
        <v>7230</v>
      </c>
      <c r="G3102" s="252" t="s">
        <v>7330</v>
      </c>
      <c r="H3102" s="252" t="s">
        <v>7331</v>
      </c>
      <c r="I3102" s="252">
        <v>5</v>
      </c>
      <c r="J3102" s="255">
        <v>1</v>
      </c>
      <c r="K3102" s="255">
        <v>1</v>
      </c>
      <c r="L3102" s="255"/>
      <c r="M3102" s="256">
        <v>8.7900000000000001E-4</v>
      </c>
      <c r="N3102" s="249">
        <v>3101</v>
      </c>
    </row>
    <row r="3103" spans="1:14" x14ac:dyDescent="0.25">
      <c r="A3103" s="252" t="s">
        <v>74</v>
      </c>
      <c r="B3103" s="252" t="s">
        <v>6461</v>
      </c>
      <c r="C3103" s="253">
        <v>0</v>
      </c>
      <c r="D3103" s="252">
        <v>39792</v>
      </c>
      <c r="E3103" s="252" t="s">
        <v>3039</v>
      </c>
      <c r="F3103" s="254" t="s">
        <v>7230</v>
      </c>
      <c r="G3103" s="252" t="s">
        <v>7332</v>
      </c>
      <c r="H3103" s="252" t="s">
        <v>7333</v>
      </c>
      <c r="I3103" s="252">
        <v>5</v>
      </c>
      <c r="J3103" s="255">
        <v>1</v>
      </c>
      <c r="K3103" s="255">
        <v>1</v>
      </c>
      <c r="L3103" s="255"/>
      <c r="M3103" s="256">
        <v>3.2400000000000001E-4</v>
      </c>
      <c r="N3103" s="249">
        <v>3102</v>
      </c>
    </row>
    <row r="3104" spans="1:14" x14ac:dyDescent="0.25">
      <c r="A3104" s="252" t="s">
        <v>74</v>
      </c>
      <c r="B3104" s="252" t="s">
        <v>6461</v>
      </c>
      <c r="C3104" s="253">
        <v>0</v>
      </c>
      <c r="D3104" s="252">
        <v>39792</v>
      </c>
      <c r="E3104" s="252" t="s">
        <v>3039</v>
      </c>
      <c r="F3104" s="254" t="s">
        <v>7230</v>
      </c>
      <c r="G3104" s="252" t="s">
        <v>7334</v>
      </c>
      <c r="H3104" s="252" t="s">
        <v>7335</v>
      </c>
      <c r="I3104" s="252">
        <v>5</v>
      </c>
      <c r="J3104" s="255">
        <v>1</v>
      </c>
      <c r="K3104" s="255">
        <v>1</v>
      </c>
      <c r="L3104" s="255"/>
      <c r="M3104" s="256">
        <v>1.35E-4</v>
      </c>
      <c r="N3104" s="249">
        <v>3103</v>
      </c>
    </row>
    <row r="3105" spans="1:14" x14ac:dyDescent="0.25">
      <c r="A3105" s="252" t="s">
        <v>74</v>
      </c>
      <c r="B3105" s="252" t="s">
        <v>6461</v>
      </c>
      <c r="C3105" s="253">
        <v>0</v>
      </c>
      <c r="D3105" s="252">
        <v>39792</v>
      </c>
      <c r="E3105" s="252" t="s">
        <v>3039</v>
      </c>
      <c r="F3105" s="254" t="s">
        <v>7230</v>
      </c>
      <c r="G3105" s="252" t="s">
        <v>7336</v>
      </c>
      <c r="H3105" s="252" t="s">
        <v>7337</v>
      </c>
      <c r="I3105" s="252">
        <v>5</v>
      </c>
      <c r="J3105" s="255">
        <v>1</v>
      </c>
      <c r="K3105" s="255">
        <v>1</v>
      </c>
      <c r="L3105" s="255"/>
      <c r="M3105" s="256">
        <v>8.7900000000000001E-4</v>
      </c>
      <c r="N3105" s="249">
        <v>3104</v>
      </c>
    </row>
    <row r="3106" spans="1:14" x14ac:dyDescent="0.25">
      <c r="A3106" s="252" t="s">
        <v>74</v>
      </c>
      <c r="B3106" s="252" t="s">
        <v>6461</v>
      </c>
      <c r="C3106" s="253">
        <v>0</v>
      </c>
      <c r="D3106" s="252">
        <v>39792</v>
      </c>
      <c r="E3106" s="252" t="s">
        <v>3039</v>
      </c>
      <c r="F3106" s="254" t="s">
        <v>7230</v>
      </c>
      <c r="G3106" s="252" t="s">
        <v>7338</v>
      </c>
      <c r="H3106" s="252" t="s">
        <v>7339</v>
      </c>
      <c r="I3106" s="252">
        <v>5</v>
      </c>
      <c r="J3106" s="255">
        <v>1</v>
      </c>
      <c r="K3106" s="255">
        <v>1</v>
      </c>
      <c r="L3106" s="255"/>
      <c r="M3106" s="256">
        <v>3.2400000000000001E-4</v>
      </c>
      <c r="N3106" s="249">
        <v>3105</v>
      </c>
    </row>
    <row r="3107" spans="1:14" x14ac:dyDescent="0.25">
      <c r="A3107" s="252" t="s">
        <v>74</v>
      </c>
      <c r="B3107" s="252" t="s">
        <v>6461</v>
      </c>
      <c r="C3107" s="253">
        <v>0</v>
      </c>
      <c r="D3107" s="252">
        <v>39792</v>
      </c>
      <c r="E3107" s="252" t="s">
        <v>3039</v>
      </c>
      <c r="F3107" s="254" t="s">
        <v>7230</v>
      </c>
      <c r="G3107" s="252" t="s">
        <v>7340</v>
      </c>
      <c r="H3107" s="252" t="s">
        <v>7341</v>
      </c>
      <c r="I3107" s="252">
        <v>5</v>
      </c>
      <c r="J3107" s="255">
        <v>1</v>
      </c>
      <c r="K3107" s="255">
        <v>1</v>
      </c>
      <c r="L3107" s="255"/>
      <c r="M3107" s="256">
        <v>1.02E-4</v>
      </c>
      <c r="N3107" s="249">
        <v>3106</v>
      </c>
    </row>
    <row r="3108" spans="1:14" x14ac:dyDescent="0.25">
      <c r="A3108" s="252" t="s">
        <v>74</v>
      </c>
      <c r="B3108" s="252" t="s">
        <v>6461</v>
      </c>
      <c r="C3108" s="253">
        <v>0</v>
      </c>
      <c r="D3108" s="252">
        <v>39792</v>
      </c>
      <c r="E3108" s="252" t="s">
        <v>1591</v>
      </c>
      <c r="F3108" s="254" t="s">
        <v>7230</v>
      </c>
      <c r="G3108" s="252" t="s">
        <v>7342</v>
      </c>
      <c r="H3108" s="252" t="s">
        <v>7343</v>
      </c>
      <c r="I3108" s="252">
        <v>5</v>
      </c>
      <c r="J3108" s="255">
        <v>1</v>
      </c>
      <c r="K3108" s="255">
        <v>1</v>
      </c>
      <c r="L3108" s="255"/>
      <c r="M3108" s="256">
        <v>6.1499999999999988E-4</v>
      </c>
      <c r="N3108" s="249">
        <v>3107</v>
      </c>
    </row>
    <row r="3109" spans="1:14" x14ac:dyDescent="0.25">
      <c r="A3109" s="252" t="s">
        <v>74</v>
      </c>
      <c r="B3109" s="252" t="s">
        <v>6461</v>
      </c>
      <c r="C3109" s="253">
        <v>0</v>
      </c>
      <c r="D3109" s="252">
        <v>39792</v>
      </c>
      <c r="E3109" s="252" t="s">
        <v>1591</v>
      </c>
      <c r="F3109" s="254" t="s">
        <v>7230</v>
      </c>
      <c r="G3109" s="252" t="s">
        <v>7344</v>
      </c>
      <c r="H3109" s="252" t="s">
        <v>7345</v>
      </c>
      <c r="I3109" s="252">
        <v>5</v>
      </c>
      <c r="J3109" s="255">
        <v>1</v>
      </c>
      <c r="K3109" s="255">
        <v>1</v>
      </c>
      <c r="L3109" s="255"/>
      <c r="M3109" s="256">
        <v>5.5800000000000001E-4</v>
      </c>
      <c r="N3109" s="249">
        <v>3108</v>
      </c>
    </row>
    <row r="3110" spans="1:14" x14ac:dyDescent="0.25">
      <c r="A3110" s="252" t="s">
        <v>74</v>
      </c>
      <c r="B3110" s="252" t="s">
        <v>6461</v>
      </c>
      <c r="C3110" s="253">
        <v>0</v>
      </c>
      <c r="D3110" s="252">
        <v>39792</v>
      </c>
      <c r="E3110" s="252" t="s">
        <v>3039</v>
      </c>
      <c r="F3110" s="254" t="s">
        <v>7230</v>
      </c>
      <c r="G3110" s="252" t="s">
        <v>7346</v>
      </c>
      <c r="H3110" s="252" t="s">
        <v>7347</v>
      </c>
      <c r="I3110" s="252">
        <v>5</v>
      </c>
      <c r="J3110" s="255">
        <v>1</v>
      </c>
      <c r="K3110" s="255">
        <v>1</v>
      </c>
      <c r="L3110" s="255"/>
      <c r="M3110" s="256">
        <v>5.7329999999999994E-3</v>
      </c>
      <c r="N3110" s="249">
        <v>3109</v>
      </c>
    </row>
    <row r="3111" spans="1:14" x14ac:dyDescent="0.25">
      <c r="A3111" s="252" t="s">
        <v>74</v>
      </c>
      <c r="B3111" s="252" t="s">
        <v>6461</v>
      </c>
      <c r="C3111" s="253">
        <v>0</v>
      </c>
      <c r="D3111" s="252">
        <v>39792</v>
      </c>
      <c r="E3111" s="252" t="s">
        <v>1591</v>
      </c>
      <c r="F3111" s="254" t="s">
        <v>7230</v>
      </c>
      <c r="G3111" s="252" t="s">
        <v>7348</v>
      </c>
      <c r="H3111" s="252" t="s">
        <v>7349</v>
      </c>
      <c r="I3111" s="252">
        <v>5</v>
      </c>
      <c r="J3111" s="255">
        <v>1</v>
      </c>
      <c r="K3111" s="255">
        <v>1</v>
      </c>
      <c r="L3111" s="255"/>
      <c r="M3111" s="256">
        <v>6.1499999999999988E-4</v>
      </c>
      <c r="N3111" s="249">
        <v>3110</v>
      </c>
    </row>
    <row r="3112" spans="1:14" x14ac:dyDescent="0.25">
      <c r="A3112" s="252" t="s">
        <v>74</v>
      </c>
      <c r="B3112" s="252" t="s">
        <v>6461</v>
      </c>
      <c r="C3112" s="253">
        <v>0</v>
      </c>
      <c r="D3112" s="252">
        <v>39792</v>
      </c>
      <c r="E3112" s="252" t="s">
        <v>1591</v>
      </c>
      <c r="F3112" s="254" t="s">
        <v>7230</v>
      </c>
      <c r="G3112" s="252" t="s">
        <v>7350</v>
      </c>
      <c r="H3112" s="252" t="s">
        <v>7351</v>
      </c>
      <c r="I3112" s="252">
        <v>5</v>
      </c>
      <c r="J3112" s="255">
        <v>1</v>
      </c>
      <c r="K3112" s="255">
        <v>1</v>
      </c>
      <c r="L3112" s="255"/>
      <c r="M3112" s="256">
        <v>5.5800000000000001E-4</v>
      </c>
      <c r="N3112" s="249">
        <v>3111</v>
      </c>
    </row>
    <row r="3113" spans="1:14" x14ac:dyDescent="0.25">
      <c r="A3113" s="252" t="s">
        <v>74</v>
      </c>
      <c r="B3113" s="252" t="s">
        <v>6461</v>
      </c>
      <c r="C3113" s="253">
        <v>0</v>
      </c>
      <c r="D3113" s="252">
        <v>39792</v>
      </c>
      <c r="E3113" s="252" t="s">
        <v>3039</v>
      </c>
      <c r="F3113" s="254" t="s">
        <v>7230</v>
      </c>
      <c r="G3113" s="252" t="s">
        <v>7352</v>
      </c>
      <c r="H3113" s="252" t="s">
        <v>7353</v>
      </c>
      <c r="I3113" s="252">
        <v>5</v>
      </c>
      <c r="J3113" s="255">
        <v>1</v>
      </c>
      <c r="K3113" s="255">
        <v>1</v>
      </c>
      <c r="L3113" s="255"/>
      <c r="M3113" s="256">
        <v>1.02E-4</v>
      </c>
      <c r="N3113" s="249">
        <v>3112</v>
      </c>
    </row>
    <row r="3114" spans="1:14" x14ac:dyDescent="0.25">
      <c r="A3114" s="252" t="s">
        <v>74</v>
      </c>
      <c r="B3114" s="252" t="s">
        <v>6461</v>
      </c>
      <c r="C3114" s="253">
        <v>0</v>
      </c>
      <c r="D3114" s="252">
        <v>39792</v>
      </c>
      <c r="E3114" s="252" t="s">
        <v>3039</v>
      </c>
      <c r="F3114" s="254" t="s">
        <v>7230</v>
      </c>
      <c r="G3114" s="252" t="s">
        <v>7354</v>
      </c>
      <c r="H3114" s="252" t="s">
        <v>7355</v>
      </c>
      <c r="I3114" s="252">
        <v>5</v>
      </c>
      <c r="J3114" s="255">
        <v>1</v>
      </c>
      <c r="K3114" s="255">
        <v>1</v>
      </c>
      <c r="L3114" s="255"/>
      <c r="M3114" s="256">
        <v>8.8199999999999997E-4</v>
      </c>
      <c r="N3114" s="249">
        <v>3113</v>
      </c>
    </row>
    <row r="3115" spans="1:14" x14ac:dyDescent="0.25">
      <c r="A3115" s="252" t="s">
        <v>74</v>
      </c>
      <c r="B3115" s="252" t="s">
        <v>6461</v>
      </c>
      <c r="C3115" s="253">
        <v>0</v>
      </c>
      <c r="D3115" s="252">
        <v>39792</v>
      </c>
      <c r="E3115" s="252" t="s">
        <v>3039</v>
      </c>
      <c r="F3115" s="254" t="s">
        <v>7230</v>
      </c>
      <c r="G3115" s="252" t="s">
        <v>7356</v>
      </c>
      <c r="H3115" s="252" t="s">
        <v>7357</v>
      </c>
      <c r="I3115" s="252">
        <v>5</v>
      </c>
      <c r="J3115" s="255">
        <v>1</v>
      </c>
      <c r="K3115" s="255">
        <v>1</v>
      </c>
      <c r="L3115" s="255"/>
      <c r="M3115" s="256">
        <v>3.2400000000000001E-4</v>
      </c>
      <c r="N3115" s="249">
        <v>3114</v>
      </c>
    </row>
    <row r="3116" spans="1:14" x14ac:dyDescent="0.25">
      <c r="A3116" s="252" t="s">
        <v>74</v>
      </c>
      <c r="B3116" s="252" t="s">
        <v>6461</v>
      </c>
      <c r="C3116" s="253">
        <v>0</v>
      </c>
      <c r="D3116" s="252">
        <v>39792</v>
      </c>
      <c r="E3116" s="252" t="s">
        <v>3039</v>
      </c>
      <c r="F3116" s="254" t="s">
        <v>7230</v>
      </c>
      <c r="G3116" s="252" t="s">
        <v>7358</v>
      </c>
      <c r="H3116" s="252" t="s">
        <v>7359</v>
      </c>
      <c r="I3116" s="252">
        <v>5</v>
      </c>
      <c r="J3116" s="255">
        <v>1</v>
      </c>
      <c r="K3116" s="255">
        <v>1</v>
      </c>
      <c r="L3116" s="255"/>
      <c r="M3116" s="256">
        <v>8.8199999999999997E-4</v>
      </c>
      <c r="N3116" s="249">
        <v>3115</v>
      </c>
    </row>
    <row r="3117" spans="1:14" x14ac:dyDescent="0.25">
      <c r="A3117" s="252" t="s">
        <v>74</v>
      </c>
      <c r="B3117" s="252" t="s">
        <v>6461</v>
      </c>
      <c r="C3117" s="253">
        <v>0</v>
      </c>
      <c r="D3117" s="252">
        <v>39792</v>
      </c>
      <c r="E3117" s="252" t="s">
        <v>3039</v>
      </c>
      <c r="F3117" s="254" t="s">
        <v>7230</v>
      </c>
      <c r="G3117" s="252" t="s">
        <v>7360</v>
      </c>
      <c r="H3117" s="252" t="s">
        <v>7361</v>
      </c>
      <c r="I3117" s="252">
        <v>5</v>
      </c>
      <c r="J3117" s="255">
        <v>1</v>
      </c>
      <c r="K3117" s="255">
        <v>1</v>
      </c>
      <c r="L3117" s="255"/>
      <c r="M3117" s="256">
        <v>3.2400000000000001E-4</v>
      </c>
      <c r="N3117" s="249">
        <v>3116</v>
      </c>
    </row>
    <row r="3118" spans="1:14" x14ac:dyDescent="0.25">
      <c r="A3118" s="252" t="s">
        <v>74</v>
      </c>
      <c r="B3118" s="252" t="s">
        <v>6461</v>
      </c>
      <c r="C3118" s="253">
        <v>0</v>
      </c>
      <c r="D3118" s="252">
        <v>39792</v>
      </c>
      <c r="E3118" s="252" t="s">
        <v>6502</v>
      </c>
      <c r="F3118" s="254" t="s">
        <v>7230</v>
      </c>
      <c r="G3118" s="252" t="s">
        <v>7362</v>
      </c>
      <c r="H3118" s="252" t="s">
        <v>7363</v>
      </c>
      <c r="I3118" s="252">
        <v>3</v>
      </c>
      <c r="J3118" s="255">
        <v>1</v>
      </c>
      <c r="K3118" s="255">
        <v>1</v>
      </c>
      <c r="L3118" s="255"/>
      <c r="M3118" s="256">
        <v>1.7999999999999998E-4</v>
      </c>
      <c r="N3118" s="249">
        <v>3117</v>
      </c>
    </row>
    <row r="3119" spans="1:14" x14ac:dyDescent="0.25">
      <c r="A3119" s="252" t="s">
        <v>74</v>
      </c>
      <c r="B3119" s="252" t="s">
        <v>6461</v>
      </c>
      <c r="C3119" s="253">
        <v>0</v>
      </c>
      <c r="D3119" s="252">
        <v>39792</v>
      </c>
      <c r="E3119" s="252" t="s">
        <v>6502</v>
      </c>
      <c r="F3119" s="254" t="s">
        <v>7230</v>
      </c>
      <c r="G3119" s="252" t="s">
        <v>7364</v>
      </c>
      <c r="H3119" s="252" t="s">
        <v>7365</v>
      </c>
      <c r="I3119" s="252">
        <v>3</v>
      </c>
      <c r="J3119" s="255">
        <v>1</v>
      </c>
      <c r="K3119" s="255">
        <v>1</v>
      </c>
      <c r="L3119" s="255"/>
      <c r="M3119" s="256">
        <v>5.0070000000000002E-3</v>
      </c>
      <c r="N3119" s="249">
        <v>3118</v>
      </c>
    </row>
    <row r="3120" spans="1:14" x14ac:dyDescent="0.25">
      <c r="A3120" s="252" t="s">
        <v>74</v>
      </c>
      <c r="B3120" s="252" t="s">
        <v>6461</v>
      </c>
      <c r="C3120" s="253">
        <v>0</v>
      </c>
      <c r="D3120" s="252">
        <v>39792</v>
      </c>
      <c r="E3120" s="252" t="s">
        <v>6502</v>
      </c>
      <c r="F3120" s="254" t="s">
        <v>7230</v>
      </c>
      <c r="G3120" s="252" t="s">
        <v>7366</v>
      </c>
      <c r="H3120" s="252" t="s">
        <v>7367</v>
      </c>
      <c r="I3120" s="252">
        <v>3</v>
      </c>
      <c r="J3120" s="255">
        <v>1</v>
      </c>
      <c r="K3120" s="255">
        <v>1</v>
      </c>
      <c r="L3120" s="255"/>
      <c r="M3120" s="256">
        <v>1.7999999999999998E-4</v>
      </c>
      <c r="N3120" s="249">
        <v>3119</v>
      </c>
    </row>
    <row r="3121" spans="1:14" x14ac:dyDescent="0.25">
      <c r="A3121" s="252" t="s">
        <v>74</v>
      </c>
      <c r="B3121" s="252" t="s">
        <v>6461</v>
      </c>
      <c r="C3121" s="253">
        <v>0</v>
      </c>
      <c r="D3121" s="252">
        <v>39792</v>
      </c>
      <c r="E3121" s="252" t="s">
        <v>3039</v>
      </c>
      <c r="F3121" s="254" t="s">
        <v>7230</v>
      </c>
      <c r="G3121" s="252" t="s">
        <v>7368</v>
      </c>
      <c r="H3121" s="252" t="s">
        <v>7369</v>
      </c>
      <c r="I3121" s="252">
        <v>5</v>
      </c>
      <c r="J3121" s="255">
        <v>1</v>
      </c>
      <c r="K3121" s="255">
        <v>1</v>
      </c>
      <c r="L3121" s="255"/>
      <c r="M3121" s="256">
        <v>1.5470999999999999E-2</v>
      </c>
      <c r="N3121" s="249">
        <v>3120</v>
      </c>
    </row>
    <row r="3122" spans="1:14" x14ac:dyDescent="0.25">
      <c r="A3122" s="252" t="s">
        <v>74</v>
      </c>
      <c r="B3122" s="252" t="s">
        <v>6461</v>
      </c>
      <c r="C3122" s="253">
        <v>0</v>
      </c>
      <c r="D3122" s="252">
        <v>39792</v>
      </c>
      <c r="E3122" s="252" t="s">
        <v>3039</v>
      </c>
      <c r="F3122" s="254" t="s">
        <v>7230</v>
      </c>
      <c r="G3122" s="252" t="s">
        <v>7370</v>
      </c>
      <c r="H3122" s="252" t="s">
        <v>7371</v>
      </c>
      <c r="I3122" s="252">
        <v>5</v>
      </c>
      <c r="J3122" s="255">
        <v>1</v>
      </c>
      <c r="K3122" s="255">
        <v>1</v>
      </c>
      <c r="L3122" s="255"/>
      <c r="M3122" s="256">
        <v>2.0700000000000002E-3</v>
      </c>
      <c r="N3122" s="249">
        <v>3121</v>
      </c>
    </row>
    <row r="3123" spans="1:14" x14ac:dyDescent="0.25">
      <c r="A3123" s="252" t="s">
        <v>74</v>
      </c>
      <c r="B3123" s="252" t="s">
        <v>6461</v>
      </c>
      <c r="C3123" s="253">
        <v>0</v>
      </c>
      <c r="D3123" s="252">
        <v>39792</v>
      </c>
      <c r="E3123" s="252" t="s">
        <v>3039</v>
      </c>
      <c r="F3123" s="254" t="s">
        <v>7230</v>
      </c>
      <c r="G3123" s="252" t="s">
        <v>7372</v>
      </c>
      <c r="H3123" s="252" t="s">
        <v>7373</v>
      </c>
      <c r="I3123" s="252">
        <v>5</v>
      </c>
      <c r="J3123" s="255">
        <v>1</v>
      </c>
      <c r="K3123" s="255">
        <v>1</v>
      </c>
      <c r="L3123" s="255"/>
      <c r="M3123" s="256">
        <v>1.5470999999999999E-2</v>
      </c>
      <c r="N3123" s="249">
        <v>3122</v>
      </c>
    </row>
    <row r="3124" spans="1:14" x14ac:dyDescent="0.25">
      <c r="A3124" s="252" t="s">
        <v>74</v>
      </c>
      <c r="B3124" s="252" t="s">
        <v>6461</v>
      </c>
      <c r="C3124" s="253">
        <v>0</v>
      </c>
      <c r="D3124" s="252">
        <v>39792</v>
      </c>
      <c r="E3124" s="252" t="s">
        <v>6502</v>
      </c>
      <c r="F3124" s="254" t="s">
        <v>7230</v>
      </c>
      <c r="G3124" s="252" t="s">
        <v>7374</v>
      </c>
      <c r="H3124" s="252" t="s">
        <v>7375</v>
      </c>
      <c r="I3124" s="252">
        <v>3</v>
      </c>
      <c r="J3124" s="255">
        <v>1</v>
      </c>
      <c r="K3124" s="255">
        <v>1</v>
      </c>
      <c r="L3124" s="255"/>
      <c r="M3124" s="256">
        <v>1.7999999999999998E-4</v>
      </c>
      <c r="N3124" s="249">
        <v>3123</v>
      </c>
    </row>
    <row r="3125" spans="1:14" x14ac:dyDescent="0.25">
      <c r="A3125" s="252" t="s">
        <v>74</v>
      </c>
      <c r="B3125" s="252" t="s">
        <v>6461</v>
      </c>
      <c r="C3125" s="253">
        <v>0</v>
      </c>
      <c r="D3125" s="252">
        <v>39792</v>
      </c>
      <c r="E3125" s="252" t="s">
        <v>6502</v>
      </c>
      <c r="F3125" s="254" t="s">
        <v>7230</v>
      </c>
      <c r="G3125" s="252" t="s">
        <v>7376</v>
      </c>
      <c r="H3125" s="252" t="s">
        <v>7377</v>
      </c>
      <c r="I3125" s="252">
        <v>3</v>
      </c>
      <c r="J3125" s="255">
        <v>1</v>
      </c>
      <c r="K3125" s="255">
        <v>1</v>
      </c>
      <c r="L3125" s="255"/>
      <c r="M3125" s="256">
        <v>5.0070000000000002E-3</v>
      </c>
      <c r="N3125" s="249">
        <v>3124</v>
      </c>
    </row>
    <row r="3126" spans="1:14" x14ac:dyDescent="0.25">
      <c r="A3126" s="252" t="s">
        <v>74</v>
      </c>
      <c r="B3126" s="252" t="s">
        <v>6461</v>
      </c>
      <c r="C3126" s="253">
        <v>0</v>
      </c>
      <c r="D3126" s="252">
        <v>39792</v>
      </c>
      <c r="E3126" s="252" t="s">
        <v>6502</v>
      </c>
      <c r="F3126" s="254" t="s">
        <v>7230</v>
      </c>
      <c r="G3126" s="252" t="s">
        <v>7378</v>
      </c>
      <c r="H3126" s="252" t="s">
        <v>7379</v>
      </c>
      <c r="I3126" s="252">
        <v>3</v>
      </c>
      <c r="J3126" s="255">
        <v>1</v>
      </c>
      <c r="K3126" s="255">
        <v>1</v>
      </c>
      <c r="L3126" s="255"/>
      <c r="M3126" s="256">
        <v>1.7999999999999998E-4</v>
      </c>
      <c r="N3126" s="249">
        <v>3125</v>
      </c>
    </row>
    <row r="3127" spans="1:14" x14ac:dyDescent="0.25">
      <c r="A3127" s="252" t="s">
        <v>74</v>
      </c>
      <c r="B3127" s="252" t="s">
        <v>6461</v>
      </c>
      <c r="C3127" s="253">
        <v>0</v>
      </c>
      <c r="D3127" s="252">
        <v>39792</v>
      </c>
      <c r="E3127" s="252" t="s">
        <v>3039</v>
      </c>
      <c r="F3127" s="254" t="s">
        <v>7230</v>
      </c>
      <c r="G3127" s="252" t="s">
        <v>7380</v>
      </c>
      <c r="H3127" s="252" t="s">
        <v>7381</v>
      </c>
      <c r="I3127" s="252">
        <v>5</v>
      </c>
      <c r="J3127" s="255">
        <v>1</v>
      </c>
      <c r="K3127" s="255">
        <v>1</v>
      </c>
      <c r="L3127" s="255"/>
      <c r="M3127" s="256">
        <v>8.7900000000000001E-4</v>
      </c>
      <c r="N3127" s="249">
        <v>3126</v>
      </c>
    </row>
    <row r="3128" spans="1:14" x14ac:dyDescent="0.25">
      <c r="A3128" s="252" t="s">
        <v>74</v>
      </c>
      <c r="B3128" s="252" t="s">
        <v>6461</v>
      </c>
      <c r="C3128" s="253">
        <v>0</v>
      </c>
      <c r="D3128" s="252">
        <v>39792</v>
      </c>
      <c r="E3128" s="252" t="s">
        <v>3039</v>
      </c>
      <c r="F3128" s="254" t="s">
        <v>7230</v>
      </c>
      <c r="G3128" s="252" t="s">
        <v>7382</v>
      </c>
      <c r="H3128" s="252" t="s">
        <v>7383</v>
      </c>
      <c r="I3128" s="252">
        <v>5</v>
      </c>
      <c r="J3128" s="255">
        <v>1</v>
      </c>
      <c r="K3128" s="255">
        <v>1</v>
      </c>
      <c r="L3128" s="255"/>
      <c r="M3128" s="256">
        <v>3.2400000000000001E-4</v>
      </c>
      <c r="N3128" s="249">
        <v>3127</v>
      </c>
    </row>
    <row r="3129" spans="1:14" x14ac:dyDescent="0.25">
      <c r="A3129" s="252" t="s">
        <v>74</v>
      </c>
      <c r="B3129" s="252" t="s">
        <v>6461</v>
      </c>
      <c r="C3129" s="253">
        <v>0</v>
      </c>
      <c r="D3129" s="252">
        <v>39792</v>
      </c>
      <c r="E3129" s="252" t="s">
        <v>3039</v>
      </c>
      <c r="F3129" s="254" t="s">
        <v>7230</v>
      </c>
      <c r="G3129" s="252" t="s">
        <v>7384</v>
      </c>
      <c r="H3129" s="252" t="s">
        <v>7385</v>
      </c>
      <c r="I3129" s="252">
        <v>5</v>
      </c>
      <c r="J3129" s="255">
        <v>1</v>
      </c>
      <c r="K3129" s="255">
        <v>1</v>
      </c>
      <c r="L3129" s="255"/>
      <c r="M3129" s="256">
        <v>8.7900000000000001E-4</v>
      </c>
      <c r="N3129" s="249">
        <v>3128</v>
      </c>
    </row>
    <row r="3130" spans="1:14" x14ac:dyDescent="0.25">
      <c r="A3130" s="252" t="s">
        <v>74</v>
      </c>
      <c r="B3130" s="252" t="s">
        <v>6461</v>
      </c>
      <c r="C3130" s="253">
        <v>0</v>
      </c>
      <c r="D3130" s="252">
        <v>39792</v>
      </c>
      <c r="E3130" s="252" t="s">
        <v>3039</v>
      </c>
      <c r="F3130" s="254" t="s">
        <v>7230</v>
      </c>
      <c r="G3130" s="252" t="s">
        <v>7386</v>
      </c>
      <c r="H3130" s="252" t="s">
        <v>7387</v>
      </c>
      <c r="I3130" s="252">
        <v>5</v>
      </c>
      <c r="J3130" s="255">
        <v>1</v>
      </c>
      <c r="K3130" s="255">
        <v>1</v>
      </c>
      <c r="L3130" s="255"/>
      <c r="M3130" s="256">
        <v>3.2400000000000001E-4</v>
      </c>
      <c r="N3130" s="249">
        <v>3129</v>
      </c>
    </row>
    <row r="3131" spans="1:14" x14ac:dyDescent="0.25">
      <c r="A3131" s="252" t="s">
        <v>74</v>
      </c>
      <c r="B3131" s="252" t="s">
        <v>6461</v>
      </c>
      <c r="C3131" s="253">
        <v>0</v>
      </c>
      <c r="D3131" s="252">
        <v>39792</v>
      </c>
      <c r="E3131" s="252" t="s">
        <v>3039</v>
      </c>
      <c r="F3131" s="254" t="s">
        <v>7230</v>
      </c>
      <c r="G3131" s="252" t="s">
        <v>7388</v>
      </c>
      <c r="H3131" s="252" t="s">
        <v>7389</v>
      </c>
      <c r="I3131" s="252">
        <v>5</v>
      </c>
      <c r="J3131" s="255">
        <v>1</v>
      </c>
      <c r="K3131" s="255">
        <v>1</v>
      </c>
      <c r="L3131" s="255"/>
      <c r="M3131" s="256">
        <v>1.02E-4</v>
      </c>
      <c r="N3131" s="249">
        <v>3130</v>
      </c>
    </row>
    <row r="3132" spans="1:14" x14ac:dyDescent="0.25">
      <c r="A3132" s="252" t="s">
        <v>74</v>
      </c>
      <c r="B3132" s="252" t="s">
        <v>6461</v>
      </c>
      <c r="C3132" s="253">
        <v>0</v>
      </c>
      <c r="D3132" s="252">
        <v>39792</v>
      </c>
      <c r="E3132" s="252" t="s">
        <v>190</v>
      </c>
      <c r="F3132" s="254" t="s">
        <v>7230</v>
      </c>
      <c r="G3132" s="252" t="s">
        <v>7390</v>
      </c>
      <c r="H3132" s="252" t="s">
        <v>7391</v>
      </c>
      <c r="I3132" s="252">
        <v>5</v>
      </c>
      <c r="J3132" s="255">
        <v>1</v>
      </c>
      <c r="K3132" s="255">
        <v>1</v>
      </c>
      <c r="L3132" s="255"/>
      <c r="M3132" s="256">
        <v>1.6200000000000001E-4</v>
      </c>
      <c r="N3132" s="249">
        <v>3131</v>
      </c>
    </row>
    <row r="3133" spans="1:14" x14ac:dyDescent="0.25">
      <c r="A3133" s="252" t="s">
        <v>74</v>
      </c>
      <c r="B3133" s="252" t="s">
        <v>6461</v>
      </c>
      <c r="C3133" s="253">
        <v>0</v>
      </c>
      <c r="D3133" s="252">
        <v>39792</v>
      </c>
      <c r="E3133" s="252" t="s">
        <v>190</v>
      </c>
      <c r="F3133" s="254" t="s">
        <v>7230</v>
      </c>
      <c r="G3133" s="252" t="s">
        <v>7392</v>
      </c>
      <c r="H3133" s="252" t="s">
        <v>7393</v>
      </c>
      <c r="I3133" s="252">
        <v>5</v>
      </c>
      <c r="J3133" s="255">
        <v>1</v>
      </c>
      <c r="K3133" s="255">
        <v>1</v>
      </c>
      <c r="L3133" s="255"/>
      <c r="M3133" s="256">
        <v>1.6200000000000001E-4</v>
      </c>
      <c r="N3133" s="249">
        <v>3132</v>
      </c>
    </row>
    <row r="3134" spans="1:14" x14ac:dyDescent="0.25">
      <c r="A3134" s="252" t="s">
        <v>74</v>
      </c>
      <c r="B3134" s="252" t="s">
        <v>6461</v>
      </c>
      <c r="C3134" s="253">
        <v>0</v>
      </c>
      <c r="D3134" s="252">
        <v>39792</v>
      </c>
      <c r="E3134" s="252" t="s">
        <v>1591</v>
      </c>
      <c r="F3134" s="254" t="s">
        <v>7230</v>
      </c>
      <c r="G3134" s="252" t="s">
        <v>7394</v>
      </c>
      <c r="H3134" s="252" t="s">
        <v>7395</v>
      </c>
      <c r="I3134" s="252">
        <v>5</v>
      </c>
      <c r="J3134" s="255">
        <v>1</v>
      </c>
      <c r="K3134" s="255">
        <v>1</v>
      </c>
      <c r="L3134" s="255"/>
      <c r="M3134" s="256">
        <v>5.5800000000000001E-4</v>
      </c>
      <c r="N3134" s="249">
        <v>3133</v>
      </c>
    </row>
    <row r="3135" spans="1:14" x14ac:dyDescent="0.25">
      <c r="A3135" s="252" t="s">
        <v>74</v>
      </c>
      <c r="B3135" s="252" t="s">
        <v>6461</v>
      </c>
      <c r="C3135" s="253">
        <v>0</v>
      </c>
      <c r="D3135" s="252">
        <v>39792</v>
      </c>
      <c r="E3135" s="252" t="s">
        <v>1591</v>
      </c>
      <c r="F3135" s="254" t="s">
        <v>7230</v>
      </c>
      <c r="G3135" s="252" t="s">
        <v>7396</v>
      </c>
      <c r="H3135" s="252" t="s">
        <v>7397</v>
      </c>
      <c r="I3135" s="252">
        <v>5</v>
      </c>
      <c r="J3135" s="255">
        <v>1</v>
      </c>
      <c r="K3135" s="255">
        <v>1</v>
      </c>
      <c r="L3135" s="255"/>
      <c r="M3135" s="256">
        <v>6.1499999999999988E-4</v>
      </c>
      <c r="N3135" s="249">
        <v>3134</v>
      </c>
    </row>
    <row r="3136" spans="1:14" x14ac:dyDescent="0.25">
      <c r="A3136" s="252" t="s">
        <v>74</v>
      </c>
      <c r="B3136" s="252" t="s">
        <v>6461</v>
      </c>
      <c r="C3136" s="253">
        <v>0</v>
      </c>
      <c r="D3136" s="252">
        <v>39792</v>
      </c>
      <c r="E3136" s="252" t="s">
        <v>3039</v>
      </c>
      <c r="F3136" s="254" t="s">
        <v>7230</v>
      </c>
      <c r="G3136" s="252" t="s">
        <v>7398</v>
      </c>
      <c r="H3136" s="252" t="s">
        <v>7399</v>
      </c>
      <c r="I3136" s="252">
        <v>5</v>
      </c>
      <c r="J3136" s="255">
        <v>1</v>
      </c>
      <c r="K3136" s="255">
        <v>1</v>
      </c>
      <c r="L3136" s="255"/>
      <c r="M3136" s="256">
        <v>5.7329999999999994E-3</v>
      </c>
      <c r="N3136" s="249">
        <v>3135</v>
      </c>
    </row>
    <row r="3137" spans="1:14" x14ac:dyDescent="0.25">
      <c r="A3137" s="252" t="s">
        <v>74</v>
      </c>
      <c r="B3137" s="252" t="s">
        <v>6461</v>
      </c>
      <c r="C3137" s="253">
        <v>0</v>
      </c>
      <c r="D3137" s="252">
        <v>39792</v>
      </c>
      <c r="E3137" s="252" t="s">
        <v>1591</v>
      </c>
      <c r="F3137" s="254" t="s">
        <v>7230</v>
      </c>
      <c r="G3137" s="252" t="s">
        <v>7400</v>
      </c>
      <c r="H3137" s="252" t="s">
        <v>7401</v>
      </c>
      <c r="I3137" s="252">
        <v>5</v>
      </c>
      <c r="J3137" s="255">
        <v>1</v>
      </c>
      <c r="K3137" s="255">
        <v>1</v>
      </c>
      <c r="L3137" s="255"/>
      <c r="M3137" s="256">
        <v>6.1499999999999988E-4</v>
      </c>
      <c r="N3137" s="249">
        <v>3136</v>
      </c>
    </row>
    <row r="3138" spans="1:14" x14ac:dyDescent="0.25">
      <c r="A3138" s="252" t="s">
        <v>74</v>
      </c>
      <c r="B3138" s="252" t="s">
        <v>6461</v>
      </c>
      <c r="C3138" s="253">
        <v>0</v>
      </c>
      <c r="D3138" s="252">
        <v>39792</v>
      </c>
      <c r="E3138" s="252" t="s">
        <v>1591</v>
      </c>
      <c r="F3138" s="254" t="s">
        <v>7230</v>
      </c>
      <c r="G3138" s="252" t="s">
        <v>7402</v>
      </c>
      <c r="H3138" s="252" t="s">
        <v>7403</v>
      </c>
      <c r="I3138" s="252">
        <v>5</v>
      </c>
      <c r="J3138" s="255">
        <v>1</v>
      </c>
      <c r="K3138" s="255">
        <v>1</v>
      </c>
      <c r="L3138" s="255"/>
      <c r="M3138" s="256">
        <v>1.134E-3</v>
      </c>
      <c r="N3138" s="249">
        <v>3137</v>
      </c>
    </row>
    <row r="3139" spans="1:14" x14ac:dyDescent="0.25">
      <c r="A3139" s="252" t="s">
        <v>74</v>
      </c>
      <c r="B3139" s="252" t="s">
        <v>6461</v>
      </c>
      <c r="C3139" s="253">
        <v>0</v>
      </c>
      <c r="D3139" s="252">
        <v>39792</v>
      </c>
      <c r="E3139" s="252" t="s">
        <v>1591</v>
      </c>
      <c r="F3139" s="254" t="s">
        <v>7230</v>
      </c>
      <c r="G3139" s="252" t="s">
        <v>7404</v>
      </c>
      <c r="H3139" s="252" t="s">
        <v>7405</v>
      </c>
      <c r="I3139" s="252">
        <v>5</v>
      </c>
      <c r="J3139" s="255">
        <v>1</v>
      </c>
      <c r="K3139" s="255">
        <v>1</v>
      </c>
      <c r="L3139" s="255"/>
      <c r="M3139" s="256">
        <v>5.5800000000000001E-4</v>
      </c>
      <c r="N3139" s="249">
        <v>3138</v>
      </c>
    </row>
    <row r="3140" spans="1:14" x14ac:dyDescent="0.25">
      <c r="A3140" s="252" t="s">
        <v>74</v>
      </c>
      <c r="B3140" s="252" t="s">
        <v>6461</v>
      </c>
      <c r="C3140" s="253">
        <v>0</v>
      </c>
      <c r="D3140" s="252">
        <v>39792</v>
      </c>
      <c r="E3140" s="252" t="s">
        <v>3039</v>
      </c>
      <c r="F3140" s="254" t="s">
        <v>7230</v>
      </c>
      <c r="G3140" s="252" t="s">
        <v>7406</v>
      </c>
      <c r="H3140" s="252" t="s">
        <v>7407</v>
      </c>
      <c r="I3140" s="252">
        <v>5</v>
      </c>
      <c r="J3140" s="255">
        <v>1</v>
      </c>
      <c r="K3140" s="255">
        <v>1</v>
      </c>
      <c r="L3140" s="255"/>
      <c r="M3140" s="256">
        <v>1.02E-4</v>
      </c>
      <c r="N3140" s="249">
        <v>3139</v>
      </c>
    </row>
    <row r="3141" spans="1:14" x14ac:dyDescent="0.25">
      <c r="A3141" s="252" t="s">
        <v>74</v>
      </c>
      <c r="B3141" s="252" t="s">
        <v>6461</v>
      </c>
      <c r="C3141" s="253">
        <v>0</v>
      </c>
      <c r="D3141" s="252">
        <v>39792</v>
      </c>
      <c r="E3141" s="252" t="s">
        <v>3039</v>
      </c>
      <c r="F3141" s="254" t="s">
        <v>7230</v>
      </c>
      <c r="G3141" s="252" t="s">
        <v>7408</v>
      </c>
      <c r="H3141" s="252" t="s">
        <v>7409</v>
      </c>
      <c r="I3141" s="252">
        <v>5</v>
      </c>
      <c r="J3141" s="255">
        <v>1</v>
      </c>
      <c r="K3141" s="255">
        <v>1</v>
      </c>
      <c r="L3141" s="255"/>
      <c r="M3141" s="256">
        <v>8.7900000000000001E-4</v>
      </c>
      <c r="N3141" s="249">
        <v>3140</v>
      </c>
    </row>
    <row r="3142" spans="1:14" x14ac:dyDescent="0.25">
      <c r="A3142" s="252" t="s">
        <v>74</v>
      </c>
      <c r="B3142" s="252" t="s">
        <v>6461</v>
      </c>
      <c r="C3142" s="253">
        <v>0</v>
      </c>
      <c r="D3142" s="252">
        <v>39792</v>
      </c>
      <c r="E3142" s="252" t="s">
        <v>3039</v>
      </c>
      <c r="F3142" s="254" t="s">
        <v>7230</v>
      </c>
      <c r="G3142" s="252" t="s">
        <v>7410</v>
      </c>
      <c r="H3142" s="252" t="s">
        <v>7411</v>
      </c>
      <c r="I3142" s="252">
        <v>5</v>
      </c>
      <c r="J3142" s="255">
        <v>1</v>
      </c>
      <c r="K3142" s="255">
        <v>1</v>
      </c>
      <c r="L3142" s="255"/>
      <c r="M3142" s="256">
        <v>3.2400000000000001E-4</v>
      </c>
      <c r="N3142" s="249">
        <v>3141</v>
      </c>
    </row>
    <row r="3143" spans="1:14" x14ac:dyDescent="0.25">
      <c r="A3143" s="252" t="s">
        <v>74</v>
      </c>
      <c r="B3143" s="252" t="s">
        <v>6461</v>
      </c>
      <c r="C3143" s="253">
        <v>0</v>
      </c>
      <c r="D3143" s="252">
        <v>39792</v>
      </c>
      <c r="E3143" s="252" t="s">
        <v>3039</v>
      </c>
      <c r="F3143" s="254" t="s">
        <v>7230</v>
      </c>
      <c r="G3143" s="252" t="s">
        <v>7412</v>
      </c>
      <c r="H3143" s="252" t="s">
        <v>7413</v>
      </c>
      <c r="I3143" s="252">
        <v>5</v>
      </c>
      <c r="J3143" s="255">
        <v>1</v>
      </c>
      <c r="K3143" s="255">
        <v>1</v>
      </c>
      <c r="L3143" s="255"/>
      <c r="M3143" s="256">
        <v>8.7900000000000001E-4</v>
      </c>
      <c r="N3143" s="249">
        <v>3142</v>
      </c>
    </row>
    <row r="3144" spans="1:14" x14ac:dyDescent="0.25">
      <c r="A3144" s="252" t="s">
        <v>74</v>
      </c>
      <c r="B3144" s="252" t="s">
        <v>6461</v>
      </c>
      <c r="C3144" s="253">
        <v>0</v>
      </c>
      <c r="D3144" s="252">
        <v>39792</v>
      </c>
      <c r="E3144" s="252" t="s">
        <v>3039</v>
      </c>
      <c r="F3144" s="254" t="s">
        <v>7230</v>
      </c>
      <c r="G3144" s="252" t="s">
        <v>7414</v>
      </c>
      <c r="H3144" s="252" t="s">
        <v>7415</v>
      </c>
      <c r="I3144" s="252">
        <v>5</v>
      </c>
      <c r="J3144" s="255">
        <v>1</v>
      </c>
      <c r="K3144" s="255">
        <v>1</v>
      </c>
      <c r="L3144" s="255"/>
      <c r="M3144" s="256">
        <v>3.2400000000000001E-4</v>
      </c>
      <c r="N3144" s="249">
        <v>3143</v>
      </c>
    </row>
    <row r="3145" spans="1:14" x14ac:dyDescent="0.25">
      <c r="A3145" s="252" t="s">
        <v>74</v>
      </c>
      <c r="B3145" s="252" t="s">
        <v>6461</v>
      </c>
      <c r="C3145" s="253">
        <v>0</v>
      </c>
      <c r="D3145" s="252">
        <v>39792</v>
      </c>
      <c r="E3145" s="252" t="s">
        <v>3039</v>
      </c>
      <c r="F3145" s="254" t="s">
        <v>7230</v>
      </c>
      <c r="G3145" s="252" t="s">
        <v>7416</v>
      </c>
      <c r="H3145" s="252" t="s">
        <v>7417</v>
      </c>
      <c r="I3145" s="252">
        <v>5</v>
      </c>
      <c r="J3145" s="255">
        <v>1</v>
      </c>
      <c r="K3145" s="255">
        <v>1</v>
      </c>
      <c r="L3145" s="255"/>
      <c r="M3145" s="256">
        <v>1.1831999999999999E-2</v>
      </c>
      <c r="N3145" s="249">
        <v>3144</v>
      </c>
    </row>
    <row r="3146" spans="1:14" x14ac:dyDescent="0.25">
      <c r="A3146" s="252" t="s">
        <v>74</v>
      </c>
      <c r="B3146" s="252" t="s">
        <v>6461</v>
      </c>
      <c r="C3146" s="253">
        <v>0</v>
      </c>
      <c r="D3146" s="252">
        <v>39792</v>
      </c>
      <c r="E3146" s="252" t="s">
        <v>3039</v>
      </c>
      <c r="F3146" s="254" t="s">
        <v>7230</v>
      </c>
      <c r="G3146" s="252" t="s">
        <v>7418</v>
      </c>
      <c r="H3146" s="252" t="s">
        <v>7419</v>
      </c>
      <c r="I3146" s="252">
        <v>5</v>
      </c>
      <c r="J3146" s="255">
        <v>1</v>
      </c>
      <c r="K3146" s="255">
        <v>1</v>
      </c>
      <c r="L3146" s="255"/>
      <c r="M3146" s="256">
        <v>1.5839999999999999E-3</v>
      </c>
      <c r="N3146" s="249">
        <v>3145</v>
      </c>
    </row>
    <row r="3147" spans="1:14" x14ac:dyDescent="0.25">
      <c r="A3147" s="252" t="s">
        <v>74</v>
      </c>
      <c r="B3147" s="252" t="s">
        <v>6461</v>
      </c>
      <c r="C3147" s="253">
        <v>0</v>
      </c>
      <c r="D3147" s="252">
        <v>39792</v>
      </c>
      <c r="E3147" s="252" t="s">
        <v>3039</v>
      </c>
      <c r="F3147" s="254" t="s">
        <v>7230</v>
      </c>
      <c r="G3147" s="252" t="s">
        <v>7420</v>
      </c>
      <c r="H3147" s="252" t="s">
        <v>7421</v>
      </c>
      <c r="I3147" s="252">
        <v>5</v>
      </c>
      <c r="J3147" s="255">
        <v>1</v>
      </c>
      <c r="K3147" s="255">
        <v>1</v>
      </c>
      <c r="L3147" s="255"/>
      <c r="M3147" s="256">
        <v>1.1831999999999999E-2</v>
      </c>
      <c r="N3147" s="249">
        <v>3146</v>
      </c>
    </row>
    <row r="3148" spans="1:14" x14ac:dyDescent="0.25">
      <c r="A3148" s="252" t="s">
        <v>74</v>
      </c>
      <c r="B3148" s="252" t="s">
        <v>6461</v>
      </c>
      <c r="C3148" s="253">
        <v>0</v>
      </c>
      <c r="D3148" s="252">
        <v>39792</v>
      </c>
      <c r="E3148" s="252" t="s">
        <v>6502</v>
      </c>
      <c r="F3148" s="254" t="s">
        <v>7230</v>
      </c>
      <c r="G3148" s="252" t="s">
        <v>7422</v>
      </c>
      <c r="H3148" s="252" t="s">
        <v>7423</v>
      </c>
      <c r="I3148" s="252">
        <v>3</v>
      </c>
      <c r="J3148" s="255">
        <v>1</v>
      </c>
      <c r="K3148" s="255">
        <v>1</v>
      </c>
      <c r="L3148" s="255"/>
      <c r="M3148" s="256">
        <v>1.7999999999999998E-4</v>
      </c>
      <c r="N3148" s="249">
        <v>3147</v>
      </c>
    </row>
    <row r="3149" spans="1:14" x14ac:dyDescent="0.25">
      <c r="A3149" s="252" t="s">
        <v>74</v>
      </c>
      <c r="B3149" s="252" t="s">
        <v>6461</v>
      </c>
      <c r="C3149" s="253">
        <v>0</v>
      </c>
      <c r="D3149" s="252">
        <v>39792</v>
      </c>
      <c r="E3149" s="252" t="s">
        <v>6502</v>
      </c>
      <c r="F3149" s="254" t="s">
        <v>7230</v>
      </c>
      <c r="G3149" s="252" t="s">
        <v>7424</v>
      </c>
      <c r="H3149" s="252" t="s">
        <v>7425</v>
      </c>
      <c r="I3149" s="252">
        <v>3</v>
      </c>
      <c r="J3149" s="255">
        <v>1</v>
      </c>
      <c r="K3149" s="255">
        <v>1</v>
      </c>
      <c r="L3149" s="255"/>
      <c r="M3149" s="256">
        <v>8.0219999999999996E-3</v>
      </c>
      <c r="N3149" s="249">
        <v>3148</v>
      </c>
    </row>
    <row r="3150" spans="1:14" x14ac:dyDescent="0.25">
      <c r="A3150" s="252" t="s">
        <v>74</v>
      </c>
      <c r="B3150" s="252" t="s">
        <v>6461</v>
      </c>
      <c r="C3150" s="253">
        <v>0</v>
      </c>
      <c r="D3150" s="252">
        <v>39792</v>
      </c>
      <c r="E3150" s="252" t="s">
        <v>6502</v>
      </c>
      <c r="F3150" s="254" t="s">
        <v>7230</v>
      </c>
      <c r="G3150" s="252" t="s">
        <v>7426</v>
      </c>
      <c r="H3150" s="252" t="s">
        <v>7427</v>
      </c>
      <c r="I3150" s="252">
        <v>3</v>
      </c>
      <c r="J3150" s="255">
        <v>1</v>
      </c>
      <c r="K3150" s="255">
        <v>1</v>
      </c>
      <c r="L3150" s="255"/>
      <c r="M3150" s="256">
        <v>1.7999999999999998E-4</v>
      </c>
      <c r="N3150" s="249">
        <v>3149</v>
      </c>
    </row>
    <row r="3151" spans="1:14" x14ac:dyDescent="0.25">
      <c r="A3151" s="252" t="s">
        <v>74</v>
      </c>
      <c r="B3151" s="252" t="s">
        <v>6461</v>
      </c>
      <c r="C3151" s="253">
        <v>0</v>
      </c>
      <c r="D3151" s="252">
        <v>39792</v>
      </c>
      <c r="E3151" s="252" t="s">
        <v>3039</v>
      </c>
      <c r="F3151" s="254" t="s">
        <v>7230</v>
      </c>
      <c r="G3151" s="252" t="s">
        <v>7428</v>
      </c>
      <c r="H3151" s="252" t="s">
        <v>7429</v>
      </c>
      <c r="I3151" s="252">
        <v>5</v>
      </c>
      <c r="J3151" s="255">
        <v>1</v>
      </c>
      <c r="K3151" s="255">
        <v>1</v>
      </c>
      <c r="L3151" s="255"/>
      <c r="M3151" s="256">
        <v>8.7900000000000001E-4</v>
      </c>
      <c r="N3151" s="249">
        <v>3150</v>
      </c>
    </row>
    <row r="3152" spans="1:14" x14ac:dyDescent="0.25">
      <c r="A3152" s="252" t="s">
        <v>74</v>
      </c>
      <c r="B3152" s="252" t="s">
        <v>6461</v>
      </c>
      <c r="C3152" s="253">
        <v>0</v>
      </c>
      <c r="D3152" s="252">
        <v>39792</v>
      </c>
      <c r="E3152" s="252" t="s">
        <v>3039</v>
      </c>
      <c r="F3152" s="254" t="s">
        <v>7230</v>
      </c>
      <c r="G3152" s="252" t="s">
        <v>7430</v>
      </c>
      <c r="H3152" s="252" t="s">
        <v>7431</v>
      </c>
      <c r="I3152" s="252">
        <v>5</v>
      </c>
      <c r="J3152" s="255">
        <v>1</v>
      </c>
      <c r="K3152" s="255">
        <v>1</v>
      </c>
      <c r="L3152" s="255"/>
      <c r="M3152" s="256">
        <v>3.2400000000000001E-4</v>
      </c>
      <c r="N3152" s="249">
        <v>3151</v>
      </c>
    </row>
    <row r="3153" spans="1:14" x14ac:dyDescent="0.25">
      <c r="A3153" s="252" t="s">
        <v>74</v>
      </c>
      <c r="B3153" s="252" t="s">
        <v>6461</v>
      </c>
      <c r="C3153" s="253">
        <v>0</v>
      </c>
      <c r="D3153" s="252">
        <v>39792</v>
      </c>
      <c r="E3153" s="252" t="s">
        <v>3039</v>
      </c>
      <c r="F3153" s="254" t="s">
        <v>7230</v>
      </c>
      <c r="G3153" s="252" t="s">
        <v>7432</v>
      </c>
      <c r="H3153" s="252" t="s">
        <v>7433</v>
      </c>
      <c r="I3153" s="252">
        <v>5</v>
      </c>
      <c r="J3153" s="255">
        <v>1</v>
      </c>
      <c r="K3153" s="255">
        <v>1</v>
      </c>
      <c r="L3153" s="255"/>
      <c r="M3153" s="256">
        <v>1.35E-4</v>
      </c>
      <c r="N3153" s="249">
        <v>3152</v>
      </c>
    </row>
    <row r="3154" spans="1:14" x14ac:dyDescent="0.25">
      <c r="A3154" s="252" t="s">
        <v>74</v>
      </c>
      <c r="B3154" s="252" t="s">
        <v>6461</v>
      </c>
      <c r="C3154" s="253">
        <v>0</v>
      </c>
      <c r="D3154" s="252">
        <v>39792</v>
      </c>
      <c r="E3154" s="252" t="s">
        <v>3039</v>
      </c>
      <c r="F3154" s="254" t="s">
        <v>7230</v>
      </c>
      <c r="G3154" s="252" t="s">
        <v>7434</v>
      </c>
      <c r="H3154" s="252" t="s">
        <v>7435</v>
      </c>
      <c r="I3154" s="252">
        <v>5</v>
      </c>
      <c r="J3154" s="255">
        <v>1</v>
      </c>
      <c r="K3154" s="255">
        <v>1</v>
      </c>
      <c r="L3154" s="255"/>
      <c r="M3154" s="256">
        <v>8.7900000000000001E-4</v>
      </c>
      <c r="N3154" s="249">
        <v>3153</v>
      </c>
    </row>
    <row r="3155" spans="1:14" x14ac:dyDescent="0.25">
      <c r="A3155" s="252" t="s">
        <v>74</v>
      </c>
      <c r="B3155" s="252" t="s">
        <v>6461</v>
      </c>
      <c r="C3155" s="253">
        <v>0</v>
      </c>
      <c r="D3155" s="252">
        <v>39792</v>
      </c>
      <c r="E3155" s="252" t="s">
        <v>3039</v>
      </c>
      <c r="F3155" s="254" t="s">
        <v>7230</v>
      </c>
      <c r="G3155" s="252" t="s">
        <v>7436</v>
      </c>
      <c r="H3155" s="252" t="s">
        <v>7437</v>
      </c>
      <c r="I3155" s="252">
        <v>5</v>
      </c>
      <c r="J3155" s="255">
        <v>1</v>
      </c>
      <c r="K3155" s="255">
        <v>1</v>
      </c>
      <c r="L3155" s="255"/>
      <c r="M3155" s="256">
        <v>3.2400000000000001E-4</v>
      </c>
      <c r="N3155" s="249">
        <v>3154</v>
      </c>
    </row>
    <row r="3156" spans="1:14" x14ac:dyDescent="0.25">
      <c r="A3156" s="252" t="s">
        <v>74</v>
      </c>
      <c r="B3156" s="252" t="s">
        <v>6461</v>
      </c>
      <c r="C3156" s="253">
        <v>0</v>
      </c>
      <c r="D3156" s="252">
        <v>39792</v>
      </c>
      <c r="E3156" s="252" t="s">
        <v>3039</v>
      </c>
      <c r="F3156" s="254" t="s">
        <v>7230</v>
      </c>
      <c r="G3156" s="252" t="s">
        <v>7438</v>
      </c>
      <c r="H3156" s="252" t="s">
        <v>7439</v>
      </c>
      <c r="I3156" s="252">
        <v>5</v>
      </c>
      <c r="J3156" s="255">
        <v>1</v>
      </c>
      <c r="K3156" s="255">
        <v>1</v>
      </c>
      <c r="L3156" s="255"/>
      <c r="M3156" s="256">
        <v>1.02E-4</v>
      </c>
      <c r="N3156" s="249">
        <v>3155</v>
      </c>
    </row>
    <row r="3157" spans="1:14" x14ac:dyDescent="0.25">
      <c r="A3157" s="252" t="s">
        <v>74</v>
      </c>
      <c r="B3157" s="252" t="s">
        <v>6461</v>
      </c>
      <c r="C3157" s="253">
        <v>0</v>
      </c>
      <c r="D3157" s="252">
        <v>39792</v>
      </c>
      <c r="E3157" s="252" t="s">
        <v>190</v>
      </c>
      <c r="F3157" s="254" t="s">
        <v>7230</v>
      </c>
      <c r="G3157" s="252" t="s">
        <v>7440</v>
      </c>
      <c r="H3157" s="252" t="s">
        <v>7441</v>
      </c>
      <c r="I3157" s="252">
        <v>5</v>
      </c>
      <c r="J3157" s="255">
        <v>1</v>
      </c>
      <c r="K3157" s="255">
        <v>1</v>
      </c>
      <c r="L3157" s="255"/>
      <c r="M3157" s="256">
        <v>1.6200000000000001E-4</v>
      </c>
      <c r="N3157" s="249">
        <v>3156</v>
      </c>
    </row>
    <row r="3158" spans="1:14" x14ac:dyDescent="0.25">
      <c r="A3158" s="252" t="s">
        <v>74</v>
      </c>
      <c r="B3158" s="252" t="s">
        <v>6461</v>
      </c>
      <c r="C3158" s="253">
        <v>0</v>
      </c>
      <c r="D3158" s="252">
        <v>39792</v>
      </c>
      <c r="E3158" s="252" t="s">
        <v>190</v>
      </c>
      <c r="F3158" s="254" t="s">
        <v>7230</v>
      </c>
      <c r="G3158" s="252" t="s">
        <v>7442</v>
      </c>
      <c r="H3158" s="252" t="s">
        <v>7443</v>
      </c>
      <c r="I3158" s="252">
        <v>5</v>
      </c>
      <c r="J3158" s="255">
        <v>1</v>
      </c>
      <c r="K3158" s="255">
        <v>1</v>
      </c>
      <c r="L3158" s="255"/>
      <c r="M3158" s="256">
        <v>1.6200000000000001E-4</v>
      </c>
      <c r="N3158" s="249">
        <v>3157</v>
      </c>
    </row>
    <row r="3159" spans="1:14" x14ac:dyDescent="0.25">
      <c r="A3159" s="252" t="s">
        <v>74</v>
      </c>
      <c r="B3159" s="252" t="s">
        <v>6461</v>
      </c>
      <c r="C3159" s="253">
        <v>0</v>
      </c>
      <c r="D3159" s="252">
        <v>39792</v>
      </c>
      <c r="E3159" s="252" t="s">
        <v>1591</v>
      </c>
      <c r="F3159" s="254" t="s">
        <v>7230</v>
      </c>
      <c r="G3159" s="252" t="s">
        <v>7444</v>
      </c>
      <c r="H3159" s="252" t="s">
        <v>7445</v>
      </c>
      <c r="I3159" s="252">
        <v>5</v>
      </c>
      <c r="J3159" s="255">
        <v>1</v>
      </c>
      <c r="K3159" s="255">
        <v>1</v>
      </c>
      <c r="L3159" s="255"/>
      <c r="M3159" s="256">
        <v>5.5800000000000001E-4</v>
      </c>
      <c r="N3159" s="249">
        <v>3158</v>
      </c>
    </row>
    <row r="3160" spans="1:14" x14ac:dyDescent="0.25">
      <c r="A3160" s="252" t="s">
        <v>74</v>
      </c>
      <c r="B3160" s="252" t="s">
        <v>6461</v>
      </c>
      <c r="C3160" s="253">
        <v>0</v>
      </c>
      <c r="D3160" s="252">
        <v>39792</v>
      </c>
      <c r="E3160" s="252" t="s">
        <v>1591</v>
      </c>
      <c r="F3160" s="254" t="s">
        <v>7230</v>
      </c>
      <c r="G3160" s="252" t="s">
        <v>7446</v>
      </c>
      <c r="H3160" s="252" t="s">
        <v>7447</v>
      </c>
      <c r="I3160" s="252">
        <v>5</v>
      </c>
      <c r="J3160" s="255">
        <v>1</v>
      </c>
      <c r="K3160" s="255">
        <v>1</v>
      </c>
      <c r="L3160" s="255"/>
      <c r="M3160" s="256">
        <v>6.1499999999999988E-4</v>
      </c>
      <c r="N3160" s="249">
        <v>3159</v>
      </c>
    </row>
    <row r="3161" spans="1:14" x14ac:dyDescent="0.25">
      <c r="A3161" s="252" t="s">
        <v>74</v>
      </c>
      <c r="B3161" s="252" t="s">
        <v>6461</v>
      </c>
      <c r="C3161" s="253">
        <v>0</v>
      </c>
      <c r="D3161" s="252">
        <v>39792</v>
      </c>
      <c r="E3161" s="252" t="s">
        <v>3039</v>
      </c>
      <c r="F3161" s="254" t="s">
        <v>7230</v>
      </c>
      <c r="G3161" s="252" t="s">
        <v>7448</v>
      </c>
      <c r="H3161" s="252" t="s">
        <v>7449</v>
      </c>
      <c r="I3161" s="252">
        <v>5</v>
      </c>
      <c r="J3161" s="255">
        <v>1</v>
      </c>
      <c r="K3161" s="255">
        <v>1</v>
      </c>
      <c r="L3161" s="255"/>
      <c r="M3161" s="256">
        <v>5.7329999999999994E-3</v>
      </c>
      <c r="N3161" s="249">
        <v>3160</v>
      </c>
    </row>
    <row r="3162" spans="1:14" x14ac:dyDescent="0.25">
      <c r="A3162" s="252" t="s">
        <v>74</v>
      </c>
      <c r="B3162" s="252" t="s">
        <v>6461</v>
      </c>
      <c r="C3162" s="253">
        <v>0</v>
      </c>
      <c r="D3162" s="252">
        <v>39792</v>
      </c>
      <c r="E3162" s="252" t="s">
        <v>1591</v>
      </c>
      <c r="F3162" s="254" t="s">
        <v>7230</v>
      </c>
      <c r="G3162" s="252" t="s">
        <v>7450</v>
      </c>
      <c r="H3162" s="252" t="s">
        <v>7451</v>
      </c>
      <c r="I3162" s="252">
        <v>5</v>
      </c>
      <c r="J3162" s="255">
        <v>1</v>
      </c>
      <c r="K3162" s="255">
        <v>1</v>
      </c>
      <c r="L3162" s="255"/>
      <c r="M3162" s="256">
        <v>6.1499999999999988E-4</v>
      </c>
      <c r="N3162" s="249">
        <v>3161</v>
      </c>
    </row>
    <row r="3163" spans="1:14" x14ac:dyDescent="0.25">
      <c r="A3163" s="252" t="s">
        <v>74</v>
      </c>
      <c r="B3163" s="252" t="s">
        <v>6461</v>
      </c>
      <c r="C3163" s="253">
        <v>0</v>
      </c>
      <c r="D3163" s="252">
        <v>39792</v>
      </c>
      <c r="E3163" s="252" t="s">
        <v>1591</v>
      </c>
      <c r="F3163" s="254" t="s">
        <v>7230</v>
      </c>
      <c r="G3163" s="252" t="s">
        <v>7452</v>
      </c>
      <c r="H3163" s="252" t="s">
        <v>7453</v>
      </c>
      <c r="I3163" s="252">
        <v>5</v>
      </c>
      <c r="J3163" s="255">
        <v>1</v>
      </c>
      <c r="K3163" s="255">
        <v>1</v>
      </c>
      <c r="L3163" s="255"/>
      <c r="M3163" s="256">
        <v>1.134E-3</v>
      </c>
      <c r="N3163" s="249">
        <v>3162</v>
      </c>
    </row>
    <row r="3164" spans="1:14" x14ac:dyDescent="0.25">
      <c r="A3164" s="252" t="s">
        <v>74</v>
      </c>
      <c r="B3164" s="252" t="s">
        <v>6461</v>
      </c>
      <c r="C3164" s="253">
        <v>0</v>
      </c>
      <c r="D3164" s="252">
        <v>39792</v>
      </c>
      <c r="E3164" s="252" t="s">
        <v>1591</v>
      </c>
      <c r="F3164" s="254" t="s">
        <v>7230</v>
      </c>
      <c r="G3164" s="252" t="s">
        <v>7454</v>
      </c>
      <c r="H3164" s="252" t="s">
        <v>7455</v>
      </c>
      <c r="I3164" s="252">
        <v>5</v>
      </c>
      <c r="J3164" s="255">
        <v>1</v>
      </c>
      <c r="K3164" s="255">
        <v>1</v>
      </c>
      <c r="L3164" s="255"/>
      <c r="M3164" s="256">
        <v>5.5800000000000001E-4</v>
      </c>
      <c r="N3164" s="249">
        <v>3163</v>
      </c>
    </row>
    <row r="3165" spans="1:14" x14ac:dyDescent="0.25">
      <c r="A3165" s="252" t="s">
        <v>74</v>
      </c>
      <c r="B3165" s="252" t="s">
        <v>6461</v>
      </c>
      <c r="C3165" s="253">
        <v>0</v>
      </c>
      <c r="D3165" s="252">
        <v>39792</v>
      </c>
      <c r="E3165" s="252" t="s">
        <v>3039</v>
      </c>
      <c r="F3165" s="254" t="s">
        <v>7230</v>
      </c>
      <c r="G3165" s="252" t="s">
        <v>7456</v>
      </c>
      <c r="H3165" s="252" t="s">
        <v>7457</v>
      </c>
      <c r="I3165" s="252">
        <v>5</v>
      </c>
      <c r="J3165" s="255">
        <v>1</v>
      </c>
      <c r="K3165" s="255">
        <v>1</v>
      </c>
      <c r="L3165" s="255"/>
      <c r="M3165" s="256">
        <v>8.7900000000000001E-4</v>
      </c>
      <c r="N3165" s="249">
        <v>3164</v>
      </c>
    </row>
    <row r="3166" spans="1:14" x14ac:dyDescent="0.25">
      <c r="A3166" s="252" t="s">
        <v>74</v>
      </c>
      <c r="B3166" s="252" t="s">
        <v>6461</v>
      </c>
      <c r="C3166" s="253">
        <v>0</v>
      </c>
      <c r="D3166" s="252">
        <v>39792</v>
      </c>
      <c r="E3166" s="252" t="s">
        <v>3039</v>
      </c>
      <c r="F3166" s="254" t="s">
        <v>7230</v>
      </c>
      <c r="G3166" s="252" t="s">
        <v>7458</v>
      </c>
      <c r="H3166" s="252" t="s">
        <v>7459</v>
      </c>
      <c r="I3166" s="252">
        <v>5</v>
      </c>
      <c r="J3166" s="255">
        <v>1</v>
      </c>
      <c r="K3166" s="255">
        <v>1</v>
      </c>
      <c r="L3166" s="255"/>
      <c r="M3166" s="256">
        <v>1.35E-4</v>
      </c>
      <c r="N3166" s="249">
        <v>3165</v>
      </c>
    </row>
    <row r="3167" spans="1:14" x14ac:dyDescent="0.25">
      <c r="A3167" s="252" t="s">
        <v>74</v>
      </c>
      <c r="B3167" s="252" t="s">
        <v>6461</v>
      </c>
      <c r="C3167" s="253">
        <v>0</v>
      </c>
      <c r="D3167" s="252">
        <v>39792</v>
      </c>
      <c r="E3167" s="252" t="s">
        <v>3039</v>
      </c>
      <c r="F3167" s="254" t="s">
        <v>7230</v>
      </c>
      <c r="G3167" s="252" t="s">
        <v>7460</v>
      </c>
      <c r="H3167" s="252" t="s">
        <v>7461</v>
      </c>
      <c r="I3167" s="252">
        <v>5</v>
      </c>
      <c r="J3167" s="255">
        <v>1</v>
      </c>
      <c r="K3167" s="255">
        <v>1</v>
      </c>
      <c r="L3167" s="255"/>
      <c r="M3167" s="256">
        <v>3.2400000000000001E-4</v>
      </c>
      <c r="N3167" s="249">
        <v>3166</v>
      </c>
    </row>
    <row r="3168" spans="1:14" x14ac:dyDescent="0.25">
      <c r="A3168" s="252" t="s">
        <v>74</v>
      </c>
      <c r="B3168" s="252" t="s">
        <v>6461</v>
      </c>
      <c r="C3168" s="253">
        <v>0</v>
      </c>
      <c r="D3168" s="252">
        <v>39792</v>
      </c>
      <c r="E3168" s="252" t="s">
        <v>3039</v>
      </c>
      <c r="F3168" s="254" t="s">
        <v>7230</v>
      </c>
      <c r="G3168" s="252" t="s">
        <v>7462</v>
      </c>
      <c r="H3168" s="252" t="s">
        <v>7463</v>
      </c>
      <c r="I3168" s="252">
        <v>5</v>
      </c>
      <c r="J3168" s="255">
        <v>1</v>
      </c>
      <c r="K3168" s="255">
        <v>1</v>
      </c>
      <c r="L3168" s="255"/>
      <c r="M3168" s="256">
        <v>1.02E-4</v>
      </c>
      <c r="N3168" s="249">
        <v>3167</v>
      </c>
    </row>
    <row r="3169" spans="1:14" x14ac:dyDescent="0.25">
      <c r="A3169" s="252" t="s">
        <v>74</v>
      </c>
      <c r="B3169" s="252" t="s">
        <v>6461</v>
      </c>
      <c r="C3169" s="253">
        <v>0</v>
      </c>
      <c r="D3169" s="252">
        <v>39792</v>
      </c>
      <c r="E3169" s="252" t="s">
        <v>3039</v>
      </c>
      <c r="F3169" s="254" t="s">
        <v>7230</v>
      </c>
      <c r="G3169" s="252" t="s">
        <v>7464</v>
      </c>
      <c r="H3169" s="252" t="s">
        <v>7465</v>
      </c>
      <c r="I3169" s="252">
        <v>5</v>
      </c>
      <c r="J3169" s="255">
        <v>1</v>
      </c>
      <c r="K3169" s="255">
        <v>1</v>
      </c>
      <c r="L3169" s="255"/>
      <c r="M3169" s="256">
        <v>8.7900000000000001E-4</v>
      </c>
      <c r="N3169" s="249">
        <v>3168</v>
      </c>
    </row>
    <row r="3170" spans="1:14" x14ac:dyDescent="0.25">
      <c r="A3170" s="252" t="s">
        <v>74</v>
      </c>
      <c r="B3170" s="252" t="s">
        <v>6461</v>
      </c>
      <c r="C3170" s="253">
        <v>0</v>
      </c>
      <c r="D3170" s="252">
        <v>39792</v>
      </c>
      <c r="E3170" s="252" t="s">
        <v>3039</v>
      </c>
      <c r="F3170" s="254" t="s">
        <v>7230</v>
      </c>
      <c r="G3170" s="252" t="s">
        <v>7466</v>
      </c>
      <c r="H3170" s="252" t="s">
        <v>7467</v>
      </c>
      <c r="I3170" s="252">
        <v>5</v>
      </c>
      <c r="J3170" s="255">
        <v>1</v>
      </c>
      <c r="K3170" s="255">
        <v>1</v>
      </c>
      <c r="L3170" s="255"/>
      <c r="M3170" s="256">
        <v>3.2400000000000001E-4</v>
      </c>
      <c r="N3170" s="249">
        <v>3169</v>
      </c>
    </row>
    <row r="3171" spans="1:14" x14ac:dyDescent="0.25">
      <c r="A3171" s="252" t="s">
        <v>74</v>
      </c>
      <c r="B3171" s="252" t="s">
        <v>6461</v>
      </c>
      <c r="C3171" s="253">
        <v>0</v>
      </c>
      <c r="D3171" s="252">
        <v>39792</v>
      </c>
      <c r="E3171" s="252" t="s">
        <v>3039</v>
      </c>
      <c r="F3171" s="254" t="s">
        <v>7230</v>
      </c>
      <c r="G3171" s="252" t="s">
        <v>7468</v>
      </c>
      <c r="H3171" s="252" t="s">
        <v>7469</v>
      </c>
      <c r="I3171" s="252">
        <v>5</v>
      </c>
      <c r="J3171" s="255">
        <v>1</v>
      </c>
      <c r="K3171" s="255">
        <v>1</v>
      </c>
      <c r="L3171" s="255"/>
      <c r="M3171" s="256">
        <v>2.565E-3</v>
      </c>
      <c r="N3171" s="249">
        <v>3170</v>
      </c>
    </row>
    <row r="3172" spans="1:14" x14ac:dyDescent="0.25">
      <c r="A3172" s="252" t="s">
        <v>74</v>
      </c>
      <c r="B3172" s="252" t="s">
        <v>6461</v>
      </c>
      <c r="C3172" s="253">
        <v>0</v>
      </c>
      <c r="D3172" s="252">
        <v>39792</v>
      </c>
      <c r="E3172" s="252" t="s">
        <v>3039</v>
      </c>
      <c r="F3172" s="254" t="s">
        <v>7230</v>
      </c>
      <c r="G3172" s="252" t="s">
        <v>7470</v>
      </c>
      <c r="H3172" s="252" t="s">
        <v>7471</v>
      </c>
      <c r="I3172" s="252">
        <v>5</v>
      </c>
      <c r="J3172" s="255">
        <v>1</v>
      </c>
      <c r="K3172" s="255">
        <v>1</v>
      </c>
      <c r="L3172" s="255"/>
      <c r="M3172" s="256">
        <v>2.565E-3</v>
      </c>
      <c r="N3172" s="249">
        <v>3171</v>
      </c>
    </row>
    <row r="3173" spans="1:14" x14ac:dyDescent="0.25">
      <c r="A3173" s="252" t="s">
        <v>74</v>
      </c>
      <c r="B3173" s="252" t="s">
        <v>6461</v>
      </c>
      <c r="C3173" s="253">
        <v>0</v>
      </c>
      <c r="D3173" s="252">
        <v>39792</v>
      </c>
      <c r="E3173" s="252" t="s">
        <v>6502</v>
      </c>
      <c r="F3173" s="254" t="s">
        <v>7230</v>
      </c>
      <c r="G3173" s="252" t="s">
        <v>7472</v>
      </c>
      <c r="H3173" s="252" t="s">
        <v>7473</v>
      </c>
      <c r="I3173" s="252">
        <v>3</v>
      </c>
      <c r="J3173" s="255">
        <v>1</v>
      </c>
      <c r="K3173" s="255">
        <v>1</v>
      </c>
      <c r="L3173" s="255"/>
      <c r="M3173" s="256">
        <v>1.7999999999999998E-4</v>
      </c>
      <c r="N3173" s="249">
        <v>3172</v>
      </c>
    </row>
    <row r="3174" spans="1:14" x14ac:dyDescent="0.25">
      <c r="A3174" s="252" t="s">
        <v>74</v>
      </c>
      <c r="B3174" s="252" t="s">
        <v>6461</v>
      </c>
      <c r="C3174" s="253">
        <v>0</v>
      </c>
      <c r="D3174" s="252">
        <v>39792</v>
      </c>
      <c r="E3174" s="252" t="s">
        <v>6502</v>
      </c>
      <c r="F3174" s="254" t="s">
        <v>7230</v>
      </c>
      <c r="G3174" s="252" t="s">
        <v>7474</v>
      </c>
      <c r="H3174" s="252" t="s">
        <v>7475</v>
      </c>
      <c r="I3174" s="252">
        <v>3</v>
      </c>
      <c r="J3174" s="255">
        <v>1</v>
      </c>
      <c r="K3174" s="255">
        <v>1</v>
      </c>
      <c r="L3174" s="255"/>
      <c r="M3174" s="256">
        <v>2.748E-3</v>
      </c>
      <c r="N3174" s="249">
        <v>3173</v>
      </c>
    </row>
    <row r="3175" spans="1:14" x14ac:dyDescent="0.25">
      <c r="A3175" s="252" t="s">
        <v>74</v>
      </c>
      <c r="B3175" s="252" t="s">
        <v>6461</v>
      </c>
      <c r="C3175" s="253">
        <v>0</v>
      </c>
      <c r="D3175" s="252">
        <v>39792</v>
      </c>
      <c r="E3175" s="252" t="s">
        <v>6502</v>
      </c>
      <c r="F3175" s="254" t="s">
        <v>7230</v>
      </c>
      <c r="G3175" s="252" t="s">
        <v>7476</v>
      </c>
      <c r="H3175" s="252" t="s">
        <v>7477</v>
      </c>
      <c r="I3175" s="252">
        <v>3</v>
      </c>
      <c r="J3175" s="255">
        <v>1</v>
      </c>
      <c r="K3175" s="255">
        <v>1</v>
      </c>
      <c r="L3175" s="255"/>
      <c r="M3175" s="256">
        <v>1.7999999999999998E-4</v>
      </c>
      <c r="N3175" s="249">
        <v>3174</v>
      </c>
    </row>
    <row r="3176" spans="1:14" x14ac:dyDescent="0.25">
      <c r="A3176" s="252" t="s">
        <v>74</v>
      </c>
      <c r="B3176" s="252" t="s">
        <v>6461</v>
      </c>
      <c r="C3176" s="253">
        <v>0</v>
      </c>
      <c r="D3176" s="252">
        <v>39792</v>
      </c>
      <c r="E3176" s="252" t="s">
        <v>3039</v>
      </c>
      <c r="F3176" s="254" t="s">
        <v>7230</v>
      </c>
      <c r="G3176" s="252" t="s">
        <v>7478</v>
      </c>
      <c r="H3176" s="252" t="s">
        <v>7479</v>
      </c>
      <c r="I3176" s="252">
        <v>5</v>
      </c>
      <c r="J3176" s="255">
        <v>1</v>
      </c>
      <c r="K3176" s="255">
        <v>1</v>
      </c>
      <c r="L3176" s="255"/>
      <c r="M3176" s="256">
        <v>8.7900000000000001E-4</v>
      </c>
      <c r="N3176" s="249">
        <v>3175</v>
      </c>
    </row>
    <row r="3177" spans="1:14" x14ac:dyDescent="0.25">
      <c r="A3177" s="252" t="s">
        <v>74</v>
      </c>
      <c r="B3177" s="252" t="s">
        <v>6461</v>
      </c>
      <c r="C3177" s="253">
        <v>0</v>
      </c>
      <c r="D3177" s="252">
        <v>39792</v>
      </c>
      <c r="E3177" s="252" t="s">
        <v>3039</v>
      </c>
      <c r="F3177" s="254" t="s">
        <v>7230</v>
      </c>
      <c r="G3177" s="252" t="s">
        <v>7480</v>
      </c>
      <c r="H3177" s="252" t="s">
        <v>7481</v>
      </c>
      <c r="I3177" s="252">
        <v>5</v>
      </c>
      <c r="J3177" s="255">
        <v>1</v>
      </c>
      <c r="K3177" s="255">
        <v>1</v>
      </c>
      <c r="L3177" s="255"/>
      <c r="M3177" s="256">
        <v>3.2400000000000001E-4</v>
      </c>
      <c r="N3177" s="249">
        <v>3176</v>
      </c>
    </row>
    <row r="3178" spans="1:14" x14ac:dyDescent="0.25">
      <c r="A3178" s="252" t="s">
        <v>74</v>
      </c>
      <c r="B3178" s="252" t="s">
        <v>6461</v>
      </c>
      <c r="C3178" s="253">
        <v>0</v>
      </c>
      <c r="D3178" s="252">
        <v>39792</v>
      </c>
      <c r="E3178" s="252" t="s">
        <v>3039</v>
      </c>
      <c r="F3178" s="254" t="s">
        <v>7230</v>
      </c>
      <c r="G3178" s="252" t="s">
        <v>7482</v>
      </c>
      <c r="H3178" s="252" t="s">
        <v>7483</v>
      </c>
      <c r="I3178" s="252">
        <v>5</v>
      </c>
      <c r="J3178" s="255">
        <v>1</v>
      </c>
      <c r="K3178" s="255">
        <v>1</v>
      </c>
      <c r="L3178" s="255"/>
      <c r="M3178" s="256">
        <v>1.02E-4</v>
      </c>
      <c r="N3178" s="249">
        <v>3177</v>
      </c>
    </row>
    <row r="3179" spans="1:14" x14ac:dyDescent="0.25">
      <c r="A3179" s="252" t="s">
        <v>74</v>
      </c>
      <c r="B3179" s="252" t="s">
        <v>6461</v>
      </c>
      <c r="C3179" s="253">
        <v>0</v>
      </c>
      <c r="D3179" s="252">
        <v>39792</v>
      </c>
      <c r="E3179" s="252" t="s">
        <v>3039</v>
      </c>
      <c r="F3179" s="254" t="s">
        <v>7230</v>
      </c>
      <c r="G3179" s="252" t="s">
        <v>2327</v>
      </c>
      <c r="H3179" s="252" t="s">
        <v>7484</v>
      </c>
      <c r="I3179" s="252">
        <v>5</v>
      </c>
      <c r="J3179" s="255">
        <v>1</v>
      </c>
      <c r="K3179" s="255">
        <v>1</v>
      </c>
      <c r="L3179" s="255"/>
      <c r="M3179" s="256">
        <v>8.7900000000000001E-4</v>
      </c>
      <c r="N3179" s="249">
        <v>3178</v>
      </c>
    </row>
    <row r="3180" spans="1:14" x14ac:dyDescent="0.25">
      <c r="A3180" s="252" t="s">
        <v>74</v>
      </c>
      <c r="B3180" s="252" t="s">
        <v>6461</v>
      </c>
      <c r="C3180" s="253">
        <v>0</v>
      </c>
      <c r="D3180" s="252">
        <v>39792</v>
      </c>
      <c r="E3180" s="252" t="s">
        <v>3039</v>
      </c>
      <c r="F3180" s="254" t="s">
        <v>7230</v>
      </c>
      <c r="G3180" s="252" t="s">
        <v>2328</v>
      </c>
      <c r="H3180" s="252" t="s">
        <v>7485</v>
      </c>
      <c r="I3180" s="252">
        <v>5</v>
      </c>
      <c r="J3180" s="255">
        <v>1</v>
      </c>
      <c r="K3180" s="255">
        <v>1</v>
      </c>
      <c r="L3180" s="255"/>
      <c r="M3180" s="256">
        <v>1.35E-4</v>
      </c>
      <c r="N3180" s="249">
        <v>3179</v>
      </c>
    </row>
    <row r="3181" spans="1:14" x14ac:dyDescent="0.25">
      <c r="A3181" s="252" t="s">
        <v>74</v>
      </c>
      <c r="B3181" s="252" t="s">
        <v>6461</v>
      </c>
      <c r="C3181" s="253">
        <v>0</v>
      </c>
      <c r="D3181" s="252">
        <v>39792</v>
      </c>
      <c r="E3181" s="252" t="s">
        <v>3039</v>
      </c>
      <c r="F3181" s="254" t="s">
        <v>7230</v>
      </c>
      <c r="G3181" s="252" t="s">
        <v>2329</v>
      </c>
      <c r="H3181" s="252" t="s">
        <v>7486</v>
      </c>
      <c r="I3181" s="252">
        <v>5</v>
      </c>
      <c r="J3181" s="255">
        <v>1</v>
      </c>
      <c r="K3181" s="255">
        <v>1</v>
      </c>
      <c r="L3181" s="255"/>
      <c r="M3181" s="256">
        <v>3.2400000000000001E-4</v>
      </c>
      <c r="N3181" s="249">
        <v>3180</v>
      </c>
    </row>
    <row r="3182" spans="1:14" x14ac:dyDescent="0.25">
      <c r="A3182" s="252" t="s">
        <v>74</v>
      </c>
      <c r="B3182" s="252" t="s">
        <v>6461</v>
      </c>
      <c r="C3182" s="253">
        <v>0</v>
      </c>
      <c r="D3182" s="252">
        <v>39792</v>
      </c>
      <c r="E3182" s="252" t="s">
        <v>3039</v>
      </c>
      <c r="F3182" s="254" t="s">
        <v>7230</v>
      </c>
      <c r="G3182" s="252" t="s">
        <v>7487</v>
      </c>
      <c r="H3182" s="252" t="s">
        <v>7488</v>
      </c>
      <c r="I3182" s="252">
        <v>5</v>
      </c>
      <c r="J3182" s="255">
        <v>1</v>
      </c>
      <c r="K3182" s="255">
        <v>1</v>
      </c>
      <c r="L3182" s="255"/>
      <c r="M3182" s="256">
        <v>4.8869999999999999E-3</v>
      </c>
      <c r="N3182" s="249">
        <v>3181</v>
      </c>
    </row>
    <row r="3183" spans="1:14" x14ac:dyDescent="0.25">
      <c r="A3183" s="252" t="s">
        <v>74</v>
      </c>
      <c r="B3183" s="252" t="s">
        <v>6461</v>
      </c>
      <c r="C3183" s="253">
        <v>0</v>
      </c>
      <c r="D3183" s="252">
        <v>39792</v>
      </c>
      <c r="E3183" s="252" t="s">
        <v>3039</v>
      </c>
      <c r="F3183" s="254" t="s">
        <v>7230</v>
      </c>
      <c r="G3183" s="252" t="s">
        <v>7489</v>
      </c>
      <c r="H3183" s="252" t="s">
        <v>7490</v>
      </c>
      <c r="I3183" s="252">
        <v>5</v>
      </c>
      <c r="J3183" s="255">
        <v>1</v>
      </c>
      <c r="K3183" s="255">
        <v>1</v>
      </c>
      <c r="L3183" s="255"/>
      <c r="M3183" s="256">
        <v>1.02E-4</v>
      </c>
      <c r="N3183" s="249">
        <v>3182</v>
      </c>
    </row>
    <row r="3184" spans="1:14" x14ac:dyDescent="0.25">
      <c r="A3184" s="252" t="s">
        <v>74</v>
      </c>
      <c r="B3184" s="252" t="s">
        <v>6461</v>
      </c>
      <c r="C3184" s="253">
        <v>0</v>
      </c>
      <c r="D3184" s="252">
        <v>39792</v>
      </c>
      <c r="E3184" s="252" t="s">
        <v>3039</v>
      </c>
      <c r="F3184" s="254" t="s">
        <v>7230</v>
      </c>
      <c r="G3184" s="252" t="s">
        <v>4310</v>
      </c>
      <c r="H3184" s="252" t="s">
        <v>7491</v>
      </c>
      <c r="I3184" s="252">
        <v>5</v>
      </c>
      <c r="J3184" s="255">
        <v>1</v>
      </c>
      <c r="K3184" s="255">
        <v>1</v>
      </c>
      <c r="L3184" s="255"/>
      <c r="M3184" s="256">
        <v>8.7900000000000001E-4</v>
      </c>
      <c r="N3184" s="249">
        <v>3183</v>
      </c>
    </row>
    <row r="3185" spans="1:14" x14ac:dyDescent="0.25">
      <c r="A3185" s="252" t="s">
        <v>74</v>
      </c>
      <c r="B3185" s="252" t="s">
        <v>6461</v>
      </c>
      <c r="C3185" s="253">
        <v>0</v>
      </c>
      <c r="D3185" s="252">
        <v>39792</v>
      </c>
      <c r="E3185" s="252" t="s">
        <v>3039</v>
      </c>
      <c r="F3185" s="254" t="s">
        <v>7230</v>
      </c>
      <c r="G3185" s="252" t="s">
        <v>2332</v>
      </c>
      <c r="H3185" s="252" t="s">
        <v>7492</v>
      </c>
      <c r="I3185" s="252">
        <v>5</v>
      </c>
      <c r="J3185" s="255">
        <v>1</v>
      </c>
      <c r="K3185" s="255">
        <v>1</v>
      </c>
      <c r="L3185" s="255"/>
      <c r="M3185" s="256">
        <v>3.2400000000000001E-4</v>
      </c>
      <c r="N3185" s="249">
        <v>3184</v>
      </c>
    </row>
    <row r="3186" spans="1:14" x14ac:dyDescent="0.25">
      <c r="A3186" s="252" t="s">
        <v>74</v>
      </c>
      <c r="B3186" s="252" t="s">
        <v>6461</v>
      </c>
      <c r="C3186" s="253">
        <v>0</v>
      </c>
      <c r="D3186" s="252">
        <v>39792</v>
      </c>
      <c r="E3186" s="252" t="s">
        <v>3039</v>
      </c>
      <c r="F3186" s="254" t="s">
        <v>7230</v>
      </c>
      <c r="G3186" s="252" t="s">
        <v>7493</v>
      </c>
      <c r="H3186" s="252" t="s">
        <v>7494</v>
      </c>
      <c r="I3186" s="252">
        <v>5</v>
      </c>
      <c r="J3186" s="255">
        <v>1</v>
      </c>
      <c r="K3186" s="255">
        <v>1</v>
      </c>
      <c r="L3186" s="255"/>
      <c r="M3186" s="256">
        <v>6.5249999999999996E-3</v>
      </c>
      <c r="N3186" s="249">
        <v>3185</v>
      </c>
    </row>
    <row r="3187" spans="1:14" x14ac:dyDescent="0.25">
      <c r="A3187" s="252" t="s">
        <v>74</v>
      </c>
      <c r="B3187" s="252" t="s">
        <v>6461</v>
      </c>
      <c r="C3187" s="253">
        <v>0</v>
      </c>
      <c r="D3187" s="252">
        <v>39792</v>
      </c>
      <c r="E3187" s="252" t="s">
        <v>3039</v>
      </c>
      <c r="F3187" s="254" t="s">
        <v>7230</v>
      </c>
      <c r="G3187" s="252" t="s">
        <v>2334</v>
      </c>
      <c r="H3187" s="252" t="s">
        <v>7495</v>
      </c>
      <c r="I3187" s="252">
        <v>5</v>
      </c>
      <c r="J3187" s="255">
        <v>1</v>
      </c>
      <c r="K3187" s="255">
        <v>1</v>
      </c>
      <c r="L3187" s="255"/>
      <c r="M3187" s="256">
        <v>3.8999999999999999E-4</v>
      </c>
      <c r="N3187" s="249">
        <v>3186</v>
      </c>
    </row>
    <row r="3188" spans="1:14" x14ac:dyDescent="0.25">
      <c r="A3188" s="252" t="s">
        <v>74</v>
      </c>
      <c r="B3188" s="252" t="s">
        <v>6461</v>
      </c>
      <c r="C3188" s="253">
        <v>0</v>
      </c>
      <c r="D3188" s="252">
        <v>39792</v>
      </c>
      <c r="E3188" s="252" t="s">
        <v>3039</v>
      </c>
      <c r="F3188" s="254" t="s">
        <v>7230</v>
      </c>
      <c r="G3188" s="252" t="s">
        <v>2335</v>
      </c>
      <c r="H3188" s="252" t="s">
        <v>7496</v>
      </c>
      <c r="I3188" s="252">
        <v>5</v>
      </c>
      <c r="J3188" s="255">
        <v>1</v>
      </c>
      <c r="K3188" s="255">
        <v>1</v>
      </c>
      <c r="L3188" s="255"/>
      <c r="M3188" s="256">
        <v>3.8999999999999999E-4</v>
      </c>
      <c r="N3188" s="249">
        <v>3187</v>
      </c>
    </row>
    <row r="3189" spans="1:14" x14ac:dyDescent="0.25">
      <c r="A3189" s="252" t="s">
        <v>74</v>
      </c>
      <c r="B3189" s="252" t="s">
        <v>6461</v>
      </c>
      <c r="C3189" s="253">
        <v>0</v>
      </c>
      <c r="D3189" s="252">
        <v>39792</v>
      </c>
      <c r="E3189" s="252" t="s">
        <v>3039</v>
      </c>
      <c r="F3189" s="254" t="s">
        <v>7230</v>
      </c>
      <c r="G3189" s="252" t="s">
        <v>2336</v>
      </c>
      <c r="H3189" s="252" t="s">
        <v>7497</v>
      </c>
      <c r="I3189" s="252">
        <v>5</v>
      </c>
      <c r="J3189" s="255">
        <v>1</v>
      </c>
      <c r="K3189" s="255">
        <v>1</v>
      </c>
      <c r="L3189" s="255"/>
      <c r="M3189" s="256">
        <v>1.35E-4</v>
      </c>
      <c r="N3189" s="249">
        <v>3188</v>
      </c>
    </row>
    <row r="3190" spans="1:14" x14ac:dyDescent="0.25">
      <c r="A3190" s="252" t="s">
        <v>74</v>
      </c>
      <c r="B3190" s="252" t="s">
        <v>6461</v>
      </c>
      <c r="C3190" s="253">
        <v>0</v>
      </c>
      <c r="D3190" s="252">
        <v>39792</v>
      </c>
      <c r="E3190" s="252" t="s">
        <v>3039</v>
      </c>
      <c r="F3190" s="254" t="s">
        <v>7230</v>
      </c>
      <c r="G3190" s="252" t="s">
        <v>2337</v>
      </c>
      <c r="H3190" s="252" t="s">
        <v>7498</v>
      </c>
      <c r="I3190" s="252">
        <v>5</v>
      </c>
      <c r="J3190" s="255">
        <v>1</v>
      </c>
      <c r="K3190" s="255">
        <v>1</v>
      </c>
      <c r="L3190" s="255"/>
      <c r="M3190" s="256">
        <v>1.35E-4</v>
      </c>
      <c r="N3190" s="249">
        <v>3189</v>
      </c>
    </row>
    <row r="3191" spans="1:14" x14ac:dyDescent="0.25">
      <c r="A3191" s="252" t="s">
        <v>74</v>
      </c>
      <c r="B3191" s="252" t="s">
        <v>6461</v>
      </c>
      <c r="C3191" s="253">
        <v>0</v>
      </c>
      <c r="D3191" s="252">
        <v>39792</v>
      </c>
      <c r="E3191" s="252" t="s">
        <v>6502</v>
      </c>
      <c r="F3191" s="254" t="s">
        <v>7230</v>
      </c>
      <c r="G3191" s="252" t="s">
        <v>2342</v>
      </c>
      <c r="H3191" s="252" t="s">
        <v>7499</v>
      </c>
      <c r="I3191" s="252">
        <v>3</v>
      </c>
      <c r="J3191" s="255">
        <v>1</v>
      </c>
      <c r="K3191" s="255">
        <v>1</v>
      </c>
      <c r="L3191" s="255"/>
      <c r="M3191" s="256">
        <v>4.104E-3</v>
      </c>
      <c r="N3191" s="249">
        <v>3190</v>
      </c>
    </row>
    <row r="3192" spans="1:14" x14ac:dyDescent="0.25">
      <c r="A3192" s="252" t="s">
        <v>74</v>
      </c>
      <c r="B3192" s="252" t="s">
        <v>6461</v>
      </c>
      <c r="C3192" s="253">
        <v>0</v>
      </c>
      <c r="D3192" s="252">
        <v>39792</v>
      </c>
      <c r="E3192" s="252" t="s">
        <v>6502</v>
      </c>
      <c r="F3192" s="254" t="s">
        <v>7230</v>
      </c>
      <c r="G3192" s="252" t="s">
        <v>7500</v>
      </c>
      <c r="H3192" s="252" t="s">
        <v>7501</v>
      </c>
      <c r="I3192" s="252">
        <v>3</v>
      </c>
      <c r="J3192" s="255">
        <v>1</v>
      </c>
      <c r="K3192" s="255">
        <v>1</v>
      </c>
      <c r="L3192" s="255"/>
      <c r="M3192" s="256">
        <v>1.7999999999999998E-4</v>
      </c>
      <c r="N3192" s="249">
        <v>3191</v>
      </c>
    </row>
    <row r="3193" spans="1:14" x14ac:dyDescent="0.25">
      <c r="A3193" s="252" t="s">
        <v>74</v>
      </c>
      <c r="B3193" s="252" t="s">
        <v>6461</v>
      </c>
      <c r="C3193" s="253">
        <v>0</v>
      </c>
      <c r="D3193" s="252">
        <v>39792</v>
      </c>
      <c r="E3193" s="252" t="s">
        <v>6502</v>
      </c>
      <c r="F3193" s="254" t="s">
        <v>7230</v>
      </c>
      <c r="G3193" s="252" t="s">
        <v>7502</v>
      </c>
      <c r="H3193" s="252" t="s">
        <v>7503</v>
      </c>
      <c r="I3193" s="252">
        <v>3</v>
      </c>
      <c r="J3193" s="255">
        <v>1</v>
      </c>
      <c r="K3193" s="255">
        <v>1</v>
      </c>
      <c r="L3193" s="255"/>
      <c r="M3193" s="256">
        <v>1.7999999999999998E-4</v>
      </c>
      <c r="N3193" s="249">
        <v>3192</v>
      </c>
    </row>
    <row r="3194" spans="1:14" x14ac:dyDescent="0.25">
      <c r="A3194" s="252" t="s">
        <v>74</v>
      </c>
      <c r="B3194" s="252" t="s">
        <v>6461</v>
      </c>
      <c r="C3194" s="253">
        <v>0</v>
      </c>
      <c r="D3194" s="252">
        <v>39792</v>
      </c>
      <c r="E3194" s="252" t="s">
        <v>3039</v>
      </c>
      <c r="F3194" s="254" t="s">
        <v>7230</v>
      </c>
      <c r="G3194" s="252" t="s">
        <v>7504</v>
      </c>
      <c r="H3194" s="252" t="s">
        <v>7505</v>
      </c>
      <c r="I3194" s="252">
        <v>5</v>
      </c>
      <c r="J3194" s="255">
        <v>1</v>
      </c>
      <c r="K3194" s="255">
        <v>1</v>
      </c>
      <c r="L3194" s="255"/>
      <c r="M3194" s="256">
        <v>4.9500000000000004E-3</v>
      </c>
      <c r="N3194" s="249">
        <v>3193</v>
      </c>
    </row>
    <row r="3195" spans="1:14" x14ac:dyDescent="0.25">
      <c r="A3195" s="252" t="s">
        <v>74</v>
      </c>
      <c r="B3195" s="252" t="s">
        <v>6461</v>
      </c>
      <c r="C3195" s="253">
        <v>0</v>
      </c>
      <c r="D3195" s="252">
        <v>39792</v>
      </c>
      <c r="E3195" s="252" t="s">
        <v>3039</v>
      </c>
      <c r="F3195" s="254" t="s">
        <v>7230</v>
      </c>
      <c r="G3195" s="252" t="s">
        <v>7506</v>
      </c>
      <c r="H3195" s="252" t="s">
        <v>7507</v>
      </c>
      <c r="I3195" s="252">
        <v>5</v>
      </c>
      <c r="J3195" s="255">
        <v>1</v>
      </c>
      <c r="K3195" s="255">
        <v>1</v>
      </c>
      <c r="L3195" s="255"/>
      <c r="M3195" s="256">
        <v>8.7900000000000001E-4</v>
      </c>
      <c r="N3195" s="249">
        <v>3194</v>
      </c>
    </row>
    <row r="3196" spans="1:14" x14ac:dyDescent="0.25">
      <c r="A3196" s="252" t="s">
        <v>74</v>
      </c>
      <c r="B3196" s="252" t="s">
        <v>6461</v>
      </c>
      <c r="C3196" s="253">
        <v>0</v>
      </c>
      <c r="D3196" s="252">
        <v>39792</v>
      </c>
      <c r="E3196" s="252" t="s">
        <v>3039</v>
      </c>
      <c r="F3196" s="254" t="s">
        <v>7230</v>
      </c>
      <c r="G3196" s="252" t="s">
        <v>3447</v>
      </c>
      <c r="H3196" s="252" t="s">
        <v>7508</v>
      </c>
      <c r="I3196" s="252">
        <v>5</v>
      </c>
      <c r="J3196" s="255">
        <v>1</v>
      </c>
      <c r="K3196" s="255">
        <v>1</v>
      </c>
      <c r="L3196" s="255"/>
      <c r="M3196" s="256">
        <v>3.2400000000000001E-4</v>
      </c>
      <c r="N3196" s="249">
        <v>3195</v>
      </c>
    </row>
    <row r="3197" spans="1:14" x14ac:dyDescent="0.25">
      <c r="A3197" s="252" t="s">
        <v>74</v>
      </c>
      <c r="B3197" s="252" t="s">
        <v>6461</v>
      </c>
      <c r="C3197" s="253">
        <v>0</v>
      </c>
      <c r="D3197" s="252">
        <v>39792</v>
      </c>
      <c r="E3197" s="252" t="s">
        <v>3039</v>
      </c>
      <c r="F3197" s="254" t="s">
        <v>7230</v>
      </c>
      <c r="G3197" s="252" t="s">
        <v>7509</v>
      </c>
      <c r="H3197" s="252" t="s">
        <v>7510</v>
      </c>
      <c r="I3197" s="252">
        <v>5</v>
      </c>
      <c r="J3197" s="255">
        <v>1</v>
      </c>
      <c r="K3197" s="255">
        <v>1</v>
      </c>
      <c r="L3197" s="255"/>
      <c r="M3197" s="256">
        <v>1.02E-4</v>
      </c>
      <c r="N3197" s="249">
        <v>3196</v>
      </c>
    </row>
    <row r="3198" spans="1:14" x14ac:dyDescent="0.25">
      <c r="A3198" s="252" t="s">
        <v>74</v>
      </c>
      <c r="B3198" s="252" t="s">
        <v>6461</v>
      </c>
      <c r="C3198" s="253">
        <v>0</v>
      </c>
      <c r="D3198" s="252">
        <v>39792</v>
      </c>
      <c r="E3198" s="252" t="s">
        <v>1591</v>
      </c>
      <c r="F3198" s="254" t="s">
        <v>7230</v>
      </c>
      <c r="G3198" s="252" t="s">
        <v>7511</v>
      </c>
      <c r="H3198" s="252" t="s">
        <v>7512</v>
      </c>
      <c r="I3198" s="252">
        <v>5</v>
      </c>
      <c r="J3198" s="255">
        <v>1</v>
      </c>
      <c r="K3198" s="255">
        <v>1</v>
      </c>
      <c r="L3198" s="255"/>
      <c r="M3198" s="256">
        <v>5.5800000000000001E-4</v>
      </c>
      <c r="N3198" s="249">
        <v>3197</v>
      </c>
    </row>
    <row r="3199" spans="1:14" x14ac:dyDescent="0.25">
      <c r="A3199" s="252" t="s">
        <v>74</v>
      </c>
      <c r="B3199" s="252" t="s">
        <v>6461</v>
      </c>
      <c r="C3199" s="253">
        <v>0</v>
      </c>
      <c r="D3199" s="252">
        <v>39792</v>
      </c>
      <c r="E3199" s="252" t="s">
        <v>1591</v>
      </c>
      <c r="F3199" s="254" t="s">
        <v>7230</v>
      </c>
      <c r="G3199" s="252" t="s">
        <v>4325</v>
      </c>
      <c r="H3199" s="252" t="s">
        <v>7513</v>
      </c>
      <c r="I3199" s="252">
        <v>5</v>
      </c>
      <c r="J3199" s="255">
        <v>1</v>
      </c>
      <c r="K3199" s="255">
        <v>1</v>
      </c>
      <c r="L3199" s="255"/>
      <c r="M3199" s="256">
        <v>6.1499999999999988E-4</v>
      </c>
      <c r="N3199" s="249">
        <v>3198</v>
      </c>
    </row>
    <row r="3200" spans="1:14" x14ac:dyDescent="0.25">
      <c r="A3200" s="252" t="s">
        <v>74</v>
      </c>
      <c r="B3200" s="252" t="s">
        <v>6461</v>
      </c>
      <c r="C3200" s="253">
        <v>0</v>
      </c>
      <c r="D3200" s="252">
        <v>39792</v>
      </c>
      <c r="E3200" s="252" t="s">
        <v>3039</v>
      </c>
      <c r="F3200" s="254" t="s">
        <v>7230</v>
      </c>
      <c r="G3200" s="252" t="s">
        <v>7514</v>
      </c>
      <c r="H3200" s="252" t="s">
        <v>7515</v>
      </c>
      <c r="I3200" s="252">
        <v>5</v>
      </c>
      <c r="J3200" s="255">
        <v>1</v>
      </c>
      <c r="K3200" s="255">
        <v>1</v>
      </c>
      <c r="L3200" s="255"/>
      <c r="M3200" s="256">
        <v>5.7329999999999994E-3</v>
      </c>
      <c r="N3200" s="249">
        <v>3199</v>
      </c>
    </row>
    <row r="3201" spans="1:14" x14ac:dyDescent="0.25">
      <c r="A3201" s="252" t="s">
        <v>74</v>
      </c>
      <c r="B3201" s="252" t="s">
        <v>6461</v>
      </c>
      <c r="C3201" s="253">
        <v>0</v>
      </c>
      <c r="D3201" s="252">
        <v>39792</v>
      </c>
      <c r="E3201" s="252" t="s">
        <v>1591</v>
      </c>
      <c r="F3201" s="254" t="s">
        <v>7230</v>
      </c>
      <c r="G3201" s="252" t="s">
        <v>7516</v>
      </c>
      <c r="H3201" s="252" t="s">
        <v>7517</v>
      </c>
      <c r="I3201" s="252">
        <v>5</v>
      </c>
      <c r="J3201" s="255">
        <v>1</v>
      </c>
      <c r="K3201" s="255">
        <v>1</v>
      </c>
      <c r="L3201" s="255"/>
      <c r="M3201" s="256">
        <v>5.5800000000000001E-4</v>
      </c>
      <c r="N3201" s="249">
        <v>3200</v>
      </c>
    </row>
    <row r="3202" spans="1:14" x14ac:dyDescent="0.25">
      <c r="A3202" s="252" t="s">
        <v>74</v>
      </c>
      <c r="B3202" s="252" t="s">
        <v>6461</v>
      </c>
      <c r="C3202" s="253">
        <v>0</v>
      </c>
      <c r="D3202" s="252">
        <v>39792</v>
      </c>
      <c r="E3202" s="252" t="s">
        <v>1591</v>
      </c>
      <c r="F3202" s="254" t="s">
        <v>7230</v>
      </c>
      <c r="G3202" s="252" t="s">
        <v>3464</v>
      </c>
      <c r="H3202" s="252" t="s">
        <v>7518</v>
      </c>
      <c r="I3202" s="252">
        <v>5</v>
      </c>
      <c r="J3202" s="255">
        <v>1</v>
      </c>
      <c r="K3202" s="255">
        <v>1</v>
      </c>
      <c r="L3202" s="255"/>
      <c r="M3202" s="256">
        <v>6.1499999999999988E-4</v>
      </c>
      <c r="N3202" s="249">
        <v>3201</v>
      </c>
    </row>
    <row r="3203" spans="1:14" x14ac:dyDescent="0.25">
      <c r="A3203" s="252" t="s">
        <v>74</v>
      </c>
      <c r="B3203" s="252" t="s">
        <v>6461</v>
      </c>
      <c r="C3203" s="253">
        <v>0</v>
      </c>
      <c r="D3203" s="252">
        <v>39792</v>
      </c>
      <c r="E3203" s="252" t="s">
        <v>3039</v>
      </c>
      <c r="F3203" s="254" t="s">
        <v>7230</v>
      </c>
      <c r="G3203" s="252" t="s">
        <v>7519</v>
      </c>
      <c r="H3203" s="252" t="s">
        <v>7520</v>
      </c>
      <c r="I3203" s="252">
        <v>5</v>
      </c>
      <c r="J3203" s="255">
        <v>1</v>
      </c>
      <c r="K3203" s="255">
        <v>1</v>
      </c>
      <c r="L3203" s="255"/>
      <c r="M3203" s="256">
        <v>8.7900000000000001E-4</v>
      </c>
      <c r="N3203" s="249">
        <v>3202</v>
      </c>
    </row>
    <row r="3204" spans="1:14" x14ac:dyDescent="0.25">
      <c r="A3204" s="252" t="s">
        <v>74</v>
      </c>
      <c r="B3204" s="252" t="s">
        <v>6461</v>
      </c>
      <c r="C3204" s="253">
        <v>0</v>
      </c>
      <c r="D3204" s="252">
        <v>39792</v>
      </c>
      <c r="E3204" s="252" t="s">
        <v>3039</v>
      </c>
      <c r="F3204" s="254" t="s">
        <v>7230</v>
      </c>
      <c r="G3204" s="252" t="s">
        <v>2347</v>
      </c>
      <c r="H3204" s="252" t="s">
        <v>7521</v>
      </c>
      <c r="I3204" s="252">
        <v>5</v>
      </c>
      <c r="J3204" s="255">
        <v>1</v>
      </c>
      <c r="K3204" s="255">
        <v>1</v>
      </c>
      <c r="L3204" s="255"/>
      <c r="M3204" s="256">
        <v>1.35E-4</v>
      </c>
      <c r="N3204" s="249">
        <v>3203</v>
      </c>
    </row>
    <row r="3205" spans="1:14" x14ac:dyDescent="0.25">
      <c r="A3205" s="252" t="s">
        <v>74</v>
      </c>
      <c r="B3205" s="252" t="s">
        <v>6461</v>
      </c>
      <c r="C3205" s="253">
        <v>0</v>
      </c>
      <c r="D3205" s="252">
        <v>39792</v>
      </c>
      <c r="E3205" s="252" t="s">
        <v>3039</v>
      </c>
      <c r="F3205" s="254" t="s">
        <v>7230</v>
      </c>
      <c r="G3205" s="252" t="s">
        <v>3467</v>
      </c>
      <c r="H3205" s="252" t="s">
        <v>7522</v>
      </c>
      <c r="I3205" s="252">
        <v>5</v>
      </c>
      <c r="J3205" s="255">
        <v>1</v>
      </c>
      <c r="K3205" s="255">
        <v>1</v>
      </c>
      <c r="L3205" s="255"/>
      <c r="M3205" s="256">
        <v>3.2400000000000001E-4</v>
      </c>
      <c r="N3205" s="249">
        <v>3204</v>
      </c>
    </row>
    <row r="3206" spans="1:14" x14ac:dyDescent="0.25">
      <c r="A3206" s="252" t="s">
        <v>74</v>
      </c>
      <c r="B3206" s="252" t="s">
        <v>6461</v>
      </c>
      <c r="C3206" s="253">
        <v>0</v>
      </c>
      <c r="D3206" s="252">
        <v>39792</v>
      </c>
      <c r="E3206" s="252" t="s">
        <v>3039</v>
      </c>
      <c r="F3206" s="254" t="s">
        <v>7230</v>
      </c>
      <c r="G3206" s="252" t="s">
        <v>7523</v>
      </c>
      <c r="H3206" s="252" t="s">
        <v>7524</v>
      </c>
      <c r="I3206" s="252">
        <v>5</v>
      </c>
      <c r="J3206" s="255">
        <v>1</v>
      </c>
      <c r="K3206" s="255">
        <v>1</v>
      </c>
      <c r="L3206" s="255"/>
      <c r="M3206" s="256">
        <v>1.02E-4</v>
      </c>
      <c r="N3206" s="249">
        <v>3205</v>
      </c>
    </row>
    <row r="3207" spans="1:14" x14ac:dyDescent="0.25">
      <c r="A3207" s="252" t="s">
        <v>74</v>
      </c>
      <c r="B3207" s="252" t="s">
        <v>6461</v>
      </c>
      <c r="C3207" s="253">
        <v>0</v>
      </c>
      <c r="D3207" s="252">
        <v>39792</v>
      </c>
      <c r="E3207" s="252" t="s">
        <v>3039</v>
      </c>
      <c r="F3207" s="254" t="s">
        <v>7230</v>
      </c>
      <c r="G3207" s="252" t="s">
        <v>7525</v>
      </c>
      <c r="H3207" s="252" t="s">
        <v>7526</v>
      </c>
      <c r="I3207" s="252">
        <v>5</v>
      </c>
      <c r="J3207" s="255">
        <v>1</v>
      </c>
      <c r="K3207" s="255">
        <v>1</v>
      </c>
      <c r="L3207" s="255"/>
      <c r="M3207" s="256">
        <v>8.7900000000000001E-4</v>
      </c>
      <c r="N3207" s="249">
        <v>3206</v>
      </c>
    </row>
    <row r="3208" spans="1:14" x14ac:dyDescent="0.25">
      <c r="A3208" s="252" t="s">
        <v>74</v>
      </c>
      <c r="B3208" s="252" t="s">
        <v>6461</v>
      </c>
      <c r="C3208" s="253">
        <v>0</v>
      </c>
      <c r="D3208" s="252">
        <v>39792</v>
      </c>
      <c r="E3208" s="252" t="s">
        <v>3039</v>
      </c>
      <c r="F3208" s="254" t="s">
        <v>7230</v>
      </c>
      <c r="G3208" s="252" t="s">
        <v>3485</v>
      </c>
      <c r="H3208" s="252" t="s">
        <v>7527</v>
      </c>
      <c r="I3208" s="252">
        <v>5</v>
      </c>
      <c r="J3208" s="255">
        <v>1</v>
      </c>
      <c r="K3208" s="255">
        <v>1</v>
      </c>
      <c r="L3208" s="255"/>
      <c r="M3208" s="256">
        <v>3.2400000000000001E-4</v>
      </c>
      <c r="N3208" s="249">
        <v>3207</v>
      </c>
    </row>
    <row r="3209" spans="1:14" x14ac:dyDescent="0.25">
      <c r="A3209" s="252" t="s">
        <v>74</v>
      </c>
      <c r="B3209" s="252" t="s">
        <v>6461</v>
      </c>
      <c r="C3209" s="253">
        <v>0</v>
      </c>
      <c r="D3209" s="252">
        <v>39792</v>
      </c>
      <c r="E3209" s="252" t="s">
        <v>6502</v>
      </c>
      <c r="F3209" s="254" t="s">
        <v>7230</v>
      </c>
      <c r="G3209" s="252" t="s">
        <v>7528</v>
      </c>
      <c r="H3209" s="252" t="s">
        <v>7529</v>
      </c>
      <c r="I3209" s="252">
        <v>3</v>
      </c>
      <c r="J3209" s="255">
        <v>1</v>
      </c>
      <c r="K3209" s="255">
        <v>1</v>
      </c>
      <c r="L3209" s="255"/>
      <c r="M3209" s="256">
        <v>4.3349999999999994E-3</v>
      </c>
      <c r="N3209" s="249">
        <v>3208</v>
      </c>
    </row>
    <row r="3210" spans="1:14" x14ac:dyDescent="0.25">
      <c r="A3210" s="252" t="s">
        <v>74</v>
      </c>
      <c r="B3210" s="252" t="s">
        <v>6461</v>
      </c>
      <c r="C3210" s="253">
        <v>0</v>
      </c>
      <c r="D3210" s="252">
        <v>39792</v>
      </c>
      <c r="E3210" s="252" t="s">
        <v>6502</v>
      </c>
      <c r="F3210" s="254" t="s">
        <v>7230</v>
      </c>
      <c r="G3210" s="252" t="s">
        <v>7530</v>
      </c>
      <c r="H3210" s="252" t="s">
        <v>7531</v>
      </c>
      <c r="I3210" s="252">
        <v>3</v>
      </c>
      <c r="J3210" s="255">
        <v>1</v>
      </c>
      <c r="K3210" s="255">
        <v>1</v>
      </c>
      <c r="L3210" s="255"/>
      <c r="M3210" s="256">
        <v>1.7999999999999998E-4</v>
      </c>
      <c r="N3210" s="249">
        <v>3209</v>
      </c>
    </row>
    <row r="3211" spans="1:14" x14ac:dyDescent="0.25">
      <c r="A3211" s="252" t="s">
        <v>74</v>
      </c>
      <c r="B3211" s="252" t="s">
        <v>6461</v>
      </c>
      <c r="C3211" s="253">
        <v>0</v>
      </c>
      <c r="D3211" s="252">
        <v>39792</v>
      </c>
      <c r="E3211" s="252" t="s">
        <v>6502</v>
      </c>
      <c r="F3211" s="254" t="s">
        <v>7230</v>
      </c>
      <c r="G3211" s="252" t="s">
        <v>7532</v>
      </c>
      <c r="H3211" s="252" t="s">
        <v>7533</v>
      </c>
      <c r="I3211" s="252">
        <v>3</v>
      </c>
      <c r="J3211" s="255">
        <v>1</v>
      </c>
      <c r="K3211" s="255">
        <v>1</v>
      </c>
      <c r="L3211" s="255"/>
      <c r="M3211" s="256">
        <v>1.7999999999999998E-4</v>
      </c>
      <c r="N3211" s="249">
        <v>3210</v>
      </c>
    </row>
    <row r="3212" spans="1:14" x14ac:dyDescent="0.25">
      <c r="A3212" s="252" t="s">
        <v>74</v>
      </c>
      <c r="B3212" s="252" t="s">
        <v>6461</v>
      </c>
      <c r="C3212" s="253">
        <v>0</v>
      </c>
      <c r="D3212" s="252">
        <v>39792</v>
      </c>
      <c r="E3212" s="252" t="s">
        <v>3039</v>
      </c>
      <c r="F3212" s="254" t="s">
        <v>7230</v>
      </c>
      <c r="G3212" s="252" t="s">
        <v>7534</v>
      </c>
      <c r="H3212" s="252" t="s">
        <v>7535</v>
      </c>
      <c r="I3212" s="252">
        <v>5</v>
      </c>
      <c r="J3212" s="255">
        <v>1</v>
      </c>
      <c r="K3212" s="255">
        <v>1</v>
      </c>
      <c r="L3212" s="255"/>
      <c r="M3212" s="256">
        <v>1.35E-2</v>
      </c>
      <c r="N3212" s="249">
        <v>3211</v>
      </c>
    </row>
    <row r="3213" spans="1:14" x14ac:dyDescent="0.25">
      <c r="A3213" s="252" t="s">
        <v>74</v>
      </c>
      <c r="B3213" s="252" t="s">
        <v>6461</v>
      </c>
      <c r="C3213" s="253">
        <v>0</v>
      </c>
      <c r="D3213" s="252">
        <v>39792</v>
      </c>
      <c r="E3213" s="252" t="s">
        <v>3039</v>
      </c>
      <c r="F3213" s="254" t="s">
        <v>7230</v>
      </c>
      <c r="G3213" s="252" t="s">
        <v>7536</v>
      </c>
      <c r="H3213" s="252" t="s">
        <v>7537</v>
      </c>
      <c r="I3213" s="252">
        <v>5</v>
      </c>
      <c r="J3213" s="255">
        <v>1</v>
      </c>
      <c r="K3213" s="255">
        <v>1</v>
      </c>
      <c r="L3213" s="255"/>
      <c r="M3213" s="256">
        <v>1.35E-2</v>
      </c>
      <c r="N3213" s="249">
        <v>3212</v>
      </c>
    </row>
    <row r="3214" spans="1:14" x14ac:dyDescent="0.25">
      <c r="A3214" s="252" t="s">
        <v>74</v>
      </c>
      <c r="B3214" s="252" t="s">
        <v>6461</v>
      </c>
      <c r="C3214" s="253">
        <v>0</v>
      </c>
      <c r="D3214" s="252">
        <v>39792</v>
      </c>
      <c r="E3214" s="252" t="s">
        <v>6502</v>
      </c>
      <c r="F3214" s="254" t="s">
        <v>7230</v>
      </c>
      <c r="G3214" s="252" t="s">
        <v>3502</v>
      </c>
      <c r="H3214" s="252" t="s">
        <v>7538</v>
      </c>
      <c r="I3214" s="252">
        <v>3</v>
      </c>
      <c r="J3214" s="255">
        <v>1</v>
      </c>
      <c r="K3214" s="255">
        <v>1</v>
      </c>
      <c r="L3214" s="255"/>
      <c r="M3214" s="256">
        <v>4.2420000000000001E-3</v>
      </c>
      <c r="N3214" s="249">
        <v>3213</v>
      </c>
    </row>
    <row r="3215" spans="1:14" x14ac:dyDescent="0.25">
      <c r="A3215" s="252" t="s">
        <v>74</v>
      </c>
      <c r="B3215" s="252" t="s">
        <v>6461</v>
      </c>
      <c r="C3215" s="253">
        <v>0</v>
      </c>
      <c r="D3215" s="252">
        <v>39792</v>
      </c>
      <c r="E3215" s="252" t="s">
        <v>6502</v>
      </c>
      <c r="F3215" s="254" t="s">
        <v>7230</v>
      </c>
      <c r="G3215" s="252" t="s">
        <v>7539</v>
      </c>
      <c r="H3215" s="252" t="s">
        <v>7540</v>
      </c>
      <c r="I3215" s="252">
        <v>3</v>
      </c>
      <c r="J3215" s="255">
        <v>1</v>
      </c>
      <c r="K3215" s="255">
        <v>1</v>
      </c>
      <c r="L3215" s="255"/>
      <c r="M3215" s="256">
        <v>1.7999999999999998E-4</v>
      </c>
      <c r="N3215" s="249">
        <v>3214</v>
      </c>
    </row>
    <row r="3216" spans="1:14" x14ac:dyDescent="0.25">
      <c r="A3216" s="252" t="s">
        <v>74</v>
      </c>
      <c r="B3216" s="252" t="s">
        <v>6461</v>
      </c>
      <c r="C3216" s="253">
        <v>0</v>
      </c>
      <c r="D3216" s="252">
        <v>39792</v>
      </c>
      <c r="E3216" s="252" t="s">
        <v>6502</v>
      </c>
      <c r="F3216" s="254" t="s">
        <v>7230</v>
      </c>
      <c r="G3216" s="252" t="s">
        <v>7541</v>
      </c>
      <c r="H3216" s="252" t="s">
        <v>7542</v>
      </c>
      <c r="I3216" s="252">
        <v>3</v>
      </c>
      <c r="J3216" s="255">
        <v>1</v>
      </c>
      <c r="K3216" s="255">
        <v>1</v>
      </c>
      <c r="L3216" s="255"/>
      <c r="M3216" s="256">
        <v>1.7999999999999998E-4</v>
      </c>
      <c r="N3216" s="249">
        <v>3215</v>
      </c>
    </row>
    <row r="3217" spans="1:14" x14ac:dyDescent="0.25">
      <c r="A3217" s="252" t="s">
        <v>74</v>
      </c>
      <c r="B3217" s="252" t="s">
        <v>6461</v>
      </c>
      <c r="C3217" s="253">
        <v>0</v>
      </c>
      <c r="D3217" s="252">
        <v>39792</v>
      </c>
      <c r="E3217" s="252" t="s">
        <v>3039</v>
      </c>
      <c r="F3217" s="254" t="s">
        <v>7230</v>
      </c>
      <c r="G3217" s="252" t="s">
        <v>2352</v>
      </c>
      <c r="H3217" s="252" t="s">
        <v>7543</v>
      </c>
      <c r="I3217" s="252">
        <v>5</v>
      </c>
      <c r="J3217" s="255">
        <v>1</v>
      </c>
      <c r="K3217" s="255">
        <v>1</v>
      </c>
      <c r="L3217" s="255"/>
      <c r="M3217" s="256">
        <v>1.02E-4</v>
      </c>
      <c r="N3217" s="249">
        <v>3216</v>
      </c>
    </row>
    <row r="3218" spans="1:14" x14ac:dyDescent="0.25">
      <c r="A3218" s="252" t="s">
        <v>74</v>
      </c>
      <c r="B3218" s="252" t="s">
        <v>6461</v>
      </c>
      <c r="C3218" s="253">
        <v>0</v>
      </c>
      <c r="D3218" s="252">
        <v>39792</v>
      </c>
      <c r="E3218" s="252" t="s">
        <v>3039</v>
      </c>
      <c r="F3218" s="254" t="s">
        <v>7230</v>
      </c>
      <c r="G3218" s="252" t="s">
        <v>3524</v>
      </c>
      <c r="H3218" s="252" t="s">
        <v>7544</v>
      </c>
      <c r="I3218" s="252">
        <v>5</v>
      </c>
      <c r="J3218" s="255">
        <v>1</v>
      </c>
      <c r="K3218" s="255">
        <v>1</v>
      </c>
      <c r="L3218" s="255"/>
      <c r="M3218" s="256">
        <v>8.7900000000000001E-4</v>
      </c>
      <c r="N3218" s="249">
        <v>3217</v>
      </c>
    </row>
    <row r="3219" spans="1:14" x14ac:dyDescent="0.25">
      <c r="A3219" s="252" t="s">
        <v>74</v>
      </c>
      <c r="B3219" s="252" t="s">
        <v>6461</v>
      </c>
      <c r="C3219" s="253">
        <v>0</v>
      </c>
      <c r="D3219" s="252">
        <v>39792</v>
      </c>
      <c r="E3219" s="252" t="s">
        <v>3039</v>
      </c>
      <c r="F3219" s="254" t="s">
        <v>7230</v>
      </c>
      <c r="G3219" s="252" t="s">
        <v>3526</v>
      </c>
      <c r="H3219" s="252" t="s">
        <v>7545</v>
      </c>
      <c r="I3219" s="252">
        <v>5</v>
      </c>
      <c r="J3219" s="255">
        <v>1</v>
      </c>
      <c r="K3219" s="255">
        <v>1</v>
      </c>
      <c r="L3219" s="255"/>
      <c r="M3219" s="256">
        <v>1.35E-4</v>
      </c>
      <c r="N3219" s="249">
        <v>3218</v>
      </c>
    </row>
    <row r="3220" spans="1:14" x14ac:dyDescent="0.25">
      <c r="A3220" s="252" t="s">
        <v>74</v>
      </c>
      <c r="B3220" s="252" t="s">
        <v>6461</v>
      </c>
      <c r="C3220" s="253">
        <v>0</v>
      </c>
      <c r="D3220" s="252">
        <v>39792</v>
      </c>
      <c r="E3220" s="252" t="s">
        <v>3039</v>
      </c>
      <c r="F3220" s="254" t="s">
        <v>7230</v>
      </c>
      <c r="G3220" s="252" t="s">
        <v>3528</v>
      </c>
      <c r="H3220" s="252" t="s">
        <v>7546</v>
      </c>
      <c r="I3220" s="252">
        <v>5</v>
      </c>
      <c r="J3220" s="255">
        <v>1</v>
      </c>
      <c r="K3220" s="255">
        <v>1</v>
      </c>
      <c r="L3220" s="255"/>
      <c r="M3220" s="256">
        <v>3.2400000000000001E-4</v>
      </c>
      <c r="N3220" s="249">
        <v>3219</v>
      </c>
    </row>
    <row r="3221" spans="1:14" x14ac:dyDescent="0.25">
      <c r="A3221" s="252" t="s">
        <v>74</v>
      </c>
      <c r="B3221" s="252" t="s">
        <v>6461</v>
      </c>
      <c r="C3221" s="253">
        <v>0</v>
      </c>
      <c r="D3221" s="252">
        <v>39792</v>
      </c>
      <c r="E3221" s="252" t="s">
        <v>3039</v>
      </c>
      <c r="F3221" s="254" t="s">
        <v>7230</v>
      </c>
      <c r="G3221" s="252" t="s">
        <v>2353</v>
      </c>
      <c r="H3221" s="252" t="s">
        <v>7547</v>
      </c>
      <c r="I3221" s="252">
        <v>5</v>
      </c>
      <c r="J3221" s="255">
        <v>1</v>
      </c>
      <c r="K3221" s="255">
        <v>1</v>
      </c>
      <c r="L3221" s="255"/>
      <c r="M3221" s="256">
        <v>8.7900000000000001E-4</v>
      </c>
      <c r="N3221" s="249">
        <v>3220</v>
      </c>
    </row>
    <row r="3222" spans="1:14" x14ac:dyDescent="0.25">
      <c r="A3222" s="252" t="s">
        <v>74</v>
      </c>
      <c r="B3222" s="252" t="s">
        <v>6461</v>
      </c>
      <c r="C3222" s="253">
        <v>0</v>
      </c>
      <c r="D3222" s="252">
        <v>39792</v>
      </c>
      <c r="E3222" s="252" t="s">
        <v>3039</v>
      </c>
      <c r="F3222" s="254" t="s">
        <v>7230</v>
      </c>
      <c r="G3222" s="252" t="s">
        <v>2354</v>
      </c>
      <c r="H3222" s="252" t="s">
        <v>7548</v>
      </c>
      <c r="I3222" s="252">
        <v>5</v>
      </c>
      <c r="J3222" s="255">
        <v>1</v>
      </c>
      <c r="K3222" s="255">
        <v>1</v>
      </c>
      <c r="L3222" s="255"/>
      <c r="M3222" s="256">
        <v>1.35E-4</v>
      </c>
      <c r="N3222" s="249">
        <v>3221</v>
      </c>
    </row>
    <row r="3223" spans="1:14" x14ac:dyDescent="0.25">
      <c r="A3223" s="252" t="s">
        <v>74</v>
      </c>
      <c r="B3223" s="252" t="s">
        <v>6461</v>
      </c>
      <c r="C3223" s="253">
        <v>0</v>
      </c>
      <c r="D3223" s="252">
        <v>39792</v>
      </c>
      <c r="E3223" s="252" t="s">
        <v>3039</v>
      </c>
      <c r="F3223" s="254" t="s">
        <v>7230</v>
      </c>
      <c r="G3223" s="252" t="s">
        <v>3541</v>
      </c>
      <c r="H3223" s="252" t="s">
        <v>7549</v>
      </c>
      <c r="I3223" s="252">
        <v>5</v>
      </c>
      <c r="J3223" s="255">
        <v>1</v>
      </c>
      <c r="K3223" s="255">
        <v>1</v>
      </c>
      <c r="L3223" s="255"/>
      <c r="M3223" s="256">
        <v>3.2400000000000001E-4</v>
      </c>
      <c r="N3223" s="249">
        <v>3222</v>
      </c>
    </row>
    <row r="3224" spans="1:14" x14ac:dyDescent="0.25">
      <c r="A3224" s="252" t="s">
        <v>74</v>
      </c>
      <c r="B3224" s="252" t="s">
        <v>6461</v>
      </c>
      <c r="C3224" s="253">
        <v>0</v>
      </c>
      <c r="D3224" s="252">
        <v>39792</v>
      </c>
      <c r="E3224" s="252" t="s">
        <v>190</v>
      </c>
      <c r="F3224" s="254" t="s">
        <v>7230</v>
      </c>
      <c r="G3224" s="252" t="s">
        <v>7550</v>
      </c>
      <c r="H3224" s="252" t="s">
        <v>7551</v>
      </c>
      <c r="I3224" s="252">
        <v>5</v>
      </c>
      <c r="J3224" s="255">
        <v>1</v>
      </c>
      <c r="K3224" s="255">
        <v>1</v>
      </c>
      <c r="L3224" s="255"/>
      <c r="M3224" s="256">
        <v>1.6200000000000001E-4</v>
      </c>
      <c r="N3224" s="249">
        <v>3223</v>
      </c>
    </row>
    <row r="3225" spans="1:14" x14ac:dyDescent="0.25">
      <c r="A3225" s="252" t="s">
        <v>74</v>
      </c>
      <c r="B3225" s="252" t="s">
        <v>6461</v>
      </c>
      <c r="C3225" s="253">
        <v>0</v>
      </c>
      <c r="D3225" s="252">
        <v>39792</v>
      </c>
      <c r="E3225" s="252" t="s">
        <v>190</v>
      </c>
      <c r="F3225" s="254" t="s">
        <v>7230</v>
      </c>
      <c r="G3225" s="252" t="s">
        <v>3575</v>
      </c>
      <c r="H3225" s="252" t="s">
        <v>7552</v>
      </c>
      <c r="I3225" s="252">
        <v>5</v>
      </c>
      <c r="J3225" s="255">
        <v>1</v>
      </c>
      <c r="K3225" s="255">
        <v>1</v>
      </c>
      <c r="L3225" s="255"/>
      <c r="M3225" s="256">
        <v>1.6200000000000001E-4</v>
      </c>
      <c r="N3225" s="249">
        <v>3224</v>
      </c>
    </row>
    <row r="3226" spans="1:14" x14ac:dyDescent="0.25">
      <c r="A3226" s="252" t="s">
        <v>74</v>
      </c>
      <c r="B3226" s="252" t="s">
        <v>6461</v>
      </c>
      <c r="C3226" s="253">
        <v>0</v>
      </c>
      <c r="D3226" s="252">
        <v>39792</v>
      </c>
      <c r="E3226" s="252" t="s">
        <v>1591</v>
      </c>
      <c r="F3226" s="254" t="s">
        <v>7230</v>
      </c>
      <c r="G3226" s="252" t="s">
        <v>3577</v>
      </c>
      <c r="H3226" s="252" t="s">
        <v>7553</v>
      </c>
      <c r="I3226" s="252">
        <v>5</v>
      </c>
      <c r="J3226" s="255">
        <v>1</v>
      </c>
      <c r="K3226" s="255">
        <v>1</v>
      </c>
      <c r="L3226" s="255"/>
      <c r="M3226" s="256">
        <v>5.5800000000000001E-4</v>
      </c>
      <c r="N3226" s="249">
        <v>3225</v>
      </c>
    </row>
    <row r="3227" spans="1:14" x14ac:dyDescent="0.25">
      <c r="A3227" s="252" t="s">
        <v>74</v>
      </c>
      <c r="B3227" s="252" t="s">
        <v>6461</v>
      </c>
      <c r="C3227" s="253">
        <v>0</v>
      </c>
      <c r="D3227" s="252">
        <v>39792</v>
      </c>
      <c r="E3227" s="252" t="s">
        <v>1591</v>
      </c>
      <c r="F3227" s="254" t="s">
        <v>7230</v>
      </c>
      <c r="G3227" s="252" t="s">
        <v>3579</v>
      </c>
      <c r="H3227" s="252" t="s">
        <v>7554</v>
      </c>
      <c r="I3227" s="252">
        <v>5</v>
      </c>
      <c r="J3227" s="255">
        <v>1</v>
      </c>
      <c r="K3227" s="255">
        <v>1</v>
      </c>
      <c r="L3227" s="255"/>
      <c r="M3227" s="256">
        <v>6.1499999999999988E-4</v>
      </c>
      <c r="N3227" s="249">
        <v>3226</v>
      </c>
    </row>
    <row r="3228" spans="1:14" x14ac:dyDescent="0.25">
      <c r="A3228" s="252" t="s">
        <v>74</v>
      </c>
      <c r="B3228" s="252" t="s">
        <v>6461</v>
      </c>
      <c r="C3228" s="253">
        <v>0</v>
      </c>
      <c r="D3228" s="252">
        <v>39792</v>
      </c>
      <c r="E3228" s="252" t="s">
        <v>3039</v>
      </c>
      <c r="F3228" s="254" t="s">
        <v>7230</v>
      </c>
      <c r="G3228" s="252" t="s">
        <v>7555</v>
      </c>
      <c r="H3228" s="252" t="s">
        <v>7556</v>
      </c>
      <c r="I3228" s="252">
        <v>5</v>
      </c>
      <c r="J3228" s="255">
        <v>1</v>
      </c>
      <c r="K3228" s="255">
        <v>1</v>
      </c>
      <c r="L3228" s="255"/>
      <c r="M3228" s="256">
        <v>5.7329999999999994E-3</v>
      </c>
      <c r="N3228" s="249">
        <v>3227</v>
      </c>
    </row>
    <row r="3229" spans="1:14" x14ac:dyDescent="0.25">
      <c r="A3229" s="252" t="s">
        <v>74</v>
      </c>
      <c r="B3229" s="252" t="s">
        <v>6461</v>
      </c>
      <c r="C3229" s="253">
        <v>0</v>
      </c>
      <c r="D3229" s="252">
        <v>39792</v>
      </c>
      <c r="E3229" s="252" t="s">
        <v>1591</v>
      </c>
      <c r="F3229" s="254" t="s">
        <v>7230</v>
      </c>
      <c r="G3229" s="252" t="s">
        <v>2360</v>
      </c>
      <c r="H3229" s="252" t="s">
        <v>7557</v>
      </c>
      <c r="I3229" s="252">
        <v>5</v>
      </c>
      <c r="J3229" s="255">
        <v>1</v>
      </c>
      <c r="K3229" s="255">
        <v>1</v>
      </c>
      <c r="L3229" s="255"/>
      <c r="M3229" s="256">
        <v>6.1499999999999988E-4</v>
      </c>
      <c r="N3229" s="249">
        <v>3228</v>
      </c>
    </row>
    <row r="3230" spans="1:14" x14ac:dyDescent="0.25">
      <c r="A3230" s="252" t="s">
        <v>74</v>
      </c>
      <c r="B3230" s="252" t="s">
        <v>6461</v>
      </c>
      <c r="C3230" s="253">
        <v>0</v>
      </c>
      <c r="D3230" s="252">
        <v>39792</v>
      </c>
      <c r="E3230" s="252" t="s">
        <v>1591</v>
      </c>
      <c r="F3230" s="254" t="s">
        <v>7230</v>
      </c>
      <c r="G3230" s="252" t="s">
        <v>2361</v>
      </c>
      <c r="H3230" s="252" t="s">
        <v>7558</v>
      </c>
      <c r="I3230" s="252">
        <v>5</v>
      </c>
      <c r="J3230" s="255">
        <v>1</v>
      </c>
      <c r="K3230" s="255">
        <v>1</v>
      </c>
      <c r="L3230" s="255"/>
      <c r="M3230" s="256">
        <v>1.134E-3</v>
      </c>
      <c r="N3230" s="249">
        <v>3229</v>
      </c>
    </row>
    <row r="3231" spans="1:14" x14ac:dyDescent="0.25">
      <c r="A3231" s="252" t="s">
        <v>74</v>
      </c>
      <c r="B3231" s="252" t="s">
        <v>6461</v>
      </c>
      <c r="C3231" s="253">
        <v>0</v>
      </c>
      <c r="D3231" s="252">
        <v>39792</v>
      </c>
      <c r="E3231" s="252" t="s">
        <v>1591</v>
      </c>
      <c r="F3231" s="254" t="s">
        <v>7230</v>
      </c>
      <c r="G3231" s="252" t="s">
        <v>3602</v>
      </c>
      <c r="H3231" s="252" t="s">
        <v>7559</v>
      </c>
      <c r="I3231" s="252">
        <v>5</v>
      </c>
      <c r="J3231" s="255">
        <v>1</v>
      </c>
      <c r="K3231" s="255">
        <v>1</v>
      </c>
      <c r="L3231" s="255"/>
      <c r="M3231" s="256">
        <v>5.5800000000000001E-4</v>
      </c>
      <c r="N3231" s="249">
        <v>3230</v>
      </c>
    </row>
    <row r="3232" spans="1:14" x14ac:dyDescent="0.25">
      <c r="A3232" s="252" t="s">
        <v>74</v>
      </c>
      <c r="B3232" s="252" t="s">
        <v>6461</v>
      </c>
      <c r="C3232" s="253">
        <v>0</v>
      </c>
      <c r="D3232" s="252">
        <v>39792</v>
      </c>
      <c r="E3232" s="252" t="s">
        <v>3039</v>
      </c>
      <c r="F3232" s="254" t="s">
        <v>7230</v>
      </c>
      <c r="G3232" s="252" t="s">
        <v>7560</v>
      </c>
      <c r="H3232" s="252" t="s">
        <v>7561</v>
      </c>
      <c r="I3232" s="252">
        <v>5</v>
      </c>
      <c r="J3232" s="255">
        <v>1</v>
      </c>
      <c r="K3232" s="255">
        <v>1</v>
      </c>
      <c r="L3232" s="255"/>
      <c r="M3232" s="256">
        <v>1.7399999999999998E-3</v>
      </c>
      <c r="N3232" s="249">
        <v>3231</v>
      </c>
    </row>
    <row r="3233" spans="1:14" x14ac:dyDescent="0.25">
      <c r="A3233" s="252" t="s">
        <v>74</v>
      </c>
      <c r="B3233" s="252" t="s">
        <v>6461</v>
      </c>
      <c r="C3233" s="253">
        <v>0</v>
      </c>
      <c r="D3233" s="252">
        <v>39792</v>
      </c>
      <c r="E3233" s="252" t="s">
        <v>6502</v>
      </c>
      <c r="F3233" s="254" t="s">
        <v>6906</v>
      </c>
      <c r="G3233" s="252" t="s">
        <v>3624</v>
      </c>
      <c r="H3233" s="252" t="s">
        <v>7562</v>
      </c>
      <c r="I3233" s="252">
        <v>3</v>
      </c>
      <c r="J3233" s="255">
        <v>1</v>
      </c>
      <c r="K3233" s="255">
        <v>1</v>
      </c>
      <c r="L3233" s="255"/>
      <c r="M3233" s="256">
        <v>1.7999999999999998E-4</v>
      </c>
      <c r="N3233" s="249">
        <v>3232</v>
      </c>
    </row>
    <row r="3234" spans="1:14" x14ac:dyDescent="0.25">
      <c r="A3234" s="252" t="s">
        <v>74</v>
      </c>
      <c r="B3234" s="252" t="s">
        <v>6461</v>
      </c>
      <c r="C3234" s="253">
        <v>0</v>
      </c>
      <c r="D3234" s="252">
        <v>39792</v>
      </c>
      <c r="E3234" s="252" t="s">
        <v>6502</v>
      </c>
      <c r="F3234" s="254" t="s">
        <v>6906</v>
      </c>
      <c r="G3234" s="252" t="s">
        <v>3632</v>
      </c>
      <c r="H3234" s="252" t="s">
        <v>7563</v>
      </c>
      <c r="I3234" s="252">
        <v>3</v>
      </c>
      <c r="J3234" s="255">
        <v>1</v>
      </c>
      <c r="K3234" s="255">
        <v>1</v>
      </c>
      <c r="L3234" s="255"/>
      <c r="M3234" s="256">
        <v>4.9889999999999995E-3</v>
      </c>
      <c r="N3234" s="249">
        <v>3233</v>
      </c>
    </row>
    <row r="3235" spans="1:14" x14ac:dyDescent="0.25">
      <c r="A3235" s="252" t="s">
        <v>74</v>
      </c>
      <c r="B3235" s="252" t="s">
        <v>6461</v>
      </c>
      <c r="C3235" s="253">
        <v>0</v>
      </c>
      <c r="D3235" s="252">
        <v>39792</v>
      </c>
      <c r="E3235" s="252" t="s">
        <v>6502</v>
      </c>
      <c r="F3235" s="254" t="s">
        <v>6906</v>
      </c>
      <c r="G3235" s="252" t="s">
        <v>7564</v>
      </c>
      <c r="H3235" s="252" t="s">
        <v>7565</v>
      </c>
      <c r="I3235" s="252">
        <v>3</v>
      </c>
      <c r="J3235" s="255">
        <v>1</v>
      </c>
      <c r="K3235" s="255">
        <v>1</v>
      </c>
      <c r="L3235" s="255"/>
      <c r="M3235" s="256">
        <v>1.7999999999999998E-4</v>
      </c>
      <c r="N3235" s="249">
        <v>3234</v>
      </c>
    </row>
    <row r="3236" spans="1:14" x14ac:dyDescent="0.25">
      <c r="A3236" s="252" t="s">
        <v>74</v>
      </c>
      <c r="B3236" s="252" t="s">
        <v>6461</v>
      </c>
      <c r="C3236" s="253">
        <v>0</v>
      </c>
      <c r="D3236" s="252">
        <v>39792</v>
      </c>
      <c r="E3236" s="252" t="s">
        <v>3039</v>
      </c>
      <c r="F3236" s="254" t="s">
        <v>6906</v>
      </c>
      <c r="G3236" s="252" t="s">
        <v>7566</v>
      </c>
      <c r="H3236" s="252" t="s">
        <v>7567</v>
      </c>
      <c r="I3236" s="252">
        <v>5</v>
      </c>
      <c r="J3236" s="255">
        <v>1</v>
      </c>
      <c r="K3236" s="255">
        <v>1</v>
      </c>
      <c r="L3236" s="255"/>
      <c r="M3236" s="256">
        <v>1.02E-4</v>
      </c>
      <c r="N3236" s="249">
        <v>3235</v>
      </c>
    </row>
    <row r="3237" spans="1:14" x14ac:dyDescent="0.25">
      <c r="A3237" s="252" t="s">
        <v>74</v>
      </c>
      <c r="B3237" s="252" t="s">
        <v>6461</v>
      </c>
      <c r="C3237" s="253">
        <v>0</v>
      </c>
      <c r="D3237" s="252">
        <v>39792</v>
      </c>
      <c r="E3237" s="252" t="s">
        <v>933</v>
      </c>
      <c r="F3237" s="254">
        <v>10329</v>
      </c>
      <c r="G3237" s="252" t="s">
        <v>7568</v>
      </c>
      <c r="H3237" s="252" t="s">
        <v>7569</v>
      </c>
      <c r="I3237" s="252">
        <v>5</v>
      </c>
      <c r="J3237" s="255">
        <v>1</v>
      </c>
      <c r="K3237" s="255">
        <v>1</v>
      </c>
      <c r="L3237" s="255"/>
      <c r="M3237" s="256">
        <v>4.2030000000000001E-3</v>
      </c>
      <c r="N3237" s="249">
        <v>3236</v>
      </c>
    </row>
    <row r="3238" spans="1:14" x14ac:dyDescent="0.25">
      <c r="A3238" s="252" t="s">
        <v>74</v>
      </c>
      <c r="B3238" s="252" t="s">
        <v>6461</v>
      </c>
      <c r="C3238" s="253">
        <v>0</v>
      </c>
      <c r="D3238" s="252">
        <v>39792</v>
      </c>
      <c r="E3238" s="252" t="s">
        <v>933</v>
      </c>
      <c r="F3238" s="254">
        <v>10330</v>
      </c>
      <c r="G3238" s="252" t="s">
        <v>7570</v>
      </c>
      <c r="H3238" s="252" t="s">
        <v>7571</v>
      </c>
      <c r="I3238" s="252">
        <v>5</v>
      </c>
      <c r="J3238" s="255">
        <v>1</v>
      </c>
      <c r="K3238" s="255">
        <v>1</v>
      </c>
      <c r="L3238" s="255"/>
      <c r="M3238" s="256">
        <v>4.2030000000000001E-3</v>
      </c>
      <c r="N3238" s="249">
        <v>3237</v>
      </c>
    </row>
    <row r="3239" spans="1:14" x14ac:dyDescent="0.25">
      <c r="A3239" s="252" t="s">
        <v>74</v>
      </c>
      <c r="B3239" s="252" t="s">
        <v>6461</v>
      </c>
      <c r="C3239" s="253">
        <v>0</v>
      </c>
      <c r="D3239" s="252">
        <v>39792</v>
      </c>
      <c r="E3239" s="252" t="s">
        <v>933</v>
      </c>
      <c r="F3239" s="254">
        <v>10331</v>
      </c>
      <c r="G3239" s="252">
        <v>10331</v>
      </c>
      <c r="H3239" s="252" t="s">
        <v>7572</v>
      </c>
      <c r="I3239" s="252">
        <v>5</v>
      </c>
      <c r="J3239" s="255">
        <v>1</v>
      </c>
      <c r="K3239" s="255">
        <v>1</v>
      </c>
      <c r="L3239" s="255"/>
      <c r="M3239" s="256">
        <v>1.8389999999999999E-3</v>
      </c>
      <c r="N3239" s="249">
        <v>3238</v>
      </c>
    </row>
    <row r="3240" spans="1:14" x14ac:dyDescent="0.25">
      <c r="A3240" s="252" t="s">
        <v>74</v>
      </c>
      <c r="B3240" s="252" t="s">
        <v>6461</v>
      </c>
      <c r="C3240" s="253">
        <v>0</v>
      </c>
      <c r="D3240" s="252">
        <v>39792</v>
      </c>
      <c r="E3240" s="252" t="s">
        <v>933</v>
      </c>
      <c r="F3240" s="254">
        <v>10332</v>
      </c>
      <c r="G3240" s="252">
        <v>10332</v>
      </c>
      <c r="H3240" s="252" t="s">
        <v>7573</v>
      </c>
      <c r="I3240" s="252">
        <v>5</v>
      </c>
      <c r="J3240" s="255">
        <v>1</v>
      </c>
      <c r="K3240" s="255">
        <v>1</v>
      </c>
      <c r="L3240" s="255"/>
      <c r="M3240" s="256">
        <v>1.8389999999999999E-3</v>
      </c>
      <c r="N3240" s="249">
        <v>3239</v>
      </c>
    </row>
    <row r="3241" spans="1:14" x14ac:dyDescent="0.25">
      <c r="A3241" s="252" t="s">
        <v>74</v>
      </c>
      <c r="B3241" s="252" t="s">
        <v>6461</v>
      </c>
      <c r="C3241" s="253">
        <v>0</v>
      </c>
      <c r="D3241" s="252">
        <v>39792</v>
      </c>
      <c r="E3241" s="252" t="s">
        <v>933</v>
      </c>
      <c r="F3241" s="254">
        <v>10333</v>
      </c>
      <c r="G3241" s="252">
        <v>10333</v>
      </c>
      <c r="H3241" s="252" t="s">
        <v>7574</v>
      </c>
      <c r="I3241" s="252">
        <v>5</v>
      </c>
      <c r="J3241" s="255">
        <v>1</v>
      </c>
      <c r="K3241" s="255">
        <v>1</v>
      </c>
      <c r="L3241" s="255"/>
      <c r="M3241" s="256">
        <v>4.2329999999999998E-3</v>
      </c>
      <c r="N3241" s="249">
        <v>3240</v>
      </c>
    </row>
    <row r="3242" spans="1:14" x14ac:dyDescent="0.25">
      <c r="A3242" s="252" t="s">
        <v>74</v>
      </c>
      <c r="B3242" s="252" t="s">
        <v>6461</v>
      </c>
      <c r="C3242" s="253">
        <v>0</v>
      </c>
      <c r="D3242" s="252">
        <v>39792</v>
      </c>
      <c r="E3242" s="252" t="s">
        <v>933</v>
      </c>
      <c r="F3242" s="254">
        <v>10334</v>
      </c>
      <c r="G3242" s="252">
        <v>10334</v>
      </c>
      <c r="H3242" s="252" t="s">
        <v>7575</v>
      </c>
      <c r="I3242" s="252">
        <v>5</v>
      </c>
      <c r="J3242" s="255">
        <v>1</v>
      </c>
      <c r="K3242" s="255">
        <v>1</v>
      </c>
      <c r="L3242" s="255"/>
      <c r="M3242" s="256">
        <v>4.2329999999999998E-3</v>
      </c>
      <c r="N3242" s="249">
        <v>3241</v>
      </c>
    </row>
    <row r="3243" spans="1:14" x14ac:dyDescent="0.25">
      <c r="A3243" s="252" t="s">
        <v>74</v>
      </c>
      <c r="B3243" s="252" t="s">
        <v>6461</v>
      </c>
      <c r="C3243" s="253">
        <v>0</v>
      </c>
      <c r="D3243" s="252">
        <v>39792</v>
      </c>
      <c r="E3243" s="252" t="s">
        <v>933</v>
      </c>
      <c r="F3243" s="254">
        <v>10335</v>
      </c>
      <c r="G3243" s="252">
        <v>10335</v>
      </c>
      <c r="H3243" s="252" t="s">
        <v>7576</v>
      </c>
      <c r="I3243" s="252">
        <v>5</v>
      </c>
      <c r="J3243" s="255">
        <v>1</v>
      </c>
      <c r="K3243" s="255">
        <v>1</v>
      </c>
      <c r="L3243" s="255"/>
      <c r="M3243" s="256">
        <v>1.8389999999999999E-3</v>
      </c>
      <c r="N3243" s="249">
        <v>3242</v>
      </c>
    </row>
    <row r="3244" spans="1:14" x14ac:dyDescent="0.25">
      <c r="A3244" s="252" t="s">
        <v>74</v>
      </c>
      <c r="B3244" s="252" t="s">
        <v>6461</v>
      </c>
      <c r="C3244" s="253">
        <v>0</v>
      </c>
      <c r="D3244" s="252">
        <v>39792</v>
      </c>
      <c r="E3244" s="252" t="s">
        <v>933</v>
      </c>
      <c r="F3244" s="254">
        <v>10336</v>
      </c>
      <c r="G3244" s="252">
        <v>10336</v>
      </c>
      <c r="H3244" s="252" t="s">
        <v>7577</v>
      </c>
      <c r="I3244" s="252">
        <v>5</v>
      </c>
      <c r="J3244" s="255">
        <v>1</v>
      </c>
      <c r="K3244" s="255">
        <v>1</v>
      </c>
      <c r="L3244" s="255"/>
      <c r="M3244" s="256">
        <v>1.8389999999999999E-3</v>
      </c>
      <c r="N3244" s="249">
        <v>3243</v>
      </c>
    </row>
    <row r="3245" spans="1:14" x14ac:dyDescent="0.25">
      <c r="A3245" s="252" t="s">
        <v>74</v>
      </c>
      <c r="B3245" s="252" t="s">
        <v>6461</v>
      </c>
      <c r="C3245" s="253">
        <v>0</v>
      </c>
      <c r="D3245" s="252">
        <v>39792</v>
      </c>
      <c r="E3245" s="252" t="s">
        <v>933</v>
      </c>
      <c r="F3245" s="254">
        <v>10337</v>
      </c>
      <c r="G3245" s="252">
        <v>10337</v>
      </c>
      <c r="H3245" s="252" t="s">
        <v>7578</v>
      </c>
      <c r="I3245" s="252">
        <v>5</v>
      </c>
      <c r="J3245" s="255">
        <v>1</v>
      </c>
      <c r="K3245" s="255">
        <v>1</v>
      </c>
      <c r="L3245" s="255"/>
      <c r="M3245" s="256">
        <v>1.8389999999999999E-3</v>
      </c>
      <c r="N3245" s="249">
        <v>3244</v>
      </c>
    </row>
    <row r="3246" spans="1:14" x14ac:dyDescent="0.25">
      <c r="A3246" s="252" t="s">
        <v>74</v>
      </c>
      <c r="B3246" s="252" t="s">
        <v>6461</v>
      </c>
      <c r="C3246" s="253">
        <v>0</v>
      </c>
      <c r="D3246" s="252">
        <v>39792</v>
      </c>
      <c r="E3246" s="252" t="s">
        <v>6502</v>
      </c>
      <c r="F3246" s="254" t="s">
        <v>6906</v>
      </c>
      <c r="G3246" s="252" t="s">
        <v>2378</v>
      </c>
      <c r="H3246" s="252" t="s">
        <v>7579</v>
      </c>
      <c r="I3246" s="252">
        <v>3</v>
      </c>
      <c r="J3246" s="255">
        <v>1</v>
      </c>
      <c r="K3246" s="255">
        <v>1</v>
      </c>
      <c r="L3246" s="255"/>
      <c r="M3246" s="256">
        <v>1.7999999999999998E-4</v>
      </c>
      <c r="N3246" s="249">
        <v>3245</v>
      </c>
    </row>
    <row r="3247" spans="1:14" x14ac:dyDescent="0.25">
      <c r="A3247" s="252" t="s">
        <v>74</v>
      </c>
      <c r="B3247" s="252" t="s">
        <v>6461</v>
      </c>
      <c r="C3247" s="253">
        <v>0</v>
      </c>
      <c r="D3247" s="252">
        <v>39792</v>
      </c>
      <c r="E3247" s="252" t="s">
        <v>6502</v>
      </c>
      <c r="F3247" s="254" t="s">
        <v>6906</v>
      </c>
      <c r="G3247" s="252" t="s">
        <v>2382</v>
      </c>
      <c r="H3247" s="252" t="s">
        <v>7580</v>
      </c>
      <c r="I3247" s="252">
        <v>3</v>
      </c>
      <c r="J3247" s="255">
        <v>1</v>
      </c>
      <c r="K3247" s="255">
        <v>1</v>
      </c>
      <c r="L3247" s="255"/>
      <c r="M3247" s="256">
        <v>8.1089999999999999E-3</v>
      </c>
      <c r="N3247" s="249">
        <v>3246</v>
      </c>
    </row>
    <row r="3248" spans="1:14" x14ac:dyDescent="0.25">
      <c r="A3248" s="252" t="s">
        <v>74</v>
      </c>
      <c r="B3248" s="252" t="s">
        <v>6461</v>
      </c>
      <c r="C3248" s="253">
        <v>0</v>
      </c>
      <c r="D3248" s="252">
        <v>39792</v>
      </c>
      <c r="E3248" s="252" t="s">
        <v>6502</v>
      </c>
      <c r="F3248" s="254" t="s">
        <v>6906</v>
      </c>
      <c r="G3248" s="252" t="s">
        <v>7581</v>
      </c>
      <c r="H3248" s="252" t="s">
        <v>7582</v>
      </c>
      <c r="I3248" s="252">
        <v>3</v>
      </c>
      <c r="J3248" s="255">
        <v>1</v>
      </c>
      <c r="K3248" s="255">
        <v>1</v>
      </c>
      <c r="L3248" s="255"/>
      <c r="M3248" s="256">
        <v>1.7999999999999998E-4</v>
      </c>
      <c r="N3248" s="249">
        <v>3247</v>
      </c>
    </row>
    <row r="3249" spans="1:14" x14ac:dyDescent="0.25">
      <c r="A3249" s="252" t="s">
        <v>74</v>
      </c>
      <c r="B3249" s="252" t="s">
        <v>6461</v>
      </c>
      <c r="C3249" s="253">
        <v>0</v>
      </c>
      <c r="D3249" s="252">
        <v>39792</v>
      </c>
      <c r="E3249" s="252" t="s">
        <v>933</v>
      </c>
      <c r="F3249" s="254">
        <v>10339</v>
      </c>
      <c r="G3249" s="252">
        <v>10339</v>
      </c>
      <c r="H3249" s="252" t="s">
        <v>7583</v>
      </c>
      <c r="I3249" s="252">
        <v>5</v>
      </c>
      <c r="J3249" s="255">
        <v>1</v>
      </c>
      <c r="K3249" s="255">
        <v>1</v>
      </c>
      <c r="L3249" s="255"/>
      <c r="M3249" s="256">
        <v>1.8389999999999999E-3</v>
      </c>
      <c r="N3249" s="249">
        <v>3248</v>
      </c>
    </row>
    <row r="3250" spans="1:14" x14ac:dyDescent="0.25">
      <c r="A3250" s="252" t="s">
        <v>74</v>
      </c>
      <c r="B3250" s="252" t="s">
        <v>6461</v>
      </c>
      <c r="C3250" s="253">
        <v>0</v>
      </c>
      <c r="D3250" s="252">
        <v>39792</v>
      </c>
      <c r="E3250" s="252" t="s">
        <v>1591</v>
      </c>
      <c r="F3250" s="254" t="s">
        <v>6462</v>
      </c>
      <c r="G3250" s="252" t="s">
        <v>7584</v>
      </c>
      <c r="H3250" s="252" t="s">
        <v>7585</v>
      </c>
      <c r="I3250" s="252">
        <v>5</v>
      </c>
      <c r="J3250" s="255">
        <v>1</v>
      </c>
      <c r="K3250" s="255">
        <v>1</v>
      </c>
      <c r="L3250" s="255"/>
      <c r="M3250" s="256">
        <v>5.3399999999999997E-4</v>
      </c>
      <c r="N3250" s="249">
        <v>3249</v>
      </c>
    </row>
    <row r="3251" spans="1:14" x14ac:dyDescent="0.25">
      <c r="A3251" s="252" t="s">
        <v>74</v>
      </c>
      <c r="B3251" s="252" t="s">
        <v>6461</v>
      </c>
      <c r="C3251" s="253">
        <v>0</v>
      </c>
      <c r="D3251" s="252">
        <v>39792</v>
      </c>
      <c r="E3251" s="252" t="s">
        <v>1591</v>
      </c>
      <c r="F3251" s="254" t="s">
        <v>6462</v>
      </c>
      <c r="G3251" s="252" t="s">
        <v>7586</v>
      </c>
      <c r="H3251" s="252" t="s">
        <v>7587</v>
      </c>
      <c r="I3251" s="252">
        <v>5</v>
      </c>
      <c r="J3251" s="255">
        <v>1</v>
      </c>
      <c r="K3251" s="255">
        <v>1</v>
      </c>
      <c r="L3251" s="255"/>
      <c r="M3251" s="256">
        <v>7.2900000000000005E-4</v>
      </c>
      <c r="N3251" s="249">
        <v>3250</v>
      </c>
    </row>
    <row r="3252" spans="1:14" x14ac:dyDescent="0.25">
      <c r="A3252" s="252" t="s">
        <v>74</v>
      </c>
      <c r="B3252" s="252" t="s">
        <v>6461</v>
      </c>
      <c r="C3252" s="253">
        <v>0</v>
      </c>
      <c r="D3252" s="252">
        <v>39792</v>
      </c>
      <c r="E3252" s="252" t="s">
        <v>1591</v>
      </c>
      <c r="F3252" s="254" t="s">
        <v>7230</v>
      </c>
      <c r="G3252" s="252" t="s">
        <v>7588</v>
      </c>
      <c r="H3252" s="252" t="s">
        <v>7589</v>
      </c>
      <c r="I3252" s="252">
        <v>5</v>
      </c>
      <c r="J3252" s="255">
        <v>1</v>
      </c>
      <c r="K3252" s="255">
        <v>1</v>
      </c>
      <c r="L3252" s="255"/>
      <c r="M3252" s="256">
        <v>5.3399999999999997E-4</v>
      </c>
      <c r="N3252" s="249">
        <v>3251</v>
      </c>
    </row>
    <row r="3253" spans="1:14" x14ac:dyDescent="0.25">
      <c r="A3253" s="252" t="s">
        <v>74</v>
      </c>
      <c r="B3253" s="252" t="s">
        <v>6461</v>
      </c>
      <c r="C3253" s="253">
        <v>0</v>
      </c>
      <c r="D3253" s="252">
        <v>39792</v>
      </c>
      <c r="E3253" s="252" t="s">
        <v>1591</v>
      </c>
      <c r="F3253" s="254" t="s">
        <v>7230</v>
      </c>
      <c r="G3253" s="252" t="s">
        <v>7590</v>
      </c>
      <c r="H3253" s="252" t="s">
        <v>7591</v>
      </c>
      <c r="I3253" s="252">
        <v>5</v>
      </c>
      <c r="J3253" s="255">
        <v>1</v>
      </c>
      <c r="K3253" s="255">
        <v>1</v>
      </c>
      <c r="L3253" s="255"/>
      <c r="M3253" s="256">
        <v>7.2900000000000005E-4</v>
      </c>
      <c r="N3253" s="249">
        <v>3252</v>
      </c>
    </row>
    <row r="3254" spans="1:14" x14ac:dyDescent="0.25">
      <c r="A3254" s="252" t="s">
        <v>74</v>
      </c>
      <c r="B3254" s="252" t="s">
        <v>6461</v>
      </c>
      <c r="C3254" s="253">
        <v>0</v>
      </c>
      <c r="D3254" s="252">
        <v>39792</v>
      </c>
      <c r="E3254" s="252" t="s">
        <v>933</v>
      </c>
      <c r="F3254" s="254">
        <v>10342</v>
      </c>
      <c r="G3254" s="252">
        <v>10342</v>
      </c>
      <c r="H3254" s="252" t="s">
        <v>7592</v>
      </c>
      <c r="I3254" s="252">
        <v>5</v>
      </c>
      <c r="J3254" s="255">
        <v>1</v>
      </c>
      <c r="K3254" s="255">
        <v>1</v>
      </c>
      <c r="L3254" s="255"/>
      <c r="M3254" s="256">
        <v>1.8389999999999999E-3</v>
      </c>
      <c r="N3254" s="249">
        <v>3253</v>
      </c>
    </row>
    <row r="3255" spans="1:14" x14ac:dyDescent="0.25">
      <c r="A3255" s="252" t="s">
        <v>74</v>
      </c>
      <c r="B3255" s="252" t="s">
        <v>6461</v>
      </c>
      <c r="C3255" s="253">
        <v>0</v>
      </c>
      <c r="D3255" s="252">
        <v>39792</v>
      </c>
      <c r="E3255" s="252" t="s">
        <v>933</v>
      </c>
      <c r="F3255" s="254">
        <v>10343</v>
      </c>
      <c r="G3255" s="252">
        <v>10343</v>
      </c>
      <c r="H3255" s="252" t="s">
        <v>7593</v>
      </c>
      <c r="I3255" s="252">
        <v>5</v>
      </c>
      <c r="J3255" s="255">
        <v>1</v>
      </c>
      <c r="K3255" s="255">
        <v>1</v>
      </c>
      <c r="L3255" s="255"/>
      <c r="M3255" s="256">
        <v>1.8389999999999999E-3</v>
      </c>
      <c r="N3255" s="249">
        <v>3254</v>
      </c>
    </row>
    <row r="3256" spans="1:14" x14ac:dyDescent="0.25">
      <c r="A3256" s="252" t="s">
        <v>74</v>
      </c>
      <c r="B3256" s="252" t="s">
        <v>6461</v>
      </c>
      <c r="C3256" s="253">
        <v>0</v>
      </c>
      <c r="D3256" s="252">
        <v>39792</v>
      </c>
      <c r="E3256" s="252" t="s">
        <v>933</v>
      </c>
      <c r="F3256" s="254">
        <v>10344</v>
      </c>
      <c r="G3256" s="252">
        <v>10344</v>
      </c>
      <c r="H3256" s="252" t="s">
        <v>7594</v>
      </c>
      <c r="I3256" s="252">
        <v>5</v>
      </c>
      <c r="J3256" s="255">
        <v>1</v>
      </c>
      <c r="K3256" s="255">
        <v>1</v>
      </c>
      <c r="L3256" s="255"/>
      <c r="M3256" s="256">
        <v>1.8389999999999999E-3</v>
      </c>
      <c r="N3256" s="249">
        <v>3255</v>
      </c>
    </row>
    <row r="3257" spans="1:14" x14ac:dyDescent="0.25">
      <c r="A3257" s="252" t="s">
        <v>74</v>
      </c>
      <c r="B3257" s="252" t="s">
        <v>6461</v>
      </c>
      <c r="C3257" s="253">
        <v>0</v>
      </c>
      <c r="D3257" s="252">
        <v>39792</v>
      </c>
      <c r="E3257" s="252" t="s">
        <v>933</v>
      </c>
      <c r="F3257" s="254">
        <v>10345</v>
      </c>
      <c r="G3257" s="252">
        <v>10345</v>
      </c>
      <c r="H3257" s="252" t="s">
        <v>7595</v>
      </c>
      <c r="I3257" s="252">
        <v>5</v>
      </c>
      <c r="J3257" s="255">
        <v>1</v>
      </c>
      <c r="K3257" s="255">
        <v>1</v>
      </c>
      <c r="L3257" s="255"/>
      <c r="M3257" s="256">
        <v>1.8389999999999999E-3</v>
      </c>
      <c r="N3257" s="249">
        <v>3256</v>
      </c>
    </row>
    <row r="3258" spans="1:14" x14ac:dyDescent="0.25">
      <c r="A3258" s="252" t="s">
        <v>74</v>
      </c>
      <c r="B3258" s="252" t="s">
        <v>6461</v>
      </c>
      <c r="C3258" s="253">
        <v>0</v>
      </c>
      <c r="D3258" s="252">
        <v>39792</v>
      </c>
      <c r="E3258" s="252" t="s">
        <v>933</v>
      </c>
      <c r="F3258" s="254">
        <v>10346</v>
      </c>
      <c r="G3258" s="252">
        <v>10346</v>
      </c>
      <c r="H3258" s="252" t="s">
        <v>7596</v>
      </c>
      <c r="I3258" s="252">
        <v>5</v>
      </c>
      <c r="J3258" s="255">
        <v>1</v>
      </c>
      <c r="K3258" s="255">
        <v>1</v>
      </c>
      <c r="L3258" s="255"/>
      <c r="M3258" s="256">
        <v>1.8389999999999999E-3</v>
      </c>
      <c r="N3258" s="249">
        <v>3257</v>
      </c>
    </row>
    <row r="3259" spans="1:14" x14ac:dyDescent="0.25">
      <c r="A3259" s="252" t="s">
        <v>74</v>
      </c>
      <c r="B3259" s="252" t="s">
        <v>6461</v>
      </c>
      <c r="C3259" s="253">
        <v>0</v>
      </c>
      <c r="D3259" s="252">
        <v>39792</v>
      </c>
      <c r="E3259" s="252" t="s">
        <v>933</v>
      </c>
      <c r="F3259" s="254">
        <v>10347</v>
      </c>
      <c r="G3259" s="252">
        <v>10347</v>
      </c>
      <c r="H3259" s="252" t="s">
        <v>7597</v>
      </c>
      <c r="I3259" s="252">
        <v>5</v>
      </c>
      <c r="J3259" s="255">
        <v>1</v>
      </c>
      <c r="K3259" s="255">
        <v>1</v>
      </c>
      <c r="L3259" s="255"/>
      <c r="M3259" s="256">
        <v>4.2329999999999998E-3</v>
      </c>
      <c r="N3259" s="249">
        <v>3258</v>
      </c>
    </row>
    <row r="3260" spans="1:14" x14ac:dyDescent="0.25">
      <c r="A3260" s="252" t="s">
        <v>74</v>
      </c>
      <c r="B3260" s="252" t="s">
        <v>6461</v>
      </c>
      <c r="C3260" s="253">
        <v>0</v>
      </c>
      <c r="D3260" s="252">
        <v>39792</v>
      </c>
      <c r="E3260" s="252" t="s">
        <v>933</v>
      </c>
      <c r="F3260" s="254">
        <v>10348</v>
      </c>
      <c r="G3260" s="252">
        <v>10348</v>
      </c>
      <c r="H3260" s="252" t="s">
        <v>7598</v>
      </c>
      <c r="I3260" s="252">
        <v>5</v>
      </c>
      <c r="J3260" s="255">
        <v>1</v>
      </c>
      <c r="K3260" s="255">
        <v>1</v>
      </c>
      <c r="L3260" s="255"/>
      <c r="M3260" s="256">
        <v>4.2329999999999998E-3</v>
      </c>
      <c r="N3260" s="249">
        <v>3259</v>
      </c>
    </row>
    <row r="3261" spans="1:14" x14ac:dyDescent="0.25">
      <c r="A3261" s="252" t="s">
        <v>74</v>
      </c>
      <c r="B3261" s="252" t="s">
        <v>6461</v>
      </c>
      <c r="C3261" s="253">
        <v>0</v>
      </c>
      <c r="D3261" s="252">
        <v>39792</v>
      </c>
      <c r="E3261" s="252" t="s">
        <v>6502</v>
      </c>
      <c r="F3261" s="254" t="s">
        <v>6906</v>
      </c>
      <c r="G3261" s="252" t="s">
        <v>7599</v>
      </c>
      <c r="H3261" s="252" t="s">
        <v>7600</v>
      </c>
      <c r="I3261" s="252">
        <v>3</v>
      </c>
      <c r="J3261" s="255">
        <v>1</v>
      </c>
      <c r="K3261" s="255">
        <v>1</v>
      </c>
      <c r="L3261" s="255"/>
      <c r="M3261" s="256">
        <v>1.7999999999999998E-4</v>
      </c>
      <c r="N3261" s="249">
        <v>3260</v>
      </c>
    </row>
    <row r="3262" spans="1:14" x14ac:dyDescent="0.25">
      <c r="A3262" s="252" t="s">
        <v>74</v>
      </c>
      <c r="B3262" s="252" t="s">
        <v>6461</v>
      </c>
      <c r="C3262" s="253">
        <v>0</v>
      </c>
      <c r="D3262" s="252">
        <v>39792</v>
      </c>
      <c r="E3262" s="252" t="s">
        <v>6502</v>
      </c>
      <c r="F3262" s="254" t="s">
        <v>6906</v>
      </c>
      <c r="G3262" s="252" t="s">
        <v>7601</v>
      </c>
      <c r="H3262" s="252" t="s">
        <v>7602</v>
      </c>
      <c r="I3262" s="252">
        <v>3</v>
      </c>
      <c r="J3262" s="255">
        <v>1</v>
      </c>
      <c r="K3262" s="255">
        <v>1</v>
      </c>
      <c r="L3262" s="255"/>
      <c r="M3262" s="256">
        <v>4.4879999999999998E-3</v>
      </c>
      <c r="N3262" s="249">
        <v>3261</v>
      </c>
    </row>
    <row r="3263" spans="1:14" x14ac:dyDescent="0.25">
      <c r="A3263" s="252" t="s">
        <v>74</v>
      </c>
      <c r="B3263" s="252" t="s">
        <v>6461</v>
      </c>
      <c r="C3263" s="253">
        <v>0</v>
      </c>
      <c r="D3263" s="252">
        <v>39792</v>
      </c>
      <c r="E3263" s="252" t="s">
        <v>6502</v>
      </c>
      <c r="F3263" s="254" t="s">
        <v>6906</v>
      </c>
      <c r="G3263" s="252" t="s">
        <v>7603</v>
      </c>
      <c r="H3263" s="252" t="s">
        <v>7604</v>
      </c>
      <c r="I3263" s="252">
        <v>3</v>
      </c>
      <c r="J3263" s="255">
        <v>1</v>
      </c>
      <c r="K3263" s="255">
        <v>1</v>
      </c>
      <c r="L3263" s="255"/>
      <c r="M3263" s="256">
        <v>1.7999999999999998E-4</v>
      </c>
      <c r="N3263" s="249">
        <v>3262</v>
      </c>
    </row>
    <row r="3264" spans="1:14" x14ac:dyDescent="0.25">
      <c r="A3264" s="252" t="s">
        <v>74</v>
      </c>
      <c r="B3264" s="252" t="s">
        <v>6461</v>
      </c>
      <c r="C3264" s="253">
        <v>0</v>
      </c>
      <c r="D3264" s="252">
        <v>39792</v>
      </c>
      <c r="E3264" s="252" t="s">
        <v>6502</v>
      </c>
      <c r="F3264" s="254" t="s">
        <v>6906</v>
      </c>
      <c r="G3264" s="252" t="s">
        <v>7605</v>
      </c>
      <c r="H3264" s="252" t="s">
        <v>7606</v>
      </c>
      <c r="I3264" s="252">
        <v>3</v>
      </c>
      <c r="J3264" s="255">
        <v>1</v>
      </c>
      <c r="K3264" s="255">
        <v>1</v>
      </c>
      <c r="L3264" s="255"/>
      <c r="M3264" s="256">
        <v>1.7999999999999998E-4</v>
      </c>
      <c r="N3264" s="249">
        <v>3263</v>
      </c>
    </row>
    <row r="3265" spans="1:14" x14ac:dyDescent="0.25">
      <c r="A3265" s="252" t="s">
        <v>74</v>
      </c>
      <c r="B3265" s="252" t="s">
        <v>6461</v>
      </c>
      <c r="C3265" s="253">
        <v>0</v>
      </c>
      <c r="D3265" s="252">
        <v>39792</v>
      </c>
      <c r="E3265" s="252" t="s">
        <v>6502</v>
      </c>
      <c r="F3265" s="254" t="s">
        <v>6906</v>
      </c>
      <c r="G3265" s="252" t="s">
        <v>7607</v>
      </c>
      <c r="H3265" s="252" t="s">
        <v>7608</v>
      </c>
      <c r="I3265" s="252">
        <v>3</v>
      </c>
      <c r="J3265" s="255">
        <v>1</v>
      </c>
      <c r="K3265" s="255">
        <v>1</v>
      </c>
      <c r="L3265" s="255"/>
      <c r="M3265" s="256">
        <v>4.4879999999999998E-3</v>
      </c>
      <c r="N3265" s="249">
        <v>3264</v>
      </c>
    </row>
    <row r="3266" spans="1:14" x14ac:dyDescent="0.25">
      <c r="A3266" s="252" t="s">
        <v>74</v>
      </c>
      <c r="B3266" s="252" t="s">
        <v>6461</v>
      </c>
      <c r="C3266" s="253">
        <v>0</v>
      </c>
      <c r="D3266" s="252">
        <v>39792</v>
      </c>
      <c r="E3266" s="252" t="s">
        <v>6502</v>
      </c>
      <c r="F3266" s="254" t="s">
        <v>6906</v>
      </c>
      <c r="G3266" s="252" t="s">
        <v>7609</v>
      </c>
      <c r="H3266" s="252" t="s">
        <v>7610</v>
      </c>
      <c r="I3266" s="252">
        <v>3</v>
      </c>
      <c r="J3266" s="255">
        <v>1</v>
      </c>
      <c r="K3266" s="255">
        <v>1</v>
      </c>
      <c r="L3266" s="255"/>
      <c r="M3266" s="256">
        <v>1.7999999999999998E-4</v>
      </c>
      <c r="N3266" s="249">
        <v>3265</v>
      </c>
    </row>
    <row r="3267" spans="1:14" x14ac:dyDescent="0.25">
      <c r="A3267" s="252" t="s">
        <v>74</v>
      </c>
      <c r="B3267" s="252" t="s">
        <v>6461</v>
      </c>
      <c r="C3267" s="253">
        <v>0</v>
      </c>
      <c r="D3267" s="252">
        <v>39792</v>
      </c>
      <c r="E3267" s="252" t="s">
        <v>6502</v>
      </c>
      <c r="F3267" s="254" t="s">
        <v>6906</v>
      </c>
      <c r="G3267" s="252" t="s">
        <v>7611</v>
      </c>
      <c r="H3267" s="252" t="s">
        <v>7612</v>
      </c>
      <c r="I3267" s="252">
        <v>3</v>
      </c>
      <c r="J3267" s="255">
        <v>1</v>
      </c>
      <c r="K3267" s="255">
        <v>1</v>
      </c>
      <c r="L3267" s="255"/>
      <c r="M3267" s="256">
        <v>1.7999999999999998E-4</v>
      </c>
      <c r="N3267" s="249">
        <v>3266</v>
      </c>
    </row>
    <row r="3268" spans="1:14" x14ac:dyDescent="0.25">
      <c r="A3268" s="252" t="s">
        <v>74</v>
      </c>
      <c r="B3268" s="252" t="s">
        <v>6461</v>
      </c>
      <c r="C3268" s="253">
        <v>0</v>
      </c>
      <c r="D3268" s="252">
        <v>39792</v>
      </c>
      <c r="E3268" s="252" t="s">
        <v>6502</v>
      </c>
      <c r="F3268" s="254" t="s">
        <v>6906</v>
      </c>
      <c r="G3268" s="252" t="s">
        <v>7613</v>
      </c>
      <c r="H3268" s="252" t="s">
        <v>7614</v>
      </c>
      <c r="I3268" s="252">
        <v>3</v>
      </c>
      <c r="J3268" s="255">
        <v>1</v>
      </c>
      <c r="K3268" s="255">
        <v>1</v>
      </c>
      <c r="L3268" s="255"/>
      <c r="M3268" s="256">
        <v>4.6769999999999997E-3</v>
      </c>
      <c r="N3268" s="249">
        <v>3267</v>
      </c>
    </row>
    <row r="3269" spans="1:14" x14ac:dyDescent="0.25">
      <c r="A3269" s="252" t="s">
        <v>74</v>
      </c>
      <c r="B3269" s="252" t="s">
        <v>6461</v>
      </c>
      <c r="C3269" s="253">
        <v>0</v>
      </c>
      <c r="D3269" s="252">
        <v>39792</v>
      </c>
      <c r="E3269" s="252" t="s">
        <v>6502</v>
      </c>
      <c r="F3269" s="254" t="s">
        <v>6906</v>
      </c>
      <c r="G3269" s="252" t="s">
        <v>7615</v>
      </c>
      <c r="H3269" s="252" t="s">
        <v>7616</v>
      </c>
      <c r="I3269" s="252">
        <v>3</v>
      </c>
      <c r="J3269" s="255">
        <v>1</v>
      </c>
      <c r="K3269" s="255">
        <v>1</v>
      </c>
      <c r="L3269" s="255"/>
      <c r="M3269" s="256">
        <v>1.7999999999999998E-4</v>
      </c>
      <c r="N3269" s="249">
        <v>3268</v>
      </c>
    </row>
    <row r="3270" spans="1:14" x14ac:dyDescent="0.25">
      <c r="A3270" s="252" t="s">
        <v>74</v>
      </c>
      <c r="B3270" s="252" t="s">
        <v>6461</v>
      </c>
      <c r="C3270" s="253">
        <v>0</v>
      </c>
      <c r="D3270" s="252">
        <v>39792</v>
      </c>
      <c r="E3270" s="252" t="s">
        <v>6502</v>
      </c>
      <c r="F3270" s="254" t="s">
        <v>6906</v>
      </c>
      <c r="G3270" s="252" t="s">
        <v>7617</v>
      </c>
      <c r="H3270" s="252" t="s">
        <v>7618</v>
      </c>
      <c r="I3270" s="252">
        <v>3</v>
      </c>
      <c r="J3270" s="255">
        <v>1</v>
      </c>
      <c r="K3270" s="255">
        <v>1</v>
      </c>
      <c r="L3270" s="255"/>
      <c r="M3270" s="256">
        <v>1.7999999999999998E-4</v>
      </c>
      <c r="N3270" s="249">
        <v>3269</v>
      </c>
    </row>
    <row r="3271" spans="1:14" x14ac:dyDescent="0.25">
      <c r="A3271" s="252" t="s">
        <v>74</v>
      </c>
      <c r="B3271" s="252" t="s">
        <v>6461</v>
      </c>
      <c r="C3271" s="253">
        <v>0</v>
      </c>
      <c r="D3271" s="252">
        <v>39792</v>
      </c>
      <c r="E3271" s="252" t="s">
        <v>6502</v>
      </c>
      <c r="F3271" s="254" t="s">
        <v>6906</v>
      </c>
      <c r="G3271" s="252" t="s">
        <v>7619</v>
      </c>
      <c r="H3271" s="252" t="s">
        <v>7620</v>
      </c>
      <c r="I3271" s="252">
        <v>3</v>
      </c>
      <c r="J3271" s="255">
        <v>1</v>
      </c>
      <c r="K3271" s="255">
        <v>1</v>
      </c>
      <c r="L3271" s="255"/>
      <c r="M3271" s="256">
        <v>4.6769999999999997E-3</v>
      </c>
      <c r="N3271" s="249">
        <v>3270</v>
      </c>
    </row>
    <row r="3272" spans="1:14" x14ac:dyDescent="0.25">
      <c r="A3272" s="252" t="s">
        <v>74</v>
      </c>
      <c r="B3272" s="252" t="s">
        <v>6461</v>
      </c>
      <c r="C3272" s="253">
        <v>0</v>
      </c>
      <c r="D3272" s="252">
        <v>39792</v>
      </c>
      <c r="E3272" s="252" t="s">
        <v>6502</v>
      </c>
      <c r="F3272" s="254" t="s">
        <v>6906</v>
      </c>
      <c r="G3272" s="252" t="s">
        <v>7621</v>
      </c>
      <c r="H3272" s="252" t="s">
        <v>7622</v>
      </c>
      <c r="I3272" s="252">
        <v>3</v>
      </c>
      <c r="J3272" s="255">
        <v>1</v>
      </c>
      <c r="K3272" s="255">
        <v>1</v>
      </c>
      <c r="L3272" s="255"/>
      <c r="M3272" s="256">
        <v>1.7999999999999998E-4</v>
      </c>
      <c r="N3272" s="249">
        <v>3271</v>
      </c>
    </row>
    <row r="3273" spans="1:14" x14ac:dyDescent="0.25">
      <c r="A3273" s="252" t="s">
        <v>74</v>
      </c>
      <c r="B3273" s="252" t="s">
        <v>6461</v>
      </c>
      <c r="C3273" s="253">
        <v>0</v>
      </c>
      <c r="D3273" s="252">
        <v>39792</v>
      </c>
      <c r="E3273" s="252" t="s">
        <v>933</v>
      </c>
      <c r="F3273" s="254">
        <v>10353</v>
      </c>
      <c r="G3273" s="252">
        <v>10353</v>
      </c>
      <c r="H3273" s="252" t="s">
        <v>7623</v>
      </c>
      <c r="I3273" s="252">
        <v>5</v>
      </c>
      <c r="J3273" s="255">
        <v>1</v>
      </c>
      <c r="K3273" s="255">
        <v>1</v>
      </c>
      <c r="L3273" s="255"/>
      <c r="M3273" s="256">
        <v>4.2269999999999999E-3</v>
      </c>
      <c r="N3273" s="249">
        <v>3272</v>
      </c>
    </row>
    <row r="3274" spans="1:14" x14ac:dyDescent="0.25">
      <c r="A3274" s="252" t="s">
        <v>74</v>
      </c>
      <c r="B3274" s="252" t="s">
        <v>6461</v>
      </c>
      <c r="C3274" s="253">
        <v>0</v>
      </c>
      <c r="D3274" s="252">
        <v>39792</v>
      </c>
      <c r="E3274" s="252" t="s">
        <v>933</v>
      </c>
      <c r="F3274" s="254">
        <v>10354</v>
      </c>
      <c r="G3274" s="252">
        <v>10354</v>
      </c>
      <c r="H3274" s="252" t="s">
        <v>7624</v>
      </c>
      <c r="I3274" s="252">
        <v>5</v>
      </c>
      <c r="J3274" s="255">
        <v>1</v>
      </c>
      <c r="K3274" s="255">
        <v>1</v>
      </c>
      <c r="L3274" s="255"/>
      <c r="M3274" s="256">
        <v>4.2269999999999999E-3</v>
      </c>
      <c r="N3274" s="249">
        <v>3273</v>
      </c>
    </row>
    <row r="3275" spans="1:14" x14ac:dyDescent="0.25">
      <c r="A3275" s="252" t="s">
        <v>74</v>
      </c>
      <c r="B3275" s="252" t="s">
        <v>6461</v>
      </c>
      <c r="C3275" s="253">
        <v>0</v>
      </c>
      <c r="D3275" s="252">
        <v>39792</v>
      </c>
      <c r="E3275" s="252" t="s">
        <v>933</v>
      </c>
      <c r="F3275" s="254">
        <v>10355</v>
      </c>
      <c r="G3275" s="252">
        <v>10355</v>
      </c>
      <c r="H3275" s="252" t="s">
        <v>7625</v>
      </c>
      <c r="I3275" s="252">
        <v>5</v>
      </c>
      <c r="J3275" s="255">
        <v>1</v>
      </c>
      <c r="K3275" s="255">
        <v>1</v>
      </c>
      <c r="L3275" s="255"/>
      <c r="M3275" s="256">
        <v>1.8389999999999999E-3</v>
      </c>
      <c r="N3275" s="249">
        <v>3274</v>
      </c>
    </row>
    <row r="3276" spans="1:14" x14ac:dyDescent="0.25">
      <c r="A3276" s="252" t="s">
        <v>74</v>
      </c>
      <c r="B3276" s="252" t="s">
        <v>6461</v>
      </c>
      <c r="C3276" s="253">
        <v>0</v>
      </c>
      <c r="D3276" s="252">
        <v>39792</v>
      </c>
      <c r="E3276" s="252" t="s">
        <v>933</v>
      </c>
      <c r="F3276" s="254">
        <v>10356</v>
      </c>
      <c r="G3276" s="252">
        <v>10356</v>
      </c>
      <c r="H3276" s="252" t="s">
        <v>7626</v>
      </c>
      <c r="I3276" s="252">
        <v>5</v>
      </c>
      <c r="J3276" s="255">
        <v>1</v>
      </c>
      <c r="K3276" s="255">
        <v>1</v>
      </c>
      <c r="L3276" s="255"/>
      <c r="M3276" s="256">
        <v>1.8389999999999999E-3</v>
      </c>
      <c r="N3276" s="249">
        <v>3275</v>
      </c>
    </row>
    <row r="3277" spans="1:14" x14ac:dyDescent="0.25">
      <c r="A3277" s="252" t="s">
        <v>74</v>
      </c>
      <c r="B3277" s="252" t="s">
        <v>6461</v>
      </c>
      <c r="C3277" s="253">
        <v>0</v>
      </c>
      <c r="D3277" s="252">
        <v>39792</v>
      </c>
      <c r="E3277" s="252" t="s">
        <v>933</v>
      </c>
      <c r="F3277" s="254">
        <v>10357</v>
      </c>
      <c r="G3277" s="252">
        <v>10357</v>
      </c>
      <c r="H3277" s="252" t="s">
        <v>7627</v>
      </c>
      <c r="I3277" s="252">
        <v>5</v>
      </c>
      <c r="J3277" s="255">
        <v>1</v>
      </c>
      <c r="K3277" s="255">
        <v>1</v>
      </c>
      <c r="L3277" s="255"/>
      <c r="M3277" s="256">
        <v>1.8389999999999999E-3</v>
      </c>
      <c r="N3277" s="249">
        <v>3276</v>
      </c>
    </row>
    <row r="3278" spans="1:14" x14ac:dyDescent="0.25">
      <c r="A3278" s="252" t="s">
        <v>74</v>
      </c>
      <c r="B3278" s="252" t="s">
        <v>6461</v>
      </c>
      <c r="C3278" s="253">
        <v>0</v>
      </c>
      <c r="D3278" s="252">
        <v>39792</v>
      </c>
      <c r="E3278" s="252" t="s">
        <v>933</v>
      </c>
      <c r="F3278" s="254">
        <v>10358</v>
      </c>
      <c r="G3278" s="252">
        <v>10358</v>
      </c>
      <c r="H3278" s="252" t="s">
        <v>7628</v>
      </c>
      <c r="I3278" s="252">
        <v>5</v>
      </c>
      <c r="J3278" s="255">
        <v>1</v>
      </c>
      <c r="K3278" s="255">
        <v>1</v>
      </c>
      <c r="L3278" s="255"/>
      <c r="M3278" s="256">
        <v>1.8389999999999999E-3</v>
      </c>
      <c r="N3278" s="249">
        <v>3277</v>
      </c>
    </row>
    <row r="3279" spans="1:14" x14ac:dyDescent="0.25">
      <c r="A3279" s="252" t="s">
        <v>74</v>
      </c>
      <c r="B3279" s="252" t="s">
        <v>6461</v>
      </c>
      <c r="C3279" s="253">
        <v>0</v>
      </c>
      <c r="D3279" s="252">
        <v>39792</v>
      </c>
      <c r="E3279" s="252" t="s">
        <v>933</v>
      </c>
      <c r="F3279" s="254">
        <v>10359</v>
      </c>
      <c r="G3279" s="252">
        <v>10359</v>
      </c>
      <c r="H3279" s="252" t="s">
        <v>7629</v>
      </c>
      <c r="I3279" s="252">
        <v>5</v>
      </c>
      <c r="J3279" s="255">
        <v>1</v>
      </c>
      <c r="K3279" s="255">
        <v>1</v>
      </c>
      <c r="L3279" s="255"/>
      <c r="M3279" s="256">
        <v>1.8389999999999999E-3</v>
      </c>
      <c r="N3279" s="249">
        <v>3278</v>
      </c>
    </row>
    <row r="3280" spans="1:14" x14ac:dyDescent="0.25">
      <c r="A3280" s="252" t="s">
        <v>74</v>
      </c>
      <c r="B3280" s="252" t="s">
        <v>6461</v>
      </c>
      <c r="C3280" s="253">
        <v>0</v>
      </c>
      <c r="D3280" s="252">
        <v>39792</v>
      </c>
      <c r="E3280" s="252" t="s">
        <v>3039</v>
      </c>
      <c r="F3280" s="254" t="s">
        <v>7230</v>
      </c>
      <c r="G3280" s="252" t="s">
        <v>7630</v>
      </c>
      <c r="H3280" s="252" t="s">
        <v>7631</v>
      </c>
      <c r="I3280" s="252">
        <v>5</v>
      </c>
      <c r="J3280" s="255">
        <v>1</v>
      </c>
      <c r="K3280" s="255">
        <v>1</v>
      </c>
      <c r="L3280" s="255"/>
      <c r="M3280" s="256">
        <v>3.4499999999999998E-4</v>
      </c>
      <c r="N3280" s="249">
        <v>3279</v>
      </c>
    </row>
    <row r="3281" spans="1:14" x14ac:dyDescent="0.25">
      <c r="A3281" s="252" t="s">
        <v>74</v>
      </c>
      <c r="B3281" s="252" t="s">
        <v>6461</v>
      </c>
      <c r="C3281" s="253">
        <v>0</v>
      </c>
      <c r="D3281" s="252">
        <v>39792</v>
      </c>
      <c r="E3281" s="252" t="s">
        <v>3039</v>
      </c>
      <c r="F3281" s="254" t="s">
        <v>7230</v>
      </c>
      <c r="G3281" s="252" t="s">
        <v>7632</v>
      </c>
      <c r="H3281" s="252" t="s">
        <v>7633</v>
      </c>
      <c r="I3281" s="252">
        <v>5</v>
      </c>
      <c r="J3281" s="255">
        <v>1</v>
      </c>
      <c r="K3281" s="255">
        <v>1</v>
      </c>
      <c r="L3281" s="255"/>
      <c r="M3281" s="256">
        <v>6.6300000000000007E-4</v>
      </c>
      <c r="N3281" s="249">
        <v>3280</v>
      </c>
    </row>
    <row r="3282" spans="1:14" x14ac:dyDescent="0.25">
      <c r="A3282" s="252" t="s">
        <v>74</v>
      </c>
      <c r="B3282" s="252" t="s">
        <v>6461</v>
      </c>
      <c r="C3282" s="253">
        <v>0</v>
      </c>
      <c r="D3282" s="252">
        <v>39792</v>
      </c>
      <c r="E3282" s="252" t="s">
        <v>933</v>
      </c>
      <c r="F3282" s="254">
        <v>10362</v>
      </c>
      <c r="G3282" s="252">
        <v>10362</v>
      </c>
      <c r="H3282" s="252" t="s">
        <v>7634</v>
      </c>
      <c r="I3282" s="252">
        <v>5</v>
      </c>
      <c r="J3282" s="255">
        <v>1</v>
      </c>
      <c r="K3282" s="255">
        <v>1</v>
      </c>
      <c r="L3282" s="255"/>
      <c r="M3282" s="256">
        <v>1.7489999999999999E-3</v>
      </c>
      <c r="N3282" s="249">
        <v>3281</v>
      </c>
    </row>
    <row r="3283" spans="1:14" x14ac:dyDescent="0.25">
      <c r="A3283" s="252" t="s">
        <v>74</v>
      </c>
      <c r="B3283" s="252" t="s">
        <v>6461</v>
      </c>
      <c r="C3283" s="253">
        <v>0</v>
      </c>
      <c r="D3283" s="252">
        <v>39792</v>
      </c>
      <c r="E3283" s="252" t="s">
        <v>933</v>
      </c>
      <c r="F3283" s="254">
        <v>10363</v>
      </c>
      <c r="G3283" s="252">
        <v>10363</v>
      </c>
      <c r="H3283" s="252" t="s">
        <v>7635</v>
      </c>
      <c r="I3283" s="252">
        <v>5</v>
      </c>
      <c r="J3283" s="255">
        <v>1</v>
      </c>
      <c r="K3283" s="255">
        <v>1</v>
      </c>
      <c r="L3283" s="255"/>
      <c r="M3283" s="256">
        <v>1.8389999999999999E-3</v>
      </c>
      <c r="N3283" s="249">
        <v>3282</v>
      </c>
    </row>
    <row r="3284" spans="1:14" x14ac:dyDescent="0.25">
      <c r="A3284" s="252" t="s">
        <v>74</v>
      </c>
      <c r="B3284" s="252" t="s">
        <v>6461</v>
      </c>
      <c r="C3284" s="253">
        <v>0</v>
      </c>
      <c r="D3284" s="252">
        <v>39792</v>
      </c>
      <c r="E3284" s="252" t="s">
        <v>933</v>
      </c>
      <c r="F3284" s="254">
        <v>10364</v>
      </c>
      <c r="G3284" s="252">
        <v>10364</v>
      </c>
      <c r="H3284" s="252" t="s">
        <v>7636</v>
      </c>
      <c r="I3284" s="252">
        <v>5</v>
      </c>
      <c r="J3284" s="255">
        <v>1</v>
      </c>
      <c r="K3284" s="255">
        <v>1</v>
      </c>
      <c r="L3284" s="255"/>
      <c r="M3284" s="256">
        <v>1.8389999999999999E-3</v>
      </c>
      <c r="N3284" s="249">
        <v>3283</v>
      </c>
    </row>
    <row r="3285" spans="1:14" x14ac:dyDescent="0.25">
      <c r="A3285" s="252" t="s">
        <v>74</v>
      </c>
      <c r="B3285" s="252" t="s">
        <v>6461</v>
      </c>
      <c r="C3285" s="253">
        <v>0</v>
      </c>
      <c r="D3285" s="252">
        <v>39792</v>
      </c>
      <c r="E3285" s="252" t="s">
        <v>3039</v>
      </c>
      <c r="F3285" s="254" t="s">
        <v>7230</v>
      </c>
      <c r="G3285" s="252" t="s">
        <v>7637</v>
      </c>
      <c r="H3285" s="252" t="s">
        <v>7638</v>
      </c>
      <c r="I3285" s="252">
        <v>5</v>
      </c>
      <c r="J3285" s="255">
        <v>1</v>
      </c>
      <c r="K3285" s="255">
        <v>1</v>
      </c>
      <c r="L3285" s="255"/>
      <c r="M3285" s="256">
        <v>1.8059999999999997E-3</v>
      </c>
      <c r="N3285" s="249">
        <v>3284</v>
      </c>
    </row>
    <row r="3286" spans="1:14" x14ac:dyDescent="0.25">
      <c r="A3286" s="252" t="s">
        <v>74</v>
      </c>
      <c r="B3286" s="252" t="s">
        <v>6461</v>
      </c>
      <c r="C3286" s="253">
        <v>0</v>
      </c>
      <c r="D3286" s="252">
        <v>39792</v>
      </c>
      <c r="E3286" s="252" t="s">
        <v>933</v>
      </c>
      <c r="F3286" s="254">
        <v>10368</v>
      </c>
      <c r="G3286" s="252">
        <v>10368</v>
      </c>
      <c r="H3286" s="252" t="s">
        <v>7639</v>
      </c>
      <c r="I3286" s="252">
        <v>5</v>
      </c>
      <c r="J3286" s="255">
        <v>1</v>
      </c>
      <c r="K3286" s="255">
        <v>1</v>
      </c>
      <c r="L3286" s="255"/>
      <c r="M3286" s="256">
        <v>1.8389999999999999E-3</v>
      </c>
      <c r="N3286" s="249">
        <v>3285</v>
      </c>
    </row>
    <row r="3287" spans="1:14" x14ac:dyDescent="0.25">
      <c r="A3287" s="252" t="s">
        <v>74</v>
      </c>
      <c r="B3287" s="252" t="s">
        <v>6461</v>
      </c>
      <c r="C3287" s="253">
        <v>0</v>
      </c>
      <c r="D3287" s="252">
        <v>39792</v>
      </c>
      <c r="E3287" s="252" t="s">
        <v>933</v>
      </c>
      <c r="F3287" s="254">
        <v>10369</v>
      </c>
      <c r="G3287" s="252">
        <v>10369</v>
      </c>
      <c r="H3287" s="252" t="s">
        <v>7640</v>
      </c>
      <c r="I3287" s="252">
        <v>5</v>
      </c>
      <c r="J3287" s="255">
        <v>1</v>
      </c>
      <c r="K3287" s="255">
        <v>1</v>
      </c>
      <c r="L3287" s="255"/>
      <c r="M3287" s="256">
        <v>1.8389999999999999E-3</v>
      </c>
      <c r="N3287" s="249">
        <v>3286</v>
      </c>
    </row>
    <row r="3288" spans="1:14" x14ac:dyDescent="0.25">
      <c r="A3288" s="252" t="s">
        <v>74</v>
      </c>
      <c r="B3288" s="252" t="s">
        <v>6461</v>
      </c>
      <c r="C3288" s="253">
        <v>0</v>
      </c>
      <c r="D3288" s="252">
        <v>39792</v>
      </c>
      <c r="E3288" s="252" t="s">
        <v>933</v>
      </c>
      <c r="F3288" s="254">
        <v>10370</v>
      </c>
      <c r="G3288" s="252">
        <v>10370</v>
      </c>
      <c r="H3288" s="252" t="s">
        <v>7641</v>
      </c>
      <c r="I3288" s="252">
        <v>5</v>
      </c>
      <c r="J3288" s="255">
        <v>1</v>
      </c>
      <c r="K3288" s="255">
        <v>1</v>
      </c>
      <c r="L3288" s="255"/>
      <c r="M3288" s="256">
        <v>1.7340000000000001E-3</v>
      </c>
      <c r="N3288" s="249">
        <v>3287</v>
      </c>
    </row>
    <row r="3289" spans="1:14" x14ac:dyDescent="0.25">
      <c r="A3289" s="252" t="s">
        <v>74</v>
      </c>
      <c r="B3289" s="252" t="s">
        <v>6461</v>
      </c>
      <c r="C3289" s="253">
        <v>0</v>
      </c>
      <c r="D3289" s="252">
        <v>39792</v>
      </c>
      <c r="E3289" s="252" t="s">
        <v>3039</v>
      </c>
      <c r="F3289" s="254" t="s">
        <v>7642</v>
      </c>
      <c r="G3289" s="252" t="s">
        <v>7643</v>
      </c>
      <c r="H3289" s="252" t="s">
        <v>7644</v>
      </c>
      <c r="I3289" s="252">
        <v>5</v>
      </c>
      <c r="J3289" s="255">
        <v>1</v>
      </c>
      <c r="K3289" s="255">
        <v>1</v>
      </c>
      <c r="L3289" s="255"/>
      <c r="M3289" s="256">
        <v>1.4480999999999999E-2</v>
      </c>
      <c r="N3289" s="249">
        <v>3288</v>
      </c>
    </row>
    <row r="3290" spans="1:14" x14ac:dyDescent="0.25">
      <c r="A3290" s="252" t="s">
        <v>74</v>
      </c>
      <c r="B3290" s="252" t="s">
        <v>6461</v>
      </c>
      <c r="C3290" s="253">
        <v>0</v>
      </c>
      <c r="D3290" s="252">
        <v>39792</v>
      </c>
      <c r="E3290" s="252" t="s">
        <v>3039</v>
      </c>
      <c r="F3290" s="254" t="s">
        <v>7642</v>
      </c>
      <c r="G3290" s="252" t="s">
        <v>7645</v>
      </c>
      <c r="H3290" s="252" t="s">
        <v>7646</v>
      </c>
      <c r="I3290" s="252">
        <v>5</v>
      </c>
      <c r="J3290" s="255">
        <v>1</v>
      </c>
      <c r="K3290" s="255">
        <v>1</v>
      </c>
      <c r="L3290" s="255"/>
      <c r="M3290" s="256">
        <v>1.35E-4</v>
      </c>
      <c r="N3290" s="249">
        <v>3289</v>
      </c>
    </row>
    <row r="3291" spans="1:14" x14ac:dyDescent="0.25">
      <c r="A3291" s="252" t="s">
        <v>74</v>
      </c>
      <c r="B3291" s="252" t="s">
        <v>6461</v>
      </c>
      <c r="C3291" s="253">
        <v>0</v>
      </c>
      <c r="D3291" s="252">
        <v>39792</v>
      </c>
      <c r="E3291" s="252" t="s">
        <v>3039</v>
      </c>
      <c r="F3291" s="254" t="s">
        <v>7642</v>
      </c>
      <c r="G3291" s="252" t="s">
        <v>7647</v>
      </c>
      <c r="H3291" s="252" t="s">
        <v>7648</v>
      </c>
      <c r="I3291" s="252">
        <v>5</v>
      </c>
      <c r="J3291" s="255">
        <v>1</v>
      </c>
      <c r="K3291" s="255">
        <v>1</v>
      </c>
      <c r="L3291" s="255"/>
      <c r="M3291" s="256">
        <v>1.4480999999999999E-2</v>
      </c>
      <c r="N3291" s="249">
        <v>3290</v>
      </c>
    </row>
    <row r="3292" spans="1:14" x14ac:dyDescent="0.25">
      <c r="A3292" s="252" t="s">
        <v>74</v>
      </c>
      <c r="B3292" s="252" t="s">
        <v>6461</v>
      </c>
      <c r="C3292" s="253">
        <v>0</v>
      </c>
      <c r="D3292" s="252">
        <v>39792</v>
      </c>
      <c r="E3292" s="252" t="s">
        <v>3039</v>
      </c>
      <c r="F3292" s="254" t="s">
        <v>7642</v>
      </c>
      <c r="G3292" s="252" t="s">
        <v>7649</v>
      </c>
      <c r="H3292" s="252" t="s">
        <v>7650</v>
      </c>
      <c r="I3292" s="252">
        <v>5</v>
      </c>
      <c r="J3292" s="255">
        <v>1</v>
      </c>
      <c r="K3292" s="255">
        <v>1</v>
      </c>
      <c r="L3292" s="255"/>
      <c r="M3292" s="256">
        <v>1.35E-4</v>
      </c>
      <c r="N3292" s="249">
        <v>3291</v>
      </c>
    </row>
    <row r="3293" spans="1:14" x14ac:dyDescent="0.25">
      <c r="A3293" s="252" t="s">
        <v>74</v>
      </c>
      <c r="B3293" s="252" t="s">
        <v>6461</v>
      </c>
      <c r="C3293" s="253">
        <v>0</v>
      </c>
      <c r="D3293" s="252">
        <v>39792</v>
      </c>
      <c r="E3293" s="252" t="s">
        <v>1591</v>
      </c>
      <c r="F3293" s="254" t="s">
        <v>7642</v>
      </c>
      <c r="G3293" s="252" t="s">
        <v>7651</v>
      </c>
      <c r="H3293" s="252" t="s">
        <v>7652</v>
      </c>
      <c r="I3293" s="252">
        <v>5</v>
      </c>
      <c r="J3293" s="255">
        <v>1</v>
      </c>
      <c r="K3293" s="255">
        <v>1</v>
      </c>
      <c r="L3293" s="255"/>
      <c r="M3293" s="256">
        <v>5.3399999999999997E-4</v>
      </c>
      <c r="N3293" s="249">
        <v>3292</v>
      </c>
    </row>
    <row r="3294" spans="1:14" x14ac:dyDescent="0.25">
      <c r="A3294" s="252" t="s">
        <v>74</v>
      </c>
      <c r="B3294" s="252" t="s">
        <v>6461</v>
      </c>
      <c r="C3294" s="253">
        <v>0</v>
      </c>
      <c r="D3294" s="252">
        <v>39792</v>
      </c>
      <c r="E3294" s="252" t="s">
        <v>1591</v>
      </c>
      <c r="F3294" s="254" t="s">
        <v>7642</v>
      </c>
      <c r="G3294" s="252" t="s">
        <v>7653</v>
      </c>
      <c r="H3294" s="252" t="s">
        <v>7654</v>
      </c>
      <c r="I3294" s="252">
        <v>5</v>
      </c>
      <c r="J3294" s="255">
        <v>1</v>
      </c>
      <c r="K3294" s="255">
        <v>1</v>
      </c>
      <c r="L3294" s="255"/>
      <c r="M3294" s="256">
        <v>5.3399999999999997E-4</v>
      </c>
      <c r="N3294" s="249">
        <v>3293</v>
      </c>
    </row>
    <row r="3295" spans="1:14" x14ac:dyDescent="0.25">
      <c r="A3295" s="252" t="s">
        <v>74</v>
      </c>
      <c r="B3295" s="252" t="s">
        <v>6461</v>
      </c>
      <c r="C3295" s="253">
        <v>0</v>
      </c>
      <c r="D3295" s="252">
        <v>39792</v>
      </c>
      <c r="E3295" s="252" t="s">
        <v>1591</v>
      </c>
      <c r="F3295" s="254" t="s">
        <v>7642</v>
      </c>
      <c r="G3295" s="252" t="s">
        <v>7655</v>
      </c>
      <c r="H3295" s="252" t="s">
        <v>7656</v>
      </c>
      <c r="I3295" s="252">
        <v>5</v>
      </c>
      <c r="J3295" s="255">
        <v>1</v>
      </c>
      <c r="K3295" s="255">
        <v>1</v>
      </c>
      <c r="L3295" s="255"/>
      <c r="M3295" s="256">
        <v>5.3399999999999997E-4</v>
      </c>
      <c r="N3295" s="249">
        <v>3294</v>
      </c>
    </row>
    <row r="3296" spans="1:14" x14ac:dyDescent="0.25">
      <c r="A3296" s="252" t="s">
        <v>74</v>
      </c>
      <c r="B3296" s="252" t="s">
        <v>6461</v>
      </c>
      <c r="C3296" s="253">
        <v>0</v>
      </c>
      <c r="D3296" s="252">
        <v>39792</v>
      </c>
      <c r="E3296" s="252" t="s">
        <v>1591</v>
      </c>
      <c r="F3296" s="254" t="s">
        <v>7642</v>
      </c>
      <c r="G3296" s="252" t="s">
        <v>7657</v>
      </c>
      <c r="H3296" s="252" t="s">
        <v>7658</v>
      </c>
      <c r="I3296" s="252">
        <v>5</v>
      </c>
      <c r="J3296" s="255">
        <v>1</v>
      </c>
      <c r="K3296" s="255">
        <v>1</v>
      </c>
      <c r="L3296" s="255"/>
      <c r="M3296" s="256">
        <v>5.3399999999999997E-4</v>
      </c>
      <c r="N3296" s="249">
        <v>3295</v>
      </c>
    </row>
    <row r="3297" spans="1:14" x14ac:dyDescent="0.25">
      <c r="A3297" s="252" t="s">
        <v>74</v>
      </c>
      <c r="B3297" s="252" t="s">
        <v>6461</v>
      </c>
      <c r="C3297" s="253">
        <v>0</v>
      </c>
      <c r="D3297" s="252">
        <v>39792</v>
      </c>
      <c r="E3297" s="252" t="s">
        <v>1591</v>
      </c>
      <c r="F3297" s="254" t="s">
        <v>7642</v>
      </c>
      <c r="G3297" s="252" t="s">
        <v>7659</v>
      </c>
      <c r="H3297" s="252" t="s">
        <v>7660</v>
      </c>
      <c r="I3297" s="252">
        <v>5</v>
      </c>
      <c r="J3297" s="255">
        <v>1</v>
      </c>
      <c r="K3297" s="255">
        <v>1</v>
      </c>
      <c r="L3297" s="255"/>
      <c r="M3297" s="256">
        <v>5.3399999999999997E-4</v>
      </c>
      <c r="N3297" s="249">
        <v>3296</v>
      </c>
    </row>
    <row r="3298" spans="1:14" x14ac:dyDescent="0.25">
      <c r="A3298" s="252" t="s">
        <v>74</v>
      </c>
      <c r="B3298" s="252" t="s">
        <v>6461</v>
      </c>
      <c r="C3298" s="253">
        <v>0</v>
      </c>
      <c r="D3298" s="252">
        <v>39792</v>
      </c>
      <c r="E3298" s="252" t="s">
        <v>1591</v>
      </c>
      <c r="F3298" s="254" t="s">
        <v>7642</v>
      </c>
      <c r="G3298" s="252" t="s">
        <v>7661</v>
      </c>
      <c r="H3298" s="252" t="s">
        <v>7662</v>
      </c>
      <c r="I3298" s="252">
        <v>5</v>
      </c>
      <c r="J3298" s="255">
        <v>1</v>
      </c>
      <c r="K3298" s="255">
        <v>1</v>
      </c>
      <c r="L3298" s="255"/>
      <c r="M3298" s="256">
        <v>5.3399999999999997E-4</v>
      </c>
      <c r="N3298" s="249">
        <v>3297</v>
      </c>
    </row>
    <row r="3299" spans="1:14" x14ac:dyDescent="0.25">
      <c r="A3299" s="252" t="s">
        <v>74</v>
      </c>
      <c r="B3299" s="252" t="s">
        <v>6461</v>
      </c>
      <c r="C3299" s="253">
        <v>0</v>
      </c>
      <c r="D3299" s="252">
        <v>39792</v>
      </c>
      <c r="E3299" s="252" t="s">
        <v>1764</v>
      </c>
      <c r="F3299" s="254" t="s">
        <v>7642</v>
      </c>
      <c r="G3299" s="252" t="s">
        <v>7663</v>
      </c>
      <c r="H3299" s="252" t="s">
        <v>7664</v>
      </c>
      <c r="I3299" s="252">
        <v>3</v>
      </c>
      <c r="J3299" s="255">
        <v>1</v>
      </c>
      <c r="K3299" s="255">
        <v>1</v>
      </c>
      <c r="L3299" s="255"/>
      <c r="M3299" s="256">
        <v>8.9999999999999992E-5</v>
      </c>
      <c r="N3299" s="249">
        <v>3298</v>
      </c>
    </row>
    <row r="3300" spans="1:14" x14ac:dyDescent="0.25">
      <c r="A3300" s="252" t="s">
        <v>74</v>
      </c>
      <c r="B3300" s="252" t="s">
        <v>6461</v>
      </c>
      <c r="C3300" s="253">
        <v>0</v>
      </c>
      <c r="D3300" s="252">
        <v>39792</v>
      </c>
      <c r="E3300" s="252" t="s">
        <v>1764</v>
      </c>
      <c r="F3300" s="254" t="s">
        <v>7642</v>
      </c>
      <c r="G3300" s="252" t="s">
        <v>7665</v>
      </c>
      <c r="H3300" s="252" t="s">
        <v>7666</v>
      </c>
      <c r="I3300" s="252">
        <v>3</v>
      </c>
      <c r="J3300" s="255">
        <v>1</v>
      </c>
      <c r="K3300" s="255">
        <v>1</v>
      </c>
      <c r="L3300" s="255"/>
      <c r="M3300" s="256">
        <v>8.9999999999999992E-5</v>
      </c>
      <c r="N3300" s="249">
        <v>3299</v>
      </c>
    </row>
    <row r="3301" spans="1:14" x14ac:dyDescent="0.25">
      <c r="A3301" s="252" t="s">
        <v>74</v>
      </c>
      <c r="B3301" s="252" t="s">
        <v>6461</v>
      </c>
      <c r="C3301" s="253">
        <v>0</v>
      </c>
      <c r="D3301" s="252">
        <v>39792</v>
      </c>
      <c r="E3301" s="252" t="s">
        <v>1764</v>
      </c>
      <c r="F3301" s="254" t="s">
        <v>7642</v>
      </c>
      <c r="G3301" s="252" t="s">
        <v>7667</v>
      </c>
      <c r="H3301" s="252" t="s">
        <v>7668</v>
      </c>
      <c r="I3301" s="252">
        <v>3</v>
      </c>
      <c r="J3301" s="255">
        <v>1</v>
      </c>
      <c r="K3301" s="255">
        <v>1</v>
      </c>
      <c r="L3301" s="255"/>
      <c r="M3301" s="256">
        <v>2.823E-3</v>
      </c>
      <c r="N3301" s="249">
        <v>3300</v>
      </c>
    </row>
    <row r="3302" spans="1:14" x14ac:dyDescent="0.25">
      <c r="A3302" s="252" t="s">
        <v>74</v>
      </c>
      <c r="B3302" s="252" t="s">
        <v>6461</v>
      </c>
      <c r="C3302" s="253">
        <v>0</v>
      </c>
      <c r="D3302" s="252">
        <v>39792</v>
      </c>
      <c r="E3302" s="252" t="s">
        <v>3039</v>
      </c>
      <c r="F3302" s="254" t="s">
        <v>7642</v>
      </c>
      <c r="G3302" s="252" t="s">
        <v>7669</v>
      </c>
      <c r="H3302" s="252" t="s">
        <v>7670</v>
      </c>
      <c r="I3302" s="252">
        <v>5</v>
      </c>
      <c r="J3302" s="255">
        <v>1</v>
      </c>
      <c r="K3302" s="255">
        <v>1</v>
      </c>
      <c r="L3302" s="255"/>
      <c r="M3302" s="256">
        <v>5.7720000000000002E-3</v>
      </c>
      <c r="N3302" s="249">
        <v>3301</v>
      </c>
    </row>
    <row r="3303" spans="1:14" x14ac:dyDescent="0.25">
      <c r="A3303" s="252" t="s">
        <v>74</v>
      </c>
      <c r="B3303" s="252" t="s">
        <v>6461</v>
      </c>
      <c r="C3303" s="253">
        <v>0</v>
      </c>
      <c r="D3303" s="252">
        <v>39792</v>
      </c>
      <c r="E3303" s="252" t="s">
        <v>3039</v>
      </c>
      <c r="F3303" s="254" t="s">
        <v>7642</v>
      </c>
      <c r="G3303" s="252" t="s">
        <v>7671</v>
      </c>
      <c r="H3303" s="252" t="s">
        <v>7672</v>
      </c>
      <c r="I3303" s="252">
        <v>5</v>
      </c>
      <c r="J3303" s="255">
        <v>1</v>
      </c>
      <c r="K3303" s="255">
        <v>1</v>
      </c>
      <c r="L3303" s="255"/>
      <c r="M3303" s="256">
        <v>5.7720000000000002E-3</v>
      </c>
      <c r="N3303" s="249">
        <v>3302</v>
      </c>
    </row>
    <row r="3304" spans="1:14" x14ac:dyDescent="0.25">
      <c r="A3304" s="252" t="s">
        <v>74</v>
      </c>
      <c r="B3304" s="252" t="s">
        <v>6461</v>
      </c>
      <c r="C3304" s="253">
        <v>0</v>
      </c>
      <c r="D3304" s="252">
        <v>39792</v>
      </c>
      <c r="E3304" s="252" t="s">
        <v>3039</v>
      </c>
      <c r="F3304" s="254" t="s">
        <v>7642</v>
      </c>
      <c r="G3304" s="252" t="s">
        <v>7673</v>
      </c>
      <c r="H3304" s="252" t="s">
        <v>7674</v>
      </c>
      <c r="I3304" s="252">
        <v>5</v>
      </c>
      <c r="J3304" s="255">
        <v>1</v>
      </c>
      <c r="K3304" s="255">
        <v>1</v>
      </c>
      <c r="L3304" s="255"/>
      <c r="M3304" s="256">
        <v>5.7720000000000002E-3</v>
      </c>
      <c r="N3304" s="249">
        <v>3303</v>
      </c>
    </row>
    <row r="3305" spans="1:14" x14ac:dyDescent="0.25">
      <c r="A3305" s="252" t="s">
        <v>74</v>
      </c>
      <c r="B3305" s="252" t="s">
        <v>6461</v>
      </c>
      <c r="C3305" s="253">
        <v>0</v>
      </c>
      <c r="D3305" s="252">
        <v>39792</v>
      </c>
      <c r="E3305" s="252" t="s">
        <v>1764</v>
      </c>
      <c r="F3305" s="254" t="s">
        <v>7642</v>
      </c>
      <c r="G3305" s="252" t="s">
        <v>7675</v>
      </c>
      <c r="H3305" s="252" t="s">
        <v>7676</v>
      </c>
      <c r="I3305" s="252">
        <v>3</v>
      </c>
      <c r="J3305" s="255">
        <v>1</v>
      </c>
      <c r="K3305" s="255">
        <v>1</v>
      </c>
      <c r="L3305" s="255"/>
      <c r="M3305" s="256">
        <v>8.9999999999999992E-5</v>
      </c>
      <c r="N3305" s="249">
        <v>3304</v>
      </c>
    </row>
    <row r="3306" spans="1:14" x14ac:dyDescent="0.25">
      <c r="A3306" s="252" t="s">
        <v>74</v>
      </c>
      <c r="B3306" s="252" t="s">
        <v>6461</v>
      </c>
      <c r="C3306" s="253">
        <v>0</v>
      </c>
      <c r="D3306" s="252">
        <v>39792</v>
      </c>
      <c r="E3306" s="252" t="s">
        <v>1764</v>
      </c>
      <c r="F3306" s="254" t="s">
        <v>7642</v>
      </c>
      <c r="G3306" s="252" t="s">
        <v>7677</v>
      </c>
      <c r="H3306" s="252" t="s">
        <v>7678</v>
      </c>
      <c r="I3306" s="252">
        <v>3</v>
      </c>
      <c r="J3306" s="255">
        <v>1</v>
      </c>
      <c r="K3306" s="255">
        <v>1</v>
      </c>
      <c r="L3306" s="255"/>
      <c r="M3306" s="256">
        <v>8.9999999999999992E-5</v>
      </c>
      <c r="N3306" s="249">
        <v>3305</v>
      </c>
    </row>
    <row r="3307" spans="1:14" x14ac:dyDescent="0.25">
      <c r="A3307" s="252" t="s">
        <v>74</v>
      </c>
      <c r="B3307" s="252" t="s">
        <v>6461</v>
      </c>
      <c r="C3307" s="253">
        <v>0</v>
      </c>
      <c r="D3307" s="252">
        <v>39792</v>
      </c>
      <c r="E3307" s="252" t="s">
        <v>1764</v>
      </c>
      <c r="F3307" s="254" t="s">
        <v>7642</v>
      </c>
      <c r="G3307" s="252" t="s">
        <v>7679</v>
      </c>
      <c r="H3307" s="252" t="s">
        <v>7680</v>
      </c>
      <c r="I3307" s="252">
        <v>3</v>
      </c>
      <c r="J3307" s="255">
        <v>1</v>
      </c>
      <c r="K3307" s="255">
        <v>1</v>
      </c>
      <c r="L3307" s="255"/>
      <c r="M3307" s="256">
        <v>3.1289999999999998E-3</v>
      </c>
      <c r="N3307" s="249">
        <v>3306</v>
      </c>
    </row>
    <row r="3308" spans="1:14" x14ac:dyDescent="0.25">
      <c r="A3308" s="252" t="s">
        <v>74</v>
      </c>
      <c r="B3308" s="252" t="s">
        <v>6461</v>
      </c>
      <c r="C3308" s="253">
        <v>0</v>
      </c>
      <c r="D3308" s="252">
        <v>39792</v>
      </c>
      <c r="E3308" s="252" t="s">
        <v>1591</v>
      </c>
      <c r="F3308" s="254" t="s">
        <v>7642</v>
      </c>
      <c r="G3308" s="252" t="s">
        <v>7681</v>
      </c>
      <c r="H3308" s="252" t="s">
        <v>7682</v>
      </c>
      <c r="I3308" s="252">
        <v>5</v>
      </c>
      <c r="J3308" s="255">
        <v>1</v>
      </c>
      <c r="K3308" s="255">
        <v>1</v>
      </c>
      <c r="L3308" s="255"/>
      <c r="M3308" s="256">
        <v>2.0100000000000001E-4</v>
      </c>
      <c r="N3308" s="249">
        <v>3307</v>
      </c>
    </row>
    <row r="3309" spans="1:14" x14ac:dyDescent="0.25">
      <c r="A3309" s="252" t="s">
        <v>74</v>
      </c>
      <c r="B3309" s="252" t="s">
        <v>6461</v>
      </c>
      <c r="C3309" s="253">
        <v>0</v>
      </c>
      <c r="D3309" s="252">
        <v>39792</v>
      </c>
      <c r="E3309" s="252" t="s">
        <v>1591</v>
      </c>
      <c r="F3309" s="254" t="s">
        <v>7642</v>
      </c>
      <c r="G3309" s="252" t="s">
        <v>7683</v>
      </c>
      <c r="H3309" s="252" t="s">
        <v>7684</v>
      </c>
      <c r="I3309" s="252">
        <v>5</v>
      </c>
      <c r="J3309" s="255">
        <v>1</v>
      </c>
      <c r="K3309" s="255">
        <v>1</v>
      </c>
      <c r="L3309" s="255"/>
      <c r="M3309" s="256">
        <v>2.0100000000000001E-4</v>
      </c>
      <c r="N3309" s="249">
        <v>3308</v>
      </c>
    </row>
    <row r="3310" spans="1:14" x14ac:dyDescent="0.25">
      <c r="A3310" s="252" t="s">
        <v>74</v>
      </c>
      <c r="B3310" s="252" t="s">
        <v>6461</v>
      </c>
      <c r="C3310" s="253">
        <v>0</v>
      </c>
      <c r="D3310" s="252">
        <v>39792</v>
      </c>
      <c r="E3310" s="252" t="s">
        <v>1591</v>
      </c>
      <c r="F3310" s="254" t="s">
        <v>7642</v>
      </c>
      <c r="G3310" s="252" t="s">
        <v>7685</v>
      </c>
      <c r="H3310" s="252" t="s">
        <v>7686</v>
      </c>
      <c r="I3310" s="252">
        <v>5</v>
      </c>
      <c r="J3310" s="255">
        <v>1</v>
      </c>
      <c r="K3310" s="255">
        <v>1</v>
      </c>
      <c r="L3310" s="255"/>
      <c r="M3310" s="256">
        <v>5.3399999999999997E-4</v>
      </c>
      <c r="N3310" s="249">
        <v>3309</v>
      </c>
    </row>
    <row r="3311" spans="1:14" x14ac:dyDescent="0.25">
      <c r="A3311" s="252" t="s">
        <v>74</v>
      </c>
      <c r="B3311" s="252" t="s">
        <v>6461</v>
      </c>
      <c r="C3311" s="253">
        <v>0</v>
      </c>
      <c r="D3311" s="252">
        <v>39792</v>
      </c>
      <c r="E3311" s="252" t="s">
        <v>1591</v>
      </c>
      <c r="F3311" s="254" t="s">
        <v>7642</v>
      </c>
      <c r="G3311" s="252" t="s">
        <v>7687</v>
      </c>
      <c r="H3311" s="252" t="s">
        <v>7688</v>
      </c>
      <c r="I3311" s="252">
        <v>5</v>
      </c>
      <c r="J3311" s="255">
        <v>1</v>
      </c>
      <c r="K3311" s="255">
        <v>1</v>
      </c>
      <c r="L3311" s="255"/>
      <c r="M3311" s="256">
        <v>5.3399999999999997E-4</v>
      </c>
      <c r="N3311" s="249">
        <v>3310</v>
      </c>
    </row>
    <row r="3312" spans="1:14" x14ac:dyDescent="0.25">
      <c r="A3312" s="252" t="s">
        <v>74</v>
      </c>
      <c r="B3312" s="252" t="s">
        <v>6461</v>
      </c>
      <c r="C3312" s="253">
        <v>0</v>
      </c>
      <c r="D3312" s="252">
        <v>39792</v>
      </c>
      <c r="E3312" s="252" t="s">
        <v>1591</v>
      </c>
      <c r="F3312" s="254" t="s">
        <v>7642</v>
      </c>
      <c r="G3312" s="252" t="s">
        <v>7689</v>
      </c>
      <c r="H3312" s="252" t="s">
        <v>7690</v>
      </c>
      <c r="I3312" s="252">
        <v>5</v>
      </c>
      <c r="J3312" s="255">
        <v>1</v>
      </c>
      <c r="K3312" s="255">
        <v>1</v>
      </c>
      <c r="L3312" s="255"/>
      <c r="M3312" s="256">
        <v>2.0100000000000001E-4</v>
      </c>
      <c r="N3312" s="249">
        <v>3311</v>
      </c>
    </row>
    <row r="3313" spans="1:14" x14ac:dyDescent="0.25">
      <c r="A3313" s="252" t="s">
        <v>74</v>
      </c>
      <c r="B3313" s="252" t="s">
        <v>6461</v>
      </c>
      <c r="C3313" s="253">
        <v>0</v>
      </c>
      <c r="D3313" s="252">
        <v>39792</v>
      </c>
      <c r="E3313" s="252" t="s">
        <v>1591</v>
      </c>
      <c r="F3313" s="254" t="s">
        <v>7642</v>
      </c>
      <c r="G3313" s="252" t="s">
        <v>7691</v>
      </c>
      <c r="H3313" s="252" t="s">
        <v>7692</v>
      </c>
      <c r="I3313" s="252">
        <v>5</v>
      </c>
      <c r="J3313" s="255">
        <v>1</v>
      </c>
      <c r="K3313" s="255">
        <v>1</v>
      </c>
      <c r="L3313" s="255"/>
      <c r="M3313" s="256">
        <v>2.0100000000000001E-4</v>
      </c>
      <c r="N3313" s="249">
        <v>3312</v>
      </c>
    </row>
    <row r="3314" spans="1:14" x14ac:dyDescent="0.25">
      <c r="A3314" s="252" t="s">
        <v>74</v>
      </c>
      <c r="B3314" s="252" t="s">
        <v>6461</v>
      </c>
      <c r="C3314" s="253">
        <v>0</v>
      </c>
      <c r="D3314" s="252">
        <v>39792</v>
      </c>
      <c r="E3314" s="252" t="s">
        <v>1591</v>
      </c>
      <c r="F3314" s="254" t="s">
        <v>7642</v>
      </c>
      <c r="G3314" s="252" t="s">
        <v>7693</v>
      </c>
      <c r="H3314" s="252" t="s">
        <v>7694</v>
      </c>
      <c r="I3314" s="252">
        <v>5</v>
      </c>
      <c r="J3314" s="255">
        <v>1</v>
      </c>
      <c r="K3314" s="255">
        <v>1</v>
      </c>
      <c r="L3314" s="255"/>
      <c r="M3314" s="256">
        <v>5.3399999999999997E-4</v>
      </c>
      <c r="N3314" s="249">
        <v>3313</v>
      </c>
    </row>
    <row r="3315" spans="1:14" x14ac:dyDescent="0.25">
      <c r="A3315" s="252" t="s">
        <v>74</v>
      </c>
      <c r="B3315" s="252" t="s">
        <v>6461</v>
      </c>
      <c r="C3315" s="253">
        <v>0</v>
      </c>
      <c r="D3315" s="252">
        <v>39792</v>
      </c>
      <c r="E3315" s="252" t="s">
        <v>1591</v>
      </c>
      <c r="F3315" s="254" t="s">
        <v>7642</v>
      </c>
      <c r="G3315" s="252" t="s">
        <v>7695</v>
      </c>
      <c r="H3315" s="252" t="s">
        <v>7696</v>
      </c>
      <c r="I3315" s="252">
        <v>5</v>
      </c>
      <c r="J3315" s="255">
        <v>1</v>
      </c>
      <c r="K3315" s="255">
        <v>1</v>
      </c>
      <c r="L3315" s="255"/>
      <c r="M3315" s="256">
        <v>5.3399999999999997E-4</v>
      </c>
      <c r="N3315" s="249">
        <v>3314</v>
      </c>
    </row>
    <row r="3316" spans="1:14" x14ac:dyDescent="0.25">
      <c r="A3316" s="252" t="s">
        <v>74</v>
      </c>
      <c r="B3316" s="252" t="s">
        <v>6461</v>
      </c>
      <c r="C3316" s="253">
        <v>0</v>
      </c>
      <c r="D3316" s="252">
        <v>39792</v>
      </c>
      <c r="E3316" s="252" t="s">
        <v>1591</v>
      </c>
      <c r="F3316" s="254" t="s">
        <v>7642</v>
      </c>
      <c r="G3316" s="252" t="s">
        <v>7697</v>
      </c>
      <c r="H3316" s="252" t="s">
        <v>7698</v>
      </c>
      <c r="I3316" s="252">
        <v>5</v>
      </c>
      <c r="J3316" s="255">
        <v>1</v>
      </c>
      <c r="K3316" s="255">
        <v>1</v>
      </c>
      <c r="L3316" s="255"/>
      <c r="M3316" s="256">
        <v>2.0100000000000001E-4</v>
      </c>
      <c r="N3316" s="249">
        <v>3315</v>
      </c>
    </row>
    <row r="3317" spans="1:14" x14ac:dyDescent="0.25">
      <c r="A3317" s="252" t="s">
        <v>74</v>
      </c>
      <c r="B3317" s="252" t="s">
        <v>6461</v>
      </c>
      <c r="C3317" s="253">
        <v>0</v>
      </c>
      <c r="D3317" s="252">
        <v>39792</v>
      </c>
      <c r="E3317" s="252" t="s">
        <v>1591</v>
      </c>
      <c r="F3317" s="254" t="s">
        <v>7642</v>
      </c>
      <c r="G3317" s="252" t="s">
        <v>7699</v>
      </c>
      <c r="H3317" s="252" t="s">
        <v>7700</v>
      </c>
      <c r="I3317" s="252">
        <v>5</v>
      </c>
      <c r="J3317" s="255">
        <v>1</v>
      </c>
      <c r="K3317" s="255">
        <v>1</v>
      </c>
      <c r="L3317" s="255"/>
      <c r="M3317" s="256">
        <v>2.0100000000000001E-4</v>
      </c>
      <c r="N3317" s="249">
        <v>3316</v>
      </c>
    </row>
    <row r="3318" spans="1:14" x14ac:dyDescent="0.25">
      <c r="A3318" s="252" t="s">
        <v>74</v>
      </c>
      <c r="B3318" s="252" t="s">
        <v>6461</v>
      </c>
      <c r="C3318" s="253">
        <v>0</v>
      </c>
      <c r="D3318" s="252">
        <v>39792</v>
      </c>
      <c r="E3318" s="252" t="s">
        <v>1591</v>
      </c>
      <c r="F3318" s="254" t="s">
        <v>7642</v>
      </c>
      <c r="G3318" s="252" t="s">
        <v>7701</v>
      </c>
      <c r="H3318" s="252" t="s">
        <v>7702</v>
      </c>
      <c r="I3318" s="252">
        <v>5</v>
      </c>
      <c r="J3318" s="255">
        <v>1</v>
      </c>
      <c r="K3318" s="255">
        <v>1</v>
      </c>
      <c r="L3318" s="255"/>
      <c r="M3318" s="256">
        <v>5.3399999999999997E-4</v>
      </c>
      <c r="N3318" s="249">
        <v>3317</v>
      </c>
    </row>
    <row r="3319" spans="1:14" x14ac:dyDescent="0.25">
      <c r="A3319" s="252" t="s">
        <v>74</v>
      </c>
      <c r="B3319" s="252" t="s">
        <v>6461</v>
      </c>
      <c r="C3319" s="253">
        <v>0</v>
      </c>
      <c r="D3319" s="252">
        <v>39792</v>
      </c>
      <c r="E3319" s="252" t="s">
        <v>1591</v>
      </c>
      <c r="F3319" s="254" t="s">
        <v>7642</v>
      </c>
      <c r="G3319" s="252" t="s">
        <v>7703</v>
      </c>
      <c r="H3319" s="252" t="s">
        <v>7704</v>
      </c>
      <c r="I3319" s="252">
        <v>5</v>
      </c>
      <c r="J3319" s="255">
        <v>1</v>
      </c>
      <c r="K3319" s="255">
        <v>1</v>
      </c>
      <c r="L3319" s="255"/>
      <c r="M3319" s="256">
        <v>5.3399999999999997E-4</v>
      </c>
      <c r="N3319" s="249">
        <v>3318</v>
      </c>
    </row>
    <row r="3320" spans="1:14" x14ac:dyDescent="0.25">
      <c r="A3320" s="252" t="s">
        <v>74</v>
      </c>
      <c r="B3320" s="252" t="s">
        <v>6461</v>
      </c>
      <c r="C3320" s="253">
        <v>0</v>
      </c>
      <c r="D3320" s="252">
        <v>39792</v>
      </c>
      <c r="E3320" s="252" t="s">
        <v>3039</v>
      </c>
      <c r="F3320" s="254" t="s">
        <v>7642</v>
      </c>
      <c r="G3320" s="252" t="s">
        <v>7705</v>
      </c>
      <c r="H3320" s="252" t="s">
        <v>7706</v>
      </c>
      <c r="I3320" s="252">
        <v>5</v>
      </c>
      <c r="J3320" s="255">
        <v>1</v>
      </c>
      <c r="K3320" s="255">
        <v>1</v>
      </c>
      <c r="L3320" s="255"/>
      <c r="M3320" s="256">
        <v>1.4480999999999999E-2</v>
      </c>
      <c r="N3320" s="249">
        <v>3319</v>
      </c>
    </row>
    <row r="3321" spans="1:14" x14ac:dyDescent="0.25">
      <c r="A3321" s="252" t="s">
        <v>74</v>
      </c>
      <c r="B3321" s="252" t="s">
        <v>6461</v>
      </c>
      <c r="C3321" s="253">
        <v>0</v>
      </c>
      <c r="D3321" s="252">
        <v>39792</v>
      </c>
      <c r="E3321" s="252" t="s">
        <v>3039</v>
      </c>
      <c r="F3321" s="254" t="s">
        <v>7642</v>
      </c>
      <c r="G3321" s="252" t="s">
        <v>7707</v>
      </c>
      <c r="H3321" s="252" t="s">
        <v>7708</v>
      </c>
      <c r="I3321" s="252">
        <v>5</v>
      </c>
      <c r="J3321" s="255">
        <v>1</v>
      </c>
      <c r="K3321" s="255">
        <v>1</v>
      </c>
      <c r="L3321" s="255"/>
      <c r="M3321" s="256">
        <v>1.35E-4</v>
      </c>
      <c r="N3321" s="249">
        <v>3320</v>
      </c>
    </row>
    <row r="3322" spans="1:14" x14ac:dyDescent="0.25">
      <c r="A3322" s="252" t="s">
        <v>74</v>
      </c>
      <c r="B3322" s="252" t="s">
        <v>6461</v>
      </c>
      <c r="C3322" s="253">
        <v>0</v>
      </c>
      <c r="D3322" s="252">
        <v>39792</v>
      </c>
      <c r="E3322" s="252" t="s">
        <v>3039</v>
      </c>
      <c r="F3322" s="254" t="s">
        <v>7642</v>
      </c>
      <c r="G3322" s="252" t="s">
        <v>7709</v>
      </c>
      <c r="H3322" s="252" t="s">
        <v>7710</v>
      </c>
      <c r="I3322" s="252">
        <v>5</v>
      </c>
      <c r="J3322" s="255">
        <v>1</v>
      </c>
      <c r="K3322" s="255">
        <v>1</v>
      </c>
      <c r="L3322" s="255"/>
      <c r="M3322" s="256">
        <v>1.4480999999999999E-2</v>
      </c>
      <c r="N3322" s="249">
        <v>3321</v>
      </c>
    </row>
    <row r="3323" spans="1:14" x14ac:dyDescent="0.25">
      <c r="A3323" s="252" t="s">
        <v>74</v>
      </c>
      <c r="B3323" s="252" t="s">
        <v>6461</v>
      </c>
      <c r="C3323" s="253">
        <v>0</v>
      </c>
      <c r="D3323" s="252">
        <v>39792</v>
      </c>
      <c r="E3323" s="252" t="s">
        <v>3039</v>
      </c>
      <c r="F3323" s="254" t="s">
        <v>7642</v>
      </c>
      <c r="G3323" s="252" t="s">
        <v>7711</v>
      </c>
      <c r="H3323" s="252" t="s">
        <v>7712</v>
      </c>
      <c r="I3323" s="252">
        <v>5</v>
      </c>
      <c r="J3323" s="255">
        <v>1</v>
      </c>
      <c r="K3323" s="255">
        <v>1</v>
      </c>
      <c r="L3323" s="255"/>
      <c r="M3323" s="256">
        <v>1.35E-4</v>
      </c>
      <c r="N3323" s="249">
        <v>3322</v>
      </c>
    </row>
    <row r="3324" spans="1:14" x14ac:dyDescent="0.25">
      <c r="A3324" s="252" t="s">
        <v>74</v>
      </c>
      <c r="B3324" s="252" t="s">
        <v>6461</v>
      </c>
      <c r="C3324" s="253">
        <v>0</v>
      </c>
      <c r="D3324" s="252">
        <v>39792</v>
      </c>
      <c r="E3324" s="252" t="s">
        <v>1764</v>
      </c>
      <c r="F3324" s="254" t="s">
        <v>7642</v>
      </c>
      <c r="G3324" s="252" t="s">
        <v>7713</v>
      </c>
      <c r="H3324" s="252" t="s">
        <v>7714</v>
      </c>
      <c r="I3324" s="252">
        <v>3</v>
      </c>
      <c r="J3324" s="255">
        <v>1</v>
      </c>
      <c r="K3324" s="255">
        <v>1</v>
      </c>
      <c r="L3324" s="255"/>
      <c r="M3324" s="256">
        <v>8.9999999999999992E-5</v>
      </c>
      <c r="N3324" s="249">
        <v>3323</v>
      </c>
    </row>
    <row r="3325" spans="1:14" x14ac:dyDescent="0.25">
      <c r="A3325" s="252" t="s">
        <v>74</v>
      </c>
      <c r="B3325" s="252" t="s">
        <v>6461</v>
      </c>
      <c r="C3325" s="253">
        <v>0</v>
      </c>
      <c r="D3325" s="252">
        <v>39792</v>
      </c>
      <c r="E3325" s="252" t="s">
        <v>1764</v>
      </c>
      <c r="F3325" s="254" t="s">
        <v>7642</v>
      </c>
      <c r="G3325" s="252" t="s">
        <v>7715</v>
      </c>
      <c r="H3325" s="252" t="s">
        <v>7716</v>
      </c>
      <c r="I3325" s="252">
        <v>3</v>
      </c>
      <c r="J3325" s="255">
        <v>1</v>
      </c>
      <c r="K3325" s="255">
        <v>1</v>
      </c>
      <c r="L3325" s="255"/>
      <c r="M3325" s="256">
        <v>2.1480000000000002E-3</v>
      </c>
      <c r="N3325" s="249">
        <v>3324</v>
      </c>
    </row>
    <row r="3326" spans="1:14" x14ac:dyDescent="0.25">
      <c r="A3326" s="252" t="s">
        <v>74</v>
      </c>
      <c r="B3326" s="252" t="s">
        <v>6461</v>
      </c>
      <c r="C3326" s="253">
        <v>0</v>
      </c>
      <c r="D3326" s="252">
        <v>39792</v>
      </c>
      <c r="E3326" s="252" t="s">
        <v>1764</v>
      </c>
      <c r="F3326" s="254" t="s">
        <v>7642</v>
      </c>
      <c r="G3326" s="252" t="s">
        <v>7717</v>
      </c>
      <c r="H3326" s="252" t="s">
        <v>7718</v>
      </c>
      <c r="I3326" s="252">
        <v>3</v>
      </c>
      <c r="J3326" s="255">
        <v>1</v>
      </c>
      <c r="K3326" s="255">
        <v>1</v>
      </c>
      <c r="L3326" s="255"/>
      <c r="M3326" s="256">
        <v>8.9999999999999992E-5</v>
      </c>
      <c r="N3326" s="249">
        <v>3325</v>
      </c>
    </row>
    <row r="3327" spans="1:14" x14ac:dyDescent="0.25">
      <c r="A3327" s="252" t="s">
        <v>74</v>
      </c>
      <c r="B3327" s="252" t="s">
        <v>6461</v>
      </c>
      <c r="C3327" s="253">
        <v>0</v>
      </c>
      <c r="D3327" s="252">
        <v>39792</v>
      </c>
      <c r="E3327" s="252" t="s">
        <v>1764</v>
      </c>
      <c r="F3327" s="254" t="s">
        <v>7642</v>
      </c>
      <c r="G3327" s="252" t="s">
        <v>7719</v>
      </c>
      <c r="H3327" s="252" t="s">
        <v>7720</v>
      </c>
      <c r="I3327" s="252">
        <v>3</v>
      </c>
      <c r="J3327" s="255">
        <v>1</v>
      </c>
      <c r="K3327" s="255">
        <v>1</v>
      </c>
      <c r="L3327" s="255"/>
      <c r="M3327" s="256">
        <v>8.9999999999999992E-5</v>
      </c>
      <c r="N3327" s="249">
        <v>3326</v>
      </c>
    </row>
    <row r="3328" spans="1:14" x14ac:dyDescent="0.25">
      <c r="A3328" s="252" t="s">
        <v>74</v>
      </c>
      <c r="B3328" s="252" t="s">
        <v>6461</v>
      </c>
      <c r="C3328" s="253">
        <v>0</v>
      </c>
      <c r="D3328" s="252">
        <v>39792</v>
      </c>
      <c r="E3328" s="252" t="s">
        <v>1764</v>
      </c>
      <c r="F3328" s="254" t="s">
        <v>7642</v>
      </c>
      <c r="G3328" s="252" t="s">
        <v>7721</v>
      </c>
      <c r="H3328" s="252" t="s">
        <v>7722</v>
      </c>
      <c r="I3328" s="252">
        <v>3</v>
      </c>
      <c r="J3328" s="255">
        <v>1</v>
      </c>
      <c r="K3328" s="255">
        <v>1</v>
      </c>
      <c r="L3328" s="255"/>
      <c r="M3328" s="256">
        <v>4.7009999999999994E-3</v>
      </c>
      <c r="N3328" s="249">
        <v>3327</v>
      </c>
    </row>
    <row r="3329" spans="1:14" x14ac:dyDescent="0.25">
      <c r="A3329" s="252" t="s">
        <v>74</v>
      </c>
      <c r="B3329" s="252" t="s">
        <v>6461</v>
      </c>
      <c r="C3329" s="253">
        <v>0</v>
      </c>
      <c r="D3329" s="252">
        <v>39792</v>
      </c>
      <c r="E3329" s="252" t="s">
        <v>1764</v>
      </c>
      <c r="F3329" s="254" t="s">
        <v>7642</v>
      </c>
      <c r="G3329" s="252" t="s">
        <v>7723</v>
      </c>
      <c r="H3329" s="252" t="s">
        <v>7724</v>
      </c>
      <c r="I3329" s="252">
        <v>3</v>
      </c>
      <c r="J3329" s="255">
        <v>1</v>
      </c>
      <c r="K3329" s="255">
        <v>1</v>
      </c>
      <c r="L3329" s="255"/>
      <c r="M3329" s="256">
        <v>8.9999999999999992E-5</v>
      </c>
      <c r="N3329" s="249">
        <v>3328</v>
      </c>
    </row>
    <row r="3330" spans="1:14" x14ac:dyDescent="0.25">
      <c r="A3330" s="252" t="s">
        <v>74</v>
      </c>
      <c r="B3330" s="252" t="s">
        <v>6461</v>
      </c>
      <c r="C3330" s="253">
        <v>0</v>
      </c>
      <c r="D3330" s="252">
        <v>39792</v>
      </c>
      <c r="E3330" s="252" t="s">
        <v>1764</v>
      </c>
      <c r="F3330" s="254" t="s">
        <v>7642</v>
      </c>
      <c r="G3330" s="252" t="s">
        <v>7725</v>
      </c>
      <c r="H3330" s="252" t="s">
        <v>7726</v>
      </c>
      <c r="I3330" s="252">
        <v>3</v>
      </c>
      <c r="J3330" s="255">
        <v>1</v>
      </c>
      <c r="K3330" s="255">
        <v>1</v>
      </c>
      <c r="L3330" s="255"/>
      <c r="M3330" s="256">
        <v>8.9999999999999992E-5</v>
      </c>
      <c r="N3330" s="249">
        <v>3329</v>
      </c>
    </row>
    <row r="3331" spans="1:14" x14ac:dyDescent="0.25">
      <c r="A3331" s="252" t="s">
        <v>74</v>
      </c>
      <c r="B3331" s="252" t="s">
        <v>6461</v>
      </c>
      <c r="C3331" s="253">
        <v>0</v>
      </c>
      <c r="D3331" s="252">
        <v>39792</v>
      </c>
      <c r="E3331" s="252" t="s">
        <v>1764</v>
      </c>
      <c r="F3331" s="254" t="s">
        <v>7642</v>
      </c>
      <c r="G3331" s="252" t="s">
        <v>7727</v>
      </c>
      <c r="H3331" s="252" t="s">
        <v>7728</v>
      </c>
      <c r="I3331" s="252">
        <v>3</v>
      </c>
      <c r="J3331" s="255">
        <v>1</v>
      </c>
      <c r="K3331" s="255">
        <v>1</v>
      </c>
      <c r="L3331" s="255"/>
      <c r="M3331" s="256">
        <v>8.9999999999999992E-5</v>
      </c>
      <c r="N3331" s="249">
        <v>3330</v>
      </c>
    </row>
    <row r="3332" spans="1:14" x14ac:dyDescent="0.25">
      <c r="A3332" s="252" t="s">
        <v>74</v>
      </c>
      <c r="B3332" s="252" t="s">
        <v>6461</v>
      </c>
      <c r="C3332" s="253">
        <v>0</v>
      </c>
      <c r="D3332" s="252">
        <v>39792</v>
      </c>
      <c r="E3332" s="252" t="s">
        <v>1764</v>
      </c>
      <c r="F3332" s="254" t="s">
        <v>7642</v>
      </c>
      <c r="G3332" s="252" t="s">
        <v>7729</v>
      </c>
      <c r="H3332" s="252" t="s">
        <v>7730</v>
      </c>
      <c r="I3332" s="252">
        <v>3</v>
      </c>
      <c r="J3332" s="255">
        <v>1</v>
      </c>
      <c r="K3332" s="255">
        <v>1</v>
      </c>
      <c r="L3332" s="255"/>
      <c r="M3332" s="256">
        <v>2.0549999999999995E-3</v>
      </c>
      <c r="N3332" s="249">
        <v>3331</v>
      </c>
    </row>
    <row r="3333" spans="1:14" x14ac:dyDescent="0.25">
      <c r="A3333" s="252" t="s">
        <v>74</v>
      </c>
      <c r="B3333" s="252" t="s">
        <v>6461</v>
      </c>
      <c r="C3333" s="253">
        <v>0</v>
      </c>
      <c r="D3333" s="252">
        <v>39792</v>
      </c>
      <c r="E3333" s="252" t="s">
        <v>1764</v>
      </c>
      <c r="F3333" s="254" t="s">
        <v>7642</v>
      </c>
      <c r="G3333" s="252" t="s">
        <v>7731</v>
      </c>
      <c r="H3333" s="252" t="s">
        <v>7732</v>
      </c>
      <c r="I3333" s="252">
        <v>3</v>
      </c>
      <c r="J3333" s="255">
        <v>1</v>
      </c>
      <c r="K3333" s="255">
        <v>1</v>
      </c>
      <c r="L3333" s="255"/>
      <c r="M3333" s="256">
        <v>8.9999999999999992E-5</v>
      </c>
      <c r="N3333" s="249">
        <v>3332</v>
      </c>
    </row>
    <row r="3334" spans="1:14" x14ac:dyDescent="0.25">
      <c r="A3334" s="252" t="s">
        <v>74</v>
      </c>
      <c r="B3334" s="252" t="s">
        <v>6461</v>
      </c>
      <c r="C3334" s="253">
        <v>0</v>
      </c>
      <c r="D3334" s="252">
        <v>39792</v>
      </c>
      <c r="E3334" s="252" t="s">
        <v>1764</v>
      </c>
      <c r="F3334" s="254" t="s">
        <v>7642</v>
      </c>
      <c r="G3334" s="252" t="s">
        <v>7733</v>
      </c>
      <c r="H3334" s="252" t="s">
        <v>7734</v>
      </c>
      <c r="I3334" s="252">
        <v>3</v>
      </c>
      <c r="J3334" s="255">
        <v>1</v>
      </c>
      <c r="K3334" s="255">
        <v>1</v>
      </c>
      <c r="L3334" s="255"/>
      <c r="M3334" s="256">
        <v>8.9999999999999992E-5</v>
      </c>
      <c r="N3334" s="249">
        <v>3333</v>
      </c>
    </row>
    <row r="3335" spans="1:14" x14ac:dyDescent="0.25">
      <c r="A3335" s="252" t="s">
        <v>74</v>
      </c>
      <c r="B3335" s="252" t="s">
        <v>6461</v>
      </c>
      <c r="C3335" s="253">
        <v>0</v>
      </c>
      <c r="D3335" s="252">
        <v>39792</v>
      </c>
      <c r="E3335" s="252" t="s">
        <v>1764</v>
      </c>
      <c r="F3335" s="254" t="s">
        <v>7642</v>
      </c>
      <c r="G3335" s="252" t="s">
        <v>7735</v>
      </c>
      <c r="H3335" s="252" t="s">
        <v>7736</v>
      </c>
      <c r="I3335" s="252">
        <v>3</v>
      </c>
      <c r="J3335" s="255">
        <v>1</v>
      </c>
      <c r="K3335" s="255">
        <v>1</v>
      </c>
      <c r="L3335" s="255"/>
      <c r="M3335" s="256">
        <v>1.8389999999999999E-3</v>
      </c>
      <c r="N3335" s="249">
        <v>3334</v>
      </c>
    </row>
    <row r="3336" spans="1:14" x14ac:dyDescent="0.25">
      <c r="A3336" s="252" t="s">
        <v>74</v>
      </c>
      <c r="B3336" s="252" t="s">
        <v>6461</v>
      </c>
      <c r="C3336" s="253">
        <v>0</v>
      </c>
      <c r="D3336" s="252">
        <v>39792</v>
      </c>
      <c r="E3336" s="252" t="s">
        <v>3039</v>
      </c>
      <c r="F3336" s="254" t="s">
        <v>7737</v>
      </c>
      <c r="G3336" s="252" t="s">
        <v>7738</v>
      </c>
      <c r="H3336" s="252" t="s">
        <v>7739</v>
      </c>
      <c r="I3336" s="252">
        <v>5</v>
      </c>
      <c r="J3336" s="255">
        <v>1</v>
      </c>
      <c r="K3336" s="255">
        <v>1</v>
      </c>
      <c r="L3336" s="255"/>
      <c r="M3336" s="256">
        <v>1.4480999999999999E-2</v>
      </c>
      <c r="N3336" s="249">
        <v>3335</v>
      </c>
    </row>
    <row r="3337" spans="1:14" x14ac:dyDescent="0.25">
      <c r="A3337" s="252" t="s">
        <v>74</v>
      </c>
      <c r="B3337" s="252" t="s">
        <v>6461</v>
      </c>
      <c r="C3337" s="253">
        <v>0</v>
      </c>
      <c r="D3337" s="252">
        <v>39792</v>
      </c>
      <c r="E3337" s="252" t="s">
        <v>3039</v>
      </c>
      <c r="F3337" s="254" t="s">
        <v>7737</v>
      </c>
      <c r="G3337" s="252" t="s">
        <v>7740</v>
      </c>
      <c r="H3337" s="252" t="s">
        <v>7741</v>
      </c>
      <c r="I3337" s="252">
        <v>5</v>
      </c>
      <c r="J3337" s="255">
        <v>1</v>
      </c>
      <c r="K3337" s="255">
        <v>1</v>
      </c>
      <c r="L3337" s="255"/>
      <c r="M3337" s="256">
        <v>1.35E-4</v>
      </c>
      <c r="N3337" s="249">
        <v>3336</v>
      </c>
    </row>
    <row r="3338" spans="1:14" x14ac:dyDescent="0.25">
      <c r="A3338" s="252" t="s">
        <v>74</v>
      </c>
      <c r="B3338" s="252" t="s">
        <v>6461</v>
      </c>
      <c r="C3338" s="253">
        <v>0</v>
      </c>
      <c r="D3338" s="252">
        <v>39792</v>
      </c>
      <c r="E3338" s="252" t="s">
        <v>3039</v>
      </c>
      <c r="F3338" s="254" t="s">
        <v>7737</v>
      </c>
      <c r="G3338" s="252" t="s">
        <v>7742</v>
      </c>
      <c r="H3338" s="252" t="s">
        <v>7743</v>
      </c>
      <c r="I3338" s="252">
        <v>5</v>
      </c>
      <c r="J3338" s="255">
        <v>1</v>
      </c>
      <c r="K3338" s="255">
        <v>1</v>
      </c>
      <c r="L3338" s="255"/>
      <c r="M3338" s="256">
        <v>1.4480999999999999E-2</v>
      </c>
      <c r="N3338" s="249">
        <v>3337</v>
      </c>
    </row>
    <row r="3339" spans="1:14" x14ac:dyDescent="0.25">
      <c r="A3339" s="252" t="s">
        <v>74</v>
      </c>
      <c r="B3339" s="252" t="s">
        <v>6461</v>
      </c>
      <c r="C3339" s="253">
        <v>0</v>
      </c>
      <c r="D3339" s="252">
        <v>39792</v>
      </c>
      <c r="E3339" s="252" t="s">
        <v>3039</v>
      </c>
      <c r="F3339" s="254" t="s">
        <v>7737</v>
      </c>
      <c r="G3339" s="252" t="s">
        <v>7744</v>
      </c>
      <c r="H3339" s="252" t="s">
        <v>7745</v>
      </c>
      <c r="I3339" s="252">
        <v>5</v>
      </c>
      <c r="J3339" s="255">
        <v>1</v>
      </c>
      <c r="K3339" s="255">
        <v>1</v>
      </c>
      <c r="L3339" s="255"/>
      <c r="M3339" s="256">
        <v>1.35E-4</v>
      </c>
      <c r="N3339" s="249">
        <v>3338</v>
      </c>
    </row>
    <row r="3340" spans="1:14" x14ac:dyDescent="0.25">
      <c r="A3340" s="252" t="s">
        <v>74</v>
      </c>
      <c r="B3340" s="252" t="s">
        <v>6461</v>
      </c>
      <c r="C3340" s="253">
        <v>0</v>
      </c>
      <c r="D3340" s="252">
        <v>39792</v>
      </c>
      <c r="E3340" s="252" t="s">
        <v>1591</v>
      </c>
      <c r="F3340" s="254" t="s">
        <v>7737</v>
      </c>
      <c r="G3340" s="252" t="s">
        <v>7746</v>
      </c>
      <c r="H3340" s="252" t="s">
        <v>7747</v>
      </c>
      <c r="I3340" s="252">
        <v>5</v>
      </c>
      <c r="J3340" s="255">
        <v>1</v>
      </c>
      <c r="K3340" s="255">
        <v>1</v>
      </c>
      <c r="L3340" s="255"/>
      <c r="M3340" s="256">
        <v>5.3399999999999997E-4</v>
      </c>
      <c r="N3340" s="249">
        <v>3339</v>
      </c>
    </row>
    <row r="3341" spans="1:14" x14ac:dyDescent="0.25">
      <c r="A3341" s="252" t="s">
        <v>74</v>
      </c>
      <c r="B3341" s="252" t="s">
        <v>6461</v>
      </c>
      <c r="C3341" s="253">
        <v>0</v>
      </c>
      <c r="D3341" s="252">
        <v>39792</v>
      </c>
      <c r="E3341" s="252" t="s">
        <v>1591</v>
      </c>
      <c r="F3341" s="254" t="s">
        <v>7737</v>
      </c>
      <c r="G3341" s="252" t="s">
        <v>7748</v>
      </c>
      <c r="H3341" s="252" t="s">
        <v>7749</v>
      </c>
      <c r="I3341" s="252">
        <v>5</v>
      </c>
      <c r="J3341" s="255">
        <v>1</v>
      </c>
      <c r="K3341" s="255">
        <v>1</v>
      </c>
      <c r="L3341" s="255"/>
      <c r="M3341" s="256">
        <v>5.3399999999999997E-4</v>
      </c>
      <c r="N3341" s="249">
        <v>3340</v>
      </c>
    </row>
    <row r="3342" spans="1:14" x14ac:dyDescent="0.25">
      <c r="A3342" s="252" t="s">
        <v>74</v>
      </c>
      <c r="B3342" s="252" t="s">
        <v>6461</v>
      </c>
      <c r="C3342" s="253">
        <v>0</v>
      </c>
      <c r="D3342" s="252">
        <v>39792</v>
      </c>
      <c r="E3342" s="252" t="s">
        <v>1591</v>
      </c>
      <c r="F3342" s="254" t="s">
        <v>7737</v>
      </c>
      <c r="G3342" s="252" t="s">
        <v>7750</v>
      </c>
      <c r="H3342" s="252" t="s">
        <v>7751</v>
      </c>
      <c r="I3342" s="252">
        <v>5</v>
      </c>
      <c r="J3342" s="255">
        <v>1</v>
      </c>
      <c r="K3342" s="255">
        <v>1</v>
      </c>
      <c r="L3342" s="255"/>
      <c r="M3342" s="256">
        <v>5.3399999999999997E-4</v>
      </c>
      <c r="N3342" s="249">
        <v>3341</v>
      </c>
    </row>
    <row r="3343" spans="1:14" x14ac:dyDescent="0.25">
      <c r="A3343" s="252" t="s">
        <v>74</v>
      </c>
      <c r="B3343" s="252" t="s">
        <v>6461</v>
      </c>
      <c r="C3343" s="253">
        <v>0</v>
      </c>
      <c r="D3343" s="252">
        <v>39792</v>
      </c>
      <c r="E3343" s="252" t="s">
        <v>1591</v>
      </c>
      <c r="F3343" s="254" t="s">
        <v>7737</v>
      </c>
      <c r="G3343" s="252" t="s">
        <v>7752</v>
      </c>
      <c r="H3343" s="252" t="s">
        <v>7753</v>
      </c>
      <c r="I3343" s="252">
        <v>5</v>
      </c>
      <c r="J3343" s="255">
        <v>1</v>
      </c>
      <c r="K3343" s="255">
        <v>1</v>
      </c>
      <c r="L3343" s="255"/>
      <c r="M3343" s="256">
        <v>5.3399999999999997E-4</v>
      </c>
      <c r="N3343" s="249">
        <v>3342</v>
      </c>
    </row>
    <row r="3344" spans="1:14" x14ac:dyDescent="0.25">
      <c r="A3344" s="252" t="s">
        <v>74</v>
      </c>
      <c r="B3344" s="252" t="s">
        <v>6461</v>
      </c>
      <c r="C3344" s="253">
        <v>0</v>
      </c>
      <c r="D3344" s="252">
        <v>39792</v>
      </c>
      <c r="E3344" s="252" t="s">
        <v>1591</v>
      </c>
      <c r="F3344" s="254" t="s">
        <v>7737</v>
      </c>
      <c r="G3344" s="252" t="s">
        <v>7754</v>
      </c>
      <c r="H3344" s="252" t="s">
        <v>7755</v>
      </c>
      <c r="I3344" s="252">
        <v>5</v>
      </c>
      <c r="J3344" s="255">
        <v>1</v>
      </c>
      <c r="K3344" s="255">
        <v>1</v>
      </c>
      <c r="L3344" s="255"/>
      <c r="M3344" s="256">
        <v>5.3399999999999997E-4</v>
      </c>
      <c r="N3344" s="249">
        <v>3343</v>
      </c>
    </row>
    <row r="3345" spans="1:14" x14ac:dyDescent="0.25">
      <c r="A3345" s="252" t="s">
        <v>74</v>
      </c>
      <c r="B3345" s="252" t="s">
        <v>6461</v>
      </c>
      <c r="C3345" s="253">
        <v>0</v>
      </c>
      <c r="D3345" s="252">
        <v>39792</v>
      </c>
      <c r="E3345" s="252" t="s">
        <v>1591</v>
      </c>
      <c r="F3345" s="254" t="s">
        <v>7737</v>
      </c>
      <c r="G3345" s="252" t="s">
        <v>7756</v>
      </c>
      <c r="H3345" s="252" t="s">
        <v>7757</v>
      </c>
      <c r="I3345" s="252">
        <v>5</v>
      </c>
      <c r="J3345" s="255">
        <v>1</v>
      </c>
      <c r="K3345" s="255">
        <v>1</v>
      </c>
      <c r="L3345" s="255"/>
      <c r="M3345" s="256">
        <v>5.3399999999999997E-4</v>
      </c>
      <c r="N3345" s="249">
        <v>3344</v>
      </c>
    </row>
    <row r="3346" spans="1:14" x14ac:dyDescent="0.25">
      <c r="A3346" s="252" t="s">
        <v>74</v>
      </c>
      <c r="B3346" s="252" t="s">
        <v>6461</v>
      </c>
      <c r="C3346" s="253">
        <v>0</v>
      </c>
      <c r="D3346" s="252">
        <v>39792</v>
      </c>
      <c r="E3346" s="252" t="s">
        <v>1764</v>
      </c>
      <c r="F3346" s="254" t="s">
        <v>7737</v>
      </c>
      <c r="G3346" s="252" t="s">
        <v>7758</v>
      </c>
      <c r="H3346" s="252" t="s">
        <v>7759</v>
      </c>
      <c r="I3346" s="252">
        <v>3</v>
      </c>
      <c r="J3346" s="255">
        <v>1</v>
      </c>
      <c r="K3346" s="255">
        <v>1</v>
      </c>
      <c r="L3346" s="255"/>
      <c r="M3346" s="256">
        <v>8.9999999999999992E-5</v>
      </c>
      <c r="N3346" s="249">
        <v>3345</v>
      </c>
    </row>
    <row r="3347" spans="1:14" x14ac:dyDescent="0.25">
      <c r="A3347" s="252" t="s">
        <v>74</v>
      </c>
      <c r="B3347" s="252" t="s">
        <v>6461</v>
      </c>
      <c r="C3347" s="253">
        <v>0</v>
      </c>
      <c r="D3347" s="252">
        <v>39792</v>
      </c>
      <c r="E3347" s="252" t="s">
        <v>1764</v>
      </c>
      <c r="F3347" s="254" t="s">
        <v>7737</v>
      </c>
      <c r="G3347" s="252" t="s">
        <v>7760</v>
      </c>
      <c r="H3347" s="252" t="s">
        <v>7761</v>
      </c>
      <c r="I3347" s="252">
        <v>3</v>
      </c>
      <c r="J3347" s="255">
        <v>1</v>
      </c>
      <c r="K3347" s="255">
        <v>1</v>
      </c>
      <c r="L3347" s="255"/>
      <c r="M3347" s="256">
        <v>8.9999999999999992E-5</v>
      </c>
      <c r="N3347" s="249">
        <v>3346</v>
      </c>
    </row>
    <row r="3348" spans="1:14" x14ac:dyDescent="0.25">
      <c r="A3348" s="252" t="s">
        <v>74</v>
      </c>
      <c r="B3348" s="252" t="s">
        <v>6461</v>
      </c>
      <c r="C3348" s="253">
        <v>0</v>
      </c>
      <c r="D3348" s="252">
        <v>39792</v>
      </c>
      <c r="E3348" s="252" t="s">
        <v>1764</v>
      </c>
      <c r="F3348" s="254" t="s">
        <v>7737</v>
      </c>
      <c r="G3348" s="252" t="s">
        <v>7762</v>
      </c>
      <c r="H3348" s="252" t="s">
        <v>7763</v>
      </c>
      <c r="I3348" s="252">
        <v>3</v>
      </c>
      <c r="J3348" s="255">
        <v>1</v>
      </c>
      <c r="K3348" s="255">
        <v>1</v>
      </c>
      <c r="L3348" s="255"/>
      <c r="M3348" s="256">
        <v>2.823E-3</v>
      </c>
      <c r="N3348" s="249">
        <v>3347</v>
      </c>
    </row>
    <row r="3349" spans="1:14" x14ac:dyDescent="0.25">
      <c r="A3349" s="252" t="s">
        <v>74</v>
      </c>
      <c r="B3349" s="252" t="s">
        <v>6461</v>
      </c>
      <c r="C3349" s="253">
        <v>0</v>
      </c>
      <c r="D3349" s="252">
        <v>39792</v>
      </c>
      <c r="E3349" s="252" t="s">
        <v>3039</v>
      </c>
      <c r="F3349" s="254" t="s">
        <v>7737</v>
      </c>
      <c r="G3349" s="252" t="s">
        <v>7764</v>
      </c>
      <c r="H3349" s="252" t="s">
        <v>7765</v>
      </c>
      <c r="I3349" s="252">
        <v>5</v>
      </c>
      <c r="J3349" s="255">
        <v>1</v>
      </c>
      <c r="K3349" s="255">
        <v>1</v>
      </c>
      <c r="L3349" s="255"/>
      <c r="M3349" s="256">
        <v>5.7720000000000002E-3</v>
      </c>
      <c r="N3349" s="249">
        <v>3348</v>
      </c>
    </row>
    <row r="3350" spans="1:14" x14ac:dyDescent="0.25">
      <c r="A3350" s="252" t="s">
        <v>74</v>
      </c>
      <c r="B3350" s="252" t="s">
        <v>6461</v>
      </c>
      <c r="C3350" s="253">
        <v>0</v>
      </c>
      <c r="D3350" s="252">
        <v>39792</v>
      </c>
      <c r="E3350" s="252" t="s">
        <v>3039</v>
      </c>
      <c r="F3350" s="254" t="s">
        <v>7737</v>
      </c>
      <c r="G3350" s="252" t="s">
        <v>7766</v>
      </c>
      <c r="H3350" s="252" t="s">
        <v>7767</v>
      </c>
      <c r="I3350" s="252">
        <v>5</v>
      </c>
      <c r="J3350" s="255">
        <v>1</v>
      </c>
      <c r="K3350" s="255">
        <v>1</v>
      </c>
      <c r="L3350" s="255"/>
      <c r="M3350" s="256">
        <v>5.7720000000000002E-3</v>
      </c>
      <c r="N3350" s="249">
        <v>3349</v>
      </c>
    </row>
    <row r="3351" spans="1:14" x14ac:dyDescent="0.25">
      <c r="A3351" s="252" t="s">
        <v>74</v>
      </c>
      <c r="B3351" s="252" t="s">
        <v>6461</v>
      </c>
      <c r="C3351" s="253">
        <v>0</v>
      </c>
      <c r="D3351" s="252">
        <v>39792</v>
      </c>
      <c r="E3351" s="252" t="s">
        <v>3039</v>
      </c>
      <c r="F3351" s="254" t="s">
        <v>7737</v>
      </c>
      <c r="G3351" s="252" t="s">
        <v>7768</v>
      </c>
      <c r="H3351" s="252" t="s">
        <v>7769</v>
      </c>
      <c r="I3351" s="252">
        <v>5</v>
      </c>
      <c r="J3351" s="255">
        <v>1</v>
      </c>
      <c r="K3351" s="255">
        <v>1</v>
      </c>
      <c r="L3351" s="255"/>
      <c r="M3351" s="256">
        <v>5.7720000000000002E-3</v>
      </c>
      <c r="N3351" s="249">
        <v>3350</v>
      </c>
    </row>
    <row r="3352" spans="1:14" x14ac:dyDescent="0.25">
      <c r="A3352" s="252" t="s">
        <v>74</v>
      </c>
      <c r="B3352" s="252" t="s">
        <v>6461</v>
      </c>
      <c r="C3352" s="253">
        <v>0</v>
      </c>
      <c r="D3352" s="252">
        <v>39792</v>
      </c>
      <c r="E3352" s="252" t="s">
        <v>1764</v>
      </c>
      <c r="F3352" s="254" t="s">
        <v>7737</v>
      </c>
      <c r="G3352" s="252" t="s">
        <v>7770</v>
      </c>
      <c r="H3352" s="252" t="s">
        <v>7771</v>
      </c>
      <c r="I3352" s="252">
        <v>3</v>
      </c>
      <c r="J3352" s="255">
        <v>1</v>
      </c>
      <c r="K3352" s="255">
        <v>1</v>
      </c>
      <c r="L3352" s="255"/>
      <c r="M3352" s="256">
        <v>8.9999999999999992E-5</v>
      </c>
      <c r="N3352" s="249">
        <v>3351</v>
      </c>
    </row>
    <row r="3353" spans="1:14" x14ac:dyDescent="0.25">
      <c r="A3353" s="252" t="s">
        <v>74</v>
      </c>
      <c r="B3353" s="252" t="s">
        <v>6461</v>
      </c>
      <c r="C3353" s="253">
        <v>0</v>
      </c>
      <c r="D3353" s="252">
        <v>39792</v>
      </c>
      <c r="E3353" s="252" t="s">
        <v>1764</v>
      </c>
      <c r="F3353" s="254" t="s">
        <v>7737</v>
      </c>
      <c r="G3353" s="252" t="s">
        <v>7772</v>
      </c>
      <c r="H3353" s="252" t="s">
        <v>7773</v>
      </c>
      <c r="I3353" s="252">
        <v>3</v>
      </c>
      <c r="J3353" s="255">
        <v>1</v>
      </c>
      <c r="K3353" s="255">
        <v>1</v>
      </c>
      <c r="L3353" s="255"/>
      <c r="M3353" s="256">
        <v>8.9999999999999992E-5</v>
      </c>
      <c r="N3353" s="249">
        <v>3352</v>
      </c>
    </row>
    <row r="3354" spans="1:14" x14ac:dyDescent="0.25">
      <c r="A3354" s="252" t="s">
        <v>74</v>
      </c>
      <c r="B3354" s="252" t="s">
        <v>6461</v>
      </c>
      <c r="C3354" s="253">
        <v>0</v>
      </c>
      <c r="D3354" s="252">
        <v>39792</v>
      </c>
      <c r="E3354" s="252" t="s">
        <v>1764</v>
      </c>
      <c r="F3354" s="254" t="s">
        <v>7737</v>
      </c>
      <c r="G3354" s="252" t="s">
        <v>7774</v>
      </c>
      <c r="H3354" s="252" t="s">
        <v>7775</v>
      </c>
      <c r="I3354" s="252">
        <v>3</v>
      </c>
      <c r="J3354" s="255">
        <v>1</v>
      </c>
      <c r="K3354" s="255">
        <v>1</v>
      </c>
      <c r="L3354" s="255"/>
      <c r="M3354" s="256">
        <v>3.1289999999999998E-3</v>
      </c>
      <c r="N3354" s="249">
        <v>3353</v>
      </c>
    </row>
    <row r="3355" spans="1:14" x14ac:dyDescent="0.25">
      <c r="A3355" s="252" t="s">
        <v>74</v>
      </c>
      <c r="B3355" s="252" t="s">
        <v>6461</v>
      </c>
      <c r="C3355" s="253">
        <v>0</v>
      </c>
      <c r="D3355" s="252">
        <v>39792</v>
      </c>
      <c r="E3355" s="252" t="s">
        <v>1591</v>
      </c>
      <c r="F3355" s="254" t="s">
        <v>7737</v>
      </c>
      <c r="G3355" s="252" t="s">
        <v>2400</v>
      </c>
      <c r="H3355" s="252" t="s">
        <v>7776</v>
      </c>
      <c r="I3355" s="252">
        <v>5</v>
      </c>
      <c r="J3355" s="255">
        <v>1</v>
      </c>
      <c r="K3355" s="255">
        <v>1</v>
      </c>
      <c r="L3355" s="255"/>
      <c r="M3355" s="256">
        <v>2.0100000000000001E-4</v>
      </c>
      <c r="N3355" s="249">
        <v>3354</v>
      </c>
    </row>
    <row r="3356" spans="1:14" x14ac:dyDescent="0.25">
      <c r="A3356" s="252" t="s">
        <v>74</v>
      </c>
      <c r="B3356" s="252" t="s">
        <v>6461</v>
      </c>
      <c r="C3356" s="253">
        <v>0</v>
      </c>
      <c r="D3356" s="252">
        <v>39792</v>
      </c>
      <c r="E3356" s="252" t="s">
        <v>1591</v>
      </c>
      <c r="F3356" s="254" t="s">
        <v>7737</v>
      </c>
      <c r="G3356" s="252" t="s">
        <v>2401</v>
      </c>
      <c r="H3356" s="252" t="s">
        <v>7777</v>
      </c>
      <c r="I3356" s="252">
        <v>5</v>
      </c>
      <c r="J3356" s="255">
        <v>1</v>
      </c>
      <c r="K3356" s="255">
        <v>1</v>
      </c>
      <c r="L3356" s="255"/>
      <c r="M3356" s="256">
        <v>2.0100000000000001E-4</v>
      </c>
      <c r="N3356" s="249">
        <v>3355</v>
      </c>
    </row>
    <row r="3357" spans="1:14" x14ac:dyDescent="0.25">
      <c r="A3357" s="252" t="s">
        <v>74</v>
      </c>
      <c r="B3357" s="252" t="s">
        <v>6461</v>
      </c>
      <c r="C3357" s="253">
        <v>0</v>
      </c>
      <c r="D3357" s="252">
        <v>39792</v>
      </c>
      <c r="E3357" s="252" t="s">
        <v>1591</v>
      </c>
      <c r="F3357" s="254" t="s">
        <v>7737</v>
      </c>
      <c r="G3357" s="252" t="s">
        <v>2402</v>
      </c>
      <c r="H3357" s="252" t="s">
        <v>7778</v>
      </c>
      <c r="I3357" s="252">
        <v>5</v>
      </c>
      <c r="J3357" s="255">
        <v>1</v>
      </c>
      <c r="K3357" s="255">
        <v>1</v>
      </c>
      <c r="L3357" s="255"/>
      <c r="M3357" s="256">
        <v>5.3399999999999997E-4</v>
      </c>
      <c r="N3357" s="249">
        <v>3356</v>
      </c>
    </row>
    <row r="3358" spans="1:14" x14ac:dyDescent="0.25">
      <c r="A3358" s="252" t="s">
        <v>74</v>
      </c>
      <c r="B3358" s="252" t="s">
        <v>6461</v>
      </c>
      <c r="C3358" s="253">
        <v>0</v>
      </c>
      <c r="D3358" s="252">
        <v>39792</v>
      </c>
      <c r="E3358" s="252" t="s">
        <v>1591</v>
      </c>
      <c r="F3358" s="254" t="s">
        <v>7737</v>
      </c>
      <c r="G3358" s="252" t="s">
        <v>2403</v>
      </c>
      <c r="H3358" s="252" t="s">
        <v>7779</v>
      </c>
      <c r="I3358" s="252">
        <v>5</v>
      </c>
      <c r="J3358" s="255">
        <v>1</v>
      </c>
      <c r="K3358" s="255">
        <v>1</v>
      </c>
      <c r="L3358" s="255"/>
      <c r="M3358" s="256">
        <v>5.3399999999999997E-4</v>
      </c>
      <c r="N3358" s="249">
        <v>3357</v>
      </c>
    </row>
    <row r="3359" spans="1:14" x14ac:dyDescent="0.25">
      <c r="A3359" s="252" t="s">
        <v>74</v>
      </c>
      <c r="B3359" s="252" t="s">
        <v>6461</v>
      </c>
      <c r="C3359" s="253">
        <v>0</v>
      </c>
      <c r="D3359" s="252">
        <v>39792</v>
      </c>
      <c r="E3359" s="252" t="s">
        <v>1591</v>
      </c>
      <c r="F3359" s="254" t="s">
        <v>7737</v>
      </c>
      <c r="G3359" s="252" t="s">
        <v>4373</v>
      </c>
      <c r="H3359" s="252" t="s">
        <v>7780</v>
      </c>
      <c r="I3359" s="252">
        <v>5</v>
      </c>
      <c r="J3359" s="255">
        <v>1</v>
      </c>
      <c r="K3359" s="255">
        <v>1</v>
      </c>
      <c r="L3359" s="255"/>
      <c r="M3359" s="256">
        <v>2.0100000000000001E-4</v>
      </c>
      <c r="N3359" s="249">
        <v>3358</v>
      </c>
    </row>
    <row r="3360" spans="1:14" x14ac:dyDescent="0.25">
      <c r="A3360" s="252" t="s">
        <v>74</v>
      </c>
      <c r="B3360" s="252" t="s">
        <v>6461</v>
      </c>
      <c r="C3360" s="253">
        <v>0</v>
      </c>
      <c r="D3360" s="252">
        <v>39792</v>
      </c>
      <c r="E3360" s="252" t="s">
        <v>1591</v>
      </c>
      <c r="F3360" s="254" t="s">
        <v>7737</v>
      </c>
      <c r="G3360" s="252" t="s">
        <v>2405</v>
      </c>
      <c r="H3360" s="252" t="s">
        <v>7781</v>
      </c>
      <c r="I3360" s="252">
        <v>5</v>
      </c>
      <c r="J3360" s="255">
        <v>1</v>
      </c>
      <c r="K3360" s="255">
        <v>1</v>
      </c>
      <c r="L3360" s="255"/>
      <c r="M3360" s="256">
        <v>2.0100000000000001E-4</v>
      </c>
      <c r="N3360" s="249">
        <v>3359</v>
      </c>
    </row>
    <row r="3361" spans="1:14" x14ac:dyDescent="0.25">
      <c r="A3361" s="252" t="s">
        <v>74</v>
      </c>
      <c r="B3361" s="252" t="s">
        <v>6461</v>
      </c>
      <c r="C3361" s="253">
        <v>0</v>
      </c>
      <c r="D3361" s="252">
        <v>39792</v>
      </c>
      <c r="E3361" s="252" t="s">
        <v>1591</v>
      </c>
      <c r="F3361" s="254" t="s">
        <v>7737</v>
      </c>
      <c r="G3361" s="252" t="s">
        <v>2406</v>
      </c>
      <c r="H3361" s="252" t="s">
        <v>7782</v>
      </c>
      <c r="I3361" s="252">
        <v>5</v>
      </c>
      <c r="J3361" s="255">
        <v>1</v>
      </c>
      <c r="K3361" s="255">
        <v>1</v>
      </c>
      <c r="L3361" s="255"/>
      <c r="M3361" s="256">
        <v>5.3399999999999997E-4</v>
      </c>
      <c r="N3361" s="249">
        <v>3360</v>
      </c>
    </row>
    <row r="3362" spans="1:14" x14ac:dyDescent="0.25">
      <c r="A3362" s="252" t="s">
        <v>74</v>
      </c>
      <c r="B3362" s="252" t="s">
        <v>6461</v>
      </c>
      <c r="C3362" s="253">
        <v>0</v>
      </c>
      <c r="D3362" s="252">
        <v>39792</v>
      </c>
      <c r="E3362" s="252" t="s">
        <v>1591</v>
      </c>
      <c r="F3362" s="254" t="s">
        <v>7737</v>
      </c>
      <c r="G3362" s="252" t="s">
        <v>2407</v>
      </c>
      <c r="H3362" s="252" t="s">
        <v>7783</v>
      </c>
      <c r="I3362" s="252">
        <v>5</v>
      </c>
      <c r="J3362" s="255">
        <v>1</v>
      </c>
      <c r="K3362" s="255">
        <v>1</v>
      </c>
      <c r="L3362" s="255"/>
      <c r="M3362" s="256">
        <v>5.3399999999999997E-4</v>
      </c>
      <c r="N3362" s="249">
        <v>3361</v>
      </c>
    </row>
    <row r="3363" spans="1:14" x14ac:dyDescent="0.25">
      <c r="A3363" s="252" t="s">
        <v>74</v>
      </c>
      <c r="B3363" s="252" t="s">
        <v>6461</v>
      </c>
      <c r="C3363" s="253">
        <v>0</v>
      </c>
      <c r="D3363" s="252">
        <v>39792</v>
      </c>
      <c r="E3363" s="252" t="s">
        <v>1591</v>
      </c>
      <c r="F3363" s="254" t="s">
        <v>7737</v>
      </c>
      <c r="G3363" s="252" t="s">
        <v>4381</v>
      </c>
      <c r="H3363" s="252" t="s">
        <v>7784</v>
      </c>
      <c r="I3363" s="252">
        <v>5</v>
      </c>
      <c r="J3363" s="255">
        <v>1</v>
      </c>
      <c r="K3363" s="255">
        <v>1</v>
      </c>
      <c r="L3363" s="255"/>
      <c r="M3363" s="256">
        <v>2.0100000000000001E-4</v>
      </c>
      <c r="N3363" s="249">
        <v>3362</v>
      </c>
    </row>
    <row r="3364" spans="1:14" x14ac:dyDescent="0.25">
      <c r="A3364" s="252" t="s">
        <v>74</v>
      </c>
      <c r="B3364" s="252" t="s">
        <v>6461</v>
      </c>
      <c r="C3364" s="253">
        <v>0</v>
      </c>
      <c r="D3364" s="252">
        <v>39792</v>
      </c>
      <c r="E3364" s="252" t="s">
        <v>1591</v>
      </c>
      <c r="F3364" s="254" t="s">
        <v>7737</v>
      </c>
      <c r="G3364" s="252" t="s">
        <v>2409</v>
      </c>
      <c r="H3364" s="252" t="s">
        <v>7785</v>
      </c>
      <c r="I3364" s="252">
        <v>5</v>
      </c>
      <c r="J3364" s="255">
        <v>1</v>
      </c>
      <c r="K3364" s="255">
        <v>1</v>
      </c>
      <c r="L3364" s="255"/>
      <c r="M3364" s="256">
        <v>2.0100000000000001E-4</v>
      </c>
      <c r="N3364" s="249">
        <v>3363</v>
      </c>
    </row>
    <row r="3365" spans="1:14" x14ac:dyDescent="0.25">
      <c r="A3365" s="252" t="s">
        <v>74</v>
      </c>
      <c r="B3365" s="252" t="s">
        <v>6461</v>
      </c>
      <c r="C3365" s="253">
        <v>0</v>
      </c>
      <c r="D3365" s="252">
        <v>39792</v>
      </c>
      <c r="E3365" s="252" t="s">
        <v>1591</v>
      </c>
      <c r="F3365" s="254" t="s">
        <v>7737</v>
      </c>
      <c r="G3365" s="252" t="s">
        <v>2410</v>
      </c>
      <c r="H3365" s="252" t="s">
        <v>7786</v>
      </c>
      <c r="I3365" s="252">
        <v>5</v>
      </c>
      <c r="J3365" s="255">
        <v>1</v>
      </c>
      <c r="K3365" s="255">
        <v>1</v>
      </c>
      <c r="L3365" s="255"/>
      <c r="M3365" s="256">
        <v>5.3399999999999997E-4</v>
      </c>
      <c r="N3365" s="249">
        <v>3364</v>
      </c>
    </row>
    <row r="3366" spans="1:14" x14ac:dyDescent="0.25">
      <c r="A3366" s="252" t="s">
        <v>74</v>
      </c>
      <c r="B3366" s="252" t="s">
        <v>6461</v>
      </c>
      <c r="C3366" s="253">
        <v>0</v>
      </c>
      <c r="D3366" s="252">
        <v>39792</v>
      </c>
      <c r="E3366" s="252" t="s">
        <v>1591</v>
      </c>
      <c r="F3366" s="254" t="s">
        <v>7737</v>
      </c>
      <c r="G3366" s="252" t="s">
        <v>2411</v>
      </c>
      <c r="H3366" s="252" t="s">
        <v>7787</v>
      </c>
      <c r="I3366" s="252">
        <v>5</v>
      </c>
      <c r="J3366" s="255">
        <v>1</v>
      </c>
      <c r="K3366" s="255">
        <v>1</v>
      </c>
      <c r="L3366" s="255"/>
      <c r="M3366" s="256">
        <v>5.3399999999999997E-4</v>
      </c>
      <c r="N3366" s="249">
        <v>3365</v>
      </c>
    </row>
    <row r="3367" spans="1:14" x14ac:dyDescent="0.25">
      <c r="A3367" s="252" t="s">
        <v>74</v>
      </c>
      <c r="B3367" s="252" t="s">
        <v>6461</v>
      </c>
      <c r="C3367" s="253">
        <v>0</v>
      </c>
      <c r="D3367" s="252">
        <v>39792</v>
      </c>
      <c r="E3367" s="252" t="s">
        <v>3039</v>
      </c>
      <c r="F3367" s="254" t="s">
        <v>7737</v>
      </c>
      <c r="G3367" s="252" t="s">
        <v>4409</v>
      </c>
      <c r="H3367" s="252" t="s">
        <v>7788</v>
      </c>
      <c r="I3367" s="252">
        <v>5</v>
      </c>
      <c r="J3367" s="255">
        <v>1</v>
      </c>
      <c r="K3367" s="255">
        <v>1</v>
      </c>
      <c r="L3367" s="255"/>
      <c r="M3367" s="256">
        <v>1.4480999999999999E-2</v>
      </c>
      <c r="N3367" s="249">
        <v>3366</v>
      </c>
    </row>
    <row r="3368" spans="1:14" x14ac:dyDescent="0.25">
      <c r="A3368" s="252" t="s">
        <v>74</v>
      </c>
      <c r="B3368" s="252" t="s">
        <v>6461</v>
      </c>
      <c r="C3368" s="253">
        <v>0</v>
      </c>
      <c r="D3368" s="252">
        <v>39792</v>
      </c>
      <c r="E3368" s="252" t="s">
        <v>3039</v>
      </c>
      <c r="F3368" s="254" t="s">
        <v>7737</v>
      </c>
      <c r="G3368" s="252" t="s">
        <v>2413</v>
      </c>
      <c r="H3368" s="252" t="s">
        <v>7789</v>
      </c>
      <c r="I3368" s="252">
        <v>5</v>
      </c>
      <c r="J3368" s="255">
        <v>1</v>
      </c>
      <c r="K3368" s="255">
        <v>1</v>
      </c>
      <c r="L3368" s="255"/>
      <c r="M3368" s="256">
        <v>1.35E-4</v>
      </c>
      <c r="N3368" s="249">
        <v>3367</v>
      </c>
    </row>
    <row r="3369" spans="1:14" x14ac:dyDescent="0.25">
      <c r="A3369" s="252" t="s">
        <v>74</v>
      </c>
      <c r="B3369" s="252" t="s">
        <v>6461</v>
      </c>
      <c r="C3369" s="253">
        <v>0</v>
      </c>
      <c r="D3369" s="252">
        <v>39792</v>
      </c>
      <c r="E3369" s="252" t="s">
        <v>3039</v>
      </c>
      <c r="F3369" s="254" t="s">
        <v>7737</v>
      </c>
      <c r="G3369" s="252" t="s">
        <v>4423</v>
      </c>
      <c r="H3369" s="252" t="s">
        <v>7790</v>
      </c>
      <c r="I3369" s="252">
        <v>5</v>
      </c>
      <c r="J3369" s="255">
        <v>1</v>
      </c>
      <c r="K3369" s="255">
        <v>1</v>
      </c>
      <c r="L3369" s="255"/>
      <c r="M3369" s="256">
        <v>1.4480999999999999E-2</v>
      </c>
      <c r="N3369" s="249">
        <v>3368</v>
      </c>
    </row>
    <row r="3370" spans="1:14" x14ac:dyDescent="0.25">
      <c r="A3370" s="252" t="s">
        <v>74</v>
      </c>
      <c r="B3370" s="252" t="s">
        <v>6461</v>
      </c>
      <c r="C3370" s="253">
        <v>0</v>
      </c>
      <c r="D3370" s="252">
        <v>39792</v>
      </c>
      <c r="E3370" s="252" t="s">
        <v>3039</v>
      </c>
      <c r="F3370" s="254" t="s">
        <v>7737</v>
      </c>
      <c r="G3370" s="252" t="s">
        <v>2415</v>
      </c>
      <c r="H3370" s="252" t="s">
        <v>7791</v>
      </c>
      <c r="I3370" s="252">
        <v>5</v>
      </c>
      <c r="J3370" s="255">
        <v>1</v>
      </c>
      <c r="K3370" s="255">
        <v>1</v>
      </c>
      <c r="L3370" s="255"/>
      <c r="M3370" s="256">
        <v>1.35E-4</v>
      </c>
      <c r="N3370" s="249">
        <v>3369</v>
      </c>
    </row>
    <row r="3371" spans="1:14" x14ac:dyDescent="0.25">
      <c r="A3371" s="252" t="s">
        <v>74</v>
      </c>
      <c r="B3371" s="252" t="s">
        <v>6461</v>
      </c>
      <c r="C3371" s="253">
        <v>0</v>
      </c>
      <c r="D3371" s="252">
        <v>39792</v>
      </c>
      <c r="E3371" s="252" t="s">
        <v>1764</v>
      </c>
      <c r="F3371" s="254" t="s">
        <v>7737</v>
      </c>
      <c r="G3371" s="252" t="s">
        <v>2417</v>
      </c>
      <c r="H3371" s="252" t="s">
        <v>7792</v>
      </c>
      <c r="I3371" s="252">
        <v>3</v>
      </c>
      <c r="J3371" s="255">
        <v>1</v>
      </c>
      <c r="K3371" s="255">
        <v>1</v>
      </c>
      <c r="L3371" s="255"/>
      <c r="M3371" s="256">
        <v>8.9999999999999992E-5</v>
      </c>
      <c r="N3371" s="249">
        <v>3370</v>
      </c>
    </row>
    <row r="3372" spans="1:14" x14ac:dyDescent="0.25">
      <c r="A3372" s="252" t="s">
        <v>74</v>
      </c>
      <c r="B3372" s="252" t="s">
        <v>6461</v>
      </c>
      <c r="C3372" s="253">
        <v>0</v>
      </c>
      <c r="D3372" s="252">
        <v>39792</v>
      </c>
      <c r="E3372" s="252" t="s">
        <v>1764</v>
      </c>
      <c r="F3372" s="254" t="s">
        <v>7737</v>
      </c>
      <c r="G3372" s="252" t="s">
        <v>2418</v>
      </c>
      <c r="H3372" s="252" t="s">
        <v>7793</v>
      </c>
      <c r="I3372" s="252">
        <v>3</v>
      </c>
      <c r="J3372" s="255">
        <v>1</v>
      </c>
      <c r="K3372" s="255">
        <v>1</v>
      </c>
      <c r="L3372" s="255"/>
      <c r="M3372" s="256">
        <v>2.1480000000000002E-3</v>
      </c>
      <c r="N3372" s="249">
        <v>3371</v>
      </c>
    </row>
    <row r="3373" spans="1:14" x14ac:dyDescent="0.25">
      <c r="A3373" s="252" t="s">
        <v>74</v>
      </c>
      <c r="B3373" s="252" t="s">
        <v>6461</v>
      </c>
      <c r="C3373" s="253">
        <v>0</v>
      </c>
      <c r="D3373" s="252">
        <v>39792</v>
      </c>
      <c r="E3373" s="252" t="s">
        <v>1764</v>
      </c>
      <c r="F3373" s="254" t="s">
        <v>7737</v>
      </c>
      <c r="G3373" s="252" t="s">
        <v>3692</v>
      </c>
      <c r="H3373" s="252" t="s">
        <v>7794</v>
      </c>
      <c r="I3373" s="252">
        <v>3</v>
      </c>
      <c r="J3373" s="255">
        <v>1</v>
      </c>
      <c r="K3373" s="255">
        <v>1</v>
      </c>
      <c r="L3373" s="255"/>
      <c r="M3373" s="256">
        <v>8.9999999999999992E-5</v>
      </c>
      <c r="N3373" s="249">
        <v>3372</v>
      </c>
    </row>
    <row r="3374" spans="1:14" x14ac:dyDescent="0.25">
      <c r="A3374" s="252" t="s">
        <v>74</v>
      </c>
      <c r="B3374" s="252" t="s">
        <v>6461</v>
      </c>
      <c r="C3374" s="253">
        <v>0</v>
      </c>
      <c r="D3374" s="252">
        <v>39792</v>
      </c>
      <c r="E3374" s="252" t="s">
        <v>1764</v>
      </c>
      <c r="F3374" s="254" t="s">
        <v>7737</v>
      </c>
      <c r="G3374" s="252" t="s">
        <v>2419</v>
      </c>
      <c r="H3374" s="252" t="s">
        <v>7795</v>
      </c>
      <c r="I3374" s="252">
        <v>3</v>
      </c>
      <c r="J3374" s="255">
        <v>1</v>
      </c>
      <c r="K3374" s="255">
        <v>1</v>
      </c>
      <c r="L3374" s="255"/>
      <c r="M3374" s="256">
        <v>8.9999999999999992E-5</v>
      </c>
      <c r="N3374" s="249">
        <v>3373</v>
      </c>
    </row>
    <row r="3375" spans="1:14" x14ac:dyDescent="0.25">
      <c r="A3375" s="252" t="s">
        <v>74</v>
      </c>
      <c r="B3375" s="252" t="s">
        <v>6461</v>
      </c>
      <c r="C3375" s="253">
        <v>0</v>
      </c>
      <c r="D3375" s="252">
        <v>39792</v>
      </c>
      <c r="E3375" s="252" t="s">
        <v>1764</v>
      </c>
      <c r="F3375" s="254" t="s">
        <v>7737</v>
      </c>
      <c r="G3375" s="252" t="s">
        <v>7796</v>
      </c>
      <c r="H3375" s="252" t="s">
        <v>7797</v>
      </c>
      <c r="I3375" s="252">
        <v>3</v>
      </c>
      <c r="J3375" s="255">
        <v>1</v>
      </c>
      <c r="K3375" s="255">
        <v>1</v>
      </c>
      <c r="L3375" s="255"/>
      <c r="M3375" s="256">
        <v>4.7009999999999994E-3</v>
      </c>
      <c r="N3375" s="249">
        <v>3374</v>
      </c>
    </row>
    <row r="3376" spans="1:14" x14ac:dyDescent="0.25">
      <c r="A3376" s="252" t="s">
        <v>74</v>
      </c>
      <c r="B3376" s="252" t="s">
        <v>6461</v>
      </c>
      <c r="C3376" s="253">
        <v>0</v>
      </c>
      <c r="D3376" s="252">
        <v>39792</v>
      </c>
      <c r="E3376" s="252" t="s">
        <v>1764</v>
      </c>
      <c r="F3376" s="254" t="s">
        <v>7737</v>
      </c>
      <c r="G3376" s="252" t="s">
        <v>7798</v>
      </c>
      <c r="H3376" s="252" t="s">
        <v>7799</v>
      </c>
      <c r="I3376" s="252">
        <v>3</v>
      </c>
      <c r="J3376" s="255">
        <v>1</v>
      </c>
      <c r="K3376" s="255">
        <v>1</v>
      </c>
      <c r="L3376" s="255"/>
      <c r="M3376" s="256">
        <v>8.9999999999999992E-5</v>
      </c>
      <c r="N3376" s="249">
        <v>3375</v>
      </c>
    </row>
    <row r="3377" spans="1:14" x14ac:dyDescent="0.25">
      <c r="A3377" s="252" t="s">
        <v>74</v>
      </c>
      <c r="B3377" s="252" t="s">
        <v>6461</v>
      </c>
      <c r="C3377" s="253">
        <v>0</v>
      </c>
      <c r="D3377" s="252">
        <v>39792</v>
      </c>
      <c r="E3377" s="252" t="s">
        <v>1764</v>
      </c>
      <c r="F3377" s="254" t="s">
        <v>7737</v>
      </c>
      <c r="G3377" s="252" t="s">
        <v>4432</v>
      </c>
      <c r="H3377" s="252" t="s">
        <v>7800</v>
      </c>
      <c r="I3377" s="252">
        <v>3</v>
      </c>
      <c r="J3377" s="255">
        <v>1</v>
      </c>
      <c r="K3377" s="255">
        <v>1</v>
      </c>
      <c r="L3377" s="255"/>
      <c r="M3377" s="256">
        <v>8.9999999999999992E-5</v>
      </c>
      <c r="N3377" s="249">
        <v>3376</v>
      </c>
    </row>
    <row r="3378" spans="1:14" x14ac:dyDescent="0.25">
      <c r="A3378" s="252" t="s">
        <v>74</v>
      </c>
      <c r="B3378" s="252" t="s">
        <v>6461</v>
      </c>
      <c r="C3378" s="253">
        <v>0</v>
      </c>
      <c r="D3378" s="252">
        <v>39792</v>
      </c>
      <c r="E3378" s="252" t="s">
        <v>1764</v>
      </c>
      <c r="F3378" s="254" t="s">
        <v>7737</v>
      </c>
      <c r="G3378" s="252" t="s">
        <v>2420</v>
      </c>
      <c r="H3378" s="252" t="s">
        <v>7801</v>
      </c>
      <c r="I3378" s="252">
        <v>3</v>
      </c>
      <c r="J3378" s="255">
        <v>1</v>
      </c>
      <c r="K3378" s="255">
        <v>1</v>
      </c>
      <c r="L3378" s="255"/>
      <c r="M3378" s="256">
        <v>8.9999999999999992E-5</v>
      </c>
      <c r="N3378" s="249">
        <v>3377</v>
      </c>
    </row>
    <row r="3379" spans="1:14" x14ac:dyDescent="0.25">
      <c r="A3379" s="252" t="s">
        <v>74</v>
      </c>
      <c r="B3379" s="252" t="s">
        <v>6461</v>
      </c>
      <c r="C3379" s="253">
        <v>0</v>
      </c>
      <c r="D3379" s="252">
        <v>39792</v>
      </c>
      <c r="E3379" s="252" t="s">
        <v>1764</v>
      </c>
      <c r="F3379" s="254" t="s">
        <v>7737</v>
      </c>
      <c r="G3379" s="252" t="s">
        <v>7802</v>
      </c>
      <c r="H3379" s="252" t="s">
        <v>7803</v>
      </c>
      <c r="I3379" s="252">
        <v>3</v>
      </c>
      <c r="J3379" s="255">
        <v>1</v>
      </c>
      <c r="K3379" s="255">
        <v>1</v>
      </c>
      <c r="L3379" s="255"/>
      <c r="M3379" s="256">
        <v>2.0549999999999995E-3</v>
      </c>
      <c r="N3379" s="249">
        <v>3378</v>
      </c>
    </row>
    <row r="3380" spans="1:14" x14ac:dyDescent="0.25">
      <c r="A3380" s="252" t="s">
        <v>74</v>
      </c>
      <c r="B3380" s="252" t="s">
        <v>6461</v>
      </c>
      <c r="C3380" s="253">
        <v>0</v>
      </c>
      <c r="D3380" s="252">
        <v>39792</v>
      </c>
      <c r="E3380" s="252" t="s">
        <v>1764</v>
      </c>
      <c r="F3380" s="254" t="s">
        <v>7737</v>
      </c>
      <c r="G3380" s="252" t="s">
        <v>4434</v>
      </c>
      <c r="H3380" s="252" t="s">
        <v>7804</v>
      </c>
      <c r="I3380" s="252">
        <v>3</v>
      </c>
      <c r="J3380" s="255">
        <v>1</v>
      </c>
      <c r="K3380" s="255">
        <v>1</v>
      </c>
      <c r="L3380" s="255"/>
      <c r="M3380" s="256">
        <v>8.9999999999999992E-5</v>
      </c>
      <c r="N3380" s="249">
        <v>3379</v>
      </c>
    </row>
    <row r="3381" spans="1:14" x14ac:dyDescent="0.25">
      <c r="A3381" s="252" t="s">
        <v>74</v>
      </c>
      <c r="B3381" s="252" t="s">
        <v>6461</v>
      </c>
      <c r="C3381" s="253">
        <v>0</v>
      </c>
      <c r="D3381" s="252">
        <v>39792</v>
      </c>
      <c r="E3381" s="252" t="s">
        <v>1764</v>
      </c>
      <c r="F3381" s="254" t="s">
        <v>7737</v>
      </c>
      <c r="G3381" s="252" t="s">
        <v>2421</v>
      </c>
      <c r="H3381" s="252" t="s">
        <v>7805</v>
      </c>
      <c r="I3381" s="252">
        <v>3</v>
      </c>
      <c r="J3381" s="255">
        <v>1</v>
      </c>
      <c r="K3381" s="255">
        <v>1</v>
      </c>
      <c r="L3381" s="255"/>
      <c r="M3381" s="256">
        <v>8.9999999999999992E-5</v>
      </c>
      <c r="N3381" s="249">
        <v>3380</v>
      </c>
    </row>
    <row r="3382" spans="1:14" x14ac:dyDescent="0.25">
      <c r="A3382" s="252" t="s">
        <v>74</v>
      </c>
      <c r="B3382" s="252" t="s">
        <v>6461</v>
      </c>
      <c r="C3382" s="253">
        <v>0</v>
      </c>
      <c r="D3382" s="252">
        <v>39792</v>
      </c>
      <c r="E3382" s="252" t="s">
        <v>1764</v>
      </c>
      <c r="F3382" s="254" t="s">
        <v>7737</v>
      </c>
      <c r="G3382" s="252" t="s">
        <v>7806</v>
      </c>
      <c r="H3382" s="252" t="s">
        <v>7807</v>
      </c>
      <c r="I3382" s="252">
        <v>3</v>
      </c>
      <c r="J3382" s="255">
        <v>1</v>
      </c>
      <c r="K3382" s="255">
        <v>1</v>
      </c>
      <c r="L3382" s="255"/>
      <c r="M3382" s="256">
        <v>1.8389999999999999E-3</v>
      </c>
      <c r="N3382" s="249">
        <v>3381</v>
      </c>
    </row>
    <row r="3383" spans="1:14" x14ac:dyDescent="0.25">
      <c r="A3383" s="252" t="s">
        <v>74</v>
      </c>
      <c r="B3383" s="252" t="s">
        <v>6461</v>
      </c>
      <c r="C3383" s="253">
        <v>0</v>
      </c>
      <c r="D3383" s="252">
        <v>39792</v>
      </c>
      <c r="E3383" s="252" t="s">
        <v>933</v>
      </c>
      <c r="F3383" s="254">
        <v>10410</v>
      </c>
      <c r="G3383" s="252">
        <v>10410</v>
      </c>
      <c r="H3383" s="252" t="s">
        <v>7808</v>
      </c>
      <c r="I3383" s="252">
        <v>5</v>
      </c>
      <c r="J3383" s="255">
        <v>1</v>
      </c>
      <c r="K3383" s="255">
        <v>1</v>
      </c>
      <c r="L3383" s="255"/>
      <c r="M3383" s="256">
        <v>1.8389999999999999E-3</v>
      </c>
      <c r="N3383" s="249">
        <v>3382</v>
      </c>
    </row>
    <row r="3384" spans="1:14" x14ac:dyDescent="0.25">
      <c r="A3384" s="252" t="s">
        <v>74</v>
      </c>
      <c r="B3384" s="252" t="s">
        <v>6461</v>
      </c>
      <c r="C3384" s="253">
        <v>0</v>
      </c>
      <c r="D3384" s="252">
        <v>39792</v>
      </c>
      <c r="E3384" s="252" t="s">
        <v>933</v>
      </c>
      <c r="F3384" s="254">
        <v>10411</v>
      </c>
      <c r="G3384" s="252">
        <v>10411</v>
      </c>
      <c r="H3384" s="252" t="s">
        <v>7809</v>
      </c>
      <c r="I3384" s="252">
        <v>5</v>
      </c>
      <c r="J3384" s="255">
        <v>1</v>
      </c>
      <c r="K3384" s="255">
        <v>1</v>
      </c>
      <c r="L3384" s="255"/>
      <c r="M3384" s="256">
        <v>1.8389999999999999E-3</v>
      </c>
      <c r="N3384" s="249">
        <v>3383</v>
      </c>
    </row>
    <row r="3385" spans="1:14" x14ac:dyDescent="0.25">
      <c r="A3385" s="252" t="s">
        <v>74</v>
      </c>
      <c r="B3385" s="252" t="s">
        <v>6461</v>
      </c>
      <c r="C3385" s="253">
        <v>0</v>
      </c>
      <c r="D3385" s="252">
        <v>39792</v>
      </c>
      <c r="E3385" s="252" t="s">
        <v>933</v>
      </c>
      <c r="F3385" s="254">
        <v>10412</v>
      </c>
      <c r="G3385" s="252">
        <v>10412</v>
      </c>
      <c r="H3385" s="252" t="s">
        <v>7810</v>
      </c>
      <c r="I3385" s="252">
        <v>5</v>
      </c>
      <c r="J3385" s="255">
        <v>1</v>
      </c>
      <c r="K3385" s="255">
        <v>1</v>
      </c>
      <c r="L3385" s="255"/>
      <c r="M3385" s="256">
        <v>1.8389999999999999E-3</v>
      </c>
      <c r="N3385" s="249">
        <v>3384</v>
      </c>
    </row>
    <row r="3386" spans="1:14" x14ac:dyDescent="0.25">
      <c r="A3386" s="252" t="s">
        <v>74</v>
      </c>
      <c r="B3386" s="252" t="s">
        <v>6461</v>
      </c>
      <c r="C3386" s="253">
        <v>0</v>
      </c>
      <c r="D3386" s="252">
        <v>39792</v>
      </c>
      <c r="E3386" s="252" t="s">
        <v>933</v>
      </c>
      <c r="F3386" s="254">
        <v>10413</v>
      </c>
      <c r="G3386" s="252">
        <v>10413</v>
      </c>
      <c r="H3386" s="252" t="s">
        <v>7811</v>
      </c>
      <c r="I3386" s="252">
        <v>5</v>
      </c>
      <c r="J3386" s="255">
        <v>1</v>
      </c>
      <c r="K3386" s="255">
        <v>1</v>
      </c>
      <c r="L3386" s="255"/>
      <c r="M3386" s="256">
        <v>1.8389999999999999E-3</v>
      </c>
      <c r="N3386" s="249">
        <v>3385</v>
      </c>
    </row>
    <row r="3387" spans="1:14" x14ac:dyDescent="0.25">
      <c r="A3387" s="252" t="s">
        <v>74</v>
      </c>
      <c r="B3387" s="252" t="s">
        <v>6461</v>
      </c>
      <c r="C3387" s="253">
        <v>0</v>
      </c>
      <c r="D3387" s="252">
        <v>39792</v>
      </c>
      <c r="E3387" s="252" t="s">
        <v>933</v>
      </c>
      <c r="F3387" s="254">
        <v>10414</v>
      </c>
      <c r="G3387" s="252">
        <v>10414</v>
      </c>
      <c r="H3387" s="252" t="s">
        <v>7812</v>
      </c>
      <c r="I3387" s="252">
        <v>5</v>
      </c>
      <c r="J3387" s="255">
        <v>1</v>
      </c>
      <c r="K3387" s="255">
        <v>1</v>
      </c>
      <c r="L3387" s="255"/>
      <c r="M3387" s="256">
        <v>1.8389999999999999E-3</v>
      </c>
      <c r="N3387" s="249">
        <v>3386</v>
      </c>
    </row>
    <row r="3388" spans="1:14" x14ac:dyDescent="0.25">
      <c r="A3388" s="252" t="s">
        <v>74</v>
      </c>
      <c r="B3388" s="252" t="s">
        <v>6461</v>
      </c>
      <c r="C3388" s="253">
        <v>0</v>
      </c>
      <c r="D3388" s="252">
        <v>39792</v>
      </c>
      <c r="E3388" s="252" t="s">
        <v>933</v>
      </c>
      <c r="F3388" s="254">
        <v>10415</v>
      </c>
      <c r="G3388" s="252">
        <v>10415</v>
      </c>
      <c r="H3388" s="252" t="s">
        <v>7813</v>
      </c>
      <c r="I3388" s="252">
        <v>5</v>
      </c>
      <c r="J3388" s="255">
        <v>1</v>
      </c>
      <c r="K3388" s="255">
        <v>1</v>
      </c>
      <c r="L3388" s="255"/>
      <c r="M3388" s="256">
        <v>1.8240000000000001E-3</v>
      </c>
      <c r="N3388" s="249">
        <v>3387</v>
      </c>
    </row>
    <row r="3389" spans="1:14" x14ac:dyDescent="0.25">
      <c r="A3389" s="252" t="s">
        <v>74</v>
      </c>
      <c r="B3389" s="252" t="s">
        <v>6461</v>
      </c>
      <c r="C3389" s="253">
        <v>0</v>
      </c>
      <c r="D3389" s="252">
        <v>39792</v>
      </c>
      <c r="E3389" s="252" t="s">
        <v>933</v>
      </c>
      <c r="F3389" s="254">
        <v>10416</v>
      </c>
      <c r="G3389" s="252">
        <v>10416</v>
      </c>
      <c r="H3389" s="252" t="s">
        <v>7814</v>
      </c>
      <c r="I3389" s="252">
        <v>5</v>
      </c>
      <c r="J3389" s="255">
        <v>1</v>
      </c>
      <c r="K3389" s="255">
        <v>1</v>
      </c>
      <c r="L3389" s="255"/>
      <c r="M3389" s="256">
        <v>1.8240000000000001E-3</v>
      </c>
      <c r="N3389" s="249">
        <v>3388</v>
      </c>
    </row>
    <row r="3390" spans="1:14" x14ac:dyDescent="0.25">
      <c r="A3390" s="252" t="s">
        <v>74</v>
      </c>
      <c r="B3390" s="252" t="s">
        <v>6461</v>
      </c>
      <c r="C3390" s="253">
        <v>0</v>
      </c>
      <c r="D3390" s="252">
        <v>39792</v>
      </c>
      <c r="E3390" s="252" t="s">
        <v>933</v>
      </c>
      <c r="F3390" s="254">
        <v>10417</v>
      </c>
      <c r="G3390" s="252">
        <v>10417</v>
      </c>
      <c r="H3390" s="252" t="s">
        <v>7815</v>
      </c>
      <c r="I3390" s="252">
        <v>5</v>
      </c>
      <c r="J3390" s="255">
        <v>1</v>
      </c>
      <c r="K3390" s="255">
        <v>1</v>
      </c>
      <c r="L3390" s="255"/>
      <c r="M3390" s="256">
        <v>1.8240000000000001E-3</v>
      </c>
      <c r="N3390" s="249">
        <v>3389</v>
      </c>
    </row>
    <row r="3391" spans="1:14" x14ac:dyDescent="0.25">
      <c r="A3391" s="252" t="s">
        <v>74</v>
      </c>
      <c r="B3391" s="252" t="s">
        <v>6461</v>
      </c>
      <c r="C3391" s="253">
        <v>0</v>
      </c>
      <c r="D3391" s="252">
        <v>39792</v>
      </c>
      <c r="E3391" s="252" t="s">
        <v>933</v>
      </c>
      <c r="F3391" s="254">
        <v>10418</v>
      </c>
      <c r="G3391" s="252">
        <v>10418</v>
      </c>
      <c r="H3391" s="252" t="s">
        <v>7816</v>
      </c>
      <c r="I3391" s="252">
        <v>5</v>
      </c>
      <c r="J3391" s="255">
        <v>1</v>
      </c>
      <c r="K3391" s="255">
        <v>1</v>
      </c>
      <c r="L3391" s="255"/>
      <c r="M3391" s="256">
        <v>1.8240000000000001E-3</v>
      </c>
      <c r="N3391" s="249">
        <v>3390</v>
      </c>
    </row>
    <row r="3392" spans="1:14" x14ac:dyDescent="0.25">
      <c r="A3392" s="252" t="s">
        <v>74</v>
      </c>
      <c r="B3392" s="252" t="s">
        <v>6461</v>
      </c>
      <c r="C3392" s="253">
        <v>0</v>
      </c>
      <c r="D3392" s="252">
        <v>39792</v>
      </c>
      <c r="E3392" s="252" t="s">
        <v>933</v>
      </c>
      <c r="F3392" s="254">
        <v>10419</v>
      </c>
      <c r="G3392" s="252">
        <v>10419</v>
      </c>
      <c r="H3392" s="252" t="s">
        <v>7817</v>
      </c>
      <c r="I3392" s="252">
        <v>5</v>
      </c>
      <c r="J3392" s="255">
        <v>1</v>
      </c>
      <c r="K3392" s="255">
        <v>1</v>
      </c>
      <c r="L3392" s="255"/>
      <c r="M3392" s="256">
        <v>1.8240000000000001E-3</v>
      </c>
      <c r="N3392" s="249">
        <v>3391</v>
      </c>
    </row>
    <row r="3393" spans="1:14" x14ac:dyDescent="0.25">
      <c r="A3393" s="252" t="s">
        <v>74</v>
      </c>
      <c r="B3393" s="252" t="s">
        <v>6461</v>
      </c>
      <c r="C3393" s="253">
        <v>0</v>
      </c>
      <c r="D3393" s="252">
        <v>39792</v>
      </c>
      <c r="E3393" s="252" t="s">
        <v>933</v>
      </c>
      <c r="F3393" s="254">
        <v>10420</v>
      </c>
      <c r="G3393" s="252">
        <v>10420</v>
      </c>
      <c r="H3393" s="252" t="s">
        <v>7818</v>
      </c>
      <c r="I3393" s="252">
        <v>5</v>
      </c>
      <c r="J3393" s="255">
        <v>1</v>
      </c>
      <c r="K3393" s="255">
        <v>1</v>
      </c>
      <c r="L3393" s="255"/>
      <c r="M3393" s="256">
        <v>1.8389999999999999E-3</v>
      </c>
      <c r="N3393" s="249">
        <v>3392</v>
      </c>
    </row>
    <row r="3394" spans="1:14" x14ac:dyDescent="0.25">
      <c r="A3394" s="252" t="s">
        <v>74</v>
      </c>
      <c r="B3394" s="252" t="s">
        <v>6461</v>
      </c>
      <c r="C3394" s="253">
        <v>0</v>
      </c>
      <c r="D3394" s="252">
        <v>39792</v>
      </c>
      <c r="E3394" s="252" t="s">
        <v>933</v>
      </c>
      <c r="F3394" s="254">
        <v>10421</v>
      </c>
      <c r="G3394" s="252">
        <v>10421</v>
      </c>
      <c r="H3394" s="252" t="s">
        <v>7819</v>
      </c>
      <c r="I3394" s="252">
        <v>5</v>
      </c>
      <c r="J3394" s="255">
        <v>1</v>
      </c>
      <c r="K3394" s="255">
        <v>1</v>
      </c>
      <c r="L3394" s="255"/>
      <c r="M3394" s="256">
        <v>1.761E-3</v>
      </c>
      <c r="N3394" s="249">
        <v>3393</v>
      </c>
    </row>
    <row r="3395" spans="1:14" x14ac:dyDescent="0.25">
      <c r="A3395" s="252" t="s">
        <v>74</v>
      </c>
      <c r="B3395" s="252" t="s">
        <v>6461</v>
      </c>
      <c r="C3395" s="253">
        <v>0</v>
      </c>
      <c r="D3395" s="252">
        <v>39792</v>
      </c>
      <c r="E3395" s="252" t="s">
        <v>933</v>
      </c>
      <c r="F3395" s="254">
        <v>10422</v>
      </c>
      <c r="G3395" s="252">
        <v>10422</v>
      </c>
      <c r="H3395" s="252" t="s">
        <v>7820</v>
      </c>
      <c r="I3395" s="252">
        <v>5</v>
      </c>
      <c r="J3395" s="255">
        <v>1</v>
      </c>
      <c r="K3395" s="255">
        <v>1</v>
      </c>
      <c r="L3395" s="255"/>
      <c r="M3395" s="256">
        <v>1.758E-3</v>
      </c>
      <c r="N3395" s="249">
        <v>3394</v>
      </c>
    </row>
    <row r="3396" spans="1:14" x14ac:dyDescent="0.25">
      <c r="A3396" s="252" t="s">
        <v>74</v>
      </c>
      <c r="B3396" s="252" t="s">
        <v>6461</v>
      </c>
      <c r="C3396" s="253">
        <v>0</v>
      </c>
      <c r="D3396" s="252">
        <v>39792</v>
      </c>
      <c r="E3396" s="252" t="s">
        <v>933</v>
      </c>
      <c r="F3396" s="254">
        <v>10423</v>
      </c>
      <c r="G3396" s="252">
        <v>10423</v>
      </c>
      <c r="H3396" s="252" t="s">
        <v>7821</v>
      </c>
      <c r="I3396" s="252">
        <v>5</v>
      </c>
      <c r="J3396" s="255">
        <v>1</v>
      </c>
      <c r="K3396" s="255">
        <v>1</v>
      </c>
      <c r="L3396" s="255"/>
      <c r="M3396" s="256">
        <v>1.8389999999999999E-3</v>
      </c>
      <c r="N3396" s="249">
        <v>3395</v>
      </c>
    </row>
    <row r="3397" spans="1:14" x14ac:dyDescent="0.25">
      <c r="A3397" s="252" t="s">
        <v>74</v>
      </c>
      <c r="B3397" s="252" t="s">
        <v>6461</v>
      </c>
      <c r="C3397" s="253">
        <v>0</v>
      </c>
      <c r="D3397" s="252">
        <v>39792</v>
      </c>
      <c r="E3397" s="252" t="s">
        <v>933</v>
      </c>
      <c r="F3397" s="254">
        <v>10424</v>
      </c>
      <c r="G3397" s="252">
        <v>10424</v>
      </c>
      <c r="H3397" s="252" t="s">
        <v>7822</v>
      </c>
      <c r="I3397" s="252">
        <v>5</v>
      </c>
      <c r="J3397" s="255">
        <v>1</v>
      </c>
      <c r="K3397" s="255">
        <v>1</v>
      </c>
      <c r="L3397" s="255"/>
      <c r="M3397" s="256">
        <v>1.8389999999999999E-3</v>
      </c>
      <c r="N3397" s="249">
        <v>3396</v>
      </c>
    </row>
    <row r="3398" spans="1:14" x14ac:dyDescent="0.25">
      <c r="A3398" s="252" t="s">
        <v>74</v>
      </c>
      <c r="B3398" s="252" t="s">
        <v>6461</v>
      </c>
      <c r="C3398" s="253">
        <v>0</v>
      </c>
      <c r="D3398" s="252">
        <v>39792</v>
      </c>
      <c r="E3398" s="252" t="s">
        <v>933</v>
      </c>
      <c r="F3398" s="254">
        <v>10425</v>
      </c>
      <c r="G3398" s="252">
        <v>10425</v>
      </c>
      <c r="H3398" s="252" t="s">
        <v>7823</v>
      </c>
      <c r="I3398" s="252">
        <v>5</v>
      </c>
      <c r="J3398" s="255">
        <v>1</v>
      </c>
      <c r="K3398" s="255">
        <v>1</v>
      </c>
      <c r="L3398" s="255"/>
      <c r="M3398" s="256">
        <v>1.761E-3</v>
      </c>
      <c r="N3398" s="249">
        <v>3397</v>
      </c>
    </row>
    <row r="3399" spans="1:14" x14ac:dyDescent="0.25">
      <c r="A3399" s="252" t="s">
        <v>74</v>
      </c>
      <c r="B3399" s="252" t="s">
        <v>6461</v>
      </c>
      <c r="C3399" s="253">
        <v>0</v>
      </c>
      <c r="D3399" s="252">
        <v>39792</v>
      </c>
      <c r="E3399" s="252" t="s">
        <v>933</v>
      </c>
      <c r="F3399" s="254">
        <v>10426</v>
      </c>
      <c r="G3399" s="252">
        <v>10426</v>
      </c>
      <c r="H3399" s="252" t="s">
        <v>7824</v>
      </c>
      <c r="I3399" s="252">
        <v>5</v>
      </c>
      <c r="J3399" s="255">
        <v>1</v>
      </c>
      <c r="K3399" s="255">
        <v>1</v>
      </c>
      <c r="L3399" s="255"/>
      <c r="M3399" s="256">
        <v>1.758E-3</v>
      </c>
      <c r="N3399" s="249">
        <v>3398</v>
      </c>
    </row>
    <row r="3400" spans="1:14" x14ac:dyDescent="0.25">
      <c r="A3400" s="252" t="s">
        <v>74</v>
      </c>
      <c r="B3400" s="252" t="s">
        <v>6461</v>
      </c>
      <c r="C3400" s="253">
        <v>0</v>
      </c>
      <c r="D3400" s="252">
        <v>39792</v>
      </c>
      <c r="E3400" s="252" t="s">
        <v>933</v>
      </c>
      <c r="F3400" s="254">
        <v>10427</v>
      </c>
      <c r="G3400" s="252">
        <v>10427</v>
      </c>
      <c r="H3400" s="252" t="s">
        <v>7825</v>
      </c>
      <c r="I3400" s="252">
        <v>5</v>
      </c>
      <c r="J3400" s="255">
        <v>1</v>
      </c>
      <c r="K3400" s="255">
        <v>1</v>
      </c>
      <c r="L3400" s="255"/>
      <c r="M3400" s="256">
        <v>1.761E-3</v>
      </c>
      <c r="N3400" s="249">
        <v>3399</v>
      </c>
    </row>
    <row r="3401" spans="1:14" x14ac:dyDescent="0.25">
      <c r="A3401" s="252" t="s">
        <v>74</v>
      </c>
      <c r="B3401" s="252" t="s">
        <v>6461</v>
      </c>
      <c r="C3401" s="253">
        <v>0</v>
      </c>
      <c r="D3401" s="252">
        <v>39792</v>
      </c>
      <c r="E3401" s="252" t="s">
        <v>933</v>
      </c>
      <c r="F3401" s="254">
        <v>10428</v>
      </c>
      <c r="G3401" s="252">
        <v>10428</v>
      </c>
      <c r="H3401" s="252" t="s">
        <v>7826</v>
      </c>
      <c r="I3401" s="252">
        <v>5</v>
      </c>
      <c r="J3401" s="255">
        <v>1</v>
      </c>
      <c r="K3401" s="255">
        <v>1</v>
      </c>
      <c r="L3401" s="255"/>
      <c r="M3401" s="256">
        <v>1.761E-3</v>
      </c>
      <c r="N3401" s="249">
        <v>3400</v>
      </c>
    </row>
    <row r="3402" spans="1:14" x14ac:dyDescent="0.25">
      <c r="A3402" s="252" t="s">
        <v>74</v>
      </c>
      <c r="B3402" s="252" t="s">
        <v>6461</v>
      </c>
      <c r="C3402" s="253">
        <v>0</v>
      </c>
      <c r="D3402" s="252">
        <v>39792</v>
      </c>
      <c r="E3402" s="252" t="s">
        <v>933</v>
      </c>
      <c r="F3402" s="254">
        <v>10429</v>
      </c>
      <c r="G3402" s="252">
        <v>10429</v>
      </c>
      <c r="H3402" s="252" t="s">
        <v>7827</v>
      </c>
      <c r="I3402" s="252">
        <v>5</v>
      </c>
      <c r="J3402" s="255">
        <v>1</v>
      </c>
      <c r="K3402" s="255">
        <v>1</v>
      </c>
      <c r="L3402" s="255"/>
      <c r="M3402" s="256">
        <v>1.761E-3</v>
      </c>
      <c r="N3402" s="249">
        <v>3401</v>
      </c>
    </row>
    <row r="3403" spans="1:14" x14ac:dyDescent="0.25">
      <c r="A3403" s="252" t="s">
        <v>74</v>
      </c>
      <c r="B3403" s="252" t="s">
        <v>6461</v>
      </c>
      <c r="C3403" s="253">
        <v>0</v>
      </c>
      <c r="D3403" s="252">
        <v>39792</v>
      </c>
      <c r="E3403" s="252" t="s">
        <v>933</v>
      </c>
      <c r="F3403" s="254">
        <v>10430</v>
      </c>
      <c r="G3403" s="252">
        <v>10430</v>
      </c>
      <c r="H3403" s="252" t="s">
        <v>7828</v>
      </c>
      <c r="I3403" s="252">
        <v>5</v>
      </c>
      <c r="J3403" s="255">
        <v>1</v>
      </c>
      <c r="K3403" s="255">
        <v>1</v>
      </c>
      <c r="L3403" s="255"/>
      <c r="M3403" s="256">
        <v>1.8389999999999999E-3</v>
      </c>
      <c r="N3403" s="249">
        <v>3402</v>
      </c>
    </row>
    <row r="3404" spans="1:14" x14ac:dyDescent="0.25">
      <c r="A3404" s="252" t="s">
        <v>74</v>
      </c>
      <c r="B3404" s="252" t="s">
        <v>6461</v>
      </c>
      <c r="C3404" s="253">
        <v>0</v>
      </c>
      <c r="D3404" s="252">
        <v>39792</v>
      </c>
      <c r="E3404" s="252" t="s">
        <v>933</v>
      </c>
      <c r="F3404" s="254">
        <v>10431</v>
      </c>
      <c r="G3404" s="252">
        <v>10431</v>
      </c>
      <c r="H3404" s="252" t="s">
        <v>7829</v>
      </c>
      <c r="I3404" s="252">
        <v>5</v>
      </c>
      <c r="J3404" s="255">
        <v>1</v>
      </c>
      <c r="K3404" s="255">
        <v>1</v>
      </c>
      <c r="L3404" s="255"/>
      <c r="M3404" s="256">
        <v>1.8389999999999999E-3</v>
      </c>
      <c r="N3404" s="249">
        <v>3403</v>
      </c>
    </row>
    <row r="3405" spans="1:14" x14ac:dyDescent="0.25">
      <c r="A3405" s="252" t="s">
        <v>74</v>
      </c>
      <c r="B3405" s="252" t="s">
        <v>6461</v>
      </c>
      <c r="C3405" s="253">
        <v>0</v>
      </c>
      <c r="D3405" s="252">
        <v>39792</v>
      </c>
      <c r="E3405" s="252" t="s">
        <v>3039</v>
      </c>
      <c r="F3405" s="254" t="s">
        <v>6462</v>
      </c>
      <c r="G3405" s="252" t="s">
        <v>7830</v>
      </c>
      <c r="H3405" s="252" t="s">
        <v>7831</v>
      </c>
      <c r="I3405" s="252">
        <v>5</v>
      </c>
      <c r="J3405" s="255">
        <v>1</v>
      </c>
      <c r="K3405" s="255">
        <v>1</v>
      </c>
      <c r="L3405" s="255"/>
      <c r="M3405" s="256">
        <v>1.2764999999999999E-2</v>
      </c>
      <c r="N3405" s="249">
        <v>3404</v>
      </c>
    </row>
    <row r="3406" spans="1:14" x14ac:dyDescent="0.25">
      <c r="A3406" s="252" t="s">
        <v>74</v>
      </c>
      <c r="B3406" s="252" t="s">
        <v>6461</v>
      </c>
      <c r="C3406" s="253">
        <v>0</v>
      </c>
      <c r="D3406" s="252">
        <v>39792</v>
      </c>
      <c r="E3406" s="252" t="s">
        <v>3039</v>
      </c>
      <c r="F3406" s="254" t="s">
        <v>6462</v>
      </c>
      <c r="G3406" s="252" t="s">
        <v>7832</v>
      </c>
      <c r="H3406" s="252" t="s">
        <v>7833</v>
      </c>
      <c r="I3406" s="252">
        <v>5</v>
      </c>
      <c r="J3406" s="255">
        <v>1</v>
      </c>
      <c r="K3406" s="255">
        <v>1</v>
      </c>
      <c r="L3406" s="255"/>
      <c r="M3406" s="256">
        <v>1.35E-4</v>
      </c>
      <c r="N3406" s="249">
        <v>3405</v>
      </c>
    </row>
    <row r="3407" spans="1:14" x14ac:dyDescent="0.25">
      <c r="A3407" s="252" t="s">
        <v>74</v>
      </c>
      <c r="B3407" s="252" t="s">
        <v>6461</v>
      </c>
      <c r="C3407" s="253">
        <v>0</v>
      </c>
      <c r="D3407" s="252">
        <v>39792</v>
      </c>
      <c r="E3407" s="252" t="s">
        <v>3039</v>
      </c>
      <c r="F3407" s="254" t="s">
        <v>6462</v>
      </c>
      <c r="G3407" s="252" t="s">
        <v>7834</v>
      </c>
      <c r="H3407" s="252" t="s">
        <v>7835</v>
      </c>
      <c r="I3407" s="252">
        <v>5</v>
      </c>
      <c r="J3407" s="255">
        <v>1</v>
      </c>
      <c r="K3407" s="255">
        <v>1</v>
      </c>
      <c r="L3407" s="255"/>
      <c r="M3407" s="256">
        <v>1.35E-4</v>
      </c>
      <c r="N3407" s="249">
        <v>3406</v>
      </c>
    </row>
    <row r="3408" spans="1:14" x14ac:dyDescent="0.25">
      <c r="A3408" s="252" t="s">
        <v>74</v>
      </c>
      <c r="B3408" s="252" t="s">
        <v>6461</v>
      </c>
      <c r="C3408" s="253">
        <v>0</v>
      </c>
      <c r="D3408" s="252">
        <v>39792</v>
      </c>
      <c r="E3408" s="252" t="s">
        <v>3039</v>
      </c>
      <c r="F3408" s="254" t="s">
        <v>6462</v>
      </c>
      <c r="G3408" s="252" t="s">
        <v>7836</v>
      </c>
      <c r="H3408" s="252" t="s">
        <v>7837</v>
      </c>
      <c r="I3408" s="252">
        <v>5</v>
      </c>
      <c r="J3408" s="255">
        <v>1</v>
      </c>
      <c r="K3408" s="255">
        <v>1</v>
      </c>
      <c r="L3408" s="255"/>
      <c r="M3408" s="256">
        <v>1.2089999999999998E-2</v>
      </c>
      <c r="N3408" s="249">
        <v>3407</v>
      </c>
    </row>
    <row r="3409" spans="1:14" x14ac:dyDescent="0.25">
      <c r="A3409" s="252" t="s">
        <v>74</v>
      </c>
      <c r="B3409" s="252" t="s">
        <v>6461</v>
      </c>
      <c r="C3409" s="253">
        <v>0</v>
      </c>
      <c r="D3409" s="252">
        <v>39792</v>
      </c>
      <c r="E3409" s="252" t="s">
        <v>3039</v>
      </c>
      <c r="F3409" s="254" t="s">
        <v>6462</v>
      </c>
      <c r="G3409" s="252" t="s">
        <v>7838</v>
      </c>
      <c r="H3409" s="252" t="s">
        <v>7839</v>
      </c>
      <c r="I3409" s="252">
        <v>5</v>
      </c>
      <c r="J3409" s="255">
        <v>1</v>
      </c>
      <c r="K3409" s="255">
        <v>1</v>
      </c>
      <c r="L3409" s="255"/>
      <c r="M3409" s="256">
        <v>1.35E-4</v>
      </c>
      <c r="N3409" s="249">
        <v>3408</v>
      </c>
    </row>
    <row r="3410" spans="1:14" x14ac:dyDescent="0.25">
      <c r="A3410" s="252" t="s">
        <v>74</v>
      </c>
      <c r="B3410" s="252" t="s">
        <v>6461</v>
      </c>
      <c r="C3410" s="253">
        <v>0</v>
      </c>
      <c r="D3410" s="252">
        <v>39792</v>
      </c>
      <c r="E3410" s="252" t="s">
        <v>3039</v>
      </c>
      <c r="F3410" s="254" t="s">
        <v>6462</v>
      </c>
      <c r="G3410" s="252" t="s">
        <v>7840</v>
      </c>
      <c r="H3410" s="252" t="s">
        <v>7841</v>
      </c>
      <c r="I3410" s="252">
        <v>5</v>
      </c>
      <c r="J3410" s="255">
        <v>1</v>
      </c>
      <c r="K3410" s="255">
        <v>1</v>
      </c>
      <c r="L3410" s="255"/>
      <c r="M3410" s="256">
        <v>1.2089999999999998E-2</v>
      </c>
      <c r="N3410" s="249">
        <v>3409</v>
      </c>
    </row>
    <row r="3411" spans="1:14" x14ac:dyDescent="0.25">
      <c r="A3411" s="252" t="s">
        <v>74</v>
      </c>
      <c r="B3411" s="252" t="s">
        <v>6461</v>
      </c>
      <c r="C3411" s="253">
        <v>0</v>
      </c>
      <c r="D3411" s="252">
        <v>39792</v>
      </c>
      <c r="E3411" s="252" t="s">
        <v>3039</v>
      </c>
      <c r="F3411" s="254" t="s">
        <v>6462</v>
      </c>
      <c r="G3411" s="252" t="s">
        <v>2481</v>
      </c>
      <c r="H3411" s="252" t="s">
        <v>7842</v>
      </c>
      <c r="I3411" s="252">
        <v>5</v>
      </c>
      <c r="J3411" s="255">
        <v>1</v>
      </c>
      <c r="K3411" s="255">
        <v>1</v>
      </c>
      <c r="L3411" s="255"/>
      <c r="M3411" s="256">
        <v>3.0059999999999996E-3</v>
      </c>
      <c r="N3411" s="249">
        <v>3410</v>
      </c>
    </row>
    <row r="3412" spans="1:14" x14ac:dyDescent="0.25">
      <c r="A3412" s="252" t="s">
        <v>74</v>
      </c>
      <c r="B3412" s="252" t="s">
        <v>6461</v>
      </c>
      <c r="C3412" s="253">
        <v>0</v>
      </c>
      <c r="D3412" s="252">
        <v>39792</v>
      </c>
      <c r="E3412" s="252" t="s">
        <v>3039</v>
      </c>
      <c r="F3412" s="254" t="s">
        <v>6462</v>
      </c>
      <c r="G3412" s="252" t="s">
        <v>2483</v>
      </c>
      <c r="H3412" s="252" t="s">
        <v>7843</v>
      </c>
      <c r="I3412" s="252">
        <v>5</v>
      </c>
      <c r="J3412" s="255">
        <v>1</v>
      </c>
      <c r="K3412" s="255">
        <v>1</v>
      </c>
      <c r="L3412" s="255"/>
      <c r="M3412" s="256">
        <v>1.35E-4</v>
      </c>
      <c r="N3412" s="249">
        <v>3411</v>
      </c>
    </row>
    <row r="3413" spans="1:14" x14ac:dyDescent="0.25">
      <c r="A3413" s="252" t="s">
        <v>74</v>
      </c>
      <c r="B3413" s="252" t="s">
        <v>6461</v>
      </c>
      <c r="C3413" s="253">
        <v>0</v>
      </c>
      <c r="D3413" s="252">
        <v>39792</v>
      </c>
      <c r="E3413" s="252" t="s">
        <v>3039</v>
      </c>
      <c r="F3413" s="254" t="s">
        <v>6462</v>
      </c>
      <c r="G3413" s="252" t="s">
        <v>2506</v>
      </c>
      <c r="H3413" s="252" t="s">
        <v>7844</v>
      </c>
      <c r="I3413" s="252">
        <v>5</v>
      </c>
      <c r="J3413" s="255">
        <v>1</v>
      </c>
      <c r="K3413" s="255">
        <v>1</v>
      </c>
      <c r="L3413" s="255"/>
      <c r="M3413" s="256">
        <v>5.9909999999999989E-3</v>
      </c>
      <c r="N3413" s="249">
        <v>3412</v>
      </c>
    </row>
    <row r="3414" spans="1:14" x14ac:dyDescent="0.25">
      <c r="A3414" s="252" t="s">
        <v>74</v>
      </c>
      <c r="B3414" s="252" t="s">
        <v>6461</v>
      </c>
      <c r="C3414" s="253">
        <v>0</v>
      </c>
      <c r="D3414" s="252">
        <v>39792</v>
      </c>
      <c r="E3414" s="252" t="s">
        <v>3039</v>
      </c>
      <c r="F3414" s="254" t="s">
        <v>6462</v>
      </c>
      <c r="G3414" s="252" t="s">
        <v>2508</v>
      </c>
      <c r="H3414" s="252" t="s">
        <v>7845</v>
      </c>
      <c r="I3414" s="252">
        <v>5</v>
      </c>
      <c r="J3414" s="255">
        <v>1</v>
      </c>
      <c r="K3414" s="255">
        <v>1</v>
      </c>
      <c r="L3414" s="255"/>
      <c r="M3414" s="256">
        <v>1.35E-4</v>
      </c>
      <c r="N3414" s="249">
        <v>3413</v>
      </c>
    </row>
    <row r="3415" spans="1:14" x14ac:dyDescent="0.25">
      <c r="A3415" s="252" t="s">
        <v>74</v>
      </c>
      <c r="B3415" s="252" t="s">
        <v>6461</v>
      </c>
      <c r="C3415" s="253">
        <v>0</v>
      </c>
      <c r="D3415" s="252">
        <v>39792</v>
      </c>
      <c r="E3415" s="252" t="s">
        <v>3039</v>
      </c>
      <c r="F3415" s="254" t="s">
        <v>6462</v>
      </c>
      <c r="G3415" s="252" t="s">
        <v>7846</v>
      </c>
      <c r="H3415" s="252" t="s">
        <v>7847</v>
      </c>
      <c r="I3415" s="252">
        <v>5</v>
      </c>
      <c r="J3415" s="255">
        <v>1</v>
      </c>
      <c r="K3415" s="255">
        <v>1</v>
      </c>
      <c r="L3415" s="255"/>
      <c r="M3415" s="256">
        <v>6.5639999999999995E-3</v>
      </c>
      <c r="N3415" s="249">
        <v>3414</v>
      </c>
    </row>
    <row r="3416" spans="1:14" x14ac:dyDescent="0.25">
      <c r="A3416" s="252" t="s">
        <v>74</v>
      </c>
      <c r="B3416" s="252" t="s">
        <v>6461</v>
      </c>
      <c r="C3416" s="253">
        <v>0</v>
      </c>
      <c r="D3416" s="252">
        <v>39792</v>
      </c>
      <c r="E3416" s="252" t="s">
        <v>3039</v>
      </c>
      <c r="F3416" s="254" t="s">
        <v>6462</v>
      </c>
      <c r="G3416" s="252" t="s">
        <v>2518</v>
      </c>
      <c r="H3416" s="252" t="s">
        <v>7848</v>
      </c>
      <c r="I3416" s="252">
        <v>5</v>
      </c>
      <c r="J3416" s="255">
        <v>1</v>
      </c>
      <c r="K3416" s="255">
        <v>1</v>
      </c>
      <c r="L3416" s="255"/>
      <c r="M3416" s="256">
        <v>3.6599999999999996E-3</v>
      </c>
      <c r="N3416" s="249">
        <v>3415</v>
      </c>
    </row>
    <row r="3417" spans="1:14" x14ac:dyDescent="0.25">
      <c r="A3417" s="257" t="s">
        <v>74</v>
      </c>
      <c r="B3417" s="257" t="s">
        <v>6461</v>
      </c>
      <c r="C3417" s="258">
        <v>0</v>
      </c>
      <c r="D3417" s="257">
        <v>39792</v>
      </c>
      <c r="E3417" s="257" t="s">
        <v>3039</v>
      </c>
      <c r="F3417" s="259" t="s">
        <v>6462</v>
      </c>
      <c r="G3417" s="257" t="s">
        <v>2520</v>
      </c>
      <c r="H3417" s="257" t="s">
        <v>7849</v>
      </c>
      <c r="I3417" s="257">
        <v>5</v>
      </c>
      <c r="J3417" s="260">
        <v>1</v>
      </c>
      <c r="K3417" s="260">
        <v>1</v>
      </c>
      <c r="L3417" s="260"/>
      <c r="M3417" s="261">
        <v>1.35E-4</v>
      </c>
      <c r="N3417" s="251">
        <v>3416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3432-8B08-4609-B429-8497287E9917}">
  <sheetPr>
    <tabColor rgb="FF00B050"/>
    <pageSetUpPr fitToPage="1"/>
  </sheetPr>
  <dimension ref="A1:AI828"/>
  <sheetViews>
    <sheetView showGridLines="0" view="pageBreakPreview" zoomScale="70" zoomScaleNormal="60" zoomScaleSheetLayoutView="70" workbookViewId="0">
      <pane ySplit="12" topLeftCell="A13" activePane="bottomLeft" state="frozen"/>
      <selection activeCell="E8" sqref="E8"/>
      <selection pane="bottomLeft" activeCell="K21" sqref="K21"/>
    </sheetView>
  </sheetViews>
  <sheetFormatPr defaultRowHeight="17.25" x14ac:dyDescent="0.3"/>
  <cols>
    <col min="1" max="1" width="10.5703125" style="139" bestFit="1" customWidth="1"/>
    <col min="2" max="2" width="5.5703125" style="140" customWidth="1"/>
    <col min="3" max="3" width="5.7109375" style="56" bestFit="1" customWidth="1"/>
    <col min="4" max="4" width="72.5703125" style="56" customWidth="1"/>
    <col min="5" max="5" width="21.7109375" style="56" customWidth="1"/>
    <col min="6" max="6" width="12.5703125" style="56" customWidth="1"/>
    <col min="7" max="7" width="21.28515625" style="56" bestFit="1" customWidth="1"/>
    <col min="8" max="8" width="18" style="56" customWidth="1"/>
    <col min="9" max="9" width="26" style="56" bestFit="1" customWidth="1"/>
    <col min="10" max="10" width="7.5703125" style="56" customWidth="1"/>
    <col min="11" max="11" width="20.5703125" style="56" customWidth="1"/>
    <col min="12" max="12" width="14.42578125" style="56" customWidth="1"/>
    <col min="13" max="13" width="15" style="56" customWidth="1"/>
    <col min="14" max="14" width="10.42578125" customWidth="1"/>
    <col min="15" max="16" width="10.28515625" style="57" customWidth="1"/>
    <col min="17" max="17" width="12.42578125" style="56" customWidth="1"/>
    <col min="18" max="19" width="7.42578125" style="56" customWidth="1"/>
    <col min="20" max="29" width="8.7109375" style="56" customWidth="1"/>
    <col min="30" max="30" width="3.42578125" customWidth="1"/>
    <col min="32" max="32" width="20.42578125" customWidth="1"/>
  </cols>
  <sheetData>
    <row r="1" spans="1:34" ht="7.5" customHeight="1" thickBot="1" x14ac:dyDescent="0.3">
      <c r="B1" s="10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55"/>
      <c r="P1" s="5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34" ht="26.25" customHeight="1" thickBot="1" x14ac:dyDescent="0.3">
      <c r="B2" s="104"/>
      <c r="C2" s="262" t="s">
        <v>20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4"/>
      <c r="Y2" s="2" t="s">
        <v>12</v>
      </c>
      <c r="Z2" s="8"/>
      <c r="AA2" s="268" t="e">
        <f>#REF!</f>
        <v>#REF!</v>
      </c>
      <c r="AB2" s="268"/>
      <c r="AC2" s="269"/>
    </row>
    <row r="3" spans="1:34" ht="26.25" customHeight="1" thickBot="1" x14ac:dyDescent="0.3">
      <c r="B3" s="104"/>
      <c r="C3" s="265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7"/>
      <c r="Y3" s="7" t="s">
        <v>13</v>
      </c>
      <c r="Z3" s="6"/>
      <c r="AA3" s="268" t="e">
        <f>#REF!</f>
        <v>#REF!</v>
      </c>
      <c r="AB3" s="268"/>
      <c r="AC3" s="269"/>
    </row>
    <row r="4" spans="1:34" ht="6" customHeight="1" thickBot="1" x14ac:dyDescent="0.3">
      <c r="B4" s="10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54"/>
      <c r="P4" s="5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34" ht="18" customHeight="1" thickBot="1" x14ac:dyDescent="0.3">
      <c r="B5" s="104"/>
      <c r="C5" s="17" t="s">
        <v>119</v>
      </c>
      <c r="D5" s="18"/>
      <c r="E5" s="270" t="s">
        <v>31</v>
      </c>
      <c r="F5" s="271"/>
      <c r="G5" s="272" t="s">
        <v>189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34" ht="18" customHeight="1" thickBot="1" x14ac:dyDescent="0.3">
      <c r="B6" s="104"/>
      <c r="C6" s="17" t="s">
        <v>115</v>
      </c>
      <c r="D6" s="18"/>
      <c r="E6" s="275" t="e">
        <f>#REF!</f>
        <v>#REF!</v>
      </c>
      <c r="F6" s="277">
        <f>P701</f>
        <v>0.7</v>
      </c>
      <c r="G6" s="272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Z6"/>
      <c r="AA6" s="19"/>
      <c r="AB6" s="19"/>
      <c r="AC6" s="4"/>
      <c r="AF6" t="s">
        <v>72</v>
      </c>
    </row>
    <row r="7" spans="1:34" ht="18" customHeight="1" thickBot="1" x14ac:dyDescent="0.3">
      <c r="B7" s="104"/>
      <c r="C7" s="20" t="s">
        <v>73</v>
      </c>
      <c r="D7" s="21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Z7"/>
      <c r="AA7" s="13"/>
      <c r="AB7" s="13"/>
      <c r="AC7" s="4"/>
    </row>
    <row r="8" spans="1:34" ht="18" customHeight="1" thickBot="1" x14ac:dyDescent="0.3">
      <c r="B8" s="104"/>
      <c r="C8" s="17" t="e">
        <f>#REF!</f>
        <v>#REF!</v>
      </c>
      <c r="D8" s="30"/>
      <c r="E8" s="99" t="s">
        <v>19</v>
      </c>
      <c r="F8" s="71">
        <f>SUM(F6:F6)</f>
        <v>0.7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34" ht="18" customHeight="1" thickBot="1" x14ac:dyDescent="0.3">
      <c r="B9" s="104"/>
      <c r="C9" s="20"/>
      <c r="D9" s="22"/>
      <c r="E9" s="102"/>
      <c r="F9" s="103"/>
      <c r="G9" s="53"/>
      <c r="H9"/>
      <c r="I9"/>
      <c r="J9"/>
      <c r="K9"/>
      <c r="L9"/>
      <c r="M9"/>
      <c r="O9" s="53"/>
      <c r="P9" s="53"/>
      <c r="Q9"/>
      <c r="R9"/>
      <c r="S9"/>
      <c r="T9"/>
      <c r="U9"/>
      <c r="V9"/>
      <c r="W9"/>
      <c r="X9"/>
      <c r="Y9"/>
      <c r="Z9"/>
      <c r="AA9"/>
      <c r="AB9"/>
      <c r="AC9" s="4"/>
    </row>
    <row r="10" spans="1:34" ht="23.25" customHeight="1" thickBot="1" x14ac:dyDescent="0.3">
      <c r="B10" s="104"/>
      <c r="C10" s="280" t="s">
        <v>21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2"/>
    </row>
    <row r="11" spans="1:34" ht="15" customHeight="1" x14ac:dyDescent="0.25">
      <c r="B11" s="104"/>
      <c r="C11" s="283" t="s">
        <v>5</v>
      </c>
      <c r="D11" s="285" t="s">
        <v>6</v>
      </c>
      <c r="E11" s="287" t="s">
        <v>44</v>
      </c>
      <c r="F11" s="287" t="s">
        <v>25</v>
      </c>
      <c r="G11" s="288" t="s">
        <v>15</v>
      </c>
      <c r="H11" s="288" t="s">
        <v>24</v>
      </c>
      <c r="I11" s="287" t="s">
        <v>7</v>
      </c>
      <c r="J11" s="285" t="s">
        <v>8</v>
      </c>
      <c r="K11" s="289" t="s">
        <v>169</v>
      </c>
      <c r="L11" s="285" t="s">
        <v>28</v>
      </c>
      <c r="M11" s="285" t="s">
        <v>14</v>
      </c>
      <c r="N11" s="295" t="s">
        <v>166</v>
      </c>
      <c r="O11" s="295" t="s">
        <v>167</v>
      </c>
      <c r="P11" s="292" t="s">
        <v>18</v>
      </c>
      <c r="Q11" s="293" t="s">
        <v>19</v>
      </c>
      <c r="R11" s="293"/>
      <c r="S11" s="293"/>
      <c r="T11" s="290" t="s">
        <v>4</v>
      </c>
      <c r="U11" s="290"/>
      <c r="V11" s="290" t="s">
        <v>0</v>
      </c>
      <c r="W11" s="290"/>
      <c r="X11" s="290" t="s">
        <v>1</v>
      </c>
      <c r="Y11" s="290"/>
      <c r="Z11" s="290" t="s">
        <v>2</v>
      </c>
      <c r="AA11" s="290"/>
      <c r="AB11" s="290" t="s">
        <v>3</v>
      </c>
      <c r="AC11" s="291"/>
    </row>
    <row r="12" spans="1:34" ht="15" x14ac:dyDescent="0.25">
      <c r="B12" s="104"/>
      <c r="C12" s="284"/>
      <c r="D12" s="286"/>
      <c r="E12" s="285"/>
      <c r="F12" s="287"/>
      <c r="G12" s="288"/>
      <c r="H12" s="288"/>
      <c r="I12" s="287"/>
      <c r="J12" s="286"/>
      <c r="K12" s="285"/>
      <c r="L12" s="286"/>
      <c r="M12" s="286"/>
      <c r="N12" s="296"/>
      <c r="O12" s="296"/>
      <c r="P12" s="292"/>
      <c r="Q12" s="210" t="s">
        <v>29</v>
      </c>
      <c r="R12" s="210" t="s">
        <v>30</v>
      </c>
      <c r="S12" s="210" t="s">
        <v>9</v>
      </c>
      <c r="T12" s="210" t="s">
        <v>10</v>
      </c>
      <c r="U12" s="210" t="s">
        <v>11</v>
      </c>
      <c r="V12" s="210" t="s">
        <v>10</v>
      </c>
      <c r="W12" s="210" t="s">
        <v>11</v>
      </c>
      <c r="X12" s="210" t="s">
        <v>10</v>
      </c>
      <c r="Y12" s="210" t="s">
        <v>11</v>
      </c>
      <c r="Z12" s="210" t="s">
        <v>10</v>
      </c>
      <c r="AA12" s="210" t="s">
        <v>11</v>
      </c>
      <c r="AB12" s="210" t="s">
        <v>10</v>
      </c>
      <c r="AC12" s="211" t="s">
        <v>11</v>
      </c>
    </row>
    <row r="13" spans="1:34" ht="34.5" x14ac:dyDescent="0.25">
      <c r="A13" s="139" t="s">
        <v>116</v>
      </c>
      <c r="B13" s="105" t="s">
        <v>122</v>
      </c>
      <c r="C13" s="63">
        <v>1</v>
      </c>
      <c r="D13" s="197" t="s">
        <v>206</v>
      </c>
      <c r="E13" s="189" t="s">
        <v>226</v>
      </c>
      <c r="F13" s="190" t="s">
        <v>123</v>
      </c>
      <c r="G13" s="189" t="s">
        <v>183</v>
      </c>
      <c r="H13" s="191">
        <v>39254</v>
      </c>
      <c r="I13" s="189" t="s">
        <v>222</v>
      </c>
      <c r="J13" s="189" t="s">
        <v>214</v>
      </c>
      <c r="K13" s="189">
        <v>10601</v>
      </c>
      <c r="L13" s="191">
        <v>3</v>
      </c>
      <c r="M13" s="192">
        <v>46092</v>
      </c>
      <c r="N13" s="193">
        <v>1</v>
      </c>
      <c r="O13" s="194">
        <v>0.5</v>
      </c>
      <c r="P13" s="195"/>
      <c r="Q13" s="196" t="s">
        <v>38</v>
      </c>
      <c r="R13" s="197">
        <v>1</v>
      </c>
      <c r="S13" s="198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208"/>
      <c r="AD13" s="11" t="str">
        <f t="shared" ref="AD13:AD48" si="0">RIGHT(L13,2)</f>
        <v>3</v>
      </c>
      <c r="AF13" t="str">
        <f t="shared" ref="AF13:AF48" si="1">CONCATENATE("80.01.ZZ.0",L13)</f>
        <v>80.01.ZZ.03</v>
      </c>
      <c r="AH13" t="str">
        <f t="shared" ref="AH13:AH48" si="2">CONCATENATE("00 de 0",R13)</f>
        <v>00 de 01</v>
      </c>
    </row>
    <row r="14" spans="1:34" ht="34.5" x14ac:dyDescent="0.25">
      <c r="A14" s="139" t="s">
        <v>116</v>
      </c>
      <c r="B14" s="105" t="s">
        <v>122</v>
      </c>
      <c r="C14" s="63">
        <v>2</v>
      </c>
      <c r="D14" s="197" t="s">
        <v>206</v>
      </c>
      <c r="E14" s="189" t="s">
        <v>227</v>
      </c>
      <c r="F14" s="190" t="s">
        <v>123</v>
      </c>
      <c r="G14" s="189" t="s">
        <v>183</v>
      </c>
      <c r="H14" s="191">
        <v>39254</v>
      </c>
      <c r="I14" s="189" t="s">
        <v>222</v>
      </c>
      <c r="J14" s="189" t="s">
        <v>214</v>
      </c>
      <c r="K14" s="189">
        <v>10701</v>
      </c>
      <c r="L14" s="191">
        <v>3</v>
      </c>
      <c r="M14" s="192">
        <v>46092</v>
      </c>
      <c r="N14" s="193">
        <v>1</v>
      </c>
      <c r="O14" s="194">
        <v>0.5</v>
      </c>
      <c r="P14" s="195"/>
      <c r="Q14" s="196" t="s">
        <v>38</v>
      </c>
      <c r="R14" s="197">
        <v>1</v>
      </c>
      <c r="S14" s="198" t="s">
        <v>33</v>
      </c>
      <c r="T14" s="199"/>
      <c r="U14" s="200"/>
      <c r="V14" s="200"/>
      <c r="W14" s="200"/>
      <c r="X14" s="200"/>
      <c r="Y14" s="200"/>
      <c r="Z14" s="200"/>
      <c r="AA14" s="200"/>
      <c r="AB14" s="200"/>
      <c r="AC14" s="208"/>
      <c r="AD14" s="11" t="str">
        <f t="shared" si="0"/>
        <v>3</v>
      </c>
      <c r="AF14" t="str">
        <f t="shared" si="1"/>
        <v>80.01.ZZ.03</v>
      </c>
      <c r="AH14" t="str">
        <f t="shared" si="2"/>
        <v>00 de 01</v>
      </c>
    </row>
    <row r="15" spans="1:34" ht="34.5" x14ac:dyDescent="0.25">
      <c r="A15" s="139" t="s">
        <v>116</v>
      </c>
      <c r="B15" s="105" t="s">
        <v>122</v>
      </c>
      <c r="C15" s="63">
        <v>3</v>
      </c>
      <c r="D15" s="197" t="s">
        <v>206</v>
      </c>
      <c r="E15" s="189" t="s">
        <v>228</v>
      </c>
      <c r="F15" s="190" t="s">
        <v>123</v>
      </c>
      <c r="G15" s="189" t="s">
        <v>183</v>
      </c>
      <c r="H15" s="191">
        <v>39254</v>
      </c>
      <c r="I15" s="189" t="s">
        <v>222</v>
      </c>
      <c r="J15" s="189" t="s">
        <v>214</v>
      </c>
      <c r="K15" s="189">
        <v>10801</v>
      </c>
      <c r="L15" s="191">
        <v>3</v>
      </c>
      <c r="M15" s="192">
        <v>46092</v>
      </c>
      <c r="N15" s="193">
        <v>1</v>
      </c>
      <c r="O15" s="194">
        <v>0.5</v>
      </c>
      <c r="P15" s="195"/>
      <c r="Q15" s="196" t="s">
        <v>38</v>
      </c>
      <c r="R15" s="197">
        <v>1</v>
      </c>
      <c r="S15" s="198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208"/>
      <c r="AD15" s="11" t="str">
        <f t="shared" si="0"/>
        <v>3</v>
      </c>
      <c r="AF15" t="str">
        <f t="shared" si="1"/>
        <v>80.01.ZZ.03</v>
      </c>
      <c r="AH15" t="str">
        <f t="shared" si="2"/>
        <v>00 de 01</v>
      </c>
    </row>
    <row r="16" spans="1:34" ht="34.5" x14ac:dyDescent="0.25">
      <c r="A16" s="139" t="s">
        <v>116</v>
      </c>
      <c r="B16" s="105" t="s">
        <v>122</v>
      </c>
      <c r="C16" s="63">
        <v>4</v>
      </c>
      <c r="D16" s="197" t="s">
        <v>206</v>
      </c>
      <c r="E16" s="189" t="s">
        <v>229</v>
      </c>
      <c r="F16" s="190" t="s">
        <v>123</v>
      </c>
      <c r="G16" s="189" t="s">
        <v>183</v>
      </c>
      <c r="H16" s="191">
        <v>39254</v>
      </c>
      <c r="I16" s="189" t="s">
        <v>222</v>
      </c>
      <c r="J16" s="189" t="s">
        <v>214</v>
      </c>
      <c r="K16" s="189">
        <v>10901</v>
      </c>
      <c r="L16" s="191">
        <v>3</v>
      </c>
      <c r="M16" s="192">
        <v>46092</v>
      </c>
      <c r="N16" s="193">
        <v>1</v>
      </c>
      <c r="O16" s="194">
        <v>0.5</v>
      </c>
      <c r="P16" s="195"/>
      <c r="Q16" s="196" t="s">
        <v>38</v>
      </c>
      <c r="R16" s="197">
        <v>1</v>
      </c>
      <c r="S16" s="198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208"/>
      <c r="AD16" s="11" t="str">
        <f t="shared" si="0"/>
        <v>3</v>
      </c>
      <c r="AF16" t="str">
        <f t="shared" si="1"/>
        <v>80.01.ZZ.03</v>
      </c>
      <c r="AH16" t="str">
        <f t="shared" si="2"/>
        <v>00 de 01</v>
      </c>
    </row>
    <row r="17" spans="1:34" ht="34.5" x14ac:dyDescent="0.25">
      <c r="A17" s="139" t="s">
        <v>116</v>
      </c>
      <c r="B17" s="105" t="s">
        <v>122</v>
      </c>
      <c r="C17" s="63">
        <v>5</v>
      </c>
      <c r="D17" s="197" t="s">
        <v>206</v>
      </c>
      <c r="E17" s="189" t="s">
        <v>230</v>
      </c>
      <c r="F17" s="190" t="s">
        <v>123</v>
      </c>
      <c r="G17" s="189" t="s">
        <v>183</v>
      </c>
      <c r="H17" s="191">
        <v>39254</v>
      </c>
      <c r="I17" s="189" t="s">
        <v>222</v>
      </c>
      <c r="J17" s="189" t="s">
        <v>214</v>
      </c>
      <c r="K17" s="189">
        <v>11001</v>
      </c>
      <c r="L17" s="191">
        <v>3</v>
      </c>
      <c r="M17" s="192">
        <v>46092</v>
      </c>
      <c r="N17" s="193">
        <v>1</v>
      </c>
      <c r="O17" s="194">
        <v>0.5</v>
      </c>
      <c r="P17" s="195"/>
      <c r="Q17" s="196" t="s">
        <v>38</v>
      </c>
      <c r="R17" s="197">
        <v>1</v>
      </c>
      <c r="S17" s="198" t="s">
        <v>33</v>
      </c>
      <c r="T17" s="199"/>
      <c r="U17" s="200"/>
      <c r="V17" s="200"/>
      <c r="W17" s="200"/>
      <c r="X17" s="200"/>
      <c r="Y17" s="200"/>
      <c r="Z17" s="200"/>
      <c r="AA17" s="200"/>
      <c r="AB17" s="200"/>
      <c r="AC17" s="208"/>
      <c r="AD17" s="11" t="str">
        <f t="shared" si="0"/>
        <v>3</v>
      </c>
      <c r="AF17" t="str">
        <f t="shared" si="1"/>
        <v>80.01.ZZ.03</v>
      </c>
      <c r="AH17" t="str">
        <f t="shared" si="2"/>
        <v>00 de 01</v>
      </c>
    </row>
    <row r="18" spans="1:34" ht="34.5" x14ac:dyDescent="0.25">
      <c r="A18" s="139" t="s">
        <v>116</v>
      </c>
      <c r="B18" s="105" t="s">
        <v>122</v>
      </c>
      <c r="C18" s="63">
        <v>6</v>
      </c>
      <c r="D18" s="197" t="s">
        <v>206</v>
      </c>
      <c r="E18" s="189" t="s">
        <v>231</v>
      </c>
      <c r="F18" s="190" t="s">
        <v>123</v>
      </c>
      <c r="G18" s="189" t="s">
        <v>183</v>
      </c>
      <c r="H18" s="191">
        <v>39254</v>
      </c>
      <c r="I18" s="189" t="s">
        <v>222</v>
      </c>
      <c r="J18" s="189" t="s">
        <v>214</v>
      </c>
      <c r="K18" s="189">
        <v>11101</v>
      </c>
      <c r="L18" s="191">
        <v>3</v>
      </c>
      <c r="M18" s="192">
        <v>46092</v>
      </c>
      <c r="N18" s="193">
        <v>1</v>
      </c>
      <c r="O18" s="194">
        <v>0.5</v>
      </c>
      <c r="P18" s="195"/>
      <c r="Q18" s="196" t="s">
        <v>38</v>
      </c>
      <c r="R18" s="197">
        <v>1</v>
      </c>
      <c r="S18" s="198" t="s">
        <v>33</v>
      </c>
      <c r="T18" s="199"/>
      <c r="U18" s="200"/>
      <c r="V18" s="200"/>
      <c r="W18" s="200"/>
      <c r="X18" s="200"/>
      <c r="Y18" s="200"/>
      <c r="Z18" s="200"/>
      <c r="AA18" s="200"/>
      <c r="AB18" s="200"/>
      <c r="AC18" s="208"/>
      <c r="AD18" s="11" t="str">
        <f t="shared" si="0"/>
        <v>3</v>
      </c>
      <c r="AF18" t="str">
        <f t="shared" si="1"/>
        <v>80.01.ZZ.03</v>
      </c>
      <c r="AH18" t="str">
        <f t="shared" si="2"/>
        <v>00 de 01</v>
      </c>
    </row>
    <row r="19" spans="1:34" ht="34.5" x14ac:dyDescent="0.25">
      <c r="A19" s="139" t="s">
        <v>116</v>
      </c>
      <c r="B19" s="105" t="s">
        <v>122</v>
      </c>
      <c r="C19" s="63">
        <v>7</v>
      </c>
      <c r="D19" s="197" t="s">
        <v>206</v>
      </c>
      <c r="E19" s="189" t="s">
        <v>232</v>
      </c>
      <c r="F19" s="190" t="s">
        <v>123</v>
      </c>
      <c r="G19" s="189" t="s">
        <v>183</v>
      </c>
      <c r="H19" s="191">
        <v>39254</v>
      </c>
      <c r="I19" s="189" t="s">
        <v>222</v>
      </c>
      <c r="J19" s="189" t="s">
        <v>214</v>
      </c>
      <c r="K19" s="189">
        <v>11501</v>
      </c>
      <c r="L19" s="191">
        <v>3</v>
      </c>
      <c r="M19" s="192">
        <v>46092</v>
      </c>
      <c r="N19" s="193">
        <v>1</v>
      </c>
      <c r="O19" s="194">
        <v>0.5</v>
      </c>
      <c r="P19" s="195"/>
      <c r="Q19" s="196" t="s">
        <v>38</v>
      </c>
      <c r="R19" s="197">
        <v>1</v>
      </c>
      <c r="S19" s="198" t="s">
        <v>33</v>
      </c>
      <c r="T19" s="199"/>
      <c r="U19" s="200"/>
      <c r="V19" s="200"/>
      <c r="W19" s="200"/>
      <c r="X19" s="200"/>
      <c r="Y19" s="200"/>
      <c r="Z19" s="200"/>
      <c r="AA19" s="200"/>
      <c r="AB19" s="200"/>
      <c r="AC19" s="208"/>
      <c r="AD19" s="11" t="str">
        <f t="shared" si="0"/>
        <v>3</v>
      </c>
      <c r="AF19" t="str">
        <f t="shared" si="1"/>
        <v>80.01.ZZ.03</v>
      </c>
      <c r="AH19" t="str">
        <f t="shared" si="2"/>
        <v>00 de 01</v>
      </c>
    </row>
    <row r="20" spans="1:34" ht="34.5" x14ac:dyDescent="0.25">
      <c r="A20" s="139" t="s">
        <v>116</v>
      </c>
      <c r="B20" s="105" t="s">
        <v>122</v>
      </c>
      <c r="C20" s="63">
        <v>8</v>
      </c>
      <c r="D20" s="197" t="s">
        <v>206</v>
      </c>
      <c r="E20" s="189" t="s">
        <v>233</v>
      </c>
      <c r="F20" s="190" t="s">
        <v>123</v>
      </c>
      <c r="G20" s="189" t="s">
        <v>183</v>
      </c>
      <c r="H20" s="191">
        <v>39254</v>
      </c>
      <c r="I20" s="189" t="s">
        <v>222</v>
      </c>
      <c r="J20" s="189" t="s">
        <v>214</v>
      </c>
      <c r="K20" s="189">
        <v>11601</v>
      </c>
      <c r="L20" s="191">
        <v>3</v>
      </c>
      <c r="M20" s="192">
        <v>46092</v>
      </c>
      <c r="N20" s="193">
        <v>1</v>
      </c>
      <c r="O20" s="194">
        <v>0.5</v>
      </c>
      <c r="P20" s="195"/>
      <c r="Q20" s="196" t="s">
        <v>38</v>
      </c>
      <c r="R20" s="197">
        <v>1</v>
      </c>
      <c r="S20" s="198" t="s">
        <v>33</v>
      </c>
      <c r="T20" s="199"/>
      <c r="U20" s="200"/>
      <c r="V20" s="200"/>
      <c r="W20" s="200"/>
      <c r="X20" s="200"/>
      <c r="Y20" s="200"/>
      <c r="Z20" s="200"/>
      <c r="AA20" s="200"/>
      <c r="AB20" s="200"/>
      <c r="AC20" s="208"/>
      <c r="AD20" s="11" t="str">
        <f t="shared" si="0"/>
        <v>3</v>
      </c>
      <c r="AF20" t="str">
        <f t="shared" si="1"/>
        <v>80.01.ZZ.03</v>
      </c>
      <c r="AH20" t="str">
        <f t="shared" si="2"/>
        <v>00 de 01</v>
      </c>
    </row>
    <row r="21" spans="1:34" ht="34.5" x14ac:dyDescent="0.25">
      <c r="A21" s="139" t="s">
        <v>116</v>
      </c>
      <c r="B21" s="105" t="s">
        <v>122</v>
      </c>
      <c r="C21" s="63">
        <v>9</v>
      </c>
      <c r="D21" s="197" t="s">
        <v>206</v>
      </c>
      <c r="E21" s="189" t="s">
        <v>234</v>
      </c>
      <c r="F21" s="190" t="s">
        <v>123</v>
      </c>
      <c r="G21" s="189" t="s">
        <v>183</v>
      </c>
      <c r="H21" s="191">
        <v>39254</v>
      </c>
      <c r="I21" s="189" t="s">
        <v>222</v>
      </c>
      <c r="J21" s="189" t="s">
        <v>214</v>
      </c>
      <c r="K21" s="189">
        <v>11701</v>
      </c>
      <c r="L21" s="191">
        <v>3</v>
      </c>
      <c r="M21" s="192">
        <v>46092</v>
      </c>
      <c r="N21" s="193">
        <v>1</v>
      </c>
      <c r="O21" s="194">
        <v>0.5</v>
      </c>
      <c r="P21" s="195"/>
      <c r="Q21" s="196" t="s">
        <v>38</v>
      </c>
      <c r="R21" s="197">
        <v>1</v>
      </c>
      <c r="S21" s="198" t="s">
        <v>33</v>
      </c>
      <c r="T21" s="199"/>
      <c r="U21" s="200"/>
      <c r="V21" s="200"/>
      <c r="W21" s="200"/>
      <c r="X21" s="200"/>
      <c r="Y21" s="200"/>
      <c r="Z21" s="200"/>
      <c r="AA21" s="200"/>
      <c r="AB21" s="200"/>
      <c r="AC21" s="208"/>
      <c r="AD21" s="11" t="str">
        <f t="shared" si="0"/>
        <v>3</v>
      </c>
      <c r="AF21" t="str">
        <f t="shared" si="1"/>
        <v>80.01.ZZ.03</v>
      </c>
      <c r="AH21" t="str">
        <f t="shared" si="2"/>
        <v>00 de 01</v>
      </c>
    </row>
    <row r="22" spans="1:34" ht="34.5" x14ac:dyDescent="0.25">
      <c r="A22" s="139" t="s">
        <v>116</v>
      </c>
      <c r="B22" s="105" t="s">
        <v>122</v>
      </c>
      <c r="C22" s="63">
        <v>10</v>
      </c>
      <c r="D22" s="197" t="s">
        <v>192</v>
      </c>
      <c r="E22" s="189" t="s">
        <v>212</v>
      </c>
      <c r="F22" s="190" t="s">
        <v>123</v>
      </c>
      <c r="G22" s="189" t="s">
        <v>183</v>
      </c>
      <c r="H22" s="191">
        <v>50592</v>
      </c>
      <c r="I22" s="189" t="s">
        <v>217</v>
      </c>
      <c r="J22" s="189">
        <v>0</v>
      </c>
      <c r="K22" s="189">
        <v>11501</v>
      </c>
      <c r="L22" s="191">
        <v>3</v>
      </c>
      <c r="M22" s="192">
        <v>46092</v>
      </c>
      <c r="N22" s="193">
        <v>1</v>
      </c>
      <c r="O22" s="194">
        <v>0.5</v>
      </c>
      <c r="P22" s="195"/>
      <c r="Q22" s="196" t="s">
        <v>38</v>
      </c>
      <c r="R22" s="197">
        <v>1</v>
      </c>
      <c r="S22" s="198" t="s">
        <v>33</v>
      </c>
      <c r="T22" s="199"/>
      <c r="U22" s="200"/>
      <c r="V22" s="200"/>
      <c r="W22" s="200"/>
      <c r="X22" s="200"/>
      <c r="Y22" s="200"/>
      <c r="Z22" s="200"/>
      <c r="AA22" s="200"/>
      <c r="AB22" s="200"/>
      <c r="AC22" s="208"/>
      <c r="AD22" s="11" t="str">
        <f t="shared" si="0"/>
        <v>3</v>
      </c>
      <c r="AF22" t="str">
        <f t="shared" si="1"/>
        <v>80.01.ZZ.03</v>
      </c>
      <c r="AH22" t="str">
        <f t="shared" si="2"/>
        <v>00 de 01</v>
      </c>
    </row>
    <row r="23" spans="1:34" ht="34.5" x14ac:dyDescent="0.25">
      <c r="A23" s="139" t="s">
        <v>116</v>
      </c>
      <c r="B23" s="105" t="s">
        <v>122</v>
      </c>
      <c r="C23" s="63">
        <v>11</v>
      </c>
      <c r="D23" s="197" t="s">
        <v>192</v>
      </c>
      <c r="E23" s="189" t="s">
        <v>235</v>
      </c>
      <c r="F23" s="190" t="s">
        <v>123</v>
      </c>
      <c r="G23" s="189" t="s">
        <v>183</v>
      </c>
      <c r="H23" s="191">
        <v>50592</v>
      </c>
      <c r="I23" s="189" t="s">
        <v>217</v>
      </c>
      <c r="J23" s="189">
        <v>0</v>
      </c>
      <c r="K23" s="189">
        <v>10601</v>
      </c>
      <c r="L23" s="191">
        <v>3</v>
      </c>
      <c r="M23" s="192">
        <v>46092</v>
      </c>
      <c r="N23" s="193">
        <v>1</v>
      </c>
      <c r="O23" s="194">
        <v>0.5</v>
      </c>
      <c r="P23" s="195"/>
      <c r="Q23" s="196" t="s">
        <v>38</v>
      </c>
      <c r="R23" s="197">
        <v>1</v>
      </c>
      <c r="S23" s="198" t="s">
        <v>33</v>
      </c>
      <c r="T23" s="199"/>
      <c r="U23" s="200"/>
      <c r="V23" s="200"/>
      <c r="W23" s="200"/>
      <c r="X23" s="200"/>
      <c r="Y23" s="200"/>
      <c r="Z23" s="200"/>
      <c r="AA23" s="200"/>
      <c r="AB23" s="200"/>
      <c r="AC23" s="208"/>
      <c r="AD23" s="11" t="str">
        <f t="shared" si="0"/>
        <v>3</v>
      </c>
      <c r="AF23" t="str">
        <f t="shared" si="1"/>
        <v>80.01.ZZ.03</v>
      </c>
      <c r="AH23" t="str">
        <f t="shared" si="2"/>
        <v>00 de 01</v>
      </c>
    </row>
    <row r="24" spans="1:34" ht="34.5" x14ac:dyDescent="0.25">
      <c r="A24" s="139" t="s">
        <v>116</v>
      </c>
      <c r="B24" s="105" t="s">
        <v>122</v>
      </c>
      <c r="C24" s="63">
        <v>12</v>
      </c>
      <c r="D24" s="197" t="s">
        <v>192</v>
      </c>
      <c r="E24" s="189" t="s">
        <v>236</v>
      </c>
      <c r="F24" s="190" t="s">
        <v>123</v>
      </c>
      <c r="G24" s="189" t="s">
        <v>183</v>
      </c>
      <c r="H24" s="191">
        <v>50592</v>
      </c>
      <c r="I24" s="189" t="s">
        <v>217</v>
      </c>
      <c r="J24" s="189">
        <v>0</v>
      </c>
      <c r="K24" s="189">
        <v>11801</v>
      </c>
      <c r="L24" s="191">
        <v>3</v>
      </c>
      <c r="M24" s="192">
        <v>46092</v>
      </c>
      <c r="N24" s="193">
        <v>1</v>
      </c>
      <c r="O24" s="194">
        <v>0.5</v>
      </c>
      <c r="P24" s="195"/>
      <c r="Q24" s="196" t="s">
        <v>38</v>
      </c>
      <c r="R24" s="197">
        <v>1</v>
      </c>
      <c r="S24" s="198" t="s">
        <v>33</v>
      </c>
      <c r="T24" s="199"/>
      <c r="U24" s="200"/>
      <c r="V24" s="200"/>
      <c r="W24" s="200"/>
      <c r="X24" s="200"/>
      <c r="Y24" s="200"/>
      <c r="Z24" s="200"/>
      <c r="AA24" s="200"/>
      <c r="AB24" s="200"/>
      <c r="AC24" s="208"/>
      <c r="AD24" s="11" t="str">
        <f t="shared" si="0"/>
        <v>3</v>
      </c>
      <c r="AF24" t="str">
        <f t="shared" si="1"/>
        <v>80.01.ZZ.03</v>
      </c>
      <c r="AH24" t="str">
        <f t="shared" si="2"/>
        <v>00 de 01</v>
      </c>
    </row>
    <row r="25" spans="1:34" ht="34.5" x14ac:dyDescent="0.25">
      <c r="A25" s="139" t="s">
        <v>116</v>
      </c>
      <c r="B25" s="105" t="s">
        <v>122</v>
      </c>
      <c r="C25" s="63">
        <v>13</v>
      </c>
      <c r="D25" s="197" t="s">
        <v>192</v>
      </c>
      <c r="E25" s="189" t="s">
        <v>237</v>
      </c>
      <c r="F25" s="190" t="s">
        <v>123</v>
      </c>
      <c r="G25" s="189" t="s">
        <v>183</v>
      </c>
      <c r="H25" s="191">
        <v>50592</v>
      </c>
      <c r="I25" s="189" t="s">
        <v>217</v>
      </c>
      <c r="J25" s="189">
        <v>0</v>
      </c>
      <c r="K25" s="189">
        <v>12601</v>
      </c>
      <c r="L25" s="191">
        <v>3</v>
      </c>
      <c r="M25" s="192">
        <v>46092</v>
      </c>
      <c r="N25" s="193">
        <v>1</v>
      </c>
      <c r="O25" s="194">
        <v>0.5</v>
      </c>
      <c r="P25" s="195"/>
      <c r="Q25" s="196" t="s">
        <v>38</v>
      </c>
      <c r="R25" s="197">
        <v>1</v>
      </c>
      <c r="S25" s="198" t="s">
        <v>33</v>
      </c>
      <c r="T25" s="199"/>
      <c r="U25" s="200"/>
      <c r="V25" s="200"/>
      <c r="W25" s="200"/>
      <c r="X25" s="200"/>
      <c r="Y25" s="200"/>
      <c r="Z25" s="200"/>
      <c r="AA25" s="200"/>
      <c r="AB25" s="200"/>
      <c r="AC25" s="208"/>
      <c r="AD25" s="11" t="str">
        <f t="shared" si="0"/>
        <v>3</v>
      </c>
      <c r="AF25" t="str">
        <f t="shared" si="1"/>
        <v>80.01.ZZ.03</v>
      </c>
      <c r="AH25" t="str">
        <f t="shared" si="2"/>
        <v>00 de 01</v>
      </c>
    </row>
    <row r="26" spans="1:34" ht="34.5" x14ac:dyDescent="0.25">
      <c r="A26" s="139" t="s">
        <v>116</v>
      </c>
      <c r="B26" s="105" t="s">
        <v>122</v>
      </c>
      <c r="C26" s="63">
        <v>14</v>
      </c>
      <c r="D26" s="197" t="s">
        <v>192</v>
      </c>
      <c r="E26" s="189" t="s">
        <v>213</v>
      </c>
      <c r="F26" s="190" t="s">
        <v>123</v>
      </c>
      <c r="G26" s="189" t="s">
        <v>183</v>
      </c>
      <c r="H26" s="191">
        <v>50592</v>
      </c>
      <c r="I26" s="189" t="s">
        <v>217</v>
      </c>
      <c r="J26" s="189">
        <v>0</v>
      </c>
      <c r="K26" s="189">
        <v>11701</v>
      </c>
      <c r="L26" s="191">
        <v>3</v>
      </c>
      <c r="M26" s="192">
        <v>46092</v>
      </c>
      <c r="N26" s="193">
        <v>1</v>
      </c>
      <c r="O26" s="194">
        <v>0.5</v>
      </c>
      <c r="P26" s="195"/>
      <c r="Q26" s="196" t="s">
        <v>38</v>
      </c>
      <c r="R26" s="197">
        <v>1</v>
      </c>
      <c r="S26" s="198" t="s">
        <v>33</v>
      </c>
      <c r="T26" s="199"/>
      <c r="U26" s="200"/>
      <c r="V26" s="200"/>
      <c r="W26" s="200"/>
      <c r="X26" s="200"/>
      <c r="Y26" s="200"/>
      <c r="Z26" s="200"/>
      <c r="AA26" s="200"/>
      <c r="AB26" s="200"/>
      <c r="AC26" s="208"/>
      <c r="AD26" s="11" t="str">
        <f t="shared" si="0"/>
        <v>3</v>
      </c>
      <c r="AF26" t="str">
        <f t="shared" si="1"/>
        <v>80.01.ZZ.03</v>
      </c>
      <c r="AH26" t="str">
        <f t="shared" si="2"/>
        <v>00 de 01</v>
      </c>
    </row>
    <row r="27" spans="1:34" ht="34.5" x14ac:dyDescent="0.25">
      <c r="A27" s="139" t="s">
        <v>116</v>
      </c>
      <c r="B27" s="105" t="s">
        <v>122</v>
      </c>
      <c r="C27" s="63">
        <v>15</v>
      </c>
      <c r="D27" s="197" t="s">
        <v>206</v>
      </c>
      <c r="E27" s="189" t="s">
        <v>260</v>
      </c>
      <c r="F27" s="190" t="s">
        <v>123</v>
      </c>
      <c r="G27" s="189" t="s">
        <v>134</v>
      </c>
      <c r="H27" s="191">
        <v>39792</v>
      </c>
      <c r="I27" s="189" t="s">
        <v>218</v>
      </c>
      <c r="J27" s="189">
        <v>0</v>
      </c>
      <c r="K27" s="189">
        <v>10201</v>
      </c>
      <c r="L27" s="191">
        <v>3</v>
      </c>
      <c r="M27" s="192">
        <v>46092</v>
      </c>
      <c r="N27" s="193">
        <v>1</v>
      </c>
      <c r="O27" s="194">
        <v>0.5</v>
      </c>
      <c r="P27" s="195"/>
      <c r="Q27" s="196" t="s">
        <v>38</v>
      </c>
      <c r="R27" s="197">
        <v>1</v>
      </c>
      <c r="S27" s="198" t="s">
        <v>33</v>
      </c>
      <c r="T27" s="199"/>
      <c r="U27" s="200"/>
      <c r="V27" s="200"/>
      <c r="W27" s="200"/>
      <c r="X27" s="200"/>
      <c r="Y27" s="200"/>
      <c r="Z27" s="200"/>
      <c r="AA27" s="200"/>
      <c r="AB27" s="200"/>
      <c r="AC27" s="208"/>
      <c r="AD27" s="11" t="str">
        <f t="shared" si="0"/>
        <v>3</v>
      </c>
      <c r="AF27" t="str">
        <f t="shared" si="1"/>
        <v>80.01.ZZ.03</v>
      </c>
      <c r="AH27" t="str">
        <f t="shared" si="2"/>
        <v>00 de 01</v>
      </c>
    </row>
    <row r="28" spans="1:34" ht="34.5" x14ac:dyDescent="0.25">
      <c r="A28" s="139" t="s">
        <v>116</v>
      </c>
      <c r="B28" s="105" t="s">
        <v>122</v>
      </c>
      <c r="C28" s="63">
        <v>16</v>
      </c>
      <c r="D28" s="197" t="s">
        <v>206</v>
      </c>
      <c r="E28" s="189" t="s">
        <v>261</v>
      </c>
      <c r="F28" s="190" t="s">
        <v>123</v>
      </c>
      <c r="G28" s="189" t="s">
        <v>134</v>
      </c>
      <c r="H28" s="191">
        <v>39792</v>
      </c>
      <c r="I28" s="189" t="s">
        <v>218</v>
      </c>
      <c r="J28" s="189">
        <v>0</v>
      </c>
      <c r="K28" s="189">
        <v>10201</v>
      </c>
      <c r="L28" s="191">
        <v>3</v>
      </c>
      <c r="M28" s="192">
        <v>46092</v>
      </c>
      <c r="N28" s="193">
        <v>1</v>
      </c>
      <c r="O28" s="194">
        <v>0.5</v>
      </c>
      <c r="P28" s="195"/>
      <c r="Q28" s="196" t="s">
        <v>38</v>
      </c>
      <c r="R28" s="197">
        <v>1</v>
      </c>
      <c r="S28" s="198" t="s">
        <v>33</v>
      </c>
      <c r="T28" s="199"/>
      <c r="U28" s="200"/>
      <c r="V28" s="200"/>
      <c r="W28" s="200"/>
      <c r="X28" s="200"/>
      <c r="Y28" s="200"/>
      <c r="Z28" s="200"/>
      <c r="AA28" s="200"/>
      <c r="AB28" s="200"/>
      <c r="AC28" s="208"/>
      <c r="AD28" s="11" t="str">
        <f t="shared" si="0"/>
        <v>3</v>
      </c>
      <c r="AF28" t="str">
        <f t="shared" si="1"/>
        <v>80.01.ZZ.03</v>
      </c>
      <c r="AH28" t="str">
        <f t="shared" si="2"/>
        <v>00 de 01</v>
      </c>
    </row>
    <row r="29" spans="1:34" ht="34.5" x14ac:dyDescent="0.25">
      <c r="A29" s="139" t="s">
        <v>116</v>
      </c>
      <c r="B29" s="105" t="s">
        <v>122</v>
      </c>
      <c r="C29" s="63">
        <v>17</v>
      </c>
      <c r="D29" s="197" t="s">
        <v>206</v>
      </c>
      <c r="E29" s="189" t="s">
        <v>262</v>
      </c>
      <c r="F29" s="190" t="s">
        <v>123</v>
      </c>
      <c r="G29" s="189" t="s">
        <v>134</v>
      </c>
      <c r="H29" s="191">
        <v>39792</v>
      </c>
      <c r="I29" s="189" t="s">
        <v>218</v>
      </c>
      <c r="J29" s="189">
        <v>0</v>
      </c>
      <c r="K29" s="189">
        <v>10201</v>
      </c>
      <c r="L29" s="191">
        <v>3</v>
      </c>
      <c r="M29" s="192">
        <v>46092</v>
      </c>
      <c r="N29" s="193">
        <v>1</v>
      </c>
      <c r="O29" s="194">
        <v>0.5</v>
      </c>
      <c r="P29" s="195"/>
      <c r="Q29" s="196" t="s">
        <v>38</v>
      </c>
      <c r="R29" s="197">
        <v>1</v>
      </c>
      <c r="S29" s="198" t="s">
        <v>33</v>
      </c>
      <c r="T29" s="199"/>
      <c r="U29" s="200"/>
      <c r="V29" s="200"/>
      <c r="W29" s="200"/>
      <c r="X29" s="200"/>
      <c r="Y29" s="200"/>
      <c r="Z29" s="200"/>
      <c r="AA29" s="200"/>
      <c r="AB29" s="200"/>
      <c r="AC29" s="208"/>
      <c r="AD29" s="11" t="str">
        <f t="shared" si="0"/>
        <v>3</v>
      </c>
      <c r="AF29" t="str">
        <f t="shared" si="1"/>
        <v>80.01.ZZ.03</v>
      </c>
      <c r="AH29" t="str">
        <f t="shared" si="2"/>
        <v>00 de 01</v>
      </c>
    </row>
    <row r="30" spans="1:34" ht="34.5" x14ac:dyDescent="0.25">
      <c r="A30" s="139" t="s">
        <v>116</v>
      </c>
      <c r="B30" s="105" t="s">
        <v>122</v>
      </c>
      <c r="C30" s="63">
        <v>18</v>
      </c>
      <c r="D30" s="197" t="s">
        <v>206</v>
      </c>
      <c r="E30" s="189" t="s">
        <v>263</v>
      </c>
      <c r="F30" s="190" t="s">
        <v>123</v>
      </c>
      <c r="G30" s="189" t="s">
        <v>134</v>
      </c>
      <c r="H30" s="191">
        <v>39792</v>
      </c>
      <c r="I30" s="189" t="s">
        <v>218</v>
      </c>
      <c r="J30" s="189">
        <v>0</v>
      </c>
      <c r="K30" s="189">
        <v>10201</v>
      </c>
      <c r="L30" s="191">
        <v>3</v>
      </c>
      <c r="M30" s="192">
        <v>46092</v>
      </c>
      <c r="N30" s="193">
        <v>1</v>
      </c>
      <c r="O30" s="194">
        <v>0.5</v>
      </c>
      <c r="P30" s="195"/>
      <c r="Q30" s="196" t="s">
        <v>38</v>
      </c>
      <c r="R30" s="197">
        <v>1</v>
      </c>
      <c r="S30" s="198" t="s">
        <v>33</v>
      </c>
      <c r="T30" s="199"/>
      <c r="U30" s="200"/>
      <c r="V30" s="200"/>
      <c r="W30" s="200"/>
      <c r="X30" s="200"/>
      <c r="Y30" s="200"/>
      <c r="Z30" s="200"/>
      <c r="AA30" s="200"/>
      <c r="AB30" s="200"/>
      <c r="AC30" s="208"/>
      <c r="AD30" s="11" t="str">
        <f t="shared" si="0"/>
        <v>3</v>
      </c>
      <c r="AF30" t="str">
        <f t="shared" si="1"/>
        <v>80.01.ZZ.03</v>
      </c>
      <c r="AH30" t="str">
        <f t="shared" si="2"/>
        <v>00 de 01</v>
      </c>
    </row>
    <row r="31" spans="1:34" ht="34.5" x14ac:dyDescent="0.25">
      <c r="A31" s="139" t="s">
        <v>116</v>
      </c>
      <c r="B31" s="105" t="s">
        <v>122</v>
      </c>
      <c r="C31" s="63">
        <v>19</v>
      </c>
      <c r="D31" s="197" t="s">
        <v>206</v>
      </c>
      <c r="E31" s="189" t="s">
        <v>264</v>
      </c>
      <c r="F31" s="190" t="s">
        <v>123</v>
      </c>
      <c r="G31" s="189" t="s">
        <v>134</v>
      </c>
      <c r="H31" s="191">
        <v>39792</v>
      </c>
      <c r="I31" s="189" t="s">
        <v>218</v>
      </c>
      <c r="J31" s="189">
        <v>0</v>
      </c>
      <c r="K31" s="189">
        <v>10201</v>
      </c>
      <c r="L31" s="191">
        <v>3</v>
      </c>
      <c r="M31" s="192">
        <v>46092</v>
      </c>
      <c r="N31" s="193">
        <v>1</v>
      </c>
      <c r="O31" s="194">
        <v>0.5</v>
      </c>
      <c r="P31" s="195"/>
      <c r="Q31" s="196" t="s">
        <v>38</v>
      </c>
      <c r="R31" s="197">
        <v>1</v>
      </c>
      <c r="S31" s="198" t="s">
        <v>33</v>
      </c>
      <c r="T31" s="199"/>
      <c r="U31" s="200"/>
      <c r="V31" s="200"/>
      <c r="W31" s="200"/>
      <c r="X31" s="200"/>
      <c r="Y31" s="200"/>
      <c r="Z31" s="200"/>
      <c r="AA31" s="200"/>
      <c r="AB31" s="200"/>
      <c r="AC31" s="208"/>
      <c r="AD31" s="11" t="str">
        <f t="shared" si="0"/>
        <v>3</v>
      </c>
      <c r="AF31" t="str">
        <f t="shared" si="1"/>
        <v>80.01.ZZ.03</v>
      </c>
      <c r="AH31" t="str">
        <f t="shared" si="2"/>
        <v>00 de 01</v>
      </c>
    </row>
    <row r="32" spans="1:34" ht="34.5" x14ac:dyDescent="0.25">
      <c r="A32" s="139" t="s">
        <v>116</v>
      </c>
      <c r="B32" s="105" t="s">
        <v>122</v>
      </c>
      <c r="C32" s="63">
        <v>20</v>
      </c>
      <c r="D32" s="197" t="s">
        <v>206</v>
      </c>
      <c r="E32" s="189" t="s">
        <v>265</v>
      </c>
      <c r="F32" s="190" t="s">
        <v>123</v>
      </c>
      <c r="G32" s="189" t="s">
        <v>134</v>
      </c>
      <c r="H32" s="191">
        <v>39792</v>
      </c>
      <c r="I32" s="189" t="s">
        <v>218</v>
      </c>
      <c r="J32" s="189">
        <v>0</v>
      </c>
      <c r="K32" s="189">
        <v>10201</v>
      </c>
      <c r="L32" s="191">
        <v>3</v>
      </c>
      <c r="M32" s="192">
        <v>46092</v>
      </c>
      <c r="N32" s="193">
        <v>1</v>
      </c>
      <c r="O32" s="194">
        <v>0.5</v>
      </c>
      <c r="P32" s="195"/>
      <c r="Q32" s="196" t="s">
        <v>38</v>
      </c>
      <c r="R32" s="197">
        <v>1</v>
      </c>
      <c r="S32" s="198" t="s">
        <v>33</v>
      </c>
      <c r="T32" s="199"/>
      <c r="U32" s="200"/>
      <c r="V32" s="200"/>
      <c r="W32" s="200"/>
      <c r="X32" s="200"/>
      <c r="Y32" s="200"/>
      <c r="Z32" s="200"/>
      <c r="AA32" s="200"/>
      <c r="AB32" s="200"/>
      <c r="AC32" s="208"/>
      <c r="AD32" s="11" t="str">
        <f t="shared" si="0"/>
        <v>3</v>
      </c>
      <c r="AF32" t="str">
        <f t="shared" si="1"/>
        <v>80.01.ZZ.03</v>
      </c>
      <c r="AH32" t="str">
        <f t="shared" si="2"/>
        <v>00 de 01</v>
      </c>
    </row>
    <row r="33" spans="1:34" ht="34.5" x14ac:dyDescent="0.25">
      <c r="A33" s="139" t="s">
        <v>116</v>
      </c>
      <c r="B33" s="105" t="s">
        <v>122</v>
      </c>
      <c r="C33" s="63">
        <v>21</v>
      </c>
      <c r="D33" s="197" t="s">
        <v>206</v>
      </c>
      <c r="E33" s="189" t="s">
        <v>266</v>
      </c>
      <c r="F33" s="190" t="s">
        <v>123</v>
      </c>
      <c r="G33" s="189" t="s">
        <v>134</v>
      </c>
      <c r="H33" s="191">
        <v>39792</v>
      </c>
      <c r="I33" s="189" t="s">
        <v>218</v>
      </c>
      <c r="J33" s="189">
        <v>0</v>
      </c>
      <c r="K33" s="189">
        <v>10201</v>
      </c>
      <c r="L33" s="191">
        <v>3</v>
      </c>
      <c r="M33" s="192">
        <v>46092</v>
      </c>
      <c r="N33" s="193">
        <v>1</v>
      </c>
      <c r="O33" s="194">
        <v>0.5</v>
      </c>
      <c r="P33" s="195"/>
      <c r="Q33" s="196" t="s">
        <v>38</v>
      </c>
      <c r="R33" s="197">
        <v>1</v>
      </c>
      <c r="S33" s="198" t="s">
        <v>33</v>
      </c>
      <c r="T33" s="199"/>
      <c r="U33" s="200"/>
      <c r="V33" s="200"/>
      <c r="W33" s="200"/>
      <c r="X33" s="200"/>
      <c r="Y33" s="200"/>
      <c r="Z33" s="200"/>
      <c r="AA33" s="200"/>
      <c r="AB33" s="200"/>
      <c r="AC33" s="208"/>
      <c r="AD33" s="11" t="str">
        <f t="shared" si="0"/>
        <v>3</v>
      </c>
      <c r="AF33" t="str">
        <f t="shared" si="1"/>
        <v>80.01.ZZ.03</v>
      </c>
      <c r="AH33" t="str">
        <f t="shared" si="2"/>
        <v>00 de 01</v>
      </c>
    </row>
    <row r="34" spans="1:34" ht="34.5" x14ac:dyDescent="0.25">
      <c r="A34" s="139" t="s">
        <v>116</v>
      </c>
      <c r="B34" s="105" t="s">
        <v>122</v>
      </c>
      <c r="C34" s="63">
        <v>22</v>
      </c>
      <c r="D34" s="197" t="s">
        <v>206</v>
      </c>
      <c r="E34" s="189" t="s">
        <v>267</v>
      </c>
      <c r="F34" s="190" t="s">
        <v>123</v>
      </c>
      <c r="G34" s="189" t="s">
        <v>134</v>
      </c>
      <c r="H34" s="191">
        <v>39792</v>
      </c>
      <c r="I34" s="189" t="s">
        <v>218</v>
      </c>
      <c r="J34" s="189">
        <v>0</v>
      </c>
      <c r="K34" s="189">
        <v>10201</v>
      </c>
      <c r="L34" s="191">
        <v>3</v>
      </c>
      <c r="M34" s="192">
        <v>46092</v>
      </c>
      <c r="N34" s="193">
        <v>1</v>
      </c>
      <c r="O34" s="194">
        <v>0.5</v>
      </c>
      <c r="P34" s="195"/>
      <c r="Q34" s="196" t="s">
        <v>38</v>
      </c>
      <c r="R34" s="197">
        <v>1</v>
      </c>
      <c r="S34" s="198" t="s">
        <v>33</v>
      </c>
      <c r="T34" s="199"/>
      <c r="U34" s="200"/>
      <c r="V34" s="200"/>
      <c r="W34" s="200"/>
      <c r="X34" s="200"/>
      <c r="Y34" s="200"/>
      <c r="Z34" s="200"/>
      <c r="AA34" s="200"/>
      <c r="AB34" s="200"/>
      <c r="AC34" s="208"/>
      <c r="AD34" s="11" t="str">
        <f t="shared" si="0"/>
        <v>3</v>
      </c>
      <c r="AF34" t="str">
        <f t="shared" si="1"/>
        <v>80.01.ZZ.03</v>
      </c>
      <c r="AH34" t="str">
        <f t="shared" si="2"/>
        <v>00 de 01</v>
      </c>
    </row>
    <row r="35" spans="1:34" ht="34.5" x14ac:dyDescent="0.25">
      <c r="A35" s="139" t="s">
        <v>116</v>
      </c>
      <c r="B35" s="105" t="s">
        <v>122</v>
      </c>
      <c r="C35" s="63">
        <v>23</v>
      </c>
      <c r="D35" s="197" t="s">
        <v>206</v>
      </c>
      <c r="E35" s="189" t="s">
        <v>268</v>
      </c>
      <c r="F35" s="190" t="s">
        <v>123</v>
      </c>
      <c r="G35" s="189" t="s">
        <v>134</v>
      </c>
      <c r="H35" s="191">
        <v>39792</v>
      </c>
      <c r="I35" s="189" t="s">
        <v>218</v>
      </c>
      <c r="J35" s="189">
        <v>0</v>
      </c>
      <c r="K35" s="189">
        <v>10201</v>
      </c>
      <c r="L35" s="191">
        <v>3</v>
      </c>
      <c r="M35" s="192">
        <v>46092</v>
      </c>
      <c r="N35" s="193">
        <v>1</v>
      </c>
      <c r="O35" s="194">
        <v>0.5</v>
      </c>
      <c r="P35" s="195"/>
      <c r="Q35" s="196" t="s">
        <v>38</v>
      </c>
      <c r="R35" s="197">
        <v>1</v>
      </c>
      <c r="S35" s="198" t="s">
        <v>33</v>
      </c>
      <c r="T35" s="199"/>
      <c r="U35" s="200"/>
      <c r="V35" s="200"/>
      <c r="W35" s="200"/>
      <c r="X35" s="200"/>
      <c r="Y35" s="200"/>
      <c r="Z35" s="200"/>
      <c r="AA35" s="200"/>
      <c r="AB35" s="200"/>
      <c r="AC35" s="208"/>
      <c r="AD35" s="11" t="str">
        <f t="shared" si="0"/>
        <v>3</v>
      </c>
      <c r="AF35" t="str">
        <f t="shared" si="1"/>
        <v>80.01.ZZ.03</v>
      </c>
      <c r="AH35" t="str">
        <f t="shared" si="2"/>
        <v>00 de 01</v>
      </c>
    </row>
    <row r="36" spans="1:34" ht="34.5" x14ac:dyDescent="0.25">
      <c r="A36" s="139" t="s">
        <v>116</v>
      </c>
      <c r="B36" s="105" t="s">
        <v>122</v>
      </c>
      <c r="C36" s="63">
        <v>24</v>
      </c>
      <c r="D36" s="197" t="s">
        <v>206</v>
      </c>
      <c r="E36" s="189" t="s">
        <v>269</v>
      </c>
      <c r="F36" s="190" t="s">
        <v>123</v>
      </c>
      <c r="G36" s="189" t="s">
        <v>134</v>
      </c>
      <c r="H36" s="191">
        <v>39792</v>
      </c>
      <c r="I36" s="189" t="s">
        <v>218</v>
      </c>
      <c r="J36" s="189">
        <v>0</v>
      </c>
      <c r="K36" s="189">
        <v>10201</v>
      </c>
      <c r="L36" s="191">
        <v>3</v>
      </c>
      <c r="M36" s="192">
        <v>46092</v>
      </c>
      <c r="N36" s="193">
        <v>1</v>
      </c>
      <c r="O36" s="194">
        <v>0.5</v>
      </c>
      <c r="P36" s="195"/>
      <c r="Q36" s="196" t="s">
        <v>38</v>
      </c>
      <c r="R36" s="197">
        <v>1</v>
      </c>
      <c r="S36" s="198" t="s">
        <v>33</v>
      </c>
      <c r="T36" s="199"/>
      <c r="U36" s="200"/>
      <c r="V36" s="200"/>
      <c r="W36" s="200"/>
      <c r="X36" s="200"/>
      <c r="Y36" s="200"/>
      <c r="Z36" s="200"/>
      <c r="AA36" s="200"/>
      <c r="AB36" s="200"/>
      <c r="AC36" s="208"/>
      <c r="AD36" s="11" t="str">
        <f t="shared" si="0"/>
        <v>3</v>
      </c>
      <c r="AF36" t="str">
        <f t="shared" si="1"/>
        <v>80.01.ZZ.03</v>
      </c>
      <c r="AH36" t="str">
        <f t="shared" si="2"/>
        <v>00 de 01</v>
      </c>
    </row>
    <row r="37" spans="1:34" ht="34.5" x14ac:dyDescent="0.25">
      <c r="A37" s="139" t="s">
        <v>116</v>
      </c>
      <c r="B37" s="105" t="s">
        <v>122</v>
      </c>
      <c r="C37" s="63">
        <v>25</v>
      </c>
      <c r="D37" s="197" t="s">
        <v>206</v>
      </c>
      <c r="E37" s="189" t="s">
        <v>270</v>
      </c>
      <c r="F37" s="190" t="s">
        <v>123</v>
      </c>
      <c r="G37" s="189" t="s">
        <v>134</v>
      </c>
      <c r="H37" s="191">
        <v>39792</v>
      </c>
      <c r="I37" s="189" t="s">
        <v>218</v>
      </c>
      <c r="J37" s="189">
        <v>0</v>
      </c>
      <c r="K37" s="189">
        <v>10201</v>
      </c>
      <c r="L37" s="191">
        <v>3</v>
      </c>
      <c r="M37" s="192">
        <v>46092</v>
      </c>
      <c r="N37" s="193">
        <v>1</v>
      </c>
      <c r="O37" s="194">
        <v>0.5</v>
      </c>
      <c r="P37" s="195"/>
      <c r="Q37" s="196" t="s">
        <v>38</v>
      </c>
      <c r="R37" s="197">
        <v>1</v>
      </c>
      <c r="S37" s="198" t="s">
        <v>33</v>
      </c>
      <c r="T37" s="199"/>
      <c r="U37" s="200"/>
      <c r="V37" s="200"/>
      <c r="W37" s="200"/>
      <c r="X37" s="200"/>
      <c r="Y37" s="200"/>
      <c r="Z37" s="200"/>
      <c r="AA37" s="200"/>
      <c r="AB37" s="200"/>
      <c r="AC37" s="208"/>
      <c r="AD37" s="11" t="str">
        <f t="shared" si="0"/>
        <v>3</v>
      </c>
      <c r="AF37" t="str">
        <f t="shared" si="1"/>
        <v>80.01.ZZ.03</v>
      </c>
      <c r="AH37" t="str">
        <f t="shared" si="2"/>
        <v>00 de 01</v>
      </c>
    </row>
    <row r="38" spans="1:34" ht="34.5" x14ac:dyDescent="0.25">
      <c r="A38" s="139" t="s">
        <v>116</v>
      </c>
      <c r="B38" s="105" t="s">
        <v>122</v>
      </c>
      <c r="C38" s="63">
        <v>26</v>
      </c>
      <c r="D38" s="197" t="s">
        <v>206</v>
      </c>
      <c r="E38" s="189" t="s">
        <v>271</v>
      </c>
      <c r="F38" s="190" t="s">
        <v>123</v>
      </c>
      <c r="G38" s="189" t="s">
        <v>134</v>
      </c>
      <c r="H38" s="191">
        <v>39792</v>
      </c>
      <c r="I38" s="189" t="s">
        <v>218</v>
      </c>
      <c r="J38" s="189">
        <v>0</v>
      </c>
      <c r="K38" s="189">
        <v>10201</v>
      </c>
      <c r="L38" s="191">
        <v>3</v>
      </c>
      <c r="M38" s="192">
        <v>46092</v>
      </c>
      <c r="N38" s="193">
        <v>1</v>
      </c>
      <c r="O38" s="194">
        <v>0.5</v>
      </c>
      <c r="P38" s="195"/>
      <c r="Q38" s="196" t="s">
        <v>38</v>
      </c>
      <c r="R38" s="197">
        <v>1</v>
      </c>
      <c r="S38" s="198" t="s">
        <v>33</v>
      </c>
      <c r="T38" s="199"/>
      <c r="U38" s="200"/>
      <c r="V38" s="200"/>
      <c r="W38" s="200"/>
      <c r="X38" s="200"/>
      <c r="Y38" s="200"/>
      <c r="Z38" s="200"/>
      <c r="AA38" s="200"/>
      <c r="AB38" s="200"/>
      <c r="AC38" s="208"/>
      <c r="AD38" s="11" t="str">
        <f t="shared" si="0"/>
        <v>3</v>
      </c>
      <c r="AF38" t="str">
        <f t="shared" si="1"/>
        <v>80.01.ZZ.03</v>
      </c>
      <c r="AH38" t="str">
        <f t="shared" si="2"/>
        <v>00 de 01</v>
      </c>
    </row>
    <row r="39" spans="1:34" ht="34.5" x14ac:dyDescent="0.25">
      <c r="A39" s="139" t="s">
        <v>116</v>
      </c>
      <c r="B39" s="105" t="s">
        <v>122</v>
      </c>
      <c r="C39" s="63">
        <v>27</v>
      </c>
      <c r="D39" s="197" t="s">
        <v>206</v>
      </c>
      <c r="E39" s="189" t="s">
        <v>272</v>
      </c>
      <c r="F39" s="190" t="s">
        <v>123</v>
      </c>
      <c r="G39" s="189" t="s">
        <v>134</v>
      </c>
      <c r="H39" s="191">
        <v>39792</v>
      </c>
      <c r="I39" s="189" t="s">
        <v>218</v>
      </c>
      <c r="J39" s="189">
        <v>0</v>
      </c>
      <c r="K39" s="189">
        <v>10201</v>
      </c>
      <c r="L39" s="191">
        <v>3</v>
      </c>
      <c r="M39" s="192">
        <v>46092</v>
      </c>
      <c r="N39" s="193">
        <v>1</v>
      </c>
      <c r="O39" s="194">
        <v>0.5</v>
      </c>
      <c r="P39" s="195"/>
      <c r="Q39" s="196" t="s">
        <v>38</v>
      </c>
      <c r="R39" s="197">
        <v>1</v>
      </c>
      <c r="S39" s="198" t="s">
        <v>33</v>
      </c>
      <c r="T39" s="199"/>
      <c r="U39" s="200"/>
      <c r="V39" s="200"/>
      <c r="W39" s="200"/>
      <c r="X39" s="200"/>
      <c r="Y39" s="200"/>
      <c r="Z39" s="200"/>
      <c r="AA39" s="200"/>
      <c r="AB39" s="200"/>
      <c r="AC39" s="208"/>
      <c r="AD39" s="11" t="str">
        <f t="shared" si="0"/>
        <v>3</v>
      </c>
      <c r="AF39" t="str">
        <f t="shared" si="1"/>
        <v>80.01.ZZ.03</v>
      </c>
      <c r="AH39" t="str">
        <f t="shared" si="2"/>
        <v>00 de 01</v>
      </c>
    </row>
    <row r="40" spans="1:34" ht="34.5" x14ac:dyDescent="0.25">
      <c r="A40" s="139" t="s">
        <v>116</v>
      </c>
      <c r="B40" s="105" t="s">
        <v>122</v>
      </c>
      <c r="C40" s="63">
        <v>28</v>
      </c>
      <c r="D40" s="197" t="s">
        <v>206</v>
      </c>
      <c r="E40" s="189" t="s">
        <v>273</v>
      </c>
      <c r="F40" s="190" t="s">
        <v>123</v>
      </c>
      <c r="G40" s="189" t="s">
        <v>134</v>
      </c>
      <c r="H40" s="191">
        <v>39792</v>
      </c>
      <c r="I40" s="189" t="s">
        <v>218</v>
      </c>
      <c r="J40" s="189">
        <v>0</v>
      </c>
      <c r="K40" s="189">
        <v>10201</v>
      </c>
      <c r="L40" s="191">
        <v>3</v>
      </c>
      <c r="M40" s="192">
        <v>46092</v>
      </c>
      <c r="N40" s="193">
        <v>1</v>
      </c>
      <c r="O40" s="194">
        <v>0.5</v>
      </c>
      <c r="P40" s="195"/>
      <c r="Q40" s="196" t="s">
        <v>38</v>
      </c>
      <c r="R40" s="197">
        <v>1</v>
      </c>
      <c r="S40" s="198" t="s">
        <v>33</v>
      </c>
      <c r="T40" s="199"/>
      <c r="U40" s="200"/>
      <c r="V40" s="200"/>
      <c r="W40" s="200"/>
      <c r="X40" s="200"/>
      <c r="Y40" s="200"/>
      <c r="Z40" s="200"/>
      <c r="AA40" s="200"/>
      <c r="AB40" s="200"/>
      <c r="AC40" s="208"/>
      <c r="AD40" s="11" t="str">
        <f t="shared" si="0"/>
        <v>3</v>
      </c>
      <c r="AF40" t="str">
        <f t="shared" si="1"/>
        <v>80.01.ZZ.03</v>
      </c>
      <c r="AH40" t="str">
        <f t="shared" si="2"/>
        <v>00 de 01</v>
      </c>
    </row>
    <row r="41" spans="1:34" ht="34.5" x14ac:dyDescent="0.25">
      <c r="A41" s="139" t="s">
        <v>116</v>
      </c>
      <c r="B41" s="105" t="s">
        <v>122</v>
      </c>
      <c r="C41" s="63">
        <v>29</v>
      </c>
      <c r="D41" s="197" t="s">
        <v>206</v>
      </c>
      <c r="E41" s="189" t="s">
        <v>274</v>
      </c>
      <c r="F41" s="190" t="s">
        <v>123</v>
      </c>
      <c r="G41" s="189" t="s">
        <v>134</v>
      </c>
      <c r="H41" s="191">
        <v>39792</v>
      </c>
      <c r="I41" s="189" t="s">
        <v>218</v>
      </c>
      <c r="J41" s="189">
        <v>0</v>
      </c>
      <c r="K41" s="189">
        <v>10201</v>
      </c>
      <c r="L41" s="191">
        <v>3</v>
      </c>
      <c r="M41" s="192">
        <v>46092</v>
      </c>
      <c r="N41" s="193">
        <v>1</v>
      </c>
      <c r="O41" s="194">
        <v>0.5</v>
      </c>
      <c r="P41" s="195"/>
      <c r="Q41" s="196" t="s">
        <v>38</v>
      </c>
      <c r="R41" s="197">
        <v>1</v>
      </c>
      <c r="S41" s="198" t="s">
        <v>33</v>
      </c>
      <c r="T41" s="199"/>
      <c r="U41" s="200"/>
      <c r="V41" s="200"/>
      <c r="W41" s="200"/>
      <c r="X41" s="200"/>
      <c r="Y41" s="200"/>
      <c r="Z41" s="200"/>
      <c r="AA41" s="200"/>
      <c r="AB41" s="200"/>
      <c r="AC41" s="208"/>
      <c r="AD41" s="11" t="str">
        <f t="shared" si="0"/>
        <v>3</v>
      </c>
      <c r="AF41" t="str">
        <f t="shared" si="1"/>
        <v>80.01.ZZ.03</v>
      </c>
      <c r="AH41" t="str">
        <f t="shared" si="2"/>
        <v>00 de 01</v>
      </c>
    </row>
    <row r="42" spans="1:34" ht="34.5" x14ac:dyDescent="0.25">
      <c r="A42" s="139" t="s">
        <v>116</v>
      </c>
      <c r="B42" s="105" t="s">
        <v>122</v>
      </c>
      <c r="C42" s="63">
        <v>30</v>
      </c>
      <c r="D42" s="197" t="s">
        <v>206</v>
      </c>
      <c r="E42" s="189" t="s">
        <v>275</v>
      </c>
      <c r="F42" s="190" t="s">
        <v>123</v>
      </c>
      <c r="G42" s="189" t="s">
        <v>134</v>
      </c>
      <c r="H42" s="191">
        <v>39792</v>
      </c>
      <c r="I42" s="189" t="s">
        <v>218</v>
      </c>
      <c r="J42" s="189">
        <v>0</v>
      </c>
      <c r="K42" s="189">
        <v>10201</v>
      </c>
      <c r="L42" s="191">
        <v>3</v>
      </c>
      <c r="M42" s="192">
        <v>46092</v>
      </c>
      <c r="N42" s="193">
        <v>1</v>
      </c>
      <c r="O42" s="194">
        <v>0.5</v>
      </c>
      <c r="P42" s="195"/>
      <c r="Q42" s="196" t="s">
        <v>38</v>
      </c>
      <c r="R42" s="197">
        <v>1</v>
      </c>
      <c r="S42" s="198" t="s">
        <v>33</v>
      </c>
      <c r="T42" s="199"/>
      <c r="U42" s="200"/>
      <c r="V42" s="200"/>
      <c r="W42" s="200"/>
      <c r="X42" s="200"/>
      <c r="Y42" s="200"/>
      <c r="Z42" s="200"/>
      <c r="AA42" s="200"/>
      <c r="AB42" s="200"/>
      <c r="AC42" s="208"/>
      <c r="AD42" s="11" t="str">
        <f t="shared" si="0"/>
        <v>3</v>
      </c>
      <c r="AF42" t="str">
        <f t="shared" si="1"/>
        <v>80.01.ZZ.03</v>
      </c>
      <c r="AH42" t="str">
        <f t="shared" si="2"/>
        <v>00 de 01</v>
      </c>
    </row>
    <row r="43" spans="1:34" ht="34.5" x14ac:dyDescent="0.25">
      <c r="A43" s="139" t="s">
        <v>116</v>
      </c>
      <c r="B43" s="105" t="s">
        <v>122</v>
      </c>
      <c r="C43" s="63">
        <v>31</v>
      </c>
      <c r="D43" s="197" t="s">
        <v>206</v>
      </c>
      <c r="E43" s="189" t="s">
        <v>276</v>
      </c>
      <c r="F43" s="190" t="s">
        <v>123</v>
      </c>
      <c r="G43" s="189" t="s">
        <v>134</v>
      </c>
      <c r="H43" s="191">
        <v>39792</v>
      </c>
      <c r="I43" s="189" t="s">
        <v>218</v>
      </c>
      <c r="J43" s="189">
        <v>0</v>
      </c>
      <c r="K43" s="189">
        <v>10201</v>
      </c>
      <c r="L43" s="191">
        <v>3</v>
      </c>
      <c r="M43" s="192">
        <v>46092</v>
      </c>
      <c r="N43" s="193">
        <v>1</v>
      </c>
      <c r="O43" s="194">
        <v>0.5</v>
      </c>
      <c r="P43" s="195"/>
      <c r="Q43" s="196" t="s">
        <v>38</v>
      </c>
      <c r="R43" s="197">
        <v>1</v>
      </c>
      <c r="S43" s="198" t="s">
        <v>33</v>
      </c>
      <c r="T43" s="199"/>
      <c r="U43" s="200"/>
      <c r="V43" s="200"/>
      <c r="W43" s="200"/>
      <c r="X43" s="200"/>
      <c r="Y43" s="200"/>
      <c r="Z43" s="200"/>
      <c r="AA43" s="200"/>
      <c r="AB43" s="200"/>
      <c r="AC43" s="208"/>
      <c r="AD43" s="11" t="str">
        <f t="shared" si="0"/>
        <v>3</v>
      </c>
      <c r="AF43" t="str">
        <f t="shared" si="1"/>
        <v>80.01.ZZ.03</v>
      </c>
      <c r="AH43" t="str">
        <f t="shared" si="2"/>
        <v>00 de 01</v>
      </c>
    </row>
    <row r="44" spans="1:34" ht="34.5" x14ac:dyDescent="0.25">
      <c r="A44" s="139" t="s">
        <v>116</v>
      </c>
      <c r="B44" s="105" t="s">
        <v>122</v>
      </c>
      <c r="C44" s="63">
        <v>32</v>
      </c>
      <c r="D44" s="197" t="s">
        <v>206</v>
      </c>
      <c r="E44" s="189" t="s">
        <v>277</v>
      </c>
      <c r="F44" s="190" t="s">
        <v>123</v>
      </c>
      <c r="G44" s="189" t="s">
        <v>134</v>
      </c>
      <c r="H44" s="191">
        <v>39792</v>
      </c>
      <c r="I44" s="189" t="s">
        <v>218</v>
      </c>
      <c r="J44" s="189">
        <v>0</v>
      </c>
      <c r="K44" s="189">
        <v>10201</v>
      </c>
      <c r="L44" s="191">
        <v>3</v>
      </c>
      <c r="M44" s="192">
        <v>46092</v>
      </c>
      <c r="N44" s="193">
        <v>1</v>
      </c>
      <c r="O44" s="194">
        <v>0.5</v>
      </c>
      <c r="P44" s="195"/>
      <c r="Q44" s="196" t="s">
        <v>38</v>
      </c>
      <c r="R44" s="197">
        <v>1</v>
      </c>
      <c r="S44" s="198" t="s">
        <v>33</v>
      </c>
      <c r="T44" s="199"/>
      <c r="U44" s="200"/>
      <c r="V44" s="200"/>
      <c r="W44" s="200"/>
      <c r="X44" s="200"/>
      <c r="Y44" s="200"/>
      <c r="Z44" s="200"/>
      <c r="AA44" s="200"/>
      <c r="AB44" s="200"/>
      <c r="AC44" s="208"/>
      <c r="AD44" s="11" t="str">
        <f t="shared" si="0"/>
        <v>3</v>
      </c>
      <c r="AF44" t="str">
        <f t="shared" si="1"/>
        <v>80.01.ZZ.03</v>
      </c>
      <c r="AH44" t="str">
        <f t="shared" si="2"/>
        <v>00 de 01</v>
      </c>
    </row>
    <row r="45" spans="1:34" ht="34.5" x14ac:dyDescent="0.25">
      <c r="A45" s="139" t="s">
        <v>116</v>
      </c>
      <c r="B45" s="105" t="s">
        <v>122</v>
      </c>
      <c r="C45" s="63">
        <v>33</v>
      </c>
      <c r="D45" s="197" t="s">
        <v>206</v>
      </c>
      <c r="E45" s="189" t="s">
        <v>278</v>
      </c>
      <c r="F45" s="190" t="s">
        <v>123</v>
      </c>
      <c r="G45" s="189" t="s">
        <v>134</v>
      </c>
      <c r="H45" s="191">
        <v>39792</v>
      </c>
      <c r="I45" s="189" t="s">
        <v>218</v>
      </c>
      <c r="J45" s="189">
        <v>0</v>
      </c>
      <c r="K45" s="189">
        <v>10201</v>
      </c>
      <c r="L45" s="191">
        <v>3</v>
      </c>
      <c r="M45" s="192">
        <v>46092</v>
      </c>
      <c r="N45" s="193">
        <v>1</v>
      </c>
      <c r="O45" s="194">
        <v>0.5</v>
      </c>
      <c r="P45" s="195"/>
      <c r="Q45" s="196" t="s">
        <v>38</v>
      </c>
      <c r="R45" s="197">
        <v>1</v>
      </c>
      <c r="S45" s="198" t="s">
        <v>33</v>
      </c>
      <c r="T45" s="199"/>
      <c r="U45" s="200"/>
      <c r="V45" s="200"/>
      <c r="W45" s="200"/>
      <c r="X45" s="200"/>
      <c r="Y45" s="200"/>
      <c r="Z45" s="200"/>
      <c r="AA45" s="200"/>
      <c r="AB45" s="200"/>
      <c r="AC45" s="208"/>
      <c r="AD45" s="11" t="str">
        <f t="shared" si="0"/>
        <v>3</v>
      </c>
      <c r="AF45" t="str">
        <f t="shared" si="1"/>
        <v>80.01.ZZ.03</v>
      </c>
      <c r="AH45" t="str">
        <f t="shared" si="2"/>
        <v>00 de 01</v>
      </c>
    </row>
    <row r="46" spans="1:34" ht="34.5" x14ac:dyDescent="0.25">
      <c r="A46" s="139" t="s">
        <v>116</v>
      </c>
      <c r="B46" s="105" t="s">
        <v>122</v>
      </c>
      <c r="C46" s="63">
        <v>34</v>
      </c>
      <c r="D46" s="197" t="s">
        <v>206</v>
      </c>
      <c r="E46" s="189" t="s">
        <v>279</v>
      </c>
      <c r="F46" s="190" t="s">
        <v>123</v>
      </c>
      <c r="G46" s="189" t="s">
        <v>134</v>
      </c>
      <c r="H46" s="191">
        <v>39792</v>
      </c>
      <c r="I46" s="189" t="s">
        <v>218</v>
      </c>
      <c r="J46" s="189">
        <v>0</v>
      </c>
      <c r="K46" s="189">
        <v>10201</v>
      </c>
      <c r="L46" s="191">
        <v>3</v>
      </c>
      <c r="M46" s="192">
        <v>46092</v>
      </c>
      <c r="N46" s="193">
        <v>1</v>
      </c>
      <c r="O46" s="194">
        <v>0.5</v>
      </c>
      <c r="P46" s="195"/>
      <c r="Q46" s="196" t="s">
        <v>38</v>
      </c>
      <c r="R46" s="197">
        <v>1</v>
      </c>
      <c r="S46" s="198" t="s">
        <v>33</v>
      </c>
      <c r="T46" s="199"/>
      <c r="U46" s="200"/>
      <c r="V46" s="200"/>
      <c r="W46" s="200"/>
      <c r="X46" s="200"/>
      <c r="Y46" s="200"/>
      <c r="Z46" s="200"/>
      <c r="AA46" s="200"/>
      <c r="AB46" s="200"/>
      <c r="AC46" s="208"/>
      <c r="AD46" s="11" t="str">
        <f t="shared" si="0"/>
        <v>3</v>
      </c>
      <c r="AF46" t="str">
        <f t="shared" si="1"/>
        <v>80.01.ZZ.03</v>
      </c>
      <c r="AH46" t="str">
        <f t="shared" si="2"/>
        <v>00 de 01</v>
      </c>
    </row>
    <row r="47" spans="1:34" ht="34.5" x14ac:dyDescent="0.25">
      <c r="A47" s="139" t="s">
        <v>116</v>
      </c>
      <c r="B47" s="105" t="s">
        <v>122</v>
      </c>
      <c r="C47" s="63">
        <v>35</v>
      </c>
      <c r="D47" s="197" t="s">
        <v>206</v>
      </c>
      <c r="E47" s="189" t="s">
        <v>280</v>
      </c>
      <c r="F47" s="190" t="s">
        <v>123</v>
      </c>
      <c r="G47" s="189" t="s">
        <v>134</v>
      </c>
      <c r="H47" s="191">
        <v>39792</v>
      </c>
      <c r="I47" s="189" t="s">
        <v>218</v>
      </c>
      <c r="J47" s="189">
        <v>0</v>
      </c>
      <c r="K47" s="189">
        <v>10201</v>
      </c>
      <c r="L47" s="191">
        <v>3</v>
      </c>
      <c r="M47" s="192">
        <v>46092</v>
      </c>
      <c r="N47" s="193">
        <v>1</v>
      </c>
      <c r="O47" s="194">
        <v>0.5</v>
      </c>
      <c r="P47" s="195"/>
      <c r="Q47" s="196" t="s">
        <v>38</v>
      </c>
      <c r="R47" s="197">
        <v>1</v>
      </c>
      <c r="S47" s="198" t="s">
        <v>33</v>
      </c>
      <c r="T47" s="199"/>
      <c r="U47" s="200"/>
      <c r="V47" s="200"/>
      <c r="W47" s="200"/>
      <c r="X47" s="200"/>
      <c r="Y47" s="200"/>
      <c r="Z47" s="200"/>
      <c r="AA47" s="200"/>
      <c r="AB47" s="200"/>
      <c r="AC47" s="208"/>
      <c r="AD47" s="11" t="str">
        <f t="shared" si="0"/>
        <v>3</v>
      </c>
      <c r="AF47" t="str">
        <f t="shared" si="1"/>
        <v>80.01.ZZ.03</v>
      </c>
      <c r="AH47" t="str">
        <f t="shared" si="2"/>
        <v>00 de 01</v>
      </c>
    </row>
    <row r="48" spans="1:34" ht="34.5" x14ac:dyDescent="0.25">
      <c r="A48" s="139" t="s">
        <v>116</v>
      </c>
      <c r="B48" s="105" t="s">
        <v>122</v>
      </c>
      <c r="C48" s="63">
        <v>36</v>
      </c>
      <c r="D48" s="197" t="s">
        <v>206</v>
      </c>
      <c r="E48" s="189" t="s">
        <v>281</v>
      </c>
      <c r="F48" s="190" t="s">
        <v>123</v>
      </c>
      <c r="G48" s="189" t="s">
        <v>134</v>
      </c>
      <c r="H48" s="191">
        <v>39792</v>
      </c>
      <c r="I48" s="189" t="s">
        <v>218</v>
      </c>
      <c r="J48" s="189">
        <v>0</v>
      </c>
      <c r="K48" s="189">
        <v>10201</v>
      </c>
      <c r="L48" s="191">
        <v>3</v>
      </c>
      <c r="M48" s="192">
        <v>46092</v>
      </c>
      <c r="N48" s="193">
        <v>1</v>
      </c>
      <c r="O48" s="194">
        <v>0.5</v>
      </c>
      <c r="P48" s="195"/>
      <c r="Q48" s="196" t="s">
        <v>38</v>
      </c>
      <c r="R48" s="197">
        <v>1</v>
      </c>
      <c r="S48" s="198" t="s">
        <v>33</v>
      </c>
      <c r="T48" s="199"/>
      <c r="U48" s="200"/>
      <c r="V48" s="200"/>
      <c r="W48" s="200"/>
      <c r="X48" s="200"/>
      <c r="Y48" s="200"/>
      <c r="Z48" s="200"/>
      <c r="AA48" s="200"/>
      <c r="AB48" s="200"/>
      <c r="AC48" s="208"/>
      <c r="AD48" s="11" t="str">
        <f t="shared" si="0"/>
        <v>3</v>
      </c>
      <c r="AF48" t="str">
        <f t="shared" si="1"/>
        <v>80.01.ZZ.03</v>
      </c>
      <c r="AH48" t="str">
        <f t="shared" si="2"/>
        <v>00 de 01</v>
      </c>
    </row>
    <row r="49" spans="1:34" ht="34.5" x14ac:dyDescent="0.25">
      <c r="A49" s="139" t="s">
        <v>116</v>
      </c>
      <c r="B49" s="105" t="s">
        <v>122</v>
      </c>
      <c r="C49" s="63">
        <v>37</v>
      </c>
      <c r="D49" s="197" t="s">
        <v>206</v>
      </c>
      <c r="E49" s="189" t="s">
        <v>282</v>
      </c>
      <c r="F49" s="190" t="s">
        <v>123</v>
      </c>
      <c r="G49" s="189" t="s">
        <v>134</v>
      </c>
      <c r="H49" s="191">
        <v>39792</v>
      </c>
      <c r="I49" s="189" t="s">
        <v>218</v>
      </c>
      <c r="J49" s="189">
        <v>0</v>
      </c>
      <c r="K49" s="189">
        <v>10201</v>
      </c>
      <c r="L49" s="191">
        <v>3</v>
      </c>
      <c r="M49" s="192">
        <v>46092</v>
      </c>
      <c r="N49" s="193">
        <v>1</v>
      </c>
      <c r="O49" s="194">
        <v>0.5</v>
      </c>
      <c r="P49" s="195"/>
      <c r="Q49" s="196" t="s">
        <v>38</v>
      </c>
      <c r="R49" s="197">
        <v>1</v>
      </c>
      <c r="S49" s="198" t="s">
        <v>33</v>
      </c>
      <c r="T49" s="199"/>
      <c r="U49" s="200"/>
      <c r="V49" s="200"/>
      <c r="W49" s="200"/>
      <c r="X49" s="200"/>
      <c r="Y49" s="200"/>
      <c r="Z49" s="200"/>
      <c r="AA49" s="200"/>
      <c r="AB49" s="200"/>
      <c r="AC49" s="208"/>
      <c r="AD49" s="11" t="str">
        <f t="shared" ref="AD49:AD112" si="3">RIGHT(L49,2)</f>
        <v>3</v>
      </c>
      <c r="AF49" t="str">
        <f t="shared" ref="AF49:AF112" si="4">CONCATENATE("80.01.ZZ.0",L49)</f>
        <v>80.01.ZZ.03</v>
      </c>
      <c r="AH49" t="str">
        <f t="shared" ref="AH49:AH112" si="5">CONCATENATE("00 de 0",R49)</f>
        <v>00 de 01</v>
      </c>
    </row>
    <row r="50" spans="1:34" ht="34.5" x14ac:dyDescent="0.25">
      <c r="A50" s="139" t="s">
        <v>116</v>
      </c>
      <c r="B50" s="105" t="s">
        <v>122</v>
      </c>
      <c r="C50" s="63">
        <v>38</v>
      </c>
      <c r="D50" s="197" t="s">
        <v>206</v>
      </c>
      <c r="E50" s="189" t="s">
        <v>283</v>
      </c>
      <c r="F50" s="190" t="s">
        <v>123</v>
      </c>
      <c r="G50" s="189" t="s">
        <v>134</v>
      </c>
      <c r="H50" s="191">
        <v>39792</v>
      </c>
      <c r="I50" s="189" t="s">
        <v>218</v>
      </c>
      <c r="J50" s="189">
        <v>0</v>
      </c>
      <c r="K50" s="189">
        <v>10201</v>
      </c>
      <c r="L50" s="191">
        <v>3</v>
      </c>
      <c r="M50" s="192">
        <v>46092</v>
      </c>
      <c r="N50" s="193">
        <v>1</v>
      </c>
      <c r="O50" s="194">
        <v>0.5</v>
      </c>
      <c r="P50" s="195"/>
      <c r="Q50" s="196" t="s">
        <v>38</v>
      </c>
      <c r="R50" s="197">
        <v>1</v>
      </c>
      <c r="S50" s="198" t="s">
        <v>33</v>
      </c>
      <c r="T50" s="199"/>
      <c r="U50" s="200"/>
      <c r="V50" s="200"/>
      <c r="W50" s="200"/>
      <c r="X50" s="200"/>
      <c r="Y50" s="200"/>
      <c r="Z50" s="200"/>
      <c r="AA50" s="200"/>
      <c r="AB50" s="200"/>
      <c r="AC50" s="208"/>
      <c r="AD50" s="11" t="str">
        <f t="shared" si="3"/>
        <v>3</v>
      </c>
      <c r="AF50" t="str">
        <f t="shared" si="4"/>
        <v>80.01.ZZ.03</v>
      </c>
      <c r="AH50" t="str">
        <f t="shared" si="5"/>
        <v>00 de 01</v>
      </c>
    </row>
    <row r="51" spans="1:34" ht="34.5" x14ac:dyDescent="0.25">
      <c r="A51" s="139" t="s">
        <v>116</v>
      </c>
      <c r="B51" s="105" t="s">
        <v>122</v>
      </c>
      <c r="C51" s="63">
        <v>39</v>
      </c>
      <c r="D51" s="197" t="s">
        <v>206</v>
      </c>
      <c r="E51" s="189" t="s">
        <v>284</v>
      </c>
      <c r="F51" s="190" t="s">
        <v>123</v>
      </c>
      <c r="G51" s="189" t="s">
        <v>134</v>
      </c>
      <c r="H51" s="191">
        <v>39792</v>
      </c>
      <c r="I51" s="189" t="s">
        <v>218</v>
      </c>
      <c r="J51" s="189">
        <v>0</v>
      </c>
      <c r="K51" s="189">
        <v>10301</v>
      </c>
      <c r="L51" s="191">
        <v>3</v>
      </c>
      <c r="M51" s="192">
        <v>46092</v>
      </c>
      <c r="N51" s="193">
        <v>1</v>
      </c>
      <c r="O51" s="194">
        <v>0.5</v>
      </c>
      <c r="P51" s="195"/>
      <c r="Q51" s="196" t="s">
        <v>38</v>
      </c>
      <c r="R51" s="197">
        <v>1</v>
      </c>
      <c r="S51" s="198" t="s">
        <v>33</v>
      </c>
      <c r="T51" s="199"/>
      <c r="U51" s="200"/>
      <c r="V51" s="200"/>
      <c r="W51" s="200"/>
      <c r="X51" s="200"/>
      <c r="Y51" s="200"/>
      <c r="Z51" s="200"/>
      <c r="AA51" s="200"/>
      <c r="AB51" s="200"/>
      <c r="AC51" s="208"/>
      <c r="AD51" s="11" t="str">
        <f t="shared" si="3"/>
        <v>3</v>
      </c>
      <c r="AF51" t="str">
        <f t="shared" si="4"/>
        <v>80.01.ZZ.03</v>
      </c>
      <c r="AH51" t="str">
        <f t="shared" si="5"/>
        <v>00 de 01</v>
      </c>
    </row>
    <row r="52" spans="1:34" ht="34.5" x14ac:dyDescent="0.25">
      <c r="A52" s="139" t="s">
        <v>116</v>
      </c>
      <c r="B52" s="105" t="s">
        <v>122</v>
      </c>
      <c r="C52" s="63">
        <v>40</v>
      </c>
      <c r="D52" s="197" t="s">
        <v>206</v>
      </c>
      <c r="E52" s="189" t="s">
        <v>285</v>
      </c>
      <c r="F52" s="190" t="s">
        <v>123</v>
      </c>
      <c r="G52" s="189" t="s">
        <v>134</v>
      </c>
      <c r="H52" s="191">
        <v>39792</v>
      </c>
      <c r="I52" s="189" t="s">
        <v>218</v>
      </c>
      <c r="J52" s="189">
        <v>0</v>
      </c>
      <c r="K52" s="189">
        <v>10301</v>
      </c>
      <c r="L52" s="191">
        <v>3</v>
      </c>
      <c r="M52" s="192">
        <v>46092</v>
      </c>
      <c r="N52" s="193">
        <v>1</v>
      </c>
      <c r="O52" s="194">
        <v>0.5</v>
      </c>
      <c r="P52" s="195"/>
      <c r="Q52" s="196" t="s">
        <v>38</v>
      </c>
      <c r="R52" s="197">
        <v>1</v>
      </c>
      <c r="S52" s="198" t="s">
        <v>33</v>
      </c>
      <c r="T52" s="199"/>
      <c r="U52" s="200"/>
      <c r="V52" s="200"/>
      <c r="W52" s="200"/>
      <c r="X52" s="200"/>
      <c r="Y52" s="200"/>
      <c r="Z52" s="200"/>
      <c r="AA52" s="200"/>
      <c r="AB52" s="200"/>
      <c r="AC52" s="208"/>
      <c r="AD52" s="11" t="str">
        <f t="shared" si="3"/>
        <v>3</v>
      </c>
      <c r="AF52" t="str">
        <f t="shared" si="4"/>
        <v>80.01.ZZ.03</v>
      </c>
      <c r="AH52" t="str">
        <f t="shared" si="5"/>
        <v>00 de 01</v>
      </c>
    </row>
    <row r="53" spans="1:34" ht="34.5" x14ac:dyDescent="0.25">
      <c r="A53" s="139" t="s">
        <v>116</v>
      </c>
      <c r="B53" s="105" t="s">
        <v>122</v>
      </c>
      <c r="C53" s="63">
        <v>41</v>
      </c>
      <c r="D53" s="197" t="s">
        <v>206</v>
      </c>
      <c r="E53" s="189" t="s">
        <v>286</v>
      </c>
      <c r="F53" s="190" t="s">
        <v>123</v>
      </c>
      <c r="G53" s="189" t="s">
        <v>134</v>
      </c>
      <c r="H53" s="191">
        <v>39792</v>
      </c>
      <c r="I53" s="189" t="s">
        <v>218</v>
      </c>
      <c r="J53" s="189">
        <v>0</v>
      </c>
      <c r="K53" s="189">
        <v>10301</v>
      </c>
      <c r="L53" s="191">
        <v>3</v>
      </c>
      <c r="M53" s="192">
        <v>46092</v>
      </c>
      <c r="N53" s="193">
        <v>1</v>
      </c>
      <c r="O53" s="194">
        <v>0.5</v>
      </c>
      <c r="P53" s="195"/>
      <c r="Q53" s="196" t="s">
        <v>38</v>
      </c>
      <c r="R53" s="197">
        <v>1</v>
      </c>
      <c r="S53" s="198" t="s">
        <v>33</v>
      </c>
      <c r="T53" s="199"/>
      <c r="U53" s="200"/>
      <c r="V53" s="200"/>
      <c r="W53" s="200"/>
      <c r="X53" s="200"/>
      <c r="Y53" s="200"/>
      <c r="Z53" s="200"/>
      <c r="AA53" s="200"/>
      <c r="AB53" s="200"/>
      <c r="AC53" s="208"/>
      <c r="AD53" s="11" t="str">
        <f t="shared" si="3"/>
        <v>3</v>
      </c>
      <c r="AF53" t="str">
        <f t="shared" si="4"/>
        <v>80.01.ZZ.03</v>
      </c>
      <c r="AH53" t="str">
        <f t="shared" si="5"/>
        <v>00 de 01</v>
      </c>
    </row>
    <row r="54" spans="1:34" ht="34.5" x14ac:dyDescent="0.25">
      <c r="A54" s="139" t="s">
        <v>116</v>
      </c>
      <c r="B54" s="105" t="s">
        <v>122</v>
      </c>
      <c r="C54" s="63">
        <v>42</v>
      </c>
      <c r="D54" s="197" t="s">
        <v>206</v>
      </c>
      <c r="E54" s="189" t="s">
        <v>287</v>
      </c>
      <c r="F54" s="190" t="s">
        <v>123</v>
      </c>
      <c r="G54" s="189" t="s">
        <v>134</v>
      </c>
      <c r="H54" s="191">
        <v>39792</v>
      </c>
      <c r="I54" s="189" t="s">
        <v>218</v>
      </c>
      <c r="J54" s="189">
        <v>0</v>
      </c>
      <c r="K54" s="189">
        <v>10301</v>
      </c>
      <c r="L54" s="191">
        <v>3</v>
      </c>
      <c r="M54" s="192">
        <v>46092</v>
      </c>
      <c r="N54" s="193">
        <v>1</v>
      </c>
      <c r="O54" s="194">
        <v>0.5</v>
      </c>
      <c r="P54" s="195"/>
      <c r="Q54" s="196" t="s">
        <v>38</v>
      </c>
      <c r="R54" s="197">
        <v>1</v>
      </c>
      <c r="S54" s="198" t="s">
        <v>33</v>
      </c>
      <c r="T54" s="199"/>
      <c r="U54" s="200"/>
      <c r="V54" s="200"/>
      <c r="W54" s="200"/>
      <c r="X54" s="200"/>
      <c r="Y54" s="200"/>
      <c r="Z54" s="200"/>
      <c r="AA54" s="200"/>
      <c r="AB54" s="200"/>
      <c r="AC54" s="208"/>
      <c r="AD54" s="11" t="str">
        <f t="shared" si="3"/>
        <v>3</v>
      </c>
      <c r="AF54" t="str">
        <f t="shared" si="4"/>
        <v>80.01.ZZ.03</v>
      </c>
      <c r="AH54" t="str">
        <f t="shared" si="5"/>
        <v>00 de 01</v>
      </c>
    </row>
    <row r="55" spans="1:34" ht="34.5" x14ac:dyDescent="0.25">
      <c r="A55" s="139" t="s">
        <v>116</v>
      </c>
      <c r="B55" s="105" t="s">
        <v>122</v>
      </c>
      <c r="C55" s="63">
        <v>43</v>
      </c>
      <c r="D55" s="197" t="s">
        <v>206</v>
      </c>
      <c r="E55" s="189" t="s">
        <v>288</v>
      </c>
      <c r="F55" s="190" t="s">
        <v>123</v>
      </c>
      <c r="G55" s="189" t="s">
        <v>134</v>
      </c>
      <c r="H55" s="191">
        <v>39792</v>
      </c>
      <c r="I55" s="189" t="s">
        <v>218</v>
      </c>
      <c r="J55" s="189">
        <v>0</v>
      </c>
      <c r="K55" s="189">
        <v>10301</v>
      </c>
      <c r="L55" s="191">
        <v>3</v>
      </c>
      <c r="M55" s="192">
        <v>46092</v>
      </c>
      <c r="N55" s="193">
        <v>1</v>
      </c>
      <c r="O55" s="194">
        <v>0.5</v>
      </c>
      <c r="P55" s="195"/>
      <c r="Q55" s="196" t="s">
        <v>38</v>
      </c>
      <c r="R55" s="197">
        <v>1</v>
      </c>
      <c r="S55" s="198" t="s">
        <v>33</v>
      </c>
      <c r="T55" s="199"/>
      <c r="U55" s="200"/>
      <c r="V55" s="200"/>
      <c r="W55" s="200"/>
      <c r="X55" s="200"/>
      <c r="Y55" s="200"/>
      <c r="Z55" s="200"/>
      <c r="AA55" s="200"/>
      <c r="AB55" s="200"/>
      <c r="AC55" s="208"/>
      <c r="AD55" s="11" t="str">
        <f t="shared" si="3"/>
        <v>3</v>
      </c>
      <c r="AF55" t="str">
        <f t="shared" si="4"/>
        <v>80.01.ZZ.03</v>
      </c>
      <c r="AH55" t="str">
        <f t="shared" si="5"/>
        <v>00 de 01</v>
      </c>
    </row>
    <row r="56" spans="1:34" ht="34.5" x14ac:dyDescent="0.25">
      <c r="A56" s="139" t="s">
        <v>116</v>
      </c>
      <c r="B56" s="105" t="s">
        <v>122</v>
      </c>
      <c r="C56" s="63">
        <v>44</v>
      </c>
      <c r="D56" s="197" t="s">
        <v>206</v>
      </c>
      <c r="E56" s="189" t="s">
        <v>289</v>
      </c>
      <c r="F56" s="190" t="s">
        <v>123</v>
      </c>
      <c r="G56" s="189" t="s">
        <v>134</v>
      </c>
      <c r="H56" s="191">
        <v>39792</v>
      </c>
      <c r="I56" s="189" t="s">
        <v>218</v>
      </c>
      <c r="J56" s="189">
        <v>0</v>
      </c>
      <c r="K56" s="189">
        <v>10301</v>
      </c>
      <c r="L56" s="191">
        <v>3</v>
      </c>
      <c r="M56" s="192">
        <v>46092</v>
      </c>
      <c r="N56" s="193">
        <v>1</v>
      </c>
      <c r="O56" s="194">
        <v>0.5</v>
      </c>
      <c r="P56" s="195"/>
      <c r="Q56" s="196" t="s">
        <v>38</v>
      </c>
      <c r="R56" s="197">
        <v>1</v>
      </c>
      <c r="S56" s="198" t="s">
        <v>33</v>
      </c>
      <c r="T56" s="199"/>
      <c r="U56" s="200"/>
      <c r="V56" s="200"/>
      <c r="W56" s="200"/>
      <c r="X56" s="200"/>
      <c r="Y56" s="200"/>
      <c r="Z56" s="200"/>
      <c r="AA56" s="200"/>
      <c r="AB56" s="200"/>
      <c r="AC56" s="208"/>
      <c r="AD56" s="11" t="str">
        <f t="shared" si="3"/>
        <v>3</v>
      </c>
      <c r="AF56" t="str">
        <f t="shared" si="4"/>
        <v>80.01.ZZ.03</v>
      </c>
      <c r="AH56" t="str">
        <f t="shared" si="5"/>
        <v>00 de 01</v>
      </c>
    </row>
    <row r="57" spans="1:34" ht="34.5" x14ac:dyDescent="0.25">
      <c r="A57" s="139" t="s">
        <v>116</v>
      </c>
      <c r="B57" s="105" t="s">
        <v>122</v>
      </c>
      <c r="C57" s="63">
        <v>45</v>
      </c>
      <c r="D57" s="197" t="s">
        <v>206</v>
      </c>
      <c r="E57" s="189" t="s">
        <v>290</v>
      </c>
      <c r="F57" s="190" t="s">
        <v>123</v>
      </c>
      <c r="G57" s="189" t="s">
        <v>134</v>
      </c>
      <c r="H57" s="191">
        <v>39792</v>
      </c>
      <c r="I57" s="189" t="s">
        <v>218</v>
      </c>
      <c r="J57" s="189">
        <v>0</v>
      </c>
      <c r="K57" s="189">
        <v>10301</v>
      </c>
      <c r="L57" s="191">
        <v>3</v>
      </c>
      <c r="M57" s="192">
        <v>46092</v>
      </c>
      <c r="N57" s="193">
        <v>1</v>
      </c>
      <c r="O57" s="194">
        <v>0.5</v>
      </c>
      <c r="P57" s="195"/>
      <c r="Q57" s="196" t="s">
        <v>38</v>
      </c>
      <c r="R57" s="197">
        <v>1</v>
      </c>
      <c r="S57" s="198" t="s">
        <v>33</v>
      </c>
      <c r="T57" s="199"/>
      <c r="U57" s="200"/>
      <c r="V57" s="200"/>
      <c r="W57" s="200"/>
      <c r="X57" s="200"/>
      <c r="Y57" s="200"/>
      <c r="Z57" s="200"/>
      <c r="AA57" s="200"/>
      <c r="AB57" s="200"/>
      <c r="AC57" s="208"/>
      <c r="AD57" s="11" t="str">
        <f t="shared" si="3"/>
        <v>3</v>
      </c>
      <c r="AF57" t="str">
        <f t="shared" si="4"/>
        <v>80.01.ZZ.03</v>
      </c>
      <c r="AH57" t="str">
        <f t="shared" si="5"/>
        <v>00 de 01</v>
      </c>
    </row>
    <row r="58" spans="1:34" ht="34.5" x14ac:dyDescent="0.25">
      <c r="A58" s="139" t="s">
        <v>116</v>
      </c>
      <c r="B58" s="105" t="s">
        <v>122</v>
      </c>
      <c r="C58" s="63">
        <v>46</v>
      </c>
      <c r="D58" s="197" t="s">
        <v>206</v>
      </c>
      <c r="E58" s="189" t="s">
        <v>291</v>
      </c>
      <c r="F58" s="190" t="s">
        <v>123</v>
      </c>
      <c r="G58" s="189" t="s">
        <v>134</v>
      </c>
      <c r="H58" s="191">
        <v>39792</v>
      </c>
      <c r="I58" s="189" t="s">
        <v>218</v>
      </c>
      <c r="J58" s="189">
        <v>0</v>
      </c>
      <c r="K58" s="189">
        <v>10301</v>
      </c>
      <c r="L58" s="191">
        <v>3</v>
      </c>
      <c r="M58" s="192">
        <v>46092</v>
      </c>
      <c r="N58" s="193">
        <v>1</v>
      </c>
      <c r="O58" s="194">
        <v>0.5</v>
      </c>
      <c r="P58" s="195"/>
      <c r="Q58" s="196" t="s">
        <v>38</v>
      </c>
      <c r="R58" s="197">
        <v>1</v>
      </c>
      <c r="S58" s="198" t="s">
        <v>33</v>
      </c>
      <c r="T58" s="199"/>
      <c r="U58" s="200"/>
      <c r="V58" s="200"/>
      <c r="W58" s="200"/>
      <c r="X58" s="200"/>
      <c r="Y58" s="200"/>
      <c r="Z58" s="200"/>
      <c r="AA58" s="200"/>
      <c r="AB58" s="200"/>
      <c r="AC58" s="208"/>
      <c r="AD58" s="11" t="str">
        <f t="shared" si="3"/>
        <v>3</v>
      </c>
      <c r="AF58" t="str">
        <f t="shared" si="4"/>
        <v>80.01.ZZ.03</v>
      </c>
      <c r="AH58" t="str">
        <f t="shared" si="5"/>
        <v>00 de 01</v>
      </c>
    </row>
    <row r="59" spans="1:34" ht="34.5" x14ac:dyDescent="0.25">
      <c r="A59" s="139" t="s">
        <v>116</v>
      </c>
      <c r="B59" s="105" t="s">
        <v>122</v>
      </c>
      <c r="C59" s="63">
        <v>47</v>
      </c>
      <c r="D59" s="197" t="s">
        <v>206</v>
      </c>
      <c r="E59" s="189" t="s">
        <v>292</v>
      </c>
      <c r="F59" s="190" t="s">
        <v>123</v>
      </c>
      <c r="G59" s="189" t="s">
        <v>134</v>
      </c>
      <c r="H59" s="191">
        <v>39792</v>
      </c>
      <c r="I59" s="189" t="s">
        <v>218</v>
      </c>
      <c r="J59" s="189">
        <v>0</v>
      </c>
      <c r="K59" s="189">
        <v>10301</v>
      </c>
      <c r="L59" s="191">
        <v>3</v>
      </c>
      <c r="M59" s="192">
        <v>46092</v>
      </c>
      <c r="N59" s="193">
        <v>1</v>
      </c>
      <c r="O59" s="194">
        <v>0.5</v>
      </c>
      <c r="P59" s="195"/>
      <c r="Q59" s="196" t="s">
        <v>38</v>
      </c>
      <c r="R59" s="197">
        <v>1</v>
      </c>
      <c r="S59" s="198" t="s">
        <v>33</v>
      </c>
      <c r="T59" s="199"/>
      <c r="U59" s="200"/>
      <c r="V59" s="200"/>
      <c r="W59" s="200"/>
      <c r="X59" s="200"/>
      <c r="Y59" s="200"/>
      <c r="Z59" s="200"/>
      <c r="AA59" s="200"/>
      <c r="AB59" s="200"/>
      <c r="AC59" s="208"/>
      <c r="AD59" s="11" t="str">
        <f t="shared" si="3"/>
        <v>3</v>
      </c>
      <c r="AF59" t="str">
        <f t="shared" si="4"/>
        <v>80.01.ZZ.03</v>
      </c>
      <c r="AH59" t="str">
        <f t="shared" si="5"/>
        <v>00 de 01</v>
      </c>
    </row>
    <row r="60" spans="1:34" ht="34.5" x14ac:dyDescent="0.25">
      <c r="A60" s="139" t="s">
        <v>116</v>
      </c>
      <c r="B60" s="105" t="s">
        <v>122</v>
      </c>
      <c r="C60" s="63">
        <v>48</v>
      </c>
      <c r="D60" s="197" t="s">
        <v>206</v>
      </c>
      <c r="E60" s="189" t="s">
        <v>293</v>
      </c>
      <c r="F60" s="190" t="s">
        <v>123</v>
      </c>
      <c r="G60" s="189" t="s">
        <v>134</v>
      </c>
      <c r="H60" s="191">
        <v>39792</v>
      </c>
      <c r="I60" s="189" t="s">
        <v>218</v>
      </c>
      <c r="J60" s="189">
        <v>0</v>
      </c>
      <c r="K60" s="189">
        <v>10301</v>
      </c>
      <c r="L60" s="191">
        <v>3</v>
      </c>
      <c r="M60" s="192">
        <v>46092</v>
      </c>
      <c r="N60" s="193">
        <v>1</v>
      </c>
      <c r="O60" s="194">
        <v>0.5</v>
      </c>
      <c r="P60" s="195"/>
      <c r="Q60" s="196" t="s">
        <v>38</v>
      </c>
      <c r="R60" s="197">
        <v>1</v>
      </c>
      <c r="S60" s="198" t="s">
        <v>33</v>
      </c>
      <c r="T60" s="199"/>
      <c r="U60" s="200"/>
      <c r="V60" s="200"/>
      <c r="W60" s="200"/>
      <c r="X60" s="200"/>
      <c r="Y60" s="200"/>
      <c r="Z60" s="200"/>
      <c r="AA60" s="200"/>
      <c r="AB60" s="200"/>
      <c r="AC60" s="208"/>
      <c r="AD60" s="11" t="str">
        <f t="shared" si="3"/>
        <v>3</v>
      </c>
      <c r="AF60" t="str">
        <f t="shared" si="4"/>
        <v>80.01.ZZ.03</v>
      </c>
      <c r="AH60" t="str">
        <f t="shared" si="5"/>
        <v>00 de 01</v>
      </c>
    </row>
    <row r="61" spans="1:34" ht="34.5" x14ac:dyDescent="0.25">
      <c r="A61" s="139" t="s">
        <v>116</v>
      </c>
      <c r="B61" s="105" t="s">
        <v>122</v>
      </c>
      <c r="C61" s="63">
        <v>49</v>
      </c>
      <c r="D61" s="197" t="s">
        <v>206</v>
      </c>
      <c r="E61" s="189" t="s">
        <v>294</v>
      </c>
      <c r="F61" s="190" t="s">
        <v>123</v>
      </c>
      <c r="G61" s="189" t="s">
        <v>134</v>
      </c>
      <c r="H61" s="191">
        <v>39792</v>
      </c>
      <c r="I61" s="189" t="s">
        <v>218</v>
      </c>
      <c r="J61" s="189">
        <v>0</v>
      </c>
      <c r="K61" s="189">
        <v>10301</v>
      </c>
      <c r="L61" s="191">
        <v>3</v>
      </c>
      <c r="M61" s="192">
        <v>46092</v>
      </c>
      <c r="N61" s="193">
        <v>1</v>
      </c>
      <c r="O61" s="194">
        <v>0.5</v>
      </c>
      <c r="P61" s="195"/>
      <c r="Q61" s="196" t="s">
        <v>38</v>
      </c>
      <c r="R61" s="197">
        <v>1</v>
      </c>
      <c r="S61" s="198" t="s">
        <v>33</v>
      </c>
      <c r="T61" s="199"/>
      <c r="U61" s="200"/>
      <c r="V61" s="200"/>
      <c r="W61" s="200"/>
      <c r="X61" s="200"/>
      <c r="Y61" s="200"/>
      <c r="Z61" s="200"/>
      <c r="AA61" s="200"/>
      <c r="AB61" s="200"/>
      <c r="AC61" s="208"/>
      <c r="AD61" s="11" t="str">
        <f t="shared" si="3"/>
        <v>3</v>
      </c>
      <c r="AF61" t="str">
        <f t="shared" si="4"/>
        <v>80.01.ZZ.03</v>
      </c>
      <c r="AH61" t="str">
        <f t="shared" si="5"/>
        <v>00 de 01</v>
      </c>
    </row>
    <row r="62" spans="1:34" ht="34.5" x14ac:dyDescent="0.25">
      <c r="A62" s="139" t="s">
        <v>116</v>
      </c>
      <c r="B62" s="105" t="s">
        <v>122</v>
      </c>
      <c r="C62" s="63">
        <v>50</v>
      </c>
      <c r="D62" s="197" t="s">
        <v>206</v>
      </c>
      <c r="E62" s="189" t="s">
        <v>295</v>
      </c>
      <c r="F62" s="190" t="s">
        <v>123</v>
      </c>
      <c r="G62" s="189" t="s">
        <v>134</v>
      </c>
      <c r="H62" s="191">
        <v>39792</v>
      </c>
      <c r="I62" s="189" t="s">
        <v>218</v>
      </c>
      <c r="J62" s="189">
        <v>0</v>
      </c>
      <c r="K62" s="189">
        <v>10301</v>
      </c>
      <c r="L62" s="191">
        <v>3</v>
      </c>
      <c r="M62" s="192">
        <v>46092</v>
      </c>
      <c r="N62" s="193">
        <v>1</v>
      </c>
      <c r="O62" s="194">
        <v>0.5</v>
      </c>
      <c r="P62" s="195"/>
      <c r="Q62" s="196" t="s">
        <v>38</v>
      </c>
      <c r="R62" s="197">
        <v>1</v>
      </c>
      <c r="S62" s="198" t="s">
        <v>33</v>
      </c>
      <c r="T62" s="199"/>
      <c r="U62" s="200"/>
      <c r="V62" s="200"/>
      <c r="W62" s="200"/>
      <c r="X62" s="200"/>
      <c r="Y62" s="200"/>
      <c r="Z62" s="200"/>
      <c r="AA62" s="200"/>
      <c r="AB62" s="200"/>
      <c r="AC62" s="208"/>
      <c r="AD62" s="11" t="str">
        <f t="shared" si="3"/>
        <v>3</v>
      </c>
      <c r="AF62" t="str">
        <f t="shared" si="4"/>
        <v>80.01.ZZ.03</v>
      </c>
      <c r="AH62" t="str">
        <f t="shared" si="5"/>
        <v>00 de 01</v>
      </c>
    </row>
    <row r="63" spans="1:34" ht="34.5" x14ac:dyDescent="0.25">
      <c r="A63" s="139" t="s">
        <v>116</v>
      </c>
      <c r="B63" s="105" t="s">
        <v>122</v>
      </c>
      <c r="C63" s="63">
        <v>51</v>
      </c>
      <c r="D63" s="197" t="s">
        <v>206</v>
      </c>
      <c r="E63" s="189" t="s">
        <v>296</v>
      </c>
      <c r="F63" s="190" t="s">
        <v>123</v>
      </c>
      <c r="G63" s="189" t="s">
        <v>134</v>
      </c>
      <c r="H63" s="191">
        <v>39792</v>
      </c>
      <c r="I63" s="189" t="s">
        <v>218</v>
      </c>
      <c r="J63" s="189">
        <v>0</v>
      </c>
      <c r="K63" s="189">
        <v>10301</v>
      </c>
      <c r="L63" s="191">
        <v>3</v>
      </c>
      <c r="M63" s="192">
        <v>46092</v>
      </c>
      <c r="N63" s="193">
        <v>1</v>
      </c>
      <c r="O63" s="194">
        <v>0.5</v>
      </c>
      <c r="P63" s="195"/>
      <c r="Q63" s="196" t="s">
        <v>38</v>
      </c>
      <c r="R63" s="197">
        <v>1</v>
      </c>
      <c r="S63" s="198" t="s">
        <v>33</v>
      </c>
      <c r="T63" s="199"/>
      <c r="U63" s="200"/>
      <c r="V63" s="200"/>
      <c r="W63" s="200"/>
      <c r="X63" s="200"/>
      <c r="Y63" s="200"/>
      <c r="Z63" s="200"/>
      <c r="AA63" s="200"/>
      <c r="AB63" s="200"/>
      <c r="AC63" s="208"/>
      <c r="AD63" s="11" t="str">
        <f t="shared" si="3"/>
        <v>3</v>
      </c>
      <c r="AF63" t="str">
        <f t="shared" si="4"/>
        <v>80.01.ZZ.03</v>
      </c>
      <c r="AH63" t="str">
        <f t="shared" si="5"/>
        <v>00 de 01</v>
      </c>
    </row>
    <row r="64" spans="1:34" ht="34.5" x14ac:dyDescent="0.25">
      <c r="A64" s="139" t="s">
        <v>116</v>
      </c>
      <c r="B64" s="105" t="s">
        <v>122</v>
      </c>
      <c r="C64" s="63">
        <v>52</v>
      </c>
      <c r="D64" s="197" t="s">
        <v>206</v>
      </c>
      <c r="E64" s="189" t="s">
        <v>297</v>
      </c>
      <c r="F64" s="190" t="s">
        <v>123</v>
      </c>
      <c r="G64" s="189" t="s">
        <v>134</v>
      </c>
      <c r="H64" s="191">
        <v>39792</v>
      </c>
      <c r="I64" s="189" t="s">
        <v>218</v>
      </c>
      <c r="J64" s="189">
        <v>0</v>
      </c>
      <c r="K64" s="189">
        <v>10301</v>
      </c>
      <c r="L64" s="191">
        <v>3</v>
      </c>
      <c r="M64" s="192">
        <v>46092</v>
      </c>
      <c r="N64" s="193">
        <v>1</v>
      </c>
      <c r="O64" s="194">
        <v>0.5</v>
      </c>
      <c r="P64" s="195"/>
      <c r="Q64" s="196" t="s">
        <v>38</v>
      </c>
      <c r="R64" s="197">
        <v>1</v>
      </c>
      <c r="S64" s="198" t="s">
        <v>33</v>
      </c>
      <c r="T64" s="199"/>
      <c r="U64" s="200"/>
      <c r="V64" s="200"/>
      <c r="W64" s="200"/>
      <c r="X64" s="200"/>
      <c r="Y64" s="200"/>
      <c r="Z64" s="200"/>
      <c r="AA64" s="200"/>
      <c r="AB64" s="200"/>
      <c r="AC64" s="208"/>
      <c r="AD64" s="11" t="str">
        <f t="shared" si="3"/>
        <v>3</v>
      </c>
      <c r="AF64" t="str">
        <f t="shared" si="4"/>
        <v>80.01.ZZ.03</v>
      </c>
      <c r="AH64" t="str">
        <f t="shared" si="5"/>
        <v>00 de 01</v>
      </c>
    </row>
    <row r="65" spans="1:34" ht="34.5" x14ac:dyDescent="0.25">
      <c r="A65" s="139" t="s">
        <v>116</v>
      </c>
      <c r="B65" s="105" t="s">
        <v>122</v>
      </c>
      <c r="C65" s="63">
        <v>53</v>
      </c>
      <c r="D65" s="197" t="s">
        <v>206</v>
      </c>
      <c r="E65" s="189" t="s">
        <v>298</v>
      </c>
      <c r="F65" s="190" t="s">
        <v>123</v>
      </c>
      <c r="G65" s="189" t="s">
        <v>134</v>
      </c>
      <c r="H65" s="191">
        <v>39792</v>
      </c>
      <c r="I65" s="189" t="s">
        <v>218</v>
      </c>
      <c r="J65" s="189">
        <v>0</v>
      </c>
      <c r="K65" s="189">
        <v>10301</v>
      </c>
      <c r="L65" s="191">
        <v>3</v>
      </c>
      <c r="M65" s="192">
        <v>46092</v>
      </c>
      <c r="N65" s="193">
        <v>1</v>
      </c>
      <c r="O65" s="194">
        <v>0.5</v>
      </c>
      <c r="P65" s="195"/>
      <c r="Q65" s="196" t="s">
        <v>38</v>
      </c>
      <c r="R65" s="197">
        <v>1</v>
      </c>
      <c r="S65" s="198" t="s">
        <v>33</v>
      </c>
      <c r="T65" s="199"/>
      <c r="U65" s="200"/>
      <c r="V65" s="200"/>
      <c r="W65" s="200"/>
      <c r="X65" s="200"/>
      <c r="Y65" s="200"/>
      <c r="Z65" s="200"/>
      <c r="AA65" s="200"/>
      <c r="AB65" s="200"/>
      <c r="AC65" s="208"/>
      <c r="AD65" s="11" t="str">
        <f t="shared" si="3"/>
        <v>3</v>
      </c>
      <c r="AF65" t="str">
        <f t="shared" si="4"/>
        <v>80.01.ZZ.03</v>
      </c>
      <c r="AH65" t="str">
        <f t="shared" si="5"/>
        <v>00 de 01</v>
      </c>
    </row>
    <row r="66" spans="1:34" ht="34.5" x14ac:dyDescent="0.25">
      <c r="A66" s="139" t="s">
        <v>116</v>
      </c>
      <c r="B66" s="105" t="s">
        <v>122</v>
      </c>
      <c r="C66" s="63">
        <v>54</v>
      </c>
      <c r="D66" s="197" t="s">
        <v>206</v>
      </c>
      <c r="E66" s="189" t="s">
        <v>299</v>
      </c>
      <c r="F66" s="190" t="s">
        <v>123</v>
      </c>
      <c r="G66" s="189" t="s">
        <v>134</v>
      </c>
      <c r="H66" s="191">
        <v>39792</v>
      </c>
      <c r="I66" s="189" t="s">
        <v>218</v>
      </c>
      <c r="J66" s="189">
        <v>0</v>
      </c>
      <c r="K66" s="189">
        <v>10301</v>
      </c>
      <c r="L66" s="191">
        <v>3</v>
      </c>
      <c r="M66" s="192">
        <v>46092</v>
      </c>
      <c r="N66" s="193">
        <v>1</v>
      </c>
      <c r="O66" s="194">
        <v>0.5</v>
      </c>
      <c r="P66" s="195"/>
      <c r="Q66" s="196" t="s">
        <v>38</v>
      </c>
      <c r="R66" s="197">
        <v>1</v>
      </c>
      <c r="S66" s="198" t="s">
        <v>33</v>
      </c>
      <c r="T66" s="199"/>
      <c r="U66" s="200"/>
      <c r="V66" s="200"/>
      <c r="W66" s="200"/>
      <c r="X66" s="200"/>
      <c r="Y66" s="200"/>
      <c r="Z66" s="200"/>
      <c r="AA66" s="200"/>
      <c r="AB66" s="200"/>
      <c r="AC66" s="208"/>
      <c r="AD66" s="11" t="str">
        <f t="shared" si="3"/>
        <v>3</v>
      </c>
      <c r="AF66" t="str">
        <f t="shared" si="4"/>
        <v>80.01.ZZ.03</v>
      </c>
      <c r="AH66" t="str">
        <f t="shared" si="5"/>
        <v>00 de 01</v>
      </c>
    </row>
    <row r="67" spans="1:34" ht="34.5" x14ac:dyDescent="0.25">
      <c r="A67" s="139" t="s">
        <v>116</v>
      </c>
      <c r="B67" s="105" t="s">
        <v>122</v>
      </c>
      <c r="C67" s="63">
        <v>55</v>
      </c>
      <c r="D67" s="197" t="s">
        <v>206</v>
      </c>
      <c r="E67" s="189" t="s">
        <v>300</v>
      </c>
      <c r="F67" s="190" t="s">
        <v>123</v>
      </c>
      <c r="G67" s="189" t="s">
        <v>134</v>
      </c>
      <c r="H67" s="191">
        <v>39792</v>
      </c>
      <c r="I67" s="189" t="s">
        <v>218</v>
      </c>
      <c r="J67" s="189">
        <v>0</v>
      </c>
      <c r="K67" s="189">
        <v>10301</v>
      </c>
      <c r="L67" s="191">
        <v>3</v>
      </c>
      <c r="M67" s="192">
        <v>46092</v>
      </c>
      <c r="N67" s="193">
        <v>1</v>
      </c>
      <c r="O67" s="194">
        <v>0.5</v>
      </c>
      <c r="P67" s="195"/>
      <c r="Q67" s="196" t="s">
        <v>38</v>
      </c>
      <c r="R67" s="197">
        <v>1</v>
      </c>
      <c r="S67" s="198" t="s">
        <v>33</v>
      </c>
      <c r="T67" s="199"/>
      <c r="U67" s="200"/>
      <c r="V67" s="200"/>
      <c r="W67" s="200"/>
      <c r="X67" s="200"/>
      <c r="Y67" s="200"/>
      <c r="Z67" s="200"/>
      <c r="AA67" s="200"/>
      <c r="AB67" s="200"/>
      <c r="AC67" s="208"/>
      <c r="AD67" s="11" t="str">
        <f t="shared" si="3"/>
        <v>3</v>
      </c>
      <c r="AF67" t="str">
        <f t="shared" si="4"/>
        <v>80.01.ZZ.03</v>
      </c>
      <c r="AH67" t="str">
        <f t="shared" si="5"/>
        <v>00 de 01</v>
      </c>
    </row>
    <row r="68" spans="1:34" ht="34.5" x14ac:dyDescent="0.25">
      <c r="A68" s="139" t="s">
        <v>116</v>
      </c>
      <c r="B68" s="105" t="s">
        <v>122</v>
      </c>
      <c r="C68" s="63">
        <v>56</v>
      </c>
      <c r="D68" s="197" t="s">
        <v>206</v>
      </c>
      <c r="E68" s="189" t="s">
        <v>301</v>
      </c>
      <c r="F68" s="190" t="s">
        <v>123</v>
      </c>
      <c r="G68" s="189" t="s">
        <v>134</v>
      </c>
      <c r="H68" s="191">
        <v>39792</v>
      </c>
      <c r="I68" s="189" t="s">
        <v>218</v>
      </c>
      <c r="J68" s="189">
        <v>0</v>
      </c>
      <c r="K68" s="189">
        <v>10301</v>
      </c>
      <c r="L68" s="191">
        <v>3</v>
      </c>
      <c r="M68" s="192">
        <v>46092</v>
      </c>
      <c r="N68" s="193">
        <v>1</v>
      </c>
      <c r="O68" s="194">
        <v>0.5</v>
      </c>
      <c r="P68" s="195"/>
      <c r="Q68" s="196" t="s">
        <v>38</v>
      </c>
      <c r="R68" s="197">
        <v>1</v>
      </c>
      <c r="S68" s="198" t="s">
        <v>33</v>
      </c>
      <c r="T68" s="199"/>
      <c r="U68" s="200"/>
      <c r="V68" s="200"/>
      <c r="W68" s="200"/>
      <c r="X68" s="200"/>
      <c r="Y68" s="200"/>
      <c r="Z68" s="200"/>
      <c r="AA68" s="200"/>
      <c r="AB68" s="200"/>
      <c r="AC68" s="208"/>
      <c r="AD68" s="11" t="str">
        <f t="shared" si="3"/>
        <v>3</v>
      </c>
      <c r="AF68" t="str">
        <f t="shared" si="4"/>
        <v>80.01.ZZ.03</v>
      </c>
      <c r="AH68" t="str">
        <f t="shared" si="5"/>
        <v>00 de 01</v>
      </c>
    </row>
    <row r="69" spans="1:34" ht="34.5" x14ac:dyDescent="0.25">
      <c r="A69" s="139" t="s">
        <v>116</v>
      </c>
      <c r="B69" s="105" t="s">
        <v>122</v>
      </c>
      <c r="C69" s="63">
        <v>57</v>
      </c>
      <c r="D69" s="197" t="s">
        <v>206</v>
      </c>
      <c r="E69" s="189" t="s">
        <v>302</v>
      </c>
      <c r="F69" s="190" t="s">
        <v>123</v>
      </c>
      <c r="G69" s="189" t="s">
        <v>134</v>
      </c>
      <c r="H69" s="191">
        <v>39792</v>
      </c>
      <c r="I69" s="189" t="s">
        <v>218</v>
      </c>
      <c r="J69" s="189">
        <v>0</v>
      </c>
      <c r="K69" s="189">
        <v>10301</v>
      </c>
      <c r="L69" s="191">
        <v>3</v>
      </c>
      <c r="M69" s="192">
        <v>46092</v>
      </c>
      <c r="N69" s="193">
        <v>1</v>
      </c>
      <c r="O69" s="194">
        <v>0.5</v>
      </c>
      <c r="P69" s="195"/>
      <c r="Q69" s="196" t="s">
        <v>38</v>
      </c>
      <c r="R69" s="197">
        <v>1</v>
      </c>
      <c r="S69" s="198" t="s">
        <v>33</v>
      </c>
      <c r="T69" s="199"/>
      <c r="U69" s="200"/>
      <c r="V69" s="200"/>
      <c r="W69" s="200"/>
      <c r="X69" s="200"/>
      <c r="Y69" s="200"/>
      <c r="Z69" s="200"/>
      <c r="AA69" s="200"/>
      <c r="AB69" s="200"/>
      <c r="AC69" s="208"/>
      <c r="AD69" s="11" t="str">
        <f t="shared" si="3"/>
        <v>3</v>
      </c>
      <c r="AF69" t="str">
        <f t="shared" si="4"/>
        <v>80.01.ZZ.03</v>
      </c>
      <c r="AH69" t="str">
        <f t="shared" si="5"/>
        <v>00 de 01</v>
      </c>
    </row>
    <row r="70" spans="1:34" ht="34.5" x14ac:dyDescent="0.25">
      <c r="A70" s="139" t="s">
        <v>116</v>
      </c>
      <c r="B70" s="105" t="s">
        <v>122</v>
      </c>
      <c r="C70" s="63">
        <v>58</v>
      </c>
      <c r="D70" s="197" t="s">
        <v>206</v>
      </c>
      <c r="E70" s="189" t="s">
        <v>303</v>
      </c>
      <c r="F70" s="190" t="s">
        <v>123</v>
      </c>
      <c r="G70" s="189" t="s">
        <v>134</v>
      </c>
      <c r="H70" s="191">
        <v>39792</v>
      </c>
      <c r="I70" s="189" t="s">
        <v>218</v>
      </c>
      <c r="J70" s="189">
        <v>0</v>
      </c>
      <c r="K70" s="189">
        <v>10301</v>
      </c>
      <c r="L70" s="191">
        <v>3</v>
      </c>
      <c r="M70" s="192">
        <v>46092</v>
      </c>
      <c r="N70" s="193">
        <v>1</v>
      </c>
      <c r="O70" s="194">
        <v>0.5</v>
      </c>
      <c r="P70" s="195"/>
      <c r="Q70" s="196" t="s">
        <v>38</v>
      </c>
      <c r="R70" s="197">
        <v>1</v>
      </c>
      <c r="S70" s="198" t="s">
        <v>33</v>
      </c>
      <c r="T70" s="199"/>
      <c r="U70" s="200"/>
      <c r="V70" s="200"/>
      <c r="W70" s="200"/>
      <c r="X70" s="200"/>
      <c r="Y70" s="200"/>
      <c r="Z70" s="200"/>
      <c r="AA70" s="200"/>
      <c r="AB70" s="200"/>
      <c r="AC70" s="208"/>
      <c r="AD70" s="11" t="str">
        <f t="shared" si="3"/>
        <v>3</v>
      </c>
      <c r="AF70" t="str">
        <f t="shared" si="4"/>
        <v>80.01.ZZ.03</v>
      </c>
      <c r="AH70" t="str">
        <f t="shared" si="5"/>
        <v>00 de 01</v>
      </c>
    </row>
    <row r="71" spans="1:34" ht="34.5" x14ac:dyDescent="0.25">
      <c r="A71" s="139" t="s">
        <v>116</v>
      </c>
      <c r="B71" s="105" t="s">
        <v>122</v>
      </c>
      <c r="C71" s="63">
        <v>59</v>
      </c>
      <c r="D71" s="197" t="s">
        <v>206</v>
      </c>
      <c r="E71" s="189" t="s">
        <v>304</v>
      </c>
      <c r="F71" s="190" t="s">
        <v>123</v>
      </c>
      <c r="G71" s="189" t="s">
        <v>134</v>
      </c>
      <c r="H71" s="191">
        <v>39792</v>
      </c>
      <c r="I71" s="189" t="s">
        <v>218</v>
      </c>
      <c r="J71" s="189">
        <v>0</v>
      </c>
      <c r="K71" s="189">
        <v>10301</v>
      </c>
      <c r="L71" s="191">
        <v>3</v>
      </c>
      <c r="M71" s="192">
        <v>46092</v>
      </c>
      <c r="N71" s="193">
        <v>1</v>
      </c>
      <c r="O71" s="194">
        <v>0.5</v>
      </c>
      <c r="P71" s="195"/>
      <c r="Q71" s="196" t="s">
        <v>38</v>
      </c>
      <c r="R71" s="197">
        <v>1</v>
      </c>
      <c r="S71" s="198" t="s">
        <v>33</v>
      </c>
      <c r="T71" s="199"/>
      <c r="U71" s="200"/>
      <c r="V71" s="200"/>
      <c r="W71" s="200"/>
      <c r="X71" s="200"/>
      <c r="Y71" s="200"/>
      <c r="Z71" s="200"/>
      <c r="AA71" s="200"/>
      <c r="AB71" s="200"/>
      <c r="AC71" s="208"/>
      <c r="AD71" s="11" t="str">
        <f t="shared" si="3"/>
        <v>3</v>
      </c>
      <c r="AF71" t="str">
        <f t="shared" si="4"/>
        <v>80.01.ZZ.03</v>
      </c>
      <c r="AH71" t="str">
        <f t="shared" si="5"/>
        <v>00 de 01</v>
      </c>
    </row>
    <row r="72" spans="1:34" ht="34.5" x14ac:dyDescent="0.25">
      <c r="A72" s="139" t="s">
        <v>116</v>
      </c>
      <c r="B72" s="105" t="s">
        <v>122</v>
      </c>
      <c r="C72" s="63">
        <v>60</v>
      </c>
      <c r="D72" s="197" t="s">
        <v>206</v>
      </c>
      <c r="E72" s="189" t="s">
        <v>305</v>
      </c>
      <c r="F72" s="190" t="s">
        <v>123</v>
      </c>
      <c r="G72" s="189" t="s">
        <v>134</v>
      </c>
      <c r="H72" s="191">
        <v>39792</v>
      </c>
      <c r="I72" s="189" t="s">
        <v>218</v>
      </c>
      <c r="J72" s="189">
        <v>0</v>
      </c>
      <c r="K72" s="189">
        <v>10301</v>
      </c>
      <c r="L72" s="191">
        <v>3</v>
      </c>
      <c r="M72" s="192">
        <v>46092</v>
      </c>
      <c r="N72" s="193">
        <v>1</v>
      </c>
      <c r="O72" s="194">
        <v>0.5</v>
      </c>
      <c r="P72" s="195"/>
      <c r="Q72" s="196" t="s">
        <v>38</v>
      </c>
      <c r="R72" s="197">
        <v>1</v>
      </c>
      <c r="S72" s="198" t="s">
        <v>33</v>
      </c>
      <c r="T72" s="199"/>
      <c r="U72" s="200"/>
      <c r="V72" s="200"/>
      <c r="W72" s="200"/>
      <c r="X72" s="200"/>
      <c r="Y72" s="200"/>
      <c r="Z72" s="200"/>
      <c r="AA72" s="200"/>
      <c r="AB72" s="200"/>
      <c r="AC72" s="208"/>
      <c r="AD72" s="11" t="str">
        <f t="shared" si="3"/>
        <v>3</v>
      </c>
      <c r="AF72" t="str">
        <f t="shared" si="4"/>
        <v>80.01.ZZ.03</v>
      </c>
      <c r="AH72" t="str">
        <f t="shared" si="5"/>
        <v>00 de 01</v>
      </c>
    </row>
    <row r="73" spans="1:34" ht="34.5" x14ac:dyDescent="0.25">
      <c r="A73" s="139" t="s">
        <v>116</v>
      </c>
      <c r="B73" s="105" t="s">
        <v>122</v>
      </c>
      <c r="C73" s="63">
        <v>61</v>
      </c>
      <c r="D73" s="197" t="s">
        <v>206</v>
      </c>
      <c r="E73" s="189" t="s">
        <v>306</v>
      </c>
      <c r="F73" s="190" t="s">
        <v>123</v>
      </c>
      <c r="G73" s="189" t="s">
        <v>134</v>
      </c>
      <c r="H73" s="191">
        <v>39792</v>
      </c>
      <c r="I73" s="189" t="s">
        <v>218</v>
      </c>
      <c r="J73" s="189">
        <v>0</v>
      </c>
      <c r="K73" s="189">
        <v>10301</v>
      </c>
      <c r="L73" s="191">
        <v>3</v>
      </c>
      <c r="M73" s="192">
        <v>46092</v>
      </c>
      <c r="N73" s="193">
        <v>1</v>
      </c>
      <c r="O73" s="194">
        <v>0.5</v>
      </c>
      <c r="P73" s="195"/>
      <c r="Q73" s="196" t="s">
        <v>38</v>
      </c>
      <c r="R73" s="197">
        <v>1</v>
      </c>
      <c r="S73" s="198" t="s">
        <v>33</v>
      </c>
      <c r="T73" s="199"/>
      <c r="U73" s="200"/>
      <c r="V73" s="200"/>
      <c r="W73" s="200"/>
      <c r="X73" s="200"/>
      <c r="Y73" s="200"/>
      <c r="Z73" s="200"/>
      <c r="AA73" s="200"/>
      <c r="AB73" s="200"/>
      <c r="AC73" s="208"/>
      <c r="AD73" s="11" t="str">
        <f t="shared" si="3"/>
        <v>3</v>
      </c>
      <c r="AF73" t="str">
        <f t="shared" si="4"/>
        <v>80.01.ZZ.03</v>
      </c>
      <c r="AH73" t="str">
        <f t="shared" si="5"/>
        <v>00 de 01</v>
      </c>
    </row>
    <row r="74" spans="1:34" ht="34.5" x14ac:dyDescent="0.25">
      <c r="A74" s="139" t="s">
        <v>116</v>
      </c>
      <c r="B74" s="105" t="s">
        <v>122</v>
      </c>
      <c r="C74" s="63">
        <v>62</v>
      </c>
      <c r="D74" s="197" t="s">
        <v>206</v>
      </c>
      <c r="E74" s="189" t="s">
        <v>307</v>
      </c>
      <c r="F74" s="190" t="s">
        <v>123</v>
      </c>
      <c r="G74" s="189" t="s">
        <v>134</v>
      </c>
      <c r="H74" s="191">
        <v>39792</v>
      </c>
      <c r="I74" s="189" t="s">
        <v>218</v>
      </c>
      <c r="J74" s="189">
        <v>0</v>
      </c>
      <c r="K74" s="189">
        <v>10301</v>
      </c>
      <c r="L74" s="191">
        <v>3</v>
      </c>
      <c r="M74" s="192">
        <v>46092</v>
      </c>
      <c r="N74" s="193">
        <v>1</v>
      </c>
      <c r="O74" s="194">
        <v>0.5</v>
      </c>
      <c r="P74" s="195"/>
      <c r="Q74" s="196" t="s">
        <v>38</v>
      </c>
      <c r="R74" s="197">
        <v>1</v>
      </c>
      <c r="S74" s="198" t="s">
        <v>33</v>
      </c>
      <c r="T74" s="199"/>
      <c r="U74" s="200"/>
      <c r="V74" s="200"/>
      <c r="W74" s="200"/>
      <c r="X74" s="200"/>
      <c r="Y74" s="200"/>
      <c r="Z74" s="200"/>
      <c r="AA74" s="200"/>
      <c r="AB74" s="200"/>
      <c r="AC74" s="208"/>
      <c r="AD74" s="11" t="str">
        <f t="shared" si="3"/>
        <v>3</v>
      </c>
      <c r="AF74" t="str">
        <f t="shared" si="4"/>
        <v>80.01.ZZ.03</v>
      </c>
      <c r="AH74" t="str">
        <f t="shared" si="5"/>
        <v>00 de 01</v>
      </c>
    </row>
    <row r="75" spans="1:34" ht="34.5" x14ac:dyDescent="0.25">
      <c r="A75" s="139" t="s">
        <v>116</v>
      </c>
      <c r="B75" s="105" t="s">
        <v>122</v>
      </c>
      <c r="C75" s="63">
        <v>63</v>
      </c>
      <c r="D75" s="197" t="s">
        <v>206</v>
      </c>
      <c r="E75" s="189" t="s">
        <v>308</v>
      </c>
      <c r="F75" s="190" t="s">
        <v>123</v>
      </c>
      <c r="G75" s="189" t="s">
        <v>134</v>
      </c>
      <c r="H75" s="191">
        <v>39792</v>
      </c>
      <c r="I75" s="189" t="s">
        <v>218</v>
      </c>
      <c r="J75" s="189">
        <v>0</v>
      </c>
      <c r="K75" s="189">
        <v>10401</v>
      </c>
      <c r="L75" s="191">
        <v>3</v>
      </c>
      <c r="M75" s="192">
        <v>46092</v>
      </c>
      <c r="N75" s="193">
        <v>1</v>
      </c>
      <c r="O75" s="194">
        <v>0.5</v>
      </c>
      <c r="P75" s="195"/>
      <c r="Q75" s="196" t="s">
        <v>38</v>
      </c>
      <c r="R75" s="197">
        <v>1</v>
      </c>
      <c r="S75" s="198" t="s">
        <v>33</v>
      </c>
      <c r="T75" s="199"/>
      <c r="U75" s="200"/>
      <c r="V75" s="200"/>
      <c r="W75" s="200"/>
      <c r="X75" s="200"/>
      <c r="Y75" s="200"/>
      <c r="Z75" s="200"/>
      <c r="AA75" s="200"/>
      <c r="AB75" s="200"/>
      <c r="AC75" s="208"/>
      <c r="AD75" s="11" t="str">
        <f t="shared" si="3"/>
        <v>3</v>
      </c>
      <c r="AF75" t="str">
        <f t="shared" si="4"/>
        <v>80.01.ZZ.03</v>
      </c>
      <c r="AH75" t="str">
        <f t="shared" si="5"/>
        <v>00 de 01</v>
      </c>
    </row>
    <row r="76" spans="1:34" ht="34.5" x14ac:dyDescent="0.25">
      <c r="A76" s="139" t="s">
        <v>116</v>
      </c>
      <c r="B76" s="105" t="s">
        <v>122</v>
      </c>
      <c r="C76" s="63">
        <v>64</v>
      </c>
      <c r="D76" s="197" t="s">
        <v>206</v>
      </c>
      <c r="E76" s="189" t="s">
        <v>309</v>
      </c>
      <c r="F76" s="190" t="s">
        <v>123</v>
      </c>
      <c r="G76" s="189" t="s">
        <v>134</v>
      </c>
      <c r="H76" s="191">
        <v>39792</v>
      </c>
      <c r="I76" s="189" t="s">
        <v>218</v>
      </c>
      <c r="J76" s="189">
        <v>0</v>
      </c>
      <c r="K76" s="189">
        <v>10401</v>
      </c>
      <c r="L76" s="191">
        <v>3</v>
      </c>
      <c r="M76" s="192">
        <v>46092</v>
      </c>
      <c r="N76" s="193">
        <v>1</v>
      </c>
      <c r="O76" s="194">
        <v>0.5</v>
      </c>
      <c r="P76" s="195"/>
      <c r="Q76" s="196" t="s">
        <v>38</v>
      </c>
      <c r="R76" s="197">
        <v>1</v>
      </c>
      <c r="S76" s="198" t="s">
        <v>33</v>
      </c>
      <c r="T76" s="199"/>
      <c r="U76" s="200"/>
      <c r="V76" s="200"/>
      <c r="W76" s="200"/>
      <c r="X76" s="200"/>
      <c r="Y76" s="200"/>
      <c r="Z76" s="200"/>
      <c r="AA76" s="200"/>
      <c r="AB76" s="200"/>
      <c r="AC76" s="208"/>
      <c r="AD76" s="11" t="str">
        <f t="shared" si="3"/>
        <v>3</v>
      </c>
      <c r="AF76" t="str">
        <f t="shared" si="4"/>
        <v>80.01.ZZ.03</v>
      </c>
      <c r="AH76" t="str">
        <f t="shared" si="5"/>
        <v>00 de 01</v>
      </c>
    </row>
    <row r="77" spans="1:34" ht="34.5" x14ac:dyDescent="0.25">
      <c r="A77" s="139" t="s">
        <v>116</v>
      </c>
      <c r="B77" s="105" t="s">
        <v>122</v>
      </c>
      <c r="C77" s="63">
        <v>65</v>
      </c>
      <c r="D77" s="197" t="s">
        <v>206</v>
      </c>
      <c r="E77" s="189" t="s">
        <v>310</v>
      </c>
      <c r="F77" s="190" t="s">
        <v>123</v>
      </c>
      <c r="G77" s="189" t="s">
        <v>134</v>
      </c>
      <c r="H77" s="191">
        <v>39792</v>
      </c>
      <c r="I77" s="189" t="s">
        <v>218</v>
      </c>
      <c r="J77" s="189">
        <v>0</v>
      </c>
      <c r="K77" s="189">
        <v>10401</v>
      </c>
      <c r="L77" s="191">
        <v>3</v>
      </c>
      <c r="M77" s="192">
        <v>46092</v>
      </c>
      <c r="N77" s="193">
        <v>1</v>
      </c>
      <c r="O77" s="194">
        <v>0.5</v>
      </c>
      <c r="P77" s="195"/>
      <c r="Q77" s="196" t="s">
        <v>38</v>
      </c>
      <c r="R77" s="197">
        <v>1</v>
      </c>
      <c r="S77" s="198" t="s">
        <v>33</v>
      </c>
      <c r="T77" s="199"/>
      <c r="U77" s="200"/>
      <c r="V77" s="200"/>
      <c r="W77" s="200"/>
      <c r="X77" s="200"/>
      <c r="Y77" s="200"/>
      <c r="Z77" s="200"/>
      <c r="AA77" s="200"/>
      <c r="AB77" s="200"/>
      <c r="AC77" s="208"/>
      <c r="AD77" s="11" t="str">
        <f t="shared" si="3"/>
        <v>3</v>
      </c>
      <c r="AF77" t="str">
        <f t="shared" si="4"/>
        <v>80.01.ZZ.03</v>
      </c>
      <c r="AH77" t="str">
        <f t="shared" si="5"/>
        <v>00 de 01</v>
      </c>
    </row>
    <row r="78" spans="1:34" ht="34.5" x14ac:dyDescent="0.25">
      <c r="A78" s="139" t="s">
        <v>116</v>
      </c>
      <c r="B78" s="105" t="s">
        <v>122</v>
      </c>
      <c r="C78" s="63">
        <v>66</v>
      </c>
      <c r="D78" s="197" t="s">
        <v>206</v>
      </c>
      <c r="E78" s="189" t="s">
        <v>311</v>
      </c>
      <c r="F78" s="190" t="s">
        <v>123</v>
      </c>
      <c r="G78" s="189" t="s">
        <v>134</v>
      </c>
      <c r="H78" s="191">
        <v>39792</v>
      </c>
      <c r="I78" s="189" t="s">
        <v>218</v>
      </c>
      <c r="J78" s="189">
        <v>0</v>
      </c>
      <c r="K78" s="189">
        <v>10401</v>
      </c>
      <c r="L78" s="191">
        <v>3</v>
      </c>
      <c r="M78" s="192">
        <v>46092</v>
      </c>
      <c r="N78" s="193">
        <v>1</v>
      </c>
      <c r="O78" s="194">
        <v>0.5</v>
      </c>
      <c r="P78" s="195"/>
      <c r="Q78" s="196" t="s">
        <v>38</v>
      </c>
      <c r="R78" s="197">
        <v>1</v>
      </c>
      <c r="S78" s="198" t="s">
        <v>33</v>
      </c>
      <c r="T78" s="199"/>
      <c r="U78" s="200"/>
      <c r="V78" s="200"/>
      <c r="W78" s="200"/>
      <c r="X78" s="200"/>
      <c r="Y78" s="200"/>
      <c r="Z78" s="200"/>
      <c r="AA78" s="200"/>
      <c r="AB78" s="200"/>
      <c r="AC78" s="208"/>
      <c r="AD78" s="11" t="str">
        <f t="shared" si="3"/>
        <v>3</v>
      </c>
      <c r="AF78" t="str">
        <f t="shared" si="4"/>
        <v>80.01.ZZ.03</v>
      </c>
      <c r="AH78" t="str">
        <f t="shared" si="5"/>
        <v>00 de 01</v>
      </c>
    </row>
    <row r="79" spans="1:34" ht="34.5" x14ac:dyDescent="0.25">
      <c r="A79" s="139" t="s">
        <v>116</v>
      </c>
      <c r="B79" s="105" t="s">
        <v>122</v>
      </c>
      <c r="C79" s="63">
        <v>67</v>
      </c>
      <c r="D79" s="197" t="s">
        <v>206</v>
      </c>
      <c r="E79" s="189" t="s">
        <v>312</v>
      </c>
      <c r="F79" s="190" t="s">
        <v>123</v>
      </c>
      <c r="G79" s="189" t="s">
        <v>134</v>
      </c>
      <c r="H79" s="191">
        <v>39792</v>
      </c>
      <c r="I79" s="189" t="s">
        <v>218</v>
      </c>
      <c r="J79" s="189">
        <v>0</v>
      </c>
      <c r="K79" s="189">
        <v>10401</v>
      </c>
      <c r="L79" s="191">
        <v>3</v>
      </c>
      <c r="M79" s="192">
        <v>46092</v>
      </c>
      <c r="N79" s="193">
        <v>1</v>
      </c>
      <c r="O79" s="194">
        <v>0.5</v>
      </c>
      <c r="P79" s="195"/>
      <c r="Q79" s="196" t="s">
        <v>38</v>
      </c>
      <c r="R79" s="197">
        <v>1</v>
      </c>
      <c r="S79" s="198" t="s">
        <v>33</v>
      </c>
      <c r="T79" s="199"/>
      <c r="U79" s="200"/>
      <c r="V79" s="200"/>
      <c r="W79" s="200"/>
      <c r="X79" s="200"/>
      <c r="Y79" s="200"/>
      <c r="Z79" s="200"/>
      <c r="AA79" s="200"/>
      <c r="AB79" s="200"/>
      <c r="AC79" s="208"/>
      <c r="AD79" s="11" t="str">
        <f t="shared" si="3"/>
        <v>3</v>
      </c>
      <c r="AF79" t="str">
        <f t="shared" si="4"/>
        <v>80.01.ZZ.03</v>
      </c>
      <c r="AH79" t="str">
        <f t="shared" si="5"/>
        <v>00 de 01</v>
      </c>
    </row>
    <row r="80" spans="1:34" ht="34.5" x14ac:dyDescent="0.25">
      <c r="A80" s="139" t="s">
        <v>116</v>
      </c>
      <c r="B80" s="105" t="s">
        <v>122</v>
      </c>
      <c r="C80" s="63">
        <v>68</v>
      </c>
      <c r="D80" s="197" t="s">
        <v>206</v>
      </c>
      <c r="E80" s="189" t="s">
        <v>313</v>
      </c>
      <c r="F80" s="190" t="s">
        <v>123</v>
      </c>
      <c r="G80" s="189" t="s">
        <v>134</v>
      </c>
      <c r="H80" s="191">
        <v>39792</v>
      </c>
      <c r="I80" s="189" t="s">
        <v>218</v>
      </c>
      <c r="J80" s="189">
        <v>0</v>
      </c>
      <c r="K80" s="189">
        <v>10401</v>
      </c>
      <c r="L80" s="191">
        <v>3</v>
      </c>
      <c r="M80" s="192">
        <v>46092</v>
      </c>
      <c r="N80" s="193">
        <v>1</v>
      </c>
      <c r="O80" s="194">
        <v>0.5</v>
      </c>
      <c r="P80" s="195"/>
      <c r="Q80" s="196" t="s">
        <v>38</v>
      </c>
      <c r="R80" s="197">
        <v>1</v>
      </c>
      <c r="S80" s="198" t="s">
        <v>33</v>
      </c>
      <c r="T80" s="199"/>
      <c r="U80" s="200"/>
      <c r="V80" s="200"/>
      <c r="W80" s="200"/>
      <c r="X80" s="200"/>
      <c r="Y80" s="200"/>
      <c r="Z80" s="200"/>
      <c r="AA80" s="200"/>
      <c r="AB80" s="200"/>
      <c r="AC80" s="208"/>
      <c r="AD80" s="11" t="str">
        <f t="shared" si="3"/>
        <v>3</v>
      </c>
      <c r="AF80" t="str">
        <f t="shared" si="4"/>
        <v>80.01.ZZ.03</v>
      </c>
      <c r="AH80" t="str">
        <f t="shared" si="5"/>
        <v>00 de 01</v>
      </c>
    </row>
    <row r="81" spans="1:34" ht="34.5" x14ac:dyDescent="0.25">
      <c r="A81" s="139" t="s">
        <v>116</v>
      </c>
      <c r="B81" s="105" t="s">
        <v>122</v>
      </c>
      <c r="C81" s="63">
        <v>69</v>
      </c>
      <c r="D81" s="197" t="s">
        <v>206</v>
      </c>
      <c r="E81" s="189" t="s">
        <v>314</v>
      </c>
      <c r="F81" s="190" t="s">
        <v>123</v>
      </c>
      <c r="G81" s="189" t="s">
        <v>134</v>
      </c>
      <c r="H81" s="191">
        <v>39792</v>
      </c>
      <c r="I81" s="189" t="s">
        <v>218</v>
      </c>
      <c r="J81" s="189">
        <v>0</v>
      </c>
      <c r="K81" s="189">
        <v>10401</v>
      </c>
      <c r="L81" s="191">
        <v>3</v>
      </c>
      <c r="M81" s="192">
        <v>46092</v>
      </c>
      <c r="N81" s="193">
        <v>1</v>
      </c>
      <c r="O81" s="194">
        <v>0.5</v>
      </c>
      <c r="P81" s="195"/>
      <c r="Q81" s="196" t="s">
        <v>38</v>
      </c>
      <c r="R81" s="197">
        <v>1</v>
      </c>
      <c r="S81" s="198" t="s">
        <v>33</v>
      </c>
      <c r="T81" s="199"/>
      <c r="U81" s="200"/>
      <c r="V81" s="200"/>
      <c r="W81" s="200"/>
      <c r="X81" s="200"/>
      <c r="Y81" s="200"/>
      <c r="Z81" s="200"/>
      <c r="AA81" s="200"/>
      <c r="AB81" s="200"/>
      <c r="AC81" s="208"/>
      <c r="AD81" s="11" t="str">
        <f t="shared" si="3"/>
        <v>3</v>
      </c>
      <c r="AF81" t="str">
        <f t="shared" si="4"/>
        <v>80.01.ZZ.03</v>
      </c>
      <c r="AH81" t="str">
        <f t="shared" si="5"/>
        <v>00 de 01</v>
      </c>
    </row>
    <row r="82" spans="1:34" ht="34.5" x14ac:dyDescent="0.25">
      <c r="A82" s="139" t="s">
        <v>116</v>
      </c>
      <c r="B82" s="105" t="s">
        <v>122</v>
      </c>
      <c r="C82" s="63">
        <v>70</v>
      </c>
      <c r="D82" s="197" t="s">
        <v>206</v>
      </c>
      <c r="E82" s="189" t="s">
        <v>315</v>
      </c>
      <c r="F82" s="190" t="s">
        <v>123</v>
      </c>
      <c r="G82" s="189" t="s">
        <v>134</v>
      </c>
      <c r="H82" s="191">
        <v>39792</v>
      </c>
      <c r="I82" s="189" t="s">
        <v>218</v>
      </c>
      <c r="J82" s="189">
        <v>0</v>
      </c>
      <c r="K82" s="189">
        <v>10401</v>
      </c>
      <c r="L82" s="191">
        <v>3</v>
      </c>
      <c r="M82" s="192">
        <v>46092</v>
      </c>
      <c r="N82" s="193">
        <v>1</v>
      </c>
      <c r="O82" s="194">
        <v>0.5</v>
      </c>
      <c r="P82" s="195"/>
      <c r="Q82" s="196" t="s">
        <v>38</v>
      </c>
      <c r="R82" s="197">
        <v>1</v>
      </c>
      <c r="S82" s="198" t="s">
        <v>33</v>
      </c>
      <c r="T82" s="199"/>
      <c r="U82" s="200"/>
      <c r="V82" s="200"/>
      <c r="W82" s="200"/>
      <c r="X82" s="200"/>
      <c r="Y82" s="200"/>
      <c r="Z82" s="200"/>
      <c r="AA82" s="200"/>
      <c r="AB82" s="200"/>
      <c r="AC82" s="208"/>
      <c r="AD82" s="11" t="str">
        <f t="shared" si="3"/>
        <v>3</v>
      </c>
      <c r="AF82" t="str">
        <f t="shared" si="4"/>
        <v>80.01.ZZ.03</v>
      </c>
      <c r="AH82" t="str">
        <f t="shared" si="5"/>
        <v>00 de 01</v>
      </c>
    </row>
    <row r="83" spans="1:34" ht="34.5" x14ac:dyDescent="0.25">
      <c r="A83" s="139" t="s">
        <v>116</v>
      </c>
      <c r="B83" s="105" t="s">
        <v>122</v>
      </c>
      <c r="C83" s="63">
        <v>71</v>
      </c>
      <c r="D83" s="197" t="s">
        <v>206</v>
      </c>
      <c r="E83" s="189" t="s">
        <v>316</v>
      </c>
      <c r="F83" s="190" t="s">
        <v>123</v>
      </c>
      <c r="G83" s="189" t="s">
        <v>134</v>
      </c>
      <c r="H83" s="191">
        <v>39792</v>
      </c>
      <c r="I83" s="189" t="s">
        <v>218</v>
      </c>
      <c r="J83" s="189">
        <v>0</v>
      </c>
      <c r="K83" s="189">
        <v>10401</v>
      </c>
      <c r="L83" s="191">
        <v>3</v>
      </c>
      <c r="M83" s="192">
        <v>46092</v>
      </c>
      <c r="N83" s="193">
        <v>1</v>
      </c>
      <c r="O83" s="194">
        <v>0.5</v>
      </c>
      <c r="P83" s="195"/>
      <c r="Q83" s="196" t="s">
        <v>38</v>
      </c>
      <c r="R83" s="197">
        <v>1</v>
      </c>
      <c r="S83" s="198" t="s">
        <v>33</v>
      </c>
      <c r="T83" s="199"/>
      <c r="U83" s="200"/>
      <c r="V83" s="200"/>
      <c r="W83" s="200"/>
      <c r="X83" s="200"/>
      <c r="Y83" s="200"/>
      <c r="Z83" s="200"/>
      <c r="AA83" s="200"/>
      <c r="AB83" s="200"/>
      <c r="AC83" s="208"/>
      <c r="AD83" s="11" t="str">
        <f t="shared" si="3"/>
        <v>3</v>
      </c>
      <c r="AF83" t="str">
        <f t="shared" si="4"/>
        <v>80.01.ZZ.03</v>
      </c>
      <c r="AH83" t="str">
        <f t="shared" si="5"/>
        <v>00 de 01</v>
      </c>
    </row>
    <row r="84" spans="1:34" ht="34.5" x14ac:dyDescent="0.25">
      <c r="A84" s="139" t="s">
        <v>116</v>
      </c>
      <c r="B84" s="105" t="s">
        <v>122</v>
      </c>
      <c r="C84" s="63">
        <v>72</v>
      </c>
      <c r="D84" s="197" t="s">
        <v>206</v>
      </c>
      <c r="E84" s="189" t="s">
        <v>317</v>
      </c>
      <c r="F84" s="190" t="s">
        <v>123</v>
      </c>
      <c r="G84" s="189" t="s">
        <v>134</v>
      </c>
      <c r="H84" s="191">
        <v>39792</v>
      </c>
      <c r="I84" s="189" t="s">
        <v>218</v>
      </c>
      <c r="J84" s="189">
        <v>0</v>
      </c>
      <c r="K84" s="189">
        <v>10401</v>
      </c>
      <c r="L84" s="191">
        <v>3</v>
      </c>
      <c r="M84" s="192">
        <v>46092</v>
      </c>
      <c r="N84" s="193">
        <v>1</v>
      </c>
      <c r="O84" s="194">
        <v>0.5</v>
      </c>
      <c r="P84" s="195"/>
      <c r="Q84" s="196" t="s">
        <v>38</v>
      </c>
      <c r="R84" s="197">
        <v>1</v>
      </c>
      <c r="S84" s="198" t="s">
        <v>33</v>
      </c>
      <c r="T84" s="199"/>
      <c r="U84" s="200"/>
      <c r="V84" s="200"/>
      <c r="W84" s="200"/>
      <c r="X84" s="200"/>
      <c r="Y84" s="200"/>
      <c r="Z84" s="200"/>
      <c r="AA84" s="200"/>
      <c r="AB84" s="200"/>
      <c r="AC84" s="208"/>
      <c r="AD84" s="11" t="str">
        <f t="shared" si="3"/>
        <v>3</v>
      </c>
      <c r="AF84" t="str">
        <f t="shared" si="4"/>
        <v>80.01.ZZ.03</v>
      </c>
      <c r="AH84" t="str">
        <f t="shared" si="5"/>
        <v>00 de 01</v>
      </c>
    </row>
    <row r="85" spans="1:34" ht="34.5" x14ac:dyDescent="0.25">
      <c r="A85" s="139" t="s">
        <v>116</v>
      </c>
      <c r="B85" s="105" t="s">
        <v>122</v>
      </c>
      <c r="C85" s="63">
        <v>73</v>
      </c>
      <c r="D85" s="197" t="s">
        <v>206</v>
      </c>
      <c r="E85" s="189" t="s">
        <v>318</v>
      </c>
      <c r="F85" s="190" t="s">
        <v>123</v>
      </c>
      <c r="G85" s="189" t="s">
        <v>134</v>
      </c>
      <c r="H85" s="191">
        <v>39792</v>
      </c>
      <c r="I85" s="189" t="s">
        <v>218</v>
      </c>
      <c r="J85" s="189">
        <v>0</v>
      </c>
      <c r="K85" s="189">
        <v>10401</v>
      </c>
      <c r="L85" s="191">
        <v>3</v>
      </c>
      <c r="M85" s="192">
        <v>46092</v>
      </c>
      <c r="N85" s="193">
        <v>1</v>
      </c>
      <c r="O85" s="194">
        <v>0.5</v>
      </c>
      <c r="P85" s="195"/>
      <c r="Q85" s="196" t="s">
        <v>38</v>
      </c>
      <c r="R85" s="197">
        <v>1</v>
      </c>
      <c r="S85" s="198" t="s">
        <v>33</v>
      </c>
      <c r="T85" s="199"/>
      <c r="U85" s="200"/>
      <c r="V85" s="200"/>
      <c r="W85" s="200"/>
      <c r="X85" s="200"/>
      <c r="Y85" s="200"/>
      <c r="Z85" s="200"/>
      <c r="AA85" s="200"/>
      <c r="AB85" s="200"/>
      <c r="AC85" s="208"/>
      <c r="AD85" s="11" t="str">
        <f t="shared" si="3"/>
        <v>3</v>
      </c>
      <c r="AF85" t="str">
        <f t="shared" si="4"/>
        <v>80.01.ZZ.03</v>
      </c>
      <c r="AH85" t="str">
        <f t="shared" si="5"/>
        <v>00 de 01</v>
      </c>
    </row>
    <row r="86" spans="1:34" ht="34.5" x14ac:dyDescent="0.25">
      <c r="A86" s="139" t="s">
        <v>116</v>
      </c>
      <c r="B86" s="105" t="s">
        <v>122</v>
      </c>
      <c r="C86" s="63">
        <v>74</v>
      </c>
      <c r="D86" s="197" t="s">
        <v>206</v>
      </c>
      <c r="E86" s="189" t="s">
        <v>319</v>
      </c>
      <c r="F86" s="190" t="s">
        <v>123</v>
      </c>
      <c r="G86" s="189" t="s">
        <v>134</v>
      </c>
      <c r="H86" s="191">
        <v>39792</v>
      </c>
      <c r="I86" s="189" t="s">
        <v>218</v>
      </c>
      <c r="J86" s="189">
        <v>0</v>
      </c>
      <c r="K86" s="189">
        <v>10401</v>
      </c>
      <c r="L86" s="191">
        <v>3</v>
      </c>
      <c r="M86" s="192">
        <v>46092</v>
      </c>
      <c r="N86" s="193">
        <v>1</v>
      </c>
      <c r="O86" s="194">
        <v>0.5</v>
      </c>
      <c r="P86" s="195"/>
      <c r="Q86" s="196" t="s">
        <v>38</v>
      </c>
      <c r="R86" s="197">
        <v>1</v>
      </c>
      <c r="S86" s="198" t="s">
        <v>33</v>
      </c>
      <c r="T86" s="199"/>
      <c r="U86" s="200"/>
      <c r="V86" s="200"/>
      <c r="W86" s="200"/>
      <c r="X86" s="200"/>
      <c r="Y86" s="200"/>
      <c r="Z86" s="200"/>
      <c r="AA86" s="200"/>
      <c r="AB86" s="200"/>
      <c r="AC86" s="208"/>
      <c r="AD86" s="11" t="str">
        <f t="shared" si="3"/>
        <v>3</v>
      </c>
      <c r="AF86" t="str">
        <f t="shared" si="4"/>
        <v>80.01.ZZ.03</v>
      </c>
      <c r="AH86" t="str">
        <f t="shared" si="5"/>
        <v>00 de 01</v>
      </c>
    </row>
    <row r="87" spans="1:34" ht="34.5" x14ac:dyDescent="0.25">
      <c r="A87" s="139" t="s">
        <v>116</v>
      </c>
      <c r="B87" s="105" t="s">
        <v>122</v>
      </c>
      <c r="C87" s="63">
        <v>75</v>
      </c>
      <c r="D87" s="197" t="s">
        <v>206</v>
      </c>
      <c r="E87" s="189" t="s">
        <v>320</v>
      </c>
      <c r="F87" s="190" t="s">
        <v>123</v>
      </c>
      <c r="G87" s="189" t="s">
        <v>134</v>
      </c>
      <c r="H87" s="191">
        <v>39792</v>
      </c>
      <c r="I87" s="189" t="s">
        <v>218</v>
      </c>
      <c r="J87" s="189">
        <v>0</v>
      </c>
      <c r="K87" s="189">
        <v>10401</v>
      </c>
      <c r="L87" s="191">
        <v>3</v>
      </c>
      <c r="M87" s="192">
        <v>46092</v>
      </c>
      <c r="N87" s="193">
        <v>1</v>
      </c>
      <c r="O87" s="194">
        <v>0.5</v>
      </c>
      <c r="P87" s="195"/>
      <c r="Q87" s="196" t="s">
        <v>38</v>
      </c>
      <c r="R87" s="197">
        <v>1</v>
      </c>
      <c r="S87" s="198" t="s">
        <v>33</v>
      </c>
      <c r="T87" s="199"/>
      <c r="U87" s="200"/>
      <c r="V87" s="200"/>
      <c r="W87" s="200"/>
      <c r="X87" s="200"/>
      <c r="Y87" s="200"/>
      <c r="Z87" s="200"/>
      <c r="AA87" s="200"/>
      <c r="AB87" s="200"/>
      <c r="AC87" s="208"/>
      <c r="AD87" s="11" t="str">
        <f t="shared" si="3"/>
        <v>3</v>
      </c>
      <c r="AF87" t="str">
        <f t="shared" si="4"/>
        <v>80.01.ZZ.03</v>
      </c>
      <c r="AH87" t="str">
        <f t="shared" si="5"/>
        <v>00 de 01</v>
      </c>
    </row>
    <row r="88" spans="1:34" ht="34.5" x14ac:dyDescent="0.25">
      <c r="A88" s="139" t="s">
        <v>116</v>
      </c>
      <c r="B88" s="105" t="s">
        <v>122</v>
      </c>
      <c r="C88" s="63">
        <v>76</v>
      </c>
      <c r="D88" s="197" t="s">
        <v>206</v>
      </c>
      <c r="E88" s="189" t="s">
        <v>321</v>
      </c>
      <c r="F88" s="190" t="s">
        <v>123</v>
      </c>
      <c r="G88" s="189" t="s">
        <v>134</v>
      </c>
      <c r="H88" s="191">
        <v>39792</v>
      </c>
      <c r="I88" s="189" t="s">
        <v>218</v>
      </c>
      <c r="J88" s="189">
        <v>0</v>
      </c>
      <c r="K88" s="189">
        <v>10401</v>
      </c>
      <c r="L88" s="191">
        <v>3</v>
      </c>
      <c r="M88" s="192">
        <v>46092</v>
      </c>
      <c r="N88" s="193">
        <v>1</v>
      </c>
      <c r="O88" s="194">
        <v>0.5</v>
      </c>
      <c r="P88" s="195"/>
      <c r="Q88" s="196" t="s">
        <v>38</v>
      </c>
      <c r="R88" s="197">
        <v>1</v>
      </c>
      <c r="S88" s="198" t="s">
        <v>33</v>
      </c>
      <c r="T88" s="199"/>
      <c r="U88" s="200"/>
      <c r="V88" s="200"/>
      <c r="W88" s="200"/>
      <c r="X88" s="200"/>
      <c r="Y88" s="200"/>
      <c r="Z88" s="200"/>
      <c r="AA88" s="200"/>
      <c r="AB88" s="200"/>
      <c r="AC88" s="208"/>
      <c r="AD88" s="11" t="str">
        <f t="shared" si="3"/>
        <v>3</v>
      </c>
      <c r="AF88" t="str">
        <f t="shared" si="4"/>
        <v>80.01.ZZ.03</v>
      </c>
      <c r="AH88" t="str">
        <f t="shared" si="5"/>
        <v>00 de 01</v>
      </c>
    </row>
    <row r="89" spans="1:34" ht="34.5" x14ac:dyDescent="0.25">
      <c r="A89" s="139" t="s">
        <v>116</v>
      </c>
      <c r="B89" s="105" t="s">
        <v>122</v>
      </c>
      <c r="C89" s="63">
        <v>77</v>
      </c>
      <c r="D89" s="197" t="s">
        <v>206</v>
      </c>
      <c r="E89" s="189" t="s">
        <v>322</v>
      </c>
      <c r="F89" s="190" t="s">
        <v>123</v>
      </c>
      <c r="G89" s="189" t="s">
        <v>134</v>
      </c>
      <c r="H89" s="191">
        <v>39792</v>
      </c>
      <c r="I89" s="189" t="s">
        <v>218</v>
      </c>
      <c r="J89" s="189">
        <v>0</v>
      </c>
      <c r="K89" s="189">
        <v>10401</v>
      </c>
      <c r="L89" s="191">
        <v>3</v>
      </c>
      <c r="M89" s="192">
        <v>46092</v>
      </c>
      <c r="N89" s="193">
        <v>1</v>
      </c>
      <c r="O89" s="194">
        <v>0.5</v>
      </c>
      <c r="P89" s="195"/>
      <c r="Q89" s="196" t="s">
        <v>38</v>
      </c>
      <c r="R89" s="197">
        <v>1</v>
      </c>
      <c r="S89" s="198" t="s">
        <v>33</v>
      </c>
      <c r="T89" s="199"/>
      <c r="U89" s="200"/>
      <c r="V89" s="200"/>
      <c r="W89" s="200"/>
      <c r="X89" s="200"/>
      <c r="Y89" s="200"/>
      <c r="Z89" s="200"/>
      <c r="AA89" s="200"/>
      <c r="AB89" s="200"/>
      <c r="AC89" s="208"/>
      <c r="AD89" s="11" t="str">
        <f t="shared" si="3"/>
        <v>3</v>
      </c>
      <c r="AF89" t="str">
        <f t="shared" si="4"/>
        <v>80.01.ZZ.03</v>
      </c>
      <c r="AH89" t="str">
        <f t="shared" si="5"/>
        <v>00 de 01</v>
      </c>
    </row>
    <row r="90" spans="1:34" ht="34.5" x14ac:dyDescent="0.25">
      <c r="A90" s="139" t="s">
        <v>116</v>
      </c>
      <c r="B90" s="105" t="s">
        <v>122</v>
      </c>
      <c r="C90" s="63">
        <v>78</v>
      </c>
      <c r="D90" s="197" t="s">
        <v>206</v>
      </c>
      <c r="E90" s="189" t="s">
        <v>323</v>
      </c>
      <c r="F90" s="190" t="s">
        <v>123</v>
      </c>
      <c r="G90" s="189" t="s">
        <v>134</v>
      </c>
      <c r="H90" s="191">
        <v>39792</v>
      </c>
      <c r="I90" s="189" t="s">
        <v>218</v>
      </c>
      <c r="J90" s="189">
        <v>0</v>
      </c>
      <c r="K90" s="189">
        <v>10401</v>
      </c>
      <c r="L90" s="191">
        <v>3</v>
      </c>
      <c r="M90" s="192">
        <v>46092</v>
      </c>
      <c r="N90" s="193">
        <v>1</v>
      </c>
      <c r="O90" s="194">
        <v>0.5</v>
      </c>
      <c r="P90" s="195"/>
      <c r="Q90" s="196" t="s">
        <v>38</v>
      </c>
      <c r="R90" s="197">
        <v>1</v>
      </c>
      <c r="S90" s="198" t="s">
        <v>33</v>
      </c>
      <c r="T90" s="199"/>
      <c r="U90" s="200"/>
      <c r="V90" s="200"/>
      <c r="W90" s="200"/>
      <c r="X90" s="200"/>
      <c r="Y90" s="200"/>
      <c r="Z90" s="200"/>
      <c r="AA90" s="200"/>
      <c r="AB90" s="200"/>
      <c r="AC90" s="208"/>
      <c r="AD90" s="11" t="str">
        <f t="shared" si="3"/>
        <v>3</v>
      </c>
      <c r="AF90" t="str">
        <f t="shared" si="4"/>
        <v>80.01.ZZ.03</v>
      </c>
      <c r="AH90" t="str">
        <f t="shared" si="5"/>
        <v>00 de 01</v>
      </c>
    </row>
    <row r="91" spans="1:34" ht="34.5" x14ac:dyDescent="0.25">
      <c r="A91" s="139" t="s">
        <v>116</v>
      </c>
      <c r="B91" s="105" t="s">
        <v>122</v>
      </c>
      <c r="C91" s="63">
        <v>79</v>
      </c>
      <c r="D91" s="197" t="s">
        <v>206</v>
      </c>
      <c r="E91" s="189" t="s">
        <v>324</v>
      </c>
      <c r="F91" s="190" t="s">
        <v>123</v>
      </c>
      <c r="G91" s="189" t="s">
        <v>134</v>
      </c>
      <c r="H91" s="191">
        <v>39792</v>
      </c>
      <c r="I91" s="189" t="s">
        <v>218</v>
      </c>
      <c r="J91" s="189">
        <v>0</v>
      </c>
      <c r="K91" s="189">
        <v>10401</v>
      </c>
      <c r="L91" s="191">
        <v>3</v>
      </c>
      <c r="M91" s="192">
        <v>46092</v>
      </c>
      <c r="N91" s="193">
        <v>1</v>
      </c>
      <c r="O91" s="194">
        <v>0.5</v>
      </c>
      <c r="P91" s="195"/>
      <c r="Q91" s="196" t="s">
        <v>38</v>
      </c>
      <c r="R91" s="197">
        <v>1</v>
      </c>
      <c r="S91" s="198" t="s">
        <v>33</v>
      </c>
      <c r="T91" s="199"/>
      <c r="U91" s="200"/>
      <c r="V91" s="200"/>
      <c r="W91" s="200"/>
      <c r="X91" s="200"/>
      <c r="Y91" s="200"/>
      <c r="Z91" s="200"/>
      <c r="AA91" s="200"/>
      <c r="AB91" s="200"/>
      <c r="AC91" s="208"/>
      <c r="AD91" s="11" t="str">
        <f t="shared" si="3"/>
        <v>3</v>
      </c>
      <c r="AF91" t="str">
        <f t="shared" si="4"/>
        <v>80.01.ZZ.03</v>
      </c>
      <c r="AH91" t="str">
        <f t="shared" si="5"/>
        <v>00 de 01</v>
      </c>
    </row>
    <row r="92" spans="1:34" ht="34.5" x14ac:dyDescent="0.25">
      <c r="A92" s="139" t="s">
        <v>116</v>
      </c>
      <c r="B92" s="105" t="s">
        <v>122</v>
      </c>
      <c r="C92" s="63">
        <v>80</v>
      </c>
      <c r="D92" s="197" t="s">
        <v>206</v>
      </c>
      <c r="E92" s="189" t="s">
        <v>325</v>
      </c>
      <c r="F92" s="190" t="s">
        <v>123</v>
      </c>
      <c r="G92" s="189" t="s">
        <v>134</v>
      </c>
      <c r="H92" s="191">
        <v>39792</v>
      </c>
      <c r="I92" s="189" t="s">
        <v>218</v>
      </c>
      <c r="J92" s="189">
        <v>0</v>
      </c>
      <c r="K92" s="189">
        <v>10401</v>
      </c>
      <c r="L92" s="191">
        <v>3</v>
      </c>
      <c r="M92" s="192">
        <v>46092</v>
      </c>
      <c r="N92" s="193">
        <v>1</v>
      </c>
      <c r="O92" s="194">
        <v>0.5</v>
      </c>
      <c r="P92" s="195"/>
      <c r="Q92" s="196" t="s">
        <v>38</v>
      </c>
      <c r="R92" s="197">
        <v>1</v>
      </c>
      <c r="S92" s="198" t="s">
        <v>33</v>
      </c>
      <c r="T92" s="199"/>
      <c r="U92" s="200"/>
      <c r="V92" s="200"/>
      <c r="W92" s="200"/>
      <c r="X92" s="200"/>
      <c r="Y92" s="200"/>
      <c r="Z92" s="200"/>
      <c r="AA92" s="200"/>
      <c r="AB92" s="200"/>
      <c r="AC92" s="208"/>
      <c r="AD92" s="11" t="str">
        <f t="shared" si="3"/>
        <v>3</v>
      </c>
      <c r="AF92" t="str">
        <f t="shared" si="4"/>
        <v>80.01.ZZ.03</v>
      </c>
      <c r="AH92" t="str">
        <f t="shared" si="5"/>
        <v>00 de 01</v>
      </c>
    </row>
    <row r="93" spans="1:34" ht="34.5" x14ac:dyDescent="0.25">
      <c r="A93" s="139" t="s">
        <v>116</v>
      </c>
      <c r="B93" s="105" t="s">
        <v>122</v>
      </c>
      <c r="C93" s="63">
        <v>81</v>
      </c>
      <c r="D93" s="197" t="s">
        <v>206</v>
      </c>
      <c r="E93" s="189" t="s">
        <v>326</v>
      </c>
      <c r="F93" s="190" t="s">
        <v>123</v>
      </c>
      <c r="G93" s="189" t="s">
        <v>134</v>
      </c>
      <c r="H93" s="191">
        <v>39792</v>
      </c>
      <c r="I93" s="189" t="s">
        <v>218</v>
      </c>
      <c r="J93" s="189">
        <v>0</v>
      </c>
      <c r="K93" s="189">
        <v>10401</v>
      </c>
      <c r="L93" s="191">
        <v>3</v>
      </c>
      <c r="M93" s="192">
        <v>46092</v>
      </c>
      <c r="N93" s="193">
        <v>1</v>
      </c>
      <c r="O93" s="194">
        <v>0.5</v>
      </c>
      <c r="P93" s="195"/>
      <c r="Q93" s="196" t="s">
        <v>38</v>
      </c>
      <c r="R93" s="197">
        <v>1</v>
      </c>
      <c r="S93" s="198" t="s">
        <v>33</v>
      </c>
      <c r="T93" s="199"/>
      <c r="U93" s="200"/>
      <c r="V93" s="200"/>
      <c r="W93" s="200"/>
      <c r="X93" s="200"/>
      <c r="Y93" s="200"/>
      <c r="Z93" s="200"/>
      <c r="AA93" s="200"/>
      <c r="AB93" s="200"/>
      <c r="AC93" s="208"/>
      <c r="AD93" s="11" t="str">
        <f t="shared" si="3"/>
        <v>3</v>
      </c>
      <c r="AF93" t="str">
        <f t="shared" si="4"/>
        <v>80.01.ZZ.03</v>
      </c>
      <c r="AH93" t="str">
        <f t="shared" si="5"/>
        <v>00 de 01</v>
      </c>
    </row>
    <row r="94" spans="1:34" ht="34.5" x14ac:dyDescent="0.25">
      <c r="A94" s="139" t="s">
        <v>116</v>
      </c>
      <c r="B94" s="105" t="s">
        <v>122</v>
      </c>
      <c r="C94" s="63">
        <v>82</v>
      </c>
      <c r="D94" s="197" t="s">
        <v>206</v>
      </c>
      <c r="E94" s="189" t="s">
        <v>327</v>
      </c>
      <c r="F94" s="190" t="s">
        <v>123</v>
      </c>
      <c r="G94" s="189" t="s">
        <v>134</v>
      </c>
      <c r="H94" s="191">
        <v>39792</v>
      </c>
      <c r="I94" s="189" t="s">
        <v>218</v>
      </c>
      <c r="J94" s="189">
        <v>0</v>
      </c>
      <c r="K94" s="189">
        <v>10401</v>
      </c>
      <c r="L94" s="191">
        <v>3</v>
      </c>
      <c r="M94" s="192">
        <v>46092</v>
      </c>
      <c r="N94" s="193">
        <v>1</v>
      </c>
      <c r="O94" s="194">
        <v>0.5</v>
      </c>
      <c r="P94" s="195"/>
      <c r="Q94" s="196" t="s">
        <v>38</v>
      </c>
      <c r="R94" s="197">
        <v>1</v>
      </c>
      <c r="S94" s="198" t="s">
        <v>33</v>
      </c>
      <c r="T94" s="199"/>
      <c r="U94" s="200"/>
      <c r="V94" s="200"/>
      <c r="W94" s="200"/>
      <c r="X94" s="200"/>
      <c r="Y94" s="200"/>
      <c r="Z94" s="200"/>
      <c r="AA94" s="200"/>
      <c r="AB94" s="200"/>
      <c r="AC94" s="208"/>
      <c r="AD94" s="11" t="str">
        <f t="shared" si="3"/>
        <v>3</v>
      </c>
      <c r="AF94" t="str">
        <f t="shared" si="4"/>
        <v>80.01.ZZ.03</v>
      </c>
      <c r="AH94" t="str">
        <f t="shared" si="5"/>
        <v>00 de 01</v>
      </c>
    </row>
    <row r="95" spans="1:34" ht="34.5" x14ac:dyDescent="0.25">
      <c r="A95" s="139" t="s">
        <v>116</v>
      </c>
      <c r="B95" s="105" t="s">
        <v>122</v>
      </c>
      <c r="C95" s="63">
        <v>83</v>
      </c>
      <c r="D95" s="197" t="s">
        <v>206</v>
      </c>
      <c r="E95" s="189" t="s">
        <v>328</v>
      </c>
      <c r="F95" s="190" t="s">
        <v>123</v>
      </c>
      <c r="G95" s="189" t="s">
        <v>134</v>
      </c>
      <c r="H95" s="191">
        <v>39792</v>
      </c>
      <c r="I95" s="189" t="s">
        <v>218</v>
      </c>
      <c r="J95" s="189">
        <v>0</v>
      </c>
      <c r="K95" s="189">
        <v>10401</v>
      </c>
      <c r="L95" s="191">
        <v>3</v>
      </c>
      <c r="M95" s="192">
        <v>46092</v>
      </c>
      <c r="N95" s="193">
        <v>1</v>
      </c>
      <c r="O95" s="194">
        <v>0.5</v>
      </c>
      <c r="P95" s="195"/>
      <c r="Q95" s="196" t="s">
        <v>38</v>
      </c>
      <c r="R95" s="197">
        <v>1</v>
      </c>
      <c r="S95" s="198" t="s">
        <v>33</v>
      </c>
      <c r="T95" s="199"/>
      <c r="U95" s="200"/>
      <c r="V95" s="200"/>
      <c r="W95" s="200"/>
      <c r="X95" s="200"/>
      <c r="Y95" s="200"/>
      <c r="Z95" s="200"/>
      <c r="AA95" s="200"/>
      <c r="AB95" s="200"/>
      <c r="AC95" s="208"/>
      <c r="AD95" s="11" t="str">
        <f t="shared" si="3"/>
        <v>3</v>
      </c>
      <c r="AF95" t="str">
        <f t="shared" si="4"/>
        <v>80.01.ZZ.03</v>
      </c>
      <c r="AH95" t="str">
        <f t="shared" si="5"/>
        <v>00 de 01</v>
      </c>
    </row>
    <row r="96" spans="1:34" ht="34.5" x14ac:dyDescent="0.25">
      <c r="A96" s="139" t="s">
        <v>116</v>
      </c>
      <c r="B96" s="105" t="s">
        <v>122</v>
      </c>
      <c r="C96" s="63">
        <v>84</v>
      </c>
      <c r="D96" s="197" t="s">
        <v>206</v>
      </c>
      <c r="E96" s="189" t="s">
        <v>329</v>
      </c>
      <c r="F96" s="190" t="s">
        <v>123</v>
      </c>
      <c r="G96" s="189" t="s">
        <v>134</v>
      </c>
      <c r="H96" s="191">
        <v>39792</v>
      </c>
      <c r="I96" s="189" t="s">
        <v>218</v>
      </c>
      <c r="J96" s="189">
        <v>0</v>
      </c>
      <c r="K96" s="189">
        <v>10401</v>
      </c>
      <c r="L96" s="191">
        <v>3</v>
      </c>
      <c r="M96" s="192">
        <v>46092</v>
      </c>
      <c r="N96" s="193">
        <v>1</v>
      </c>
      <c r="O96" s="194">
        <v>0.5</v>
      </c>
      <c r="P96" s="195"/>
      <c r="Q96" s="196" t="s">
        <v>38</v>
      </c>
      <c r="R96" s="197">
        <v>1</v>
      </c>
      <c r="S96" s="198" t="s">
        <v>33</v>
      </c>
      <c r="T96" s="199"/>
      <c r="U96" s="200"/>
      <c r="V96" s="200"/>
      <c r="W96" s="200"/>
      <c r="X96" s="200"/>
      <c r="Y96" s="200"/>
      <c r="Z96" s="200"/>
      <c r="AA96" s="200"/>
      <c r="AB96" s="200"/>
      <c r="AC96" s="208"/>
      <c r="AD96" s="11" t="str">
        <f t="shared" si="3"/>
        <v>3</v>
      </c>
      <c r="AF96" t="str">
        <f t="shared" si="4"/>
        <v>80.01.ZZ.03</v>
      </c>
      <c r="AH96" t="str">
        <f t="shared" si="5"/>
        <v>00 de 01</v>
      </c>
    </row>
    <row r="97" spans="1:34" ht="34.5" x14ac:dyDescent="0.25">
      <c r="A97" s="139" t="s">
        <v>116</v>
      </c>
      <c r="B97" s="105" t="s">
        <v>122</v>
      </c>
      <c r="C97" s="63">
        <v>85</v>
      </c>
      <c r="D97" s="197" t="s">
        <v>206</v>
      </c>
      <c r="E97" s="189" t="s">
        <v>330</v>
      </c>
      <c r="F97" s="190" t="s">
        <v>123</v>
      </c>
      <c r="G97" s="189" t="s">
        <v>134</v>
      </c>
      <c r="H97" s="191">
        <v>39792</v>
      </c>
      <c r="I97" s="189" t="s">
        <v>218</v>
      </c>
      <c r="J97" s="189">
        <v>0</v>
      </c>
      <c r="K97" s="189">
        <v>10401</v>
      </c>
      <c r="L97" s="191">
        <v>3</v>
      </c>
      <c r="M97" s="192">
        <v>46092</v>
      </c>
      <c r="N97" s="193">
        <v>1</v>
      </c>
      <c r="O97" s="194">
        <v>0.5</v>
      </c>
      <c r="P97" s="195"/>
      <c r="Q97" s="196" t="s">
        <v>38</v>
      </c>
      <c r="R97" s="197">
        <v>1</v>
      </c>
      <c r="S97" s="198" t="s">
        <v>33</v>
      </c>
      <c r="T97" s="199"/>
      <c r="U97" s="200"/>
      <c r="V97" s="200"/>
      <c r="W97" s="200"/>
      <c r="X97" s="200"/>
      <c r="Y97" s="200"/>
      <c r="Z97" s="200"/>
      <c r="AA97" s="200"/>
      <c r="AB97" s="200"/>
      <c r="AC97" s="208"/>
      <c r="AD97" s="11" t="str">
        <f t="shared" si="3"/>
        <v>3</v>
      </c>
      <c r="AF97" t="str">
        <f t="shared" si="4"/>
        <v>80.01.ZZ.03</v>
      </c>
      <c r="AH97" t="str">
        <f t="shared" si="5"/>
        <v>00 de 01</v>
      </c>
    </row>
    <row r="98" spans="1:34" ht="34.5" x14ac:dyDescent="0.25">
      <c r="A98" s="139" t="s">
        <v>116</v>
      </c>
      <c r="B98" s="105" t="s">
        <v>122</v>
      </c>
      <c r="C98" s="63">
        <v>86</v>
      </c>
      <c r="D98" s="197" t="s">
        <v>206</v>
      </c>
      <c r="E98" s="189" t="s">
        <v>331</v>
      </c>
      <c r="F98" s="190" t="s">
        <v>123</v>
      </c>
      <c r="G98" s="189" t="s">
        <v>134</v>
      </c>
      <c r="H98" s="191">
        <v>39792</v>
      </c>
      <c r="I98" s="189" t="s">
        <v>218</v>
      </c>
      <c r="J98" s="189">
        <v>0</v>
      </c>
      <c r="K98" s="189">
        <v>10401</v>
      </c>
      <c r="L98" s="191">
        <v>3</v>
      </c>
      <c r="M98" s="192">
        <v>46092</v>
      </c>
      <c r="N98" s="193">
        <v>1</v>
      </c>
      <c r="O98" s="194">
        <v>0.5</v>
      </c>
      <c r="P98" s="195"/>
      <c r="Q98" s="196" t="s">
        <v>38</v>
      </c>
      <c r="R98" s="197">
        <v>1</v>
      </c>
      <c r="S98" s="198" t="s">
        <v>33</v>
      </c>
      <c r="T98" s="199"/>
      <c r="U98" s="200"/>
      <c r="V98" s="200"/>
      <c r="W98" s="200"/>
      <c r="X98" s="200"/>
      <c r="Y98" s="200"/>
      <c r="Z98" s="200"/>
      <c r="AA98" s="200"/>
      <c r="AB98" s="200"/>
      <c r="AC98" s="208"/>
      <c r="AD98" s="11" t="str">
        <f t="shared" si="3"/>
        <v>3</v>
      </c>
      <c r="AF98" t="str">
        <f t="shared" si="4"/>
        <v>80.01.ZZ.03</v>
      </c>
      <c r="AH98" t="str">
        <f t="shared" si="5"/>
        <v>00 de 01</v>
      </c>
    </row>
    <row r="99" spans="1:34" ht="34.5" x14ac:dyDescent="0.25">
      <c r="A99" s="139" t="s">
        <v>116</v>
      </c>
      <c r="B99" s="105" t="s">
        <v>122</v>
      </c>
      <c r="C99" s="63">
        <v>87</v>
      </c>
      <c r="D99" s="197" t="s">
        <v>192</v>
      </c>
      <c r="E99" s="189" t="s">
        <v>332</v>
      </c>
      <c r="F99" s="190" t="s">
        <v>123</v>
      </c>
      <c r="G99" s="189" t="s">
        <v>134</v>
      </c>
      <c r="H99" s="191">
        <v>50592</v>
      </c>
      <c r="I99" s="189" t="s">
        <v>219</v>
      </c>
      <c r="J99" s="189">
        <v>0</v>
      </c>
      <c r="K99" s="189">
        <v>10001</v>
      </c>
      <c r="L99" s="191">
        <v>3</v>
      </c>
      <c r="M99" s="192">
        <v>46092</v>
      </c>
      <c r="N99" s="193">
        <v>1</v>
      </c>
      <c r="O99" s="194">
        <v>0.5</v>
      </c>
      <c r="P99" s="195"/>
      <c r="Q99" s="196" t="s">
        <v>38</v>
      </c>
      <c r="R99" s="197">
        <v>1</v>
      </c>
      <c r="S99" s="198" t="s">
        <v>33</v>
      </c>
      <c r="T99" s="199"/>
      <c r="U99" s="200"/>
      <c r="V99" s="200"/>
      <c r="W99" s="200"/>
      <c r="X99" s="200"/>
      <c r="Y99" s="200"/>
      <c r="Z99" s="200"/>
      <c r="AA99" s="200"/>
      <c r="AB99" s="200"/>
      <c r="AC99" s="208"/>
      <c r="AD99" s="11" t="str">
        <f t="shared" si="3"/>
        <v>3</v>
      </c>
      <c r="AF99" t="str">
        <f t="shared" si="4"/>
        <v>80.01.ZZ.03</v>
      </c>
      <c r="AH99" t="str">
        <f t="shared" si="5"/>
        <v>00 de 01</v>
      </c>
    </row>
    <row r="100" spans="1:34" ht="34.5" x14ac:dyDescent="0.25">
      <c r="A100" s="139" t="s">
        <v>116</v>
      </c>
      <c r="B100" s="105" t="s">
        <v>122</v>
      </c>
      <c r="C100" s="63">
        <v>88</v>
      </c>
      <c r="D100" s="197" t="s">
        <v>192</v>
      </c>
      <c r="E100" s="189" t="s">
        <v>333</v>
      </c>
      <c r="F100" s="190" t="s">
        <v>123</v>
      </c>
      <c r="G100" s="189" t="s">
        <v>134</v>
      </c>
      <c r="H100" s="191">
        <v>50592</v>
      </c>
      <c r="I100" s="189" t="s">
        <v>219</v>
      </c>
      <c r="J100" s="189">
        <v>0</v>
      </c>
      <c r="K100" s="189">
        <v>10001</v>
      </c>
      <c r="L100" s="191">
        <v>3</v>
      </c>
      <c r="M100" s="192">
        <v>46092</v>
      </c>
      <c r="N100" s="193">
        <v>1</v>
      </c>
      <c r="O100" s="194">
        <v>0.5</v>
      </c>
      <c r="P100" s="195"/>
      <c r="Q100" s="196" t="s">
        <v>38</v>
      </c>
      <c r="R100" s="197">
        <v>1</v>
      </c>
      <c r="S100" s="198" t="s">
        <v>33</v>
      </c>
      <c r="T100" s="199"/>
      <c r="U100" s="200"/>
      <c r="V100" s="200"/>
      <c r="W100" s="200"/>
      <c r="X100" s="200"/>
      <c r="Y100" s="200"/>
      <c r="Z100" s="200"/>
      <c r="AA100" s="200"/>
      <c r="AB100" s="200"/>
      <c r="AC100" s="208"/>
      <c r="AD100" s="11" t="str">
        <f t="shared" si="3"/>
        <v>3</v>
      </c>
      <c r="AF100" t="str">
        <f t="shared" si="4"/>
        <v>80.01.ZZ.03</v>
      </c>
      <c r="AH100" t="str">
        <f t="shared" si="5"/>
        <v>00 de 01</v>
      </c>
    </row>
    <row r="101" spans="1:34" ht="34.5" x14ac:dyDescent="0.25">
      <c r="A101" s="139" t="s">
        <v>116</v>
      </c>
      <c r="B101" s="105" t="s">
        <v>122</v>
      </c>
      <c r="C101" s="63">
        <v>89</v>
      </c>
      <c r="D101" s="197" t="s">
        <v>192</v>
      </c>
      <c r="E101" s="189" t="s">
        <v>334</v>
      </c>
      <c r="F101" s="190" t="s">
        <v>123</v>
      </c>
      <c r="G101" s="189" t="s">
        <v>134</v>
      </c>
      <c r="H101" s="191">
        <v>50592</v>
      </c>
      <c r="I101" s="189" t="s">
        <v>219</v>
      </c>
      <c r="J101" s="189">
        <v>0</v>
      </c>
      <c r="K101" s="189">
        <v>10001</v>
      </c>
      <c r="L101" s="191">
        <v>3</v>
      </c>
      <c r="M101" s="192">
        <v>46092</v>
      </c>
      <c r="N101" s="193">
        <v>1</v>
      </c>
      <c r="O101" s="194">
        <v>0.5</v>
      </c>
      <c r="P101" s="195"/>
      <c r="Q101" s="196" t="s">
        <v>38</v>
      </c>
      <c r="R101" s="197">
        <v>1</v>
      </c>
      <c r="S101" s="198" t="s">
        <v>33</v>
      </c>
      <c r="T101" s="199"/>
      <c r="U101" s="200"/>
      <c r="V101" s="200"/>
      <c r="W101" s="200"/>
      <c r="X101" s="200"/>
      <c r="Y101" s="200"/>
      <c r="Z101" s="200"/>
      <c r="AA101" s="200"/>
      <c r="AB101" s="200"/>
      <c r="AC101" s="208"/>
      <c r="AD101" s="11" t="str">
        <f t="shared" si="3"/>
        <v>3</v>
      </c>
      <c r="AF101" t="str">
        <f t="shared" si="4"/>
        <v>80.01.ZZ.03</v>
      </c>
      <c r="AH101" t="str">
        <f t="shared" si="5"/>
        <v>00 de 01</v>
      </c>
    </row>
    <row r="102" spans="1:34" ht="34.5" x14ac:dyDescent="0.25">
      <c r="A102" s="139" t="s">
        <v>116</v>
      </c>
      <c r="B102" s="105" t="s">
        <v>122</v>
      </c>
      <c r="C102" s="63">
        <v>90</v>
      </c>
      <c r="D102" s="197" t="s">
        <v>192</v>
      </c>
      <c r="E102" s="189" t="s">
        <v>335</v>
      </c>
      <c r="F102" s="190" t="s">
        <v>123</v>
      </c>
      <c r="G102" s="189" t="s">
        <v>134</v>
      </c>
      <c r="H102" s="191">
        <v>50592</v>
      </c>
      <c r="I102" s="189" t="s">
        <v>219</v>
      </c>
      <c r="J102" s="189">
        <v>0</v>
      </c>
      <c r="K102" s="189">
        <v>10001</v>
      </c>
      <c r="L102" s="191">
        <v>3</v>
      </c>
      <c r="M102" s="192">
        <v>46092</v>
      </c>
      <c r="N102" s="193">
        <v>1</v>
      </c>
      <c r="O102" s="194">
        <v>0.5</v>
      </c>
      <c r="P102" s="195"/>
      <c r="Q102" s="196" t="s">
        <v>38</v>
      </c>
      <c r="R102" s="197">
        <v>1</v>
      </c>
      <c r="S102" s="198" t="s">
        <v>33</v>
      </c>
      <c r="T102" s="199"/>
      <c r="U102" s="200"/>
      <c r="V102" s="200"/>
      <c r="W102" s="200"/>
      <c r="X102" s="200"/>
      <c r="Y102" s="200"/>
      <c r="Z102" s="200"/>
      <c r="AA102" s="200"/>
      <c r="AB102" s="200"/>
      <c r="AC102" s="208"/>
      <c r="AD102" s="11" t="str">
        <f t="shared" si="3"/>
        <v>3</v>
      </c>
      <c r="AF102" t="str">
        <f t="shared" si="4"/>
        <v>80.01.ZZ.03</v>
      </c>
      <c r="AH102" t="str">
        <f t="shared" si="5"/>
        <v>00 de 01</v>
      </c>
    </row>
    <row r="103" spans="1:34" ht="34.5" x14ac:dyDescent="0.25">
      <c r="A103" s="139" t="s">
        <v>116</v>
      </c>
      <c r="B103" s="105" t="s">
        <v>122</v>
      </c>
      <c r="C103" s="63">
        <v>91</v>
      </c>
      <c r="D103" s="197" t="s">
        <v>192</v>
      </c>
      <c r="E103" s="189" t="s">
        <v>336</v>
      </c>
      <c r="F103" s="190" t="s">
        <v>123</v>
      </c>
      <c r="G103" s="189" t="s">
        <v>134</v>
      </c>
      <c r="H103" s="191">
        <v>50592</v>
      </c>
      <c r="I103" s="189" t="s">
        <v>219</v>
      </c>
      <c r="J103" s="189">
        <v>0</v>
      </c>
      <c r="K103" s="189">
        <v>10001</v>
      </c>
      <c r="L103" s="191">
        <v>3</v>
      </c>
      <c r="M103" s="192">
        <v>46092</v>
      </c>
      <c r="N103" s="193">
        <v>1</v>
      </c>
      <c r="O103" s="194">
        <v>0.5</v>
      </c>
      <c r="P103" s="195"/>
      <c r="Q103" s="196" t="s">
        <v>38</v>
      </c>
      <c r="R103" s="197">
        <v>1</v>
      </c>
      <c r="S103" s="198" t="s">
        <v>33</v>
      </c>
      <c r="T103" s="199"/>
      <c r="U103" s="200"/>
      <c r="V103" s="200"/>
      <c r="W103" s="200"/>
      <c r="X103" s="200"/>
      <c r="Y103" s="200"/>
      <c r="Z103" s="200"/>
      <c r="AA103" s="200"/>
      <c r="AB103" s="200"/>
      <c r="AC103" s="208"/>
      <c r="AD103" s="11" t="str">
        <f t="shared" si="3"/>
        <v>3</v>
      </c>
      <c r="AF103" t="str">
        <f t="shared" si="4"/>
        <v>80.01.ZZ.03</v>
      </c>
      <c r="AH103" t="str">
        <f t="shared" si="5"/>
        <v>00 de 01</v>
      </c>
    </row>
    <row r="104" spans="1:34" ht="34.5" x14ac:dyDescent="0.25">
      <c r="A104" s="139" t="s">
        <v>116</v>
      </c>
      <c r="B104" s="105" t="s">
        <v>122</v>
      </c>
      <c r="C104" s="63">
        <v>92</v>
      </c>
      <c r="D104" s="197" t="s">
        <v>192</v>
      </c>
      <c r="E104" s="189" t="s">
        <v>337</v>
      </c>
      <c r="F104" s="190" t="s">
        <v>123</v>
      </c>
      <c r="G104" s="189" t="s">
        <v>134</v>
      </c>
      <c r="H104" s="191">
        <v>50592</v>
      </c>
      <c r="I104" s="189" t="s">
        <v>219</v>
      </c>
      <c r="J104" s="189">
        <v>0</v>
      </c>
      <c r="K104" s="189">
        <v>10001</v>
      </c>
      <c r="L104" s="191">
        <v>3</v>
      </c>
      <c r="M104" s="192">
        <v>46092</v>
      </c>
      <c r="N104" s="193">
        <v>1</v>
      </c>
      <c r="O104" s="194">
        <v>0.5</v>
      </c>
      <c r="P104" s="195"/>
      <c r="Q104" s="196" t="s">
        <v>38</v>
      </c>
      <c r="R104" s="197">
        <v>1</v>
      </c>
      <c r="S104" s="198" t="s">
        <v>33</v>
      </c>
      <c r="T104" s="199"/>
      <c r="U104" s="200"/>
      <c r="V104" s="200"/>
      <c r="W104" s="200"/>
      <c r="X104" s="200"/>
      <c r="Y104" s="200"/>
      <c r="Z104" s="200"/>
      <c r="AA104" s="200"/>
      <c r="AB104" s="200"/>
      <c r="AC104" s="208"/>
      <c r="AD104" s="11" t="str">
        <f t="shared" si="3"/>
        <v>3</v>
      </c>
      <c r="AF104" t="str">
        <f t="shared" si="4"/>
        <v>80.01.ZZ.03</v>
      </c>
      <c r="AH104" t="str">
        <f t="shared" si="5"/>
        <v>00 de 01</v>
      </c>
    </row>
    <row r="105" spans="1:34" ht="34.5" x14ac:dyDescent="0.25">
      <c r="A105" s="139" t="s">
        <v>116</v>
      </c>
      <c r="B105" s="105" t="s">
        <v>122</v>
      </c>
      <c r="C105" s="63">
        <v>93</v>
      </c>
      <c r="D105" s="197" t="s">
        <v>192</v>
      </c>
      <c r="E105" s="189" t="s">
        <v>338</v>
      </c>
      <c r="F105" s="190" t="s">
        <v>123</v>
      </c>
      <c r="G105" s="189" t="s">
        <v>134</v>
      </c>
      <c r="H105" s="191">
        <v>50592</v>
      </c>
      <c r="I105" s="189" t="s">
        <v>219</v>
      </c>
      <c r="J105" s="189">
        <v>0</v>
      </c>
      <c r="K105" s="189">
        <v>10001</v>
      </c>
      <c r="L105" s="191">
        <v>3</v>
      </c>
      <c r="M105" s="192">
        <v>46092</v>
      </c>
      <c r="N105" s="193">
        <v>1</v>
      </c>
      <c r="O105" s="194">
        <v>0.5</v>
      </c>
      <c r="P105" s="195"/>
      <c r="Q105" s="196" t="s">
        <v>38</v>
      </c>
      <c r="R105" s="197">
        <v>1</v>
      </c>
      <c r="S105" s="198" t="s">
        <v>33</v>
      </c>
      <c r="T105" s="199"/>
      <c r="U105" s="200"/>
      <c r="V105" s="200"/>
      <c r="W105" s="200"/>
      <c r="X105" s="200"/>
      <c r="Y105" s="200"/>
      <c r="Z105" s="200"/>
      <c r="AA105" s="200"/>
      <c r="AB105" s="200"/>
      <c r="AC105" s="208"/>
      <c r="AD105" s="11" t="str">
        <f t="shared" si="3"/>
        <v>3</v>
      </c>
      <c r="AF105" t="str">
        <f t="shared" si="4"/>
        <v>80.01.ZZ.03</v>
      </c>
      <c r="AH105" t="str">
        <f t="shared" si="5"/>
        <v>00 de 01</v>
      </c>
    </row>
    <row r="106" spans="1:34" ht="34.5" x14ac:dyDescent="0.25">
      <c r="A106" s="139" t="s">
        <v>116</v>
      </c>
      <c r="B106" s="105" t="s">
        <v>122</v>
      </c>
      <c r="C106" s="63">
        <v>94</v>
      </c>
      <c r="D106" s="197" t="s">
        <v>192</v>
      </c>
      <c r="E106" s="189" t="s">
        <v>339</v>
      </c>
      <c r="F106" s="190" t="s">
        <v>123</v>
      </c>
      <c r="G106" s="189" t="s">
        <v>134</v>
      </c>
      <c r="H106" s="191">
        <v>50592</v>
      </c>
      <c r="I106" s="189" t="s">
        <v>219</v>
      </c>
      <c r="J106" s="189">
        <v>0</v>
      </c>
      <c r="K106" s="189">
        <v>10001</v>
      </c>
      <c r="L106" s="191">
        <v>3</v>
      </c>
      <c r="M106" s="192">
        <v>46092</v>
      </c>
      <c r="N106" s="193">
        <v>1</v>
      </c>
      <c r="O106" s="194">
        <v>0.5</v>
      </c>
      <c r="P106" s="195"/>
      <c r="Q106" s="196" t="s">
        <v>38</v>
      </c>
      <c r="R106" s="197">
        <v>1</v>
      </c>
      <c r="S106" s="198" t="s">
        <v>33</v>
      </c>
      <c r="T106" s="199"/>
      <c r="U106" s="200"/>
      <c r="V106" s="200"/>
      <c r="W106" s="200"/>
      <c r="X106" s="200"/>
      <c r="Y106" s="200"/>
      <c r="Z106" s="200"/>
      <c r="AA106" s="200"/>
      <c r="AB106" s="200"/>
      <c r="AC106" s="208"/>
      <c r="AD106" s="11" t="str">
        <f t="shared" si="3"/>
        <v>3</v>
      </c>
      <c r="AF106" t="str">
        <f t="shared" si="4"/>
        <v>80.01.ZZ.03</v>
      </c>
      <c r="AH106" t="str">
        <f t="shared" si="5"/>
        <v>00 de 01</v>
      </c>
    </row>
    <row r="107" spans="1:34" ht="34.5" x14ac:dyDescent="0.25">
      <c r="A107" s="139" t="s">
        <v>116</v>
      </c>
      <c r="B107" s="105" t="s">
        <v>122</v>
      </c>
      <c r="C107" s="63">
        <v>95</v>
      </c>
      <c r="D107" s="197" t="s">
        <v>192</v>
      </c>
      <c r="E107" s="189" t="s">
        <v>340</v>
      </c>
      <c r="F107" s="190" t="s">
        <v>123</v>
      </c>
      <c r="G107" s="189" t="s">
        <v>134</v>
      </c>
      <c r="H107" s="191">
        <v>50592</v>
      </c>
      <c r="I107" s="189" t="s">
        <v>219</v>
      </c>
      <c r="J107" s="189">
        <v>0</v>
      </c>
      <c r="K107" s="189">
        <v>10001</v>
      </c>
      <c r="L107" s="191">
        <v>3</v>
      </c>
      <c r="M107" s="192">
        <v>46092</v>
      </c>
      <c r="N107" s="193">
        <v>1</v>
      </c>
      <c r="O107" s="194">
        <v>0.5</v>
      </c>
      <c r="P107" s="195"/>
      <c r="Q107" s="196" t="s">
        <v>38</v>
      </c>
      <c r="R107" s="197">
        <v>1</v>
      </c>
      <c r="S107" s="198" t="s">
        <v>33</v>
      </c>
      <c r="T107" s="199"/>
      <c r="U107" s="200"/>
      <c r="V107" s="200"/>
      <c r="W107" s="200"/>
      <c r="X107" s="200"/>
      <c r="Y107" s="200"/>
      <c r="Z107" s="200"/>
      <c r="AA107" s="200"/>
      <c r="AB107" s="200"/>
      <c r="AC107" s="208"/>
      <c r="AD107" s="11" t="str">
        <f t="shared" si="3"/>
        <v>3</v>
      </c>
      <c r="AF107" t="str">
        <f t="shared" si="4"/>
        <v>80.01.ZZ.03</v>
      </c>
      <c r="AH107" t="str">
        <f t="shared" si="5"/>
        <v>00 de 01</v>
      </c>
    </row>
    <row r="108" spans="1:34" ht="34.5" x14ac:dyDescent="0.25">
      <c r="A108" s="139" t="s">
        <v>116</v>
      </c>
      <c r="B108" s="105" t="s">
        <v>122</v>
      </c>
      <c r="C108" s="63">
        <v>96</v>
      </c>
      <c r="D108" s="197" t="s">
        <v>192</v>
      </c>
      <c r="E108" s="189" t="s">
        <v>341</v>
      </c>
      <c r="F108" s="190" t="s">
        <v>123</v>
      </c>
      <c r="G108" s="189" t="s">
        <v>134</v>
      </c>
      <c r="H108" s="191">
        <v>50592</v>
      </c>
      <c r="I108" s="189" t="s">
        <v>219</v>
      </c>
      <c r="J108" s="189">
        <v>0</v>
      </c>
      <c r="K108" s="189">
        <v>10001</v>
      </c>
      <c r="L108" s="191">
        <v>3</v>
      </c>
      <c r="M108" s="192">
        <v>46092</v>
      </c>
      <c r="N108" s="193">
        <v>1</v>
      </c>
      <c r="O108" s="194">
        <v>0.5</v>
      </c>
      <c r="P108" s="195"/>
      <c r="Q108" s="196" t="s">
        <v>38</v>
      </c>
      <c r="R108" s="197">
        <v>1</v>
      </c>
      <c r="S108" s="198" t="s">
        <v>33</v>
      </c>
      <c r="T108" s="199"/>
      <c r="U108" s="200"/>
      <c r="V108" s="200"/>
      <c r="W108" s="200"/>
      <c r="X108" s="200"/>
      <c r="Y108" s="200"/>
      <c r="Z108" s="200"/>
      <c r="AA108" s="200"/>
      <c r="AB108" s="200"/>
      <c r="AC108" s="208"/>
      <c r="AD108" s="11" t="str">
        <f t="shared" si="3"/>
        <v>3</v>
      </c>
      <c r="AF108" t="str">
        <f t="shared" si="4"/>
        <v>80.01.ZZ.03</v>
      </c>
      <c r="AH108" t="str">
        <f t="shared" si="5"/>
        <v>00 de 01</v>
      </c>
    </row>
    <row r="109" spans="1:34" ht="34.5" x14ac:dyDescent="0.25">
      <c r="A109" s="139" t="s">
        <v>116</v>
      </c>
      <c r="B109" s="105" t="s">
        <v>122</v>
      </c>
      <c r="C109" s="63">
        <v>97</v>
      </c>
      <c r="D109" s="197" t="s">
        <v>192</v>
      </c>
      <c r="E109" s="189" t="s">
        <v>342</v>
      </c>
      <c r="F109" s="190" t="s">
        <v>123</v>
      </c>
      <c r="G109" s="189" t="s">
        <v>134</v>
      </c>
      <c r="H109" s="191">
        <v>50592</v>
      </c>
      <c r="I109" s="189" t="s">
        <v>219</v>
      </c>
      <c r="J109" s="189">
        <v>0</v>
      </c>
      <c r="K109" s="189">
        <v>10001</v>
      </c>
      <c r="L109" s="191">
        <v>3</v>
      </c>
      <c r="M109" s="192">
        <v>46092</v>
      </c>
      <c r="N109" s="193">
        <v>1</v>
      </c>
      <c r="O109" s="194">
        <v>0.5</v>
      </c>
      <c r="P109" s="195"/>
      <c r="Q109" s="196" t="s">
        <v>38</v>
      </c>
      <c r="R109" s="197">
        <v>1</v>
      </c>
      <c r="S109" s="198" t="s">
        <v>33</v>
      </c>
      <c r="T109" s="199"/>
      <c r="U109" s="200"/>
      <c r="V109" s="200"/>
      <c r="W109" s="200"/>
      <c r="X109" s="200"/>
      <c r="Y109" s="200"/>
      <c r="Z109" s="200"/>
      <c r="AA109" s="200"/>
      <c r="AB109" s="200"/>
      <c r="AC109" s="208"/>
      <c r="AD109" s="11" t="str">
        <f t="shared" si="3"/>
        <v>3</v>
      </c>
      <c r="AF109" t="str">
        <f t="shared" si="4"/>
        <v>80.01.ZZ.03</v>
      </c>
      <c r="AH109" t="str">
        <f t="shared" si="5"/>
        <v>00 de 01</v>
      </c>
    </row>
    <row r="110" spans="1:34" ht="34.5" x14ac:dyDescent="0.25">
      <c r="A110" s="139" t="s">
        <v>116</v>
      </c>
      <c r="B110" s="105" t="s">
        <v>122</v>
      </c>
      <c r="C110" s="63">
        <v>98</v>
      </c>
      <c r="D110" s="197" t="s">
        <v>192</v>
      </c>
      <c r="E110" s="189" t="s">
        <v>343</v>
      </c>
      <c r="F110" s="190" t="s">
        <v>123</v>
      </c>
      <c r="G110" s="189" t="s">
        <v>134</v>
      </c>
      <c r="H110" s="191">
        <v>50592</v>
      </c>
      <c r="I110" s="189" t="s">
        <v>219</v>
      </c>
      <c r="J110" s="189">
        <v>0</v>
      </c>
      <c r="K110" s="189">
        <v>10001</v>
      </c>
      <c r="L110" s="191">
        <v>3</v>
      </c>
      <c r="M110" s="192">
        <v>46092</v>
      </c>
      <c r="N110" s="193">
        <v>1</v>
      </c>
      <c r="O110" s="194">
        <v>0.5</v>
      </c>
      <c r="P110" s="195"/>
      <c r="Q110" s="196" t="s">
        <v>38</v>
      </c>
      <c r="R110" s="197">
        <v>1</v>
      </c>
      <c r="S110" s="198" t="s">
        <v>33</v>
      </c>
      <c r="T110" s="199"/>
      <c r="U110" s="200"/>
      <c r="V110" s="200"/>
      <c r="W110" s="200"/>
      <c r="X110" s="200"/>
      <c r="Y110" s="200"/>
      <c r="Z110" s="200"/>
      <c r="AA110" s="200"/>
      <c r="AB110" s="200"/>
      <c r="AC110" s="208"/>
      <c r="AD110" s="11" t="str">
        <f t="shared" si="3"/>
        <v>3</v>
      </c>
      <c r="AF110" t="str">
        <f t="shared" si="4"/>
        <v>80.01.ZZ.03</v>
      </c>
      <c r="AH110" t="str">
        <f t="shared" si="5"/>
        <v>00 de 01</v>
      </c>
    </row>
    <row r="111" spans="1:34" ht="34.5" x14ac:dyDescent="0.25">
      <c r="A111" s="139" t="s">
        <v>116</v>
      </c>
      <c r="B111" s="105" t="s">
        <v>122</v>
      </c>
      <c r="C111" s="63">
        <v>99</v>
      </c>
      <c r="D111" s="197" t="s">
        <v>192</v>
      </c>
      <c r="E111" s="189" t="s">
        <v>344</v>
      </c>
      <c r="F111" s="190" t="s">
        <v>123</v>
      </c>
      <c r="G111" s="189" t="s">
        <v>134</v>
      </c>
      <c r="H111" s="191">
        <v>50592</v>
      </c>
      <c r="I111" s="189" t="s">
        <v>219</v>
      </c>
      <c r="J111" s="189">
        <v>0</v>
      </c>
      <c r="K111" s="189">
        <v>10001</v>
      </c>
      <c r="L111" s="191">
        <v>3</v>
      </c>
      <c r="M111" s="192">
        <v>46092</v>
      </c>
      <c r="N111" s="193">
        <v>1</v>
      </c>
      <c r="O111" s="194">
        <v>0.5</v>
      </c>
      <c r="P111" s="195"/>
      <c r="Q111" s="196" t="s">
        <v>38</v>
      </c>
      <c r="R111" s="197">
        <v>1</v>
      </c>
      <c r="S111" s="198" t="s">
        <v>33</v>
      </c>
      <c r="T111" s="199"/>
      <c r="U111" s="200"/>
      <c r="V111" s="200"/>
      <c r="W111" s="200"/>
      <c r="X111" s="200"/>
      <c r="Y111" s="200"/>
      <c r="Z111" s="200"/>
      <c r="AA111" s="200"/>
      <c r="AB111" s="200"/>
      <c r="AC111" s="208"/>
      <c r="AD111" s="11" t="str">
        <f t="shared" si="3"/>
        <v>3</v>
      </c>
      <c r="AF111" t="str">
        <f t="shared" si="4"/>
        <v>80.01.ZZ.03</v>
      </c>
      <c r="AH111" t="str">
        <f t="shared" si="5"/>
        <v>00 de 01</v>
      </c>
    </row>
    <row r="112" spans="1:34" ht="34.5" x14ac:dyDescent="0.25">
      <c r="A112" s="139" t="s">
        <v>116</v>
      </c>
      <c r="B112" s="105" t="s">
        <v>122</v>
      </c>
      <c r="C112" s="63">
        <v>100</v>
      </c>
      <c r="D112" s="197" t="s">
        <v>192</v>
      </c>
      <c r="E112" s="189" t="s">
        <v>345</v>
      </c>
      <c r="F112" s="190" t="s">
        <v>123</v>
      </c>
      <c r="G112" s="189" t="s">
        <v>134</v>
      </c>
      <c r="H112" s="191">
        <v>50592</v>
      </c>
      <c r="I112" s="189" t="s">
        <v>219</v>
      </c>
      <c r="J112" s="189">
        <v>0</v>
      </c>
      <c r="K112" s="189">
        <v>10001</v>
      </c>
      <c r="L112" s="191">
        <v>3</v>
      </c>
      <c r="M112" s="192">
        <v>46092</v>
      </c>
      <c r="N112" s="193">
        <v>1</v>
      </c>
      <c r="O112" s="194">
        <v>0.5</v>
      </c>
      <c r="P112" s="195"/>
      <c r="Q112" s="196" t="s">
        <v>38</v>
      </c>
      <c r="R112" s="197">
        <v>1</v>
      </c>
      <c r="S112" s="198" t="s">
        <v>33</v>
      </c>
      <c r="T112" s="199"/>
      <c r="U112" s="200"/>
      <c r="V112" s="200"/>
      <c r="W112" s="200"/>
      <c r="X112" s="200"/>
      <c r="Y112" s="200"/>
      <c r="Z112" s="200"/>
      <c r="AA112" s="200"/>
      <c r="AB112" s="200"/>
      <c r="AC112" s="208"/>
      <c r="AD112" s="11" t="str">
        <f t="shared" si="3"/>
        <v>3</v>
      </c>
      <c r="AF112" t="str">
        <f t="shared" si="4"/>
        <v>80.01.ZZ.03</v>
      </c>
      <c r="AH112" t="str">
        <f t="shared" si="5"/>
        <v>00 de 01</v>
      </c>
    </row>
    <row r="113" spans="1:34" ht="34.5" x14ac:dyDescent="0.25">
      <c r="A113" s="139" t="s">
        <v>116</v>
      </c>
      <c r="B113" s="105" t="s">
        <v>122</v>
      </c>
      <c r="C113" s="63">
        <v>101</v>
      </c>
      <c r="D113" s="197" t="s">
        <v>192</v>
      </c>
      <c r="E113" s="189" t="s">
        <v>346</v>
      </c>
      <c r="F113" s="190" t="s">
        <v>123</v>
      </c>
      <c r="G113" s="189" t="s">
        <v>134</v>
      </c>
      <c r="H113" s="191">
        <v>50592</v>
      </c>
      <c r="I113" s="189" t="s">
        <v>219</v>
      </c>
      <c r="J113" s="189">
        <v>0</v>
      </c>
      <c r="K113" s="189">
        <v>10001</v>
      </c>
      <c r="L113" s="191">
        <v>3</v>
      </c>
      <c r="M113" s="192">
        <v>46092</v>
      </c>
      <c r="N113" s="193">
        <v>1</v>
      </c>
      <c r="O113" s="194">
        <v>0.5</v>
      </c>
      <c r="P113" s="195"/>
      <c r="Q113" s="196" t="s">
        <v>38</v>
      </c>
      <c r="R113" s="197">
        <v>1</v>
      </c>
      <c r="S113" s="198" t="s">
        <v>33</v>
      </c>
      <c r="T113" s="199"/>
      <c r="U113" s="200"/>
      <c r="V113" s="200"/>
      <c r="W113" s="200"/>
      <c r="X113" s="200"/>
      <c r="Y113" s="200"/>
      <c r="Z113" s="200"/>
      <c r="AA113" s="200"/>
      <c r="AB113" s="200"/>
      <c r="AC113" s="208"/>
      <c r="AD113" s="11" t="str">
        <f t="shared" ref="AD113:AD176" si="6">RIGHT(L113,2)</f>
        <v>3</v>
      </c>
      <c r="AF113" t="str">
        <f t="shared" ref="AF113:AF176" si="7">CONCATENATE("80.01.ZZ.0",L113)</f>
        <v>80.01.ZZ.03</v>
      </c>
      <c r="AH113" t="str">
        <f t="shared" ref="AH113:AH176" si="8">CONCATENATE("00 de 0",R113)</f>
        <v>00 de 01</v>
      </c>
    </row>
    <row r="114" spans="1:34" ht="34.5" x14ac:dyDescent="0.25">
      <c r="A114" s="139" t="s">
        <v>116</v>
      </c>
      <c r="B114" s="105" t="s">
        <v>122</v>
      </c>
      <c r="C114" s="63">
        <v>102</v>
      </c>
      <c r="D114" s="197" t="s">
        <v>192</v>
      </c>
      <c r="E114" s="189" t="s">
        <v>347</v>
      </c>
      <c r="F114" s="190" t="s">
        <v>123</v>
      </c>
      <c r="G114" s="189" t="s">
        <v>134</v>
      </c>
      <c r="H114" s="191">
        <v>50592</v>
      </c>
      <c r="I114" s="189" t="s">
        <v>219</v>
      </c>
      <c r="J114" s="189">
        <v>0</v>
      </c>
      <c r="K114" s="189">
        <v>10001</v>
      </c>
      <c r="L114" s="191">
        <v>3</v>
      </c>
      <c r="M114" s="192">
        <v>46092</v>
      </c>
      <c r="N114" s="193">
        <v>1</v>
      </c>
      <c r="O114" s="194">
        <v>0.5</v>
      </c>
      <c r="P114" s="195"/>
      <c r="Q114" s="196" t="s">
        <v>38</v>
      </c>
      <c r="R114" s="197">
        <v>1</v>
      </c>
      <c r="S114" s="198" t="s">
        <v>33</v>
      </c>
      <c r="T114" s="199"/>
      <c r="U114" s="200"/>
      <c r="V114" s="200"/>
      <c r="W114" s="200"/>
      <c r="X114" s="200"/>
      <c r="Y114" s="200"/>
      <c r="Z114" s="200"/>
      <c r="AA114" s="200"/>
      <c r="AB114" s="200"/>
      <c r="AC114" s="208"/>
      <c r="AD114" s="11" t="str">
        <f t="shared" si="6"/>
        <v>3</v>
      </c>
      <c r="AF114" t="str">
        <f t="shared" si="7"/>
        <v>80.01.ZZ.03</v>
      </c>
      <c r="AH114" t="str">
        <f t="shared" si="8"/>
        <v>00 de 01</v>
      </c>
    </row>
    <row r="115" spans="1:34" ht="34.5" x14ac:dyDescent="0.25">
      <c r="A115" s="139" t="s">
        <v>116</v>
      </c>
      <c r="B115" s="105" t="s">
        <v>122</v>
      </c>
      <c r="C115" s="63">
        <v>103</v>
      </c>
      <c r="D115" s="197" t="s">
        <v>192</v>
      </c>
      <c r="E115" s="189" t="s">
        <v>348</v>
      </c>
      <c r="F115" s="190" t="s">
        <v>123</v>
      </c>
      <c r="G115" s="189" t="s">
        <v>134</v>
      </c>
      <c r="H115" s="191">
        <v>50592</v>
      </c>
      <c r="I115" s="189" t="s">
        <v>219</v>
      </c>
      <c r="J115" s="189">
        <v>0</v>
      </c>
      <c r="K115" s="189">
        <v>10001</v>
      </c>
      <c r="L115" s="191">
        <v>3</v>
      </c>
      <c r="M115" s="192">
        <v>46092</v>
      </c>
      <c r="N115" s="193">
        <v>1</v>
      </c>
      <c r="O115" s="194">
        <v>0.5</v>
      </c>
      <c r="P115" s="195"/>
      <c r="Q115" s="196" t="s">
        <v>38</v>
      </c>
      <c r="R115" s="197">
        <v>1</v>
      </c>
      <c r="S115" s="198" t="s">
        <v>33</v>
      </c>
      <c r="T115" s="199"/>
      <c r="U115" s="200"/>
      <c r="V115" s="200"/>
      <c r="W115" s="200"/>
      <c r="X115" s="200"/>
      <c r="Y115" s="200"/>
      <c r="Z115" s="200"/>
      <c r="AA115" s="200"/>
      <c r="AB115" s="200"/>
      <c r="AC115" s="208"/>
      <c r="AD115" s="11" t="str">
        <f t="shared" si="6"/>
        <v>3</v>
      </c>
      <c r="AF115" t="str">
        <f t="shared" si="7"/>
        <v>80.01.ZZ.03</v>
      </c>
      <c r="AH115" t="str">
        <f t="shared" si="8"/>
        <v>00 de 01</v>
      </c>
    </row>
    <row r="116" spans="1:34" ht="34.5" x14ac:dyDescent="0.25">
      <c r="A116" s="139" t="s">
        <v>116</v>
      </c>
      <c r="B116" s="105" t="s">
        <v>122</v>
      </c>
      <c r="C116" s="63">
        <v>104</v>
      </c>
      <c r="D116" s="197" t="s">
        <v>192</v>
      </c>
      <c r="E116" s="189" t="s">
        <v>349</v>
      </c>
      <c r="F116" s="190" t="s">
        <v>123</v>
      </c>
      <c r="G116" s="189" t="s">
        <v>134</v>
      </c>
      <c r="H116" s="191">
        <v>50592</v>
      </c>
      <c r="I116" s="189" t="s">
        <v>219</v>
      </c>
      <c r="J116" s="189">
        <v>0</v>
      </c>
      <c r="K116" s="189">
        <v>10001</v>
      </c>
      <c r="L116" s="191">
        <v>3</v>
      </c>
      <c r="M116" s="192">
        <v>46092</v>
      </c>
      <c r="N116" s="193">
        <v>1</v>
      </c>
      <c r="O116" s="194">
        <v>0.5</v>
      </c>
      <c r="P116" s="195"/>
      <c r="Q116" s="196" t="s">
        <v>38</v>
      </c>
      <c r="R116" s="197">
        <v>1</v>
      </c>
      <c r="S116" s="198" t="s">
        <v>33</v>
      </c>
      <c r="T116" s="199"/>
      <c r="U116" s="200"/>
      <c r="V116" s="200"/>
      <c r="W116" s="200"/>
      <c r="X116" s="200"/>
      <c r="Y116" s="200"/>
      <c r="Z116" s="200"/>
      <c r="AA116" s="200"/>
      <c r="AB116" s="200"/>
      <c r="AC116" s="208"/>
      <c r="AD116" s="11" t="str">
        <f t="shared" si="6"/>
        <v>3</v>
      </c>
      <c r="AF116" t="str">
        <f t="shared" si="7"/>
        <v>80.01.ZZ.03</v>
      </c>
      <c r="AH116" t="str">
        <f t="shared" si="8"/>
        <v>00 de 01</v>
      </c>
    </row>
    <row r="117" spans="1:34" ht="34.5" x14ac:dyDescent="0.25">
      <c r="A117" s="139" t="s">
        <v>116</v>
      </c>
      <c r="B117" s="105" t="s">
        <v>122</v>
      </c>
      <c r="C117" s="63">
        <v>105</v>
      </c>
      <c r="D117" s="197" t="s">
        <v>192</v>
      </c>
      <c r="E117" s="189" t="s">
        <v>350</v>
      </c>
      <c r="F117" s="190" t="s">
        <v>123</v>
      </c>
      <c r="G117" s="189" t="s">
        <v>134</v>
      </c>
      <c r="H117" s="191">
        <v>50592</v>
      </c>
      <c r="I117" s="189" t="s">
        <v>219</v>
      </c>
      <c r="J117" s="189">
        <v>0</v>
      </c>
      <c r="K117" s="189">
        <v>10001</v>
      </c>
      <c r="L117" s="191">
        <v>3</v>
      </c>
      <c r="M117" s="192">
        <v>46092</v>
      </c>
      <c r="N117" s="193">
        <v>1</v>
      </c>
      <c r="O117" s="194">
        <v>0.5</v>
      </c>
      <c r="P117" s="195"/>
      <c r="Q117" s="196" t="s">
        <v>38</v>
      </c>
      <c r="R117" s="197">
        <v>1</v>
      </c>
      <c r="S117" s="198" t="s">
        <v>33</v>
      </c>
      <c r="T117" s="199"/>
      <c r="U117" s="200"/>
      <c r="V117" s="200"/>
      <c r="W117" s="200"/>
      <c r="X117" s="200"/>
      <c r="Y117" s="200"/>
      <c r="Z117" s="200"/>
      <c r="AA117" s="200"/>
      <c r="AB117" s="200"/>
      <c r="AC117" s="208"/>
      <c r="AD117" s="11" t="str">
        <f t="shared" si="6"/>
        <v>3</v>
      </c>
      <c r="AF117" t="str">
        <f t="shared" si="7"/>
        <v>80.01.ZZ.03</v>
      </c>
      <c r="AH117" t="str">
        <f t="shared" si="8"/>
        <v>00 de 01</v>
      </c>
    </row>
    <row r="118" spans="1:34" ht="34.5" x14ac:dyDescent="0.25">
      <c r="A118" s="139" t="s">
        <v>116</v>
      </c>
      <c r="B118" s="105" t="s">
        <v>122</v>
      </c>
      <c r="C118" s="63">
        <v>106</v>
      </c>
      <c r="D118" s="197" t="s">
        <v>192</v>
      </c>
      <c r="E118" s="189" t="s">
        <v>351</v>
      </c>
      <c r="F118" s="190" t="s">
        <v>123</v>
      </c>
      <c r="G118" s="189" t="s">
        <v>134</v>
      </c>
      <c r="H118" s="191">
        <v>50592</v>
      </c>
      <c r="I118" s="189" t="s">
        <v>219</v>
      </c>
      <c r="J118" s="189">
        <v>0</v>
      </c>
      <c r="K118" s="189">
        <v>10001</v>
      </c>
      <c r="L118" s="191">
        <v>3</v>
      </c>
      <c r="M118" s="192">
        <v>46092</v>
      </c>
      <c r="N118" s="193">
        <v>1</v>
      </c>
      <c r="O118" s="194">
        <v>0.5</v>
      </c>
      <c r="P118" s="195"/>
      <c r="Q118" s="196" t="s">
        <v>38</v>
      </c>
      <c r="R118" s="197">
        <v>1</v>
      </c>
      <c r="S118" s="198" t="s">
        <v>33</v>
      </c>
      <c r="T118" s="199"/>
      <c r="U118" s="200"/>
      <c r="V118" s="200"/>
      <c r="W118" s="200"/>
      <c r="X118" s="200"/>
      <c r="Y118" s="200"/>
      <c r="Z118" s="200"/>
      <c r="AA118" s="200"/>
      <c r="AB118" s="200"/>
      <c r="AC118" s="208"/>
      <c r="AD118" s="11" t="str">
        <f t="shared" si="6"/>
        <v>3</v>
      </c>
      <c r="AF118" t="str">
        <f t="shared" si="7"/>
        <v>80.01.ZZ.03</v>
      </c>
      <c r="AH118" t="str">
        <f t="shared" si="8"/>
        <v>00 de 01</v>
      </c>
    </row>
    <row r="119" spans="1:34" ht="34.5" x14ac:dyDescent="0.25">
      <c r="A119" s="139" t="s">
        <v>116</v>
      </c>
      <c r="B119" s="105" t="s">
        <v>122</v>
      </c>
      <c r="C119" s="63">
        <v>107</v>
      </c>
      <c r="D119" s="197" t="s">
        <v>192</v>
      </c>
      <c r="E119" s="189" t="s">
        <v>352</v>
      </c>
      <c r="F119" s="190" t="s">
        <v>123</v>
      </c>
      <c r="G119" s="189" t="s">
        <v>134</v>
      </c>
      <c r="H119" s="191">
        <v>50592</v>
      </c>
      <c r="I119" s="189" t="s">
        <v>219</v>
      </c>
      <c r="J119" s="189">
        <v>0</v>
      </c>
      <c r="K119" s="189">
        <v>10001</v>
      </c>
      <c r="L119" s="191">
        <v>3</v>
      </c>
      <c r="M119" s="192">
        <v>46092</v>
      </c>
      <c r="N119" s="193">
        <v>1</v>
      </c>
      <c r="O119" s="194">
        <v>0.5</v>
      </c>
      <c r="P119" s="195"/>
      <c r="Q119" s="196" t="s">
        <v>38</v>
      </c>
      <c r="R119" s="197">
        <v>1</v>
      </c>
      <c r="S119" s="198" t="s">
        <v>33</v>
      </c>
      <c r="T119" s="199"/>
      <c r="U119" s="200"/>
      <c r="V119" s="200"/>
      <c r="W119" s="200"/>
      <c r="X119" s="200"/>
      <c r="Y119" s="200"/>
      <c r="Z119" s="200"/>
      <c r="AA119" s="200"/>
      <c r="AB119" s="200"/>
      <c r="AC119" s="208"/>
      <c r="AD119" s="11" t="str">
        <f t="shared" si="6"/>
        <v>3</v>
      </c>
      <c r="AF119" t="str">
        <f t="shared" si="7"/>
        <v>80.01.ZZ.03</v>
      </c>
      <c r="AH119" t="str">
        <f t="shared" si="8"/>
        <v>00 de 01</v>
      </c>
    </row>
    <row r="120" spans="1:34" ht="34.5" x14ac:dyDescent="0.25">
      <c r="A120" s="139" t="s">
        <v>116</v>
      </c>
      <c r="B120" s="105" t="s">
        <v>122</v>
      </c>
      <c r="C120" s="63">
        <v>108</v>
      </c>
      <c r="D120" s="197" t="s">
        <v>192</v>
      </c>
      <c r="E120" s="189" t="s">
        <v>353</v>
      </c>
      <c r="F120" s="190" t="s">
        <v>123</v>
      </c>
      <c r="G120" s="189" t="s">
        <v>134</v>
      </c>
      <c r="H120" s="191">
        <v>50592</v>
      </c>
      <c r="I120" s="189" t="s">
        <v>219</v>
      </c>
      <c r="J120" s="189">
        <v>0</v>
      </c>
      <c r="K120" s="189">
        <v>10001</v>
      </c>
      <c r="L120" s="191">
        <v>3</v>
      </c>
      <c r="M120" s="192">
        <v>46092</v>
      </c>
      <c r="N120" s="193">
        <v>1</v>
      </c>
      <c r="O120" s="194">
        <v>0.5</v>
      </c>
      <c r="P120" s="195"/>
      <c r="Q120" s="196" t="s">
        <v>38</v>
      </c>
      <c r="R120" s="197">
        <v>1</v>
      </c>
      <c r="S120" s="198" t="s">
        <v>33</v>
      </c>
      <c r="T120" s="199"/>
      <c r="U120" s="200"/>
      <c r="V120" s="200"/>
      <c r="W120" s="200"/>
      <c r="X120" s="200"/>
      <c r="Y120" s="200"/>
      <c r="Z120" s="200"/>
      <c r="AA120" s="200"/>
      <c r="AB120" s="200"/>
      <c r="AC120" s="208"/>
      <c r="AD120" s="11" t="str">
        <f t="shared" si="6"/>
        <v>3</v>
      </c>
      <c r="AF120" t="str">
        <f t="shared" si="7"/>
        <v>80.01.ZZ.03</v>
      </c>
      <c r="AH120" t="str">
        <f t="shared" si="8"/>
        <v>00 de 01</v>
      </c>
    </row>
    <row r="121" spans="1:34" ht="34.5" x14ac:dyDescent="0.25">
      <c r="A121" s="139" t="s">
        <v>116</v>
      </c>
      <c r="B121" s="105" t="s">
        <v>122</v>
      </c>
      <c r="C121" s="63">
        <v>109</v>
      </c>
      <c r="D121" s="197" t="s">
        <v>192</v>
      </c>
      <c r="E121" s="189" t="s">
        <v>354</v>
      </c>
      <c r="F121" s="190" t="s">
        <v>123</v>
      </c>
      <c r="G121" s="189" t="s">
        <v>134</v>
      </c>
      <c r="H121" s="191">
        <v>50592</v>
      </c>
      <c r="I121" s="189" t="s">
        <v>219</v>
      </c>
      <c r="J121" s="189">
        <v>0</v>
      </c>
      <c r="K121" s="189">
        <v>10001</v>
      </c>
      <c r="L121" s="191">
        <v>3</v>
      </c>
      <c r="M121" s="192">
        <v>46092</v>
      </c>
      <c r="N121" s="193">
        <v>1</v>
      </c>
      <c r="O121" s="194">
        <v>0.5</v>
      </c>
      <c r="P121" s="195"/>
      <c r="Q121" s="196" t="s">
        <v>38</v>
      </c>
      <c r="R121" s="197">
        <v>1</v>
      </c>
      <c r="S121" s="198" t="s">
        <v>33</v>
      </c>
      <c r="T121" s="199"/>
      <c r="U121" s="200"/>
      <c r="V121" s="200"/>
      <c r="W121" s="200"/>
      <c r="X121" s="200"/>
      <c r="Y121" s="200"/>
      <c r="Z121" s="200"/>
      <c r="AA121" s="200"/>
      <c r="AB121" s="200"/>
      <c r="AC121" s="208"/>
      <c r="AD121" s="11" t="str">
        <f t="shared" si="6"/>
        <v>3</v>
      </c>
      <c r="AF121" t="str">
        <f t="shared" si="7"/>
        <v>80.01.ZZ.03</v>
      </c>
      <c r="AH121" t="str">
        <f t="shared" si="8"/>
        <v>00 de 01</v>
      </c>
    </row>
    <row r="122" spans="1:34" ht="34.5" x14ac:dyDescent="0.25">
      <c r="A122" s="139" t="s">
        <v>116</v>
      </c>
      <c r="B122" s="105" t="s">
        <v>122</v>
      </c>
      <c r="C122" s="63">
        <v>110</v>
      </c>
      <c r="D122" s="197" t="s">
        <v>192</v>
      </c>
      <c r="E122" s="189" t="s">
        <v>355</v>
      </c>
      <c r="F122" s="190" t="s">
        <v>123</v>
      </c>
      <c r="G122" s="189" t="s">
        <v>134</v>
      </c>
      <c r="H122" s="191">
        <v>50592</v>
      </c>
      <c r="I122" s="189" t="s">
        <v>219</v>
      </c>
      <c r="J122" s="189">
        <v>0</v>
      </c>
      <c r="K122" s="189">
        <v>10001</v>
      </c>
      <c r="L122" s="191">
        <v>3</v>
      </c>
      <c r="M122" s="192">
        <v>46092</v>
      </c>
      <c r="N122" s="193">
        <v>1</v>
      </c>
      <c r="O122" s="194">
        <v>0.5</v>
      </c>
      <c r="P122" s="195"/>
      <c r="Q122" s="196" t="s">
        <v>38</v>
      </c>
      <c r="R122" s="197">
        <v>1</v>
      </c>
      <c r="S122" s="198" t="s">
        <v>33</v>
      </c>
      <c r="T122" s="199"/>
      <c r="U122" s="200"/>
      <c r="V122" s="200"/>
      <c r="W122" s="200"/>
      <c r="X122" s="200"/>
      <c r="Y122" s="200"/>
      <c r="Z122" s="200"/>
      <c r="AA122" s="200"/>
      <c r="AB122" s="200"/>
      <c r="AC122" s="208"/>
      <c r="AD122" s="11" t="str">
        <f t="shared" si="6"/>
        <v>3</v>
      </c>
      <c r="AF122" t="str">
        <f t="shared" si="7"/>
        <v>80.01.ZZ.03</v>
      </c>
      <c r="AH122" t="str">
        <f t="shared" si="8"/>
        <v>00 de 01</v>
      </c>
    </row>
    <row r="123" spans="1:34" ht="34.5" x14ac:dyDescent="0.25">
      <c r="A123" s="139" t="s">
        <v>116</v>
      </c>
      <c r="B123" s="105" t="s">
        <v>122</v>
      </c>
      <c r="C123" s="63">
        <v>111</v>
      </c>
      <c r="D123" s="197" t="s">
        <v>192</v>
      </c>
      <c r="E123" s="189" t="s">
        <v>356</v>
      </c>
      <c r="F123" s="190" t="s">
        <v>123</v>
      </c>
      <c r="G123" s="189" t="s">
        <v>134</v>
      </c>
      <c r="H123" s="191">
        <v>50592</v>
      </c>
      <c r="I123" s="189" t="s">
        <v>219</v>
      </c>
      <c r="J123" s="189">
        <v>0</v>
      </c>
      <c r="K123" s="189">
        <v>10001</v>
      </c>
      <c r="L123" s="191">
        <v>3</v>
      </c>
      <c r="M123" s="192">
        <v>46092</v>
      </c>
      <c r="N123" s="193">
        <v>1</v>
      </c>
      <c r="O123" s="194">
        <v>0.5</v>
      </c>
      <c r="P123" s="195"/>
      <c r="Q123" s="196" t="s">
        <v>38</v>
      </c>
      <c r="R123" s="197">
        <v>1</v>
      </c>
      <c r="S123" s="198" t="s">
        <v>33</v>
      </c>
      <c r="T123" s="199"/>
      <c r="U123" s="200"/>
      <c r="V123" s="200"/>
      <c r="W123" s="200"/>
      <c r="X123" s="200"/>
      <c r="Y123" s="200"/>
      <c r="Z123" s="200"/>
      <c r="AA123" s="200"/>
      <c r="AB123" s="200"/>
      <c r="AC123" s="208"/>
      <c r="AD123" s="11" t="str">
        <f t="shared" si="6"/>
        <v>3</v>
      </c>
      <c r="AF123" t="str">
        <f t="shared" si="7"/>
        <v>80.01.ZZ.03</v>
      </c>
      <c r="AH123" t="str">
        <f t="shared" si="8"/>
        <v>00 de 01</v>
      </c>
    </row>
    <row r="124" spans="1:34" ht="34.5" x14ac:dyDescent="0.25">
      <c r="A124" s="139" t="s">
        <v>116</v>
      </c>
      <c r="B124" s="105" t="s">
        <v>122</v>
      </c>
      <c r="C124" s="63">
        <v>112</v>
      </c>
      <c r="D124" s="197" t="s">
        <v>192</v>
      </c>
      <c r="E124" s="189" t="s">
        <v>357</v>
      </c>
      <c r="F124" s="190" t="s">
        <v>123</v>
      </c>
      <c r="G124" s="189" t="s">
        <v>134</v>
      </c>
      <c r="H124" s="191">
        <v>50592</v>
      </c>
      <c r="I124" s="189" t="s">
        <v>219</v>
      </c>
      <c r="J124" s="189">
        <v>0</v>
      </c>
      <c r="K124" s="189">
        <v>10101</v>
      </c>
      <c r="L124" s="191">
        <v>3</v>
      </c>
      <c r="M124" s="192">
        <v>46092</v>
      </c>
      <c r="N124" s="193">
        <v>1</v>
      </c>
      <c r="O124" s="194">
        <v>0.5</v>
      </c>
      <c r="P124" s="195"/>
      <c r="Q124" s="196" t="s">
        <v>38</v>
      </c>
      <c r="R124" s="197">
        <v>1</v>
      </c>
      <c r="S124" s="198" t="s">
        <v>33</v>
      </c>
      <c r="T124" s="199"/>
      <c r="U124" s="200"/>
      <c r="V124" s="200"/>
      <c r="W124" s="200"/>
      <c r="X124" s="200"/>
      <c r="Y124" s="200"/>
      <c r="Z124" s="200"/>
      <c r="AA124" s="200"/>
      <c r="AB124" s="200"/>
      <c r="AC124" s="208"/>
      <c r="AD124" s="11" t="str">
        <f t="shared" si="6"/>
        <v>3</v>
      </c>
      <c r="AF124" t="str">
        <f t="shared" si="7"/>
        <v>80.01.ZZ.03</v>
      </c>
      <c r="AH124" t="str">
        <f t="shared" si="8"/>
        <v>00 de 01</v>
      </c>
    </row>
    <row r="125" spans="1:34" ht="34.5" x14ac:dyDescent="0.25">
      <c r="A125" s="139" t="s">
        <v>116</v>
      </c>
      <c r="B125" s="105" t="s">
        <v>122</v>
      </c>
      <c r="C125" s="63">
        <v>113</v>
      </c>
      <c r="D125" s="197" t="s">
        <v>192</v>
      </c>
      <c r="E125" s="189" t="s">
        <v>358</v>
      </c>
      <c r="F125" s="190" t="s">
        <v>123</v>
      </c>
      <c r="G125" s="189" t="s">
        <v>134</v>
      </c>
      <c r="H125" s="191">
        <v>50592</v>
      </c>
      <c r="I125" s="189" t="s">
        <v>219</v>
      </c>
      <c r="J125" s="189">
        <v>0</v>
      </c>
      <c r="K125" s="189">
        <v>10101</v>
      </c>
      <c r="L125" s="191">
        <v>3</v>
      </c>
      <c r="M125" s="192">
        <v>46092</v>
      </c>
      <c r="N125" s="193">
        <v>1</v>
      </c>
      <c r="O125" s="194">
        <v>0.5</v>
      </c>
      <c r="P125" s="195"/>
      <c r="Q125" s="196" t="s">
        <v>38</v>
      </c>
      <c r="R125" s="197">
        <v>1</v>
      </c>
      <c r="S125" s="198" t="s">
        <v>33</v>
      </c>
      <c r="T125" s="199"/>
      <c r="U125" s="200"/>
      <c r="V125" s="200"/>
      <c r="W125" s="200"/>
      <c r="X125" s="200"/>
      <c r="Y125" s="200"/>
      <c r="Z125" s="200"/>
      <c r="AA125" s="200"/>
      <c r="AB125" s="200"/>
      <c r="AC125" s="208"/>
      <c r="AD125" s="11" t="str">
        <f t="shared" si="6"/>
        <v>3</v>
      </c>
      <c r="AF125" t="str">
        <f t="shared" si="7"/>
        <v>80.01.ZZ.03</v>
      </c>
      <c r="AH125" t="str">
        <f t="shared" si="8"/>
        <v>00 de 01</v>
      </c>
    </row>
    <row r="126" spans="1:34" ht="34.5" x14ac:dyDescent="0.25">
      <c r="A126" s="139" t="s">
        <v>116</v>
      </c>
      <c r="B126" s="105" t="s">
        <v>122</v>
      </c>
      <c r="C126" s="63">
        <v>114</v>
      </c>
      <c r="D126" s="197" t="s">
        <v>192</v>
      </c>
      <c r="E126" s="189" t="s">
        <v>359</v>
      </c>
      <c r="F126" s="190" t="s">
        <v>123</v>
      </c>
      <c r="G126" s="189" t="s">
        <v>134</v>
      </c>
      <c r="H126" s="191">
        <v>50592</v>
      </c>
      <c r="I126" s="189" t="s">
        <v>219</v>
      </c>
      <c r="J126" s="189">
        <v>0</v>
      </c>
      <c r="K126" s="189">
        <v>10101</v>
      </c>
      <c r="L126" s="191">
        <v>3</v>
      </c>
      <c r="M126" s="192">
        <v>46092</v>
      </c>
      <c r="N126" s="193">
        <v>1</v>
      </c>
      <c r="O126" s="194">
        <v>0.5</v>
      </c>
      <c r="P126" s="195"/>
      <c r="Q126" s="196" t="s">
        <v>38</v>
      </c>
      <c r="R126" s="197">
        <v>1</v>
      </c>
      <c r="S126" s="198" t="s">
        <v>33</v>
      </c>
      <c r="T126" s="199"/>
      <c r="U126" s="200"/>
      <c r="V126" s="200"/>
      <c r="W126" s="200"/>
      <c r="X126" s="200"/>
      <c r="Y126" s="200"/>
      <c r="Z126" s="200"/>
      <c r="AA126" s="200"/>
      <c r="AB126" s="200"/>
      <c r="AC126" s="208"/>
      <c r="AD126" s="11" t="str">
        <f t="shared" si="6"/>
        <v>3</v>
      </c>
      <c r="AF126" t="str">
        <f t="shared" si="7"/>
        <v>80.01.ZZ.03</v>
      </c>
      <c r="AH126" t="str">
        <f t="shared" si="8"/>
        <v>00 de 01</v>
      </c>
    </row>
    <row r="127" spans="1:34" ht="34.5" x14ac:dyDescent="0.25">
      <c r="A127" s="139" t="s">
        <v>116</v>
      </c>
      <c r="B127" s="105" t="s">
        <v>122</v>
      </c>
      <c r="C127" s="63">
        <v>115</v>
      </c>
      <c r="D127" s="197" t="s">
        <v>192</v>
      </c>
      <c r="E127" s="189" t="s">
        <v>360</v>
      </c>
      <c r="F127" s="190" t="s">
        <v>123</v>
      </c>
      <c r="G127" s="189" t="s">
        <v>134</v>
      </c>
      <c r="H127" s="191">
        <v>50592</v>
      </c>
      <c r="I127" s="189" t="s">
        <v>219</v>
      </c>
      <c r="J127" s="189">
        <v>0</v>
      </c>
      <c r="K127" s="189">
        <v>10101</v>
      </c>
      <c r="L127" s="191">
        <v>3</v>
      </c>
      <c r="M127" s="192">
        <v>46092</v>
      </c>
      <c r="N127" s="193">
        <v>1</v>
      </c>
      <c r="O127" s="194">
        <v>0.5</v>
      </c>
      <c r="P127" s="195"/>
      <c r="Q127" s="196" t="s">
        <v>38</v>
      </c>
      <c r="R127" s="197">
        <v>1</v>
      </c>
      <c r="S127" s="198" t="s">
        <v>33</v>
      </c>
      <c r="T127" s="199"/>
      <c r="U127" s="200"/>
      <c r="V127" s="200"/>
      <c r="W127" s="200"/>
      <c r="X127" s="200"/>
      <c r="Y127" s="200"/>
      <c r="Z127" s="200"/>
      <c r="AA127" s="200"/>
      <c r="AB127" s="200"/>
      <c r="AC127" s="208"/>
      <c r="AD127" s="11" t="str">
        <f t="shared" si="6"/>
        <v>3</v>
      </c>
      <c r="AF127" t="str">
        <f t="shared" si="7"/>
        <v>80.01.ZZ.03</v>
      </c>
      <c r="AH127" t="str">
        <f t="shared" si="8"/>
        <v>00 de 01</v>
      </c>
    </row>
    <row r="128" spans="1:34" ht="34.5" x14ac:dyDescent="0.25">
      <c r="A128" s="139" t="s">
        <v>116</v>
      </c>
      <c r="B128" s="105" t="s">
        <v>122</v>
      </c>
      <c r="C128" s="63">
        <v>116</v>
      </c>
      <c r="D128" s="197" t="s">
        <v>192</v>
      </c>
      <c r="E128" s="189" t="s">
        <v>361</v>
      </c>
      <c r="F128" s="190" t="s">
        <v>123</v>
      </c>
      <c r="G128" s="189" t="s">
        <v>134</v>
      </c>
      <c r="H128" s="191">
        <v>50592</v>
      </c>
      <c r="I128" s="189" t="s">
        <v>219</v>
      </c>
      <c r="J128" s="189">
        <v>0</v>
      </c>
      <c r="K128" s="189">
        <v>10101</v>
      </c>
      <c r="L128" s="191">
        <v>3</v>
      </c>
      <c r="M128" s="192">
        <v>46092</v>
      </c>
      <c r="N128" s="193">
        <v>1</v>
      </c>
      <c r="O128" s="194">
        <v>0.5</v>
      </c>
      <c r="P128" s="195"/>
      <c r="Q128" s="196" t="s">
        <v>38</v>
      </c>
      <c r="R128" s="197">
        <v>1</v>
      </c>
      <c r="S128" s="198" t="s">
        <v>33</v>
      </c>
      <c r="T128" s="199"/>
      <c r="U128" s="200"/>
      <c r="V128" s="200"/>
      <c r="W128" s="200"/>
      <c r="X128" s="200"/>
      <c r="Y128" s="200"/>
      <c r="Z128" s="200"/>
      <c r="AA128" s="200"/>
      <c r="AB128" s="200"/>
      <c r="AC128" s="208"/>
      <c r="AD128" s="11" t="str">
        <f t="shared" si="6"/>
        <v>3</v>
      </c>
      <c r="AF128" t="str">
        <f t="shared" si="7"/>
        <v>80.01.ZZ.03</v>
      </c>
      <c r="AH128" t="str">
        <f t="shared" si="8"/>
        <v>00 de 01</v>
      </c>
    </row>
    <row r="129" spans="1:34" ht="34.5" x14ac:dyDescent="0.25">
      <c r="A129" s="139" t="s">
        <v>116</v>
      </c>
      <c r="B129" s="105" t="s">
        <v>122</v>
      </c>
      <c r="C129" s="63">
        <v>117</v>
      </c>
      <c r="D129" s="197" t="s">
        <v>192</v>
      </c>
      <c r="E129" s="189" t="s">
        <v>362</v>
      </c>
      <c r="F129" s="190" t="s">
        <v>123</v>
      </c>
      <c r="G129" s="189" t="s">
        <v>134</v>
      </c>
      <c r="H129" s="191">
        <v>50592</v>
      </c>
      <c r="I129" s="189" t="s">
        <v>219</v>
      </c>
      <c r="J129" s="189">
        <v>0</v>
      </c>
      <c r="K129" s="189">
        <v>10101</v>
      </c>
      <c r="L129" s="191">
        <v>3</v>
      </c>
      <c r="M129" s="192">
        <v>46092</v>
      </c>
      <c r="N129" s="193">
        <v>1</v>
      </c>
      <c r="O129" s="194">
        <v>0.5</v>
      </c>
      <c r="P129" s="195"/>
      <c r="Q129" s="196" t="s">
        <v>38</v>
      </c>
      <c r="R129" s="197">
        <v>1</v>
      </c>
      <c r="S129" s="198" t="s">
        <v>33</v>
      </c>
      <c r="T129" s="199"/>
      <c r="U129" s="200"/>
      <c r="V129" s="200"/>
      <c r="W129" s="200"/>
      <c r="X129" s="200"/>
      <c r="Y129" s="200"/>
      <c r="Z129" s="200"/>
      <c r="AA129" s="200"/>
      <c r="AB129" s="200"/>
      <c r="AC129" s="208"/>
      <c r="AD129" s="11" t="str">
        <f t="shared" si="6"/>
        <v>3</v>
      </c>
      <c r="AF129" t="str">
        <f t="shared" si="7"/>
        <v>80.01.ZZ.03</v>
      </c>
      <c r="AH129" t="str">
        <f t="shared" si="8"/>
        <v>00 de 01</v>
      </c>
    </row>
    <row r="130" spans="1:34" ht="34.5" x14ac:dyDescent="0.25">
      <c r="A130" s="139" t="s">
        <v>116</v>
      </c>
      <c r="B130" s="105" t="s">
        <v>122</v>
      </c>
      <c r="C130" s="63">
        <v>118</v>
      </c>
      <c r="D130" s="197" t="s">
        <v>192</v>
      </c>
      <c r="E130" s="189" t="s">
        <v>363</v>
      </c>
      <c r="F130" s="190" t="s">
        <v>123</v>
      </c>
      <c r="G130" s="189" t="s">
        <v>134</v>
      </c>
      <c r="H130" s="191">
        <v>50592</v>
      </c>
      <c r="I130" s="189" t="s">
        <v>219</v>
      </c>
      <c r="J130" s="189">
        <v>0</v>
      </c>
      <c r="K130" s="189">
        <v>10101</v>
      </c>
      <c r="L130" s="191">
        <v>3</v>
      </c>
      <c r="M130" s="192">
        <v>46092</v>
      </c>
      <c r="N130" s="193">
        <v>1</v>
      </c>
      <c r="O130" s="194">
        <v>0.5</v>
      </c>
      <c r="P130" s="195"/>
      <c r="Q130" s="196" t="s">
        <v>38</v>
      </c>
      <c r="R130" s="197">
        <v>1</v>
      </c>
      <c r="S130" s="198" t="s">
        <v>33</v>
      </c>
      <c r="T130" s="199"/>
      <c r="U130" s="200"/>
      <c r="V130" s="200"/>
      <c r="W130" s="200"/>
      <c r="X130" s="200"/>
      <c r="Y130" s="200"/>
      <c r="Z130" s="200"/>
      <c r="AA130" s="200"/>
      <c r="AB130" s="200"/>
      <c r="AC130" s="208"/>
      <c r="AD130" s="11" t="str">
        <f t="shared" si="6"/>
        <v>3</v>
      </c>
      <c r="AF130" t="str">
        <f t="shared" si="7"/>
        <v>80.01.ZZ.03</v>
      </c>
      <c r="AH130" t="str">
        <f t="shared" si="8"/>
        <v>00 de 01</v>
      </c>
    </row>
    <row r="131" spans="1:34" ht="34.5" x14ac:dyDescent="0.25">
      <c r="A131" s="139" t="s">
        <v>116</v>
      </c>
      <c r="B131" s="105" t="s">
        <v>122</v>
      </c>
      <c r="C131" s="63">
        <v>119</v>
      </c>
      <c r="D131" s="197" t="s">
        <v>192</v>
      </c>
      <c r="E131" s="189" t="s">
        <v>364</v>
      </c>
      <c r="F131" s="190" t="s">
        <v>123</v>
      </c>
      <c r="G131" s="189" t="s">
        <v>134</v>
      </c>
      <c r="H131" s="191">
        <v>50592</v>
      </c>
      <c r="I131" s="189" t="s">
        <v>219</v>
      </c>
      <c r="J131" s="189">
        <v>0</v>
      </c>
      <c r="K131" s="189">
        <v>10101</v>
      </c>
      <c r="L131" s="191">
        <v>3</v>
      </c>
      <c r="M131" s="192">
        <v>46092</v>
      </c>
      <c r="N131" s="193">
        <v>1</v>
      </c>
      <c r="O131" s="194">
        <v>0.5</v>
      </c>
      <c r="P131" s="195"/>
      <c r="Q131" s="196" t="s">
        <v>38</v>
      </c>
      <c r="R131" s="197">
        <v>1</v>
      </c>
      <c r="S131" s="198" t="s">
        <v>33</v>
      </c>
      <c r="T131" s="199"/>
      <c r="U131" s="200"/>
      <c r="V131" s="200"/>
      <c r="W131" s="200"/>
      <c r="X131" s="200"/>
      <c r="Y131" s="200"/>
      <c r="Z131" s="200"/>
      <c r="AA131" s="200"/>
      <c r="AB131" s="200"/>
      <c r="AC131" s="208"/>
      <c r="AD131" s="11" t="str">
        <f t="shared" si="6"/>
        <v>3</v>
      </c>
      <c r="AF131" t="str">
        <f t="shared" si="7"/>
        <v>80.01.ZZ.03</v>
      </c>
      <c r="AH131" t="str">
        <f t="shared" si="8"/>
        <v>00 de 01</v>
      </c>
    </row>
    <row r="132" spans="1:34" ht="34.5" x14ac:dyDescent="0.25">
      <c r="A132" s="139" t="s">
        <v>116</v>
      </c>
      <c r="B132" s="105" t="s">
        <v>122</v>
      </c>
      <c r="C132" s="63">
        <v>120</v>
      </c>
      <c r="D132" s="197" t="s">
        <v>192</v>
      </c>
      <c r="E132" s="189" t="s">
        <v>365</v>
      </c>
      <c r="F132" s="190" t="s">
        <v>123</v>
      </c>
      <c r="G132" s="189" t="s">
        <v>134</v>
      </c>
      <c r="H132" s="191">
        <v>50592</v>
      </c>
      <c r="I132" s="189" t="s">
        <v>219</v>
      </c>
      <c r="J132" s="189">
        <v>0</v>
      </c>
      <c r="K132" s="189">
        <v>10101</v>
      </c>
      <c r="L132" s="191">
        <v>3</v>
      </c>
      <c r="M132" s="192">
        <v>46092</v>
      </c>
      <c r="N132" s="193">
        <v>1</v>
      </c>
      <c r="O132" s="194">
        <v>0.5</v>
      </c>
      <c r="P132" s="195"/>
      <c r="Q132" s="196" t="s">
        <v>38</v>
      </c>
      <c r="R132" s="197">
        <v>1</v>
      </c>
      <c r="S132" s="198" t="s">
        <v>33</v>
      </c>
      <c r="T132" s="199"/>
      <c r="U132" s="200"/>
      <c r="V132" s="200"/>
      <c r="W132" s="200"/>
      <c r="X132" s="200"/>
      <c r="Y132" s="200"/>
      <c r="Z132" s="200"/>
      <c r="AA132" s="200"/>
      <c r="AB132" s="200"/>
      <c r="AC132" s="208"/>
      <c r="AD132" s="11" t="str">
        <f t="shared" si="6"/>
        <v>3</v>
      </c>
      <c r="AF132" t="str">
        <f t="shared" si="7"/>
        <v>80.01.ZZ.03</v>
      </c>
      <c r="AH132" t="str">
        <f t="shared" si="8"/>
        <v>00 de 01</v>
      </c>
    </row>
    <row r="133" spans="1:34" ht="34.5" x14ac:dyDescent="0.25">
      <c r="A133" s="139" t="s">
        <v>116</v>
      </c>
      <c r="B133" s="105" t="s">
        <v>122</v>
      </c>
      <c r="C133" s="63">
        <v>121</v>
      </c>
      <c r="D133" s="197" t="s">
        <v>192</v>
      </c>
      <c r="E133" s="189" t="s">
        <v>366</v>
      </c>
      <c r="F133" s="190" t="s">
        <v>123</v>
      </c>
      <c r="G133" s="189" t="s">
        <v>134</v>
      </c>
      <c r="H133" s="191">
        <v>50592</v>
      </c>
      <c r="I133" s="189" t="s">
        <v>219</v>
      </c>
      <c r="J133" s="189">
        <v>0</v>
      </c>
      <c r="K133" s="189">
        <v>10101</v>
      </c>
      <c r="L133" s="191">
        <v>3</v>
      </c>
      <c r="M133" s="192">
        <v>46092</v>
      </c>
      <c r="N133" s="193">
        <v>1</v>
      </c>
      <c r="O133" s="194">
        <v>0.5</v>
      </c>
      <c r="P133" s="195"/>
      <c r="Q133" s="196" t="s">
        <v>38</v>
      </c>
      <c r="R133" s="197">
        <v>1</v>
      </c>
      <c r="S133" s="198" t="s">
        <v>33</v>
      </c>
      <c r="T133" s="199"/>
      <c r="U133" s="200"/>
      <c r="V133" s="200"/>
      <c r="W133" s="200"/>
      <c r="X133" s="200"/>
      <c r="Y133" s="200"/>
      <c r="Z133" s="200"/>
      <c r="AA133" s="200"/>
      <c r="AB133" s="200"/>
      <c r="AC133" s="208"/>
      <c r="AD133" s="11" t="str">
        <f t="shared" si="6"/>
        <v>3</v>
      </c>
      <c r="AF133" t="str">
        <f t="shared" si="7"/>
        <v>80.01.ZZ.03</v>
      </c>
      <c r="AH133" t="str">
        <f t="shared" si="8"/>
        <v>00 de 01</v>
      </c>
    </row>
    <row r="134" spans="1:34" ht="34.5" x14ac:dyDescent="0.25">
      <c r="A134" s="139" t="s">
        <v>116</v>
      </c>
      <c r="B134" s="105" t="s">
        <v>122</v>
      </c>
      <c r="C134" s="63">
        <v>122</v>
      </c>
      <c r="D134" s="197" t="s">
        <v>192</v>
      </c>
      <c r="E134" s="189" t="s">
        <v>367</v>
      </c>
      <c r="F134" s="190" t="s">
        <v>123</v>
      </c>
      <c r="G134" s="189" t="s">
        <v>134</v>
      </c>
      <c r="H134" s="191">
        <v>50592</v>
      </c>
      <c r="I134" s="189" t="s">
        <v>219</v>
      </c>
      <c r="J134" s="189">
        <v>0</v>
      </c>
      <c r="K134" s="189">
        <v>10101</v>
      </c>
      <c r="L134" s="191">
        <v>3</v>
      </c>
      <c r="M134" s="192">
        <v>46092</v>
      </c>
      <c r="N134" s="193">
        <v>1</v>
      </c>
      <c r="O134" s="194">
        <v>0.5</v>
      </c>
      <c r="P134" s="195"/>
      <c r="Q134" s="196" t="s">
        <v>38</v>
      </c>
      <c r="R134" s="197">
        <v>1</v>
      </c>
      <c r="S134" s="198" t="s">
        <v>33</v>
      </c>
      <c r="T134" s="199"/>
      <c r="U134" s="200"/>
      <c r="V134" s="200"/>
      <c r="W134" s="200"/>
      <c r="X134" s="200"/>
      <c r="Y134" s="200"/>
      <c r="Z134" s="200"/>
      <c r="AA134" s="200"/>
      <c r="AB134" s="200"/>
      <c r="AC134" s="208"/>
      <c r="AD134" s="11" t="str">
        <f t="shared" si="6"/>
        <v>3</v>
      </c>
      <c r="AF134" t="str">
        <f t="shared" si="7"/>
        <v>80.01.ZZ.03</v>
      </c>
      <c r="AH134" t="str">
        <f t="shared" si="8"/>
        <v>00 de 01</v>
      </c>
    </row>
    <row r="135" spans="1:34" ht="34.5" x14ac:dyDescent="0.25">
      <c r="A135" s="139" t="s">
        <v>116</v>
      </c>
      <c r="B135" s="105" t="s">
        <v>122</v>
      </c>
      <c r="C135" s="63">
        <v>123</v>
      </c>
      <c r="D135" s="197" t="s">
        <v>192</v>
      </c>
      <c r="E135" s="189" t="s">
        <v>368</v>
      </c>
      <c r="F135" s="190" t="s">
        <v>123</v>
      </c>
      <c r="G135" s="189" t="s">
        <v>134</v>
      </c>
      <c r="H135" s="191">
        <v>50592</v>
      </c>
      <c r="I135" s="189" t="s">
        <v>219</v>
      </c>
      <c r="J135" s="189">
        <v>0</v>
      </c>
      <c r="K135" s="189">
        <v>10101</v>
      </c>
      <c r="L135" s="191">
        <v>3</v>
      </c>
      <c r="M135" s="192">
        <v>46092</v>
      </c>
      <c r="N135" s="193">
        <v>1</v>
      </c>
      <c r="O135" s="194">
        <v>0.5</v>
      </c>
      <c r="P135" s="195"/>
      <c r="Q135" s="196" t="s">
        <v>38</v>
      </c>
      <c r="R135" s="197">
        <v>1</v>
      </c>
      <c r="S135" s="198" t="s">
        <v>33</v>
      </c>
      <c r="T135" s="199"/>
      <c r="U135" s="200"/>
      <c r="V135" s="200"/>
      <c r="W135" s="200"/>
      <c r="X135" s="200"/>
      <c r="Y135" s="200"/>
      <c r="Z135" s="200"/>
      <c r="AA135" s="200"/>
      <c r="AB135" s="200"/>
      <c r="AC135" s="208"/>
      <c r="AD135" s="11" t="str">
        <f t="shared" si="6"/>
        <v>3</v>
      </c>
      <c r="AF135" t="str">
        <f t="shared" si="7"/>
        <v>80.01.ZZ.03</v>
      </c>
      <c r="AH135" t="str">
        <f t="shared" si="8"/>
        <v>00 de 01</v>
      </c>
    </row>
    <row r="136" spans="1:34" ht="34.5" x14ac:dyDescent="0.25">
      <c r="A136" s="139" t="s">
        <v>116</v>
      </c>
      <c r="B136" s="105" t="s">
        <v>122</v>
      </c>
      <c r="C136" s="63">
        <v>124</v>
      </c>
      <c r="D136" s="197" t="s">
        <v>192</v>
      </c>
      <c r="E136" s="189" t="s">
        <v>369</v>
      </c>
      <c r="F136" s="190" t="s">
        <v>123</v>
      </c>
      <c r="G136" s="189" t="s">
        <v>134</v>
      </c>
      <c r="H136" s="191">
        <v>50592</v>
      </c>
      <c r="I136" s="189" t="s">
        <v>219</v>
      </c>
      <c r="J136" s="189">
        <v>0</v>
      </c>
      <c r="K136" s="189">
        <v>10101</v>
      </c>
      <c r="L136" s="191">
        <v>3</v>
      </c>
      <c r="M136" s="192">
        <v>46092</v>
      </c>
      <c r="N136" s="193">
        <v>1</v>
      </c>
      <c r="O136" s="194">
        <v>0.5</v>
      </c>
      <c r="P136" s="195"/>
      <c r="Q136" s="196" t="s">
        <v>38</v>
      </c>
      <c r="R136" s="197">
        <v>1</v>
      </c>
      <c r="S136" s="198" t="s">
        <v>33</v>
      </c>
      <c r="T136" s="199"/>
      <c r="U136" s="200"/>
      <c r="V136" s="200"/>
      <c r="W136" s="200"/>
      <c r="X136" s="200"/>
      <c r="Y136" s="200"/>
      <c r="Z136" s="200"/>
      <c r="AA136" s="200"/>
      <c r="AB136" s="200"/>
      <c r="AC136" s="208"/>
      <c r="AD136" s="11" t="str">
        <f t="shared" si="6"/>
        <v>3</v>
      </c>
      <c r="AF136" t="str">
        <f t="shared" si="7"/>
        <v>80.01.ZZ.03</v>
      </c>
      <c r="AH136" t="str">
        <f t="shared" si="8"/>
        <v>00 de 01</v>
      </c>
    </row>
    <row r="137" spans="1:34" ht="34.5" x14ac:dyDescent="0.25">
      <c r="A137" s="139" t="s">
        <v>116</v>
      </c>
      <c r="B137" s="105" t="s">
        <v>122</v>
      </c>
      <c r="C137" s="63">
        <v>125</v>
      </c>
      <c r="D137" s="197" t="s">
        <v>192</v>
      </c>
      <c r="E137" s="189" t="s">
        <v>370</v>
      </c>
      <c r="F137" s="190" t="s">
        <v>123</v>
      </c>
      <c r="G137" s="189" t="s">
        <v>134</v>
      </c>
      <c r="H137" s="191">
        <v>50592</v>
      </c>
      <c r="I137" s="189" t="s">
        <v>219</v>
      </c>
      <c r="J137" s="189">
        <v>0</v>
      </c>
      <c r="K137" s="189">
        <v>10101</v>
      </c>
      <c r="L137" s="191">
        <v>3</v>
      </c>
      <c r="M137" s="192">
        <v>46092</v>
      </c>
      <c r="N137" s="193">
        <v>1</v>
      </c>
      <c r="O137" s="194">
        <v>0.5</v>
      </c>
      <c r="P137" s="195"/>
      <c r="Q137" s="196" t="s">
        <v>38</v>
      </c>
      <c r="R137" s="197">
        <v>1</v>
      </c>
      <c r="S137" s="198" t="s">
        <v>33</v>
      </c>
      <c r="T137" s="199"/>
      <c r="U137" s="200"/>
      <c r="V137" s="200"/>
      <c r="W137" s="200"/>
      <c r="X137" s="200"/>
      <c r="Y137" s="200"/>
      <c r="Z137" s="200"/>
      <c r="AA137" s="200"/>
      <c r="AB137" s="200"/>
      <c r="AC137" s="208"/>
      <c r="AD137" s="11" t="str">
        <f t="shared" si="6"/>
        <v>3</v>
      </c>
      <c r="AF137" t="str">
        <f t="shared" si="7"/>
        <v>80.01.ZZ.03</v>
      </c>
      <c r="AH137" t="str">
        <f t="shared" si="8"/>
        <v>00 de 01</v>
      </c>
    </row>
    <row r="138" spans="1:34" ht="34.5" x14ac:dyDescent="0.25">
      <c r="A138" s="139" t="s">
        <v>116</v>
      </c>
      <c r="B138" s="105" t="s">
        <v>122</v>
      </c>
      <c r="C138" s="63">
        <v>126</v>
      </c>
      <c r="D138" s="197" t="s">
        <v>192</v>
      </c>
      <c r="E138" s="189" t="s">
        <v>371</v>
      </c>
      <c r="F138" s="190" t="s">
        <v>123</v>
      </c>
      <c r="G138" s="189" t="s">
        <v>134</v>
      </c>
      <c r="H138" s="191">
        <v>50592</v>
      </c>
      <c r="I138" s="189" t="s">
        <v>219</v>
      </c>
      <c r="J138" s="189">
        <v>0</v>
      </c>
      <c r="K138" s="189">
        <v>10101</v>
      </c>
      <c r="L138" s="191">
        <v>3</v>
      </c>
      <c r="M138" s="192">
        <v>46092</v>
      </c>
      <c r="N138" s="193">
        <v>1</v>
      </c>
      <c r="O138" s="194">
        <v>0.5</v>
      </c>
      <c r="P138" s="195"/>
      <c r="Q138" s="196" t="s">
        <v>38</v>
      </c>
      <c r="R138" s="197">
        <v>1</v>
      </c>
      <c r="S138" s="198" t="s">
        <v>33</v>
      </c>
      <c r="T138" s="199"/>
      <c r="U138" s="200"/>
      <c r="V138" s="200"/>
      <c r="W138" s="200"/>
      <c r="X138" s="200"/>
      <c r="Y138" s="200"/>
      <c r="Z138" s="200"/>
      <c r="AA138" s="200"/>
      <c r="AB138" s="200"/>
      <c r="AC138" s="208"/>
      <c r="AD138" s="11" t="str">
        <f t="shared" si="6"/>
        <v>3</v>
      </c>
      <c r="AF138" t="str">
        <f t="shared" si="7"/>
        <v>80.01.ZZ.03</v>
      </c>
      <c r="AH138" t="str">
        <f t="shared" si="8"/>
        <v>00 de 01</v>
      </c>
    </row>
    <row r="139" spans="1:34" ht="34.5" x14ac:dyDescent="0.25">
      <c r="A139" s="139" t="s">
        <v>116</v>
      </c>
      <c r="B139" s="105" t="s">
        <v>122</v>
      </c>
      <c r="C139" s="63">
        <v>127</v>
      </c>
      <c r="D139" s="197" t="s">
        <v>192</v>
      </c>
      <c r="E139" s="189" t="s">
        <v>372</v>
      </c>
      <c r="F139" s="190" t="s">
        <v>123</v>
      </c>
      <c r="G139" s="189" t="s">
        <v>134</v>
      </c>
      <c r="H139" s="191">
        <v>50592</v>
      </c>
      <c r="I139" s="189" t="s">
        <v>219</v>
      </c>
      <c r="J139" s="189">
        <v>0</v>
      </c>
      <c r="K139" s="189">
        <v>10101</v>
      </c>
      <c r="L139" s="191">
        <v>3</v>
      </c>
      <c r="M139" s="192">
        <v>46092</v>
      </c>
      <c r="N139" s="193">
        <v>1</v>
      </c>
      <c r="O139" s="194">
        <v>0.5</v>
      </c>
      <c r="P139" s="195"/>
      <c r="Q139" s="196" t="s">
        <v>38</v>
      </c>
      <c r="R139" s="197">
        <v>1</v>
      </c>
      <c r="S139" s="198" t="s">
        <v>33</v>
      </c>
      <c r="T139" s="199"/>
      <c r="U139" s="200"/>
      <c r="V139" s="200"/>
      <c r="W139" s="200"/>
      <c r="X139" s="200"/>
      <c r="Y139" s="200"/>
      <c r="Z139" s="200"/>
      <c r="AA139" s="200"/>
      <c r="AB139" s="200"/>
      <c r="AC139" s="208"/>
      <c r="AD139" s="11" t="str">
        <f t="shared" si="6"/>
        <v>3</v>
      </c>
      <c r="AF139" t="str">
        <f t="shared" si="7"/>
        <v>80.01.ZZ.03</v>
      </c>
      <c r="AH139" t="str">
        <f t="shared" si="8"/>
        <v>00 de 01</v>
      </c>
    </row>
    <row r="140" spans="1:34" ht="34.5" x14ac:dyDescent="0.25">
      <c r="A140" s="139" t="s">
        <v>116</v>
      </c>
      <c r="B140" s="105" t="s">
        <v>122</v>
      </c>
      <c r="C140" s="63">
        <v>128</v>
      </c>
      <c r="D140" s="197" t="s">
        <v>192</v>
      </c>
      <c r="E140" s="189" t="s">
        <v>373</v>
      </c>
      <c r="F140" s="190" t="s">
        <v>123</v>
      </c>
      <c r="G140" s="189" t="s">
        <v>134</v>
      </c>
      <c r="H140" s="191">
        <v>50592</v>
      </c>
      <c r="I140" s="189" t="s">
        <v>219</v>
      </c>
      <c r="J140" s="189">
        <v>0</v>
      </c>
      <c r="K140" s="189">
        <v>10101</v>
      </c>
      <c r="L140" s="191">
        <v>3</v>
      </c>
      <c r="M140" s="192">
        <v>46092</v>
      </c>
      <c r="N140" s="193">
        <v>1</v>
      </c>
      <c r="O140" s="194">
        <v>0.5</v>
      </c>
      <c r="P140" s="195"/>
      <c r="Q140" s="196" t="s">
        <v>38</v>
      </c>
      <c r="R140" s="197">
        <v>1</v>
      </c>
      <c r="S140" s="198" t="s">
        <v>33</v>
      </c>
      <c r="T140" s="199"/>
      <c r="U140" s="200"/>
      <c r="V140" s="200"/>
      <c r="W140" s="200"/>
      <c r="X140" s="200"/>
      <c r="Y140" s="200"/>
      <c r="Z140" s="200"/>
      <c r="AA140" s="200"/>
      <c r="AB140" s="200"/>
      <c r="AC140" s="208"/>
      <c r="AD140" s="11" t="str">
        <f t="shared" si="6"/>
        <v>3</v>
      </c>
      <c r="AF140" t="str">
        <f t="shared" si="7"/>
        <v>80.01.ZZ.03</v>
      </c>
      <c r="AH140" t="str">
        <f t="shared" si="8"/>
        <v>00 de 01</v>
      </c>
    </row>
    <row r="141" spans="1:34" ht="34.5" x14ac:dyDescent="0.25">
      <c r="A141" s="139" t="s">
        <v>116</v>
      </c>
      <c r="B141" s="105" t="s">
        <v>122</v>
      </c>
      <c r="C141" s="63">
        <v>129</v>
      </c>
      <c r="D141" s="197" t="s">
        <v>192</v>
      </c>
      <c r="E141" s="189" t="s">
        <v>374</v>
      </c>
      <c r="F141" s="190" t="s">
        <v>123</v>
      </c>
      <c r="G141" s="189" t="s">
        <v>134</v>
      </c>
      <c r="H141" s="191">
        <v>50592</v>
      </c>
      <c r="I141" s="189" t="s">
        <v>219</v>
      </c>
      <c r="J141" s="189">
        <v>0</v>
      </c>
      <c r="K141" s="189">
        <v>10101</v>
      </c>
      <c r="L141" s="191">
        <v>3</v>
      </c>
      <c r="M141" s="192">
        <v>46092</v>
      </c>
      <c r="N141" s="193">
        <v>1</v>
      </c>
      <c r="O141" s="194">
        <v>0.5</v>
      </c>
      <c r="P141" s="195"/>
      <c r="Q141" s="196" t="s">
        <v>38</v>
      </c>
      <c r="R141" s="197">
        <v>1</v>
      </c>
      <c r="S141" s="198" t="s">
        <v>33</v>
      </c>
      <c r="T141" s="199"/>
      <c r="U141" s="200"/>
      <c r="V141" s="200"/>
      <c r="W141" s="200"/>
      <c r="X141" s="200"/>
      <c r="Y141" s="200"/>
      <c r="Z141" s="200"/>
      <c r="AA141" s="200"/>
      <c r="AB141" s="200"/>
      <c r="AC141" s="208"/>
      <c r="AD141" s="11" t="str">
        <f t="shared" si="6"/>
        <v>3</v>
      </c>
      <c r="AF141" t="str">
        <f t="shared" si="7"/>
        <v>80.01.ZZ.03</v>
      </c>
      <c r="AH141" t="str">
        <f t="shared" si="8"/>
        <v>00 de 01</v>
      </c>
    </row>
    <row r="142" spans="1:34" ht="34.5" x14ac:dyDescent="0.25">
      <c r="A142" s="139" t="s">
        <v>116</v>
      </c>
      <c r="B142" s="105" t="s">
        <v>122</v>
      </c>
      <c r="C142" s="63">
        <v>130</v>
      </c>
      <c r="D142" s="197" t="s">
        <v>192</v>
      </c>
      <c r="E142" s="189" t="s">
        <v>375</v>
      </c>
      <c r="F142" s="190" t="s">
        <v>123</v>
      </c>
      <c r="G142" s="189" t="s">
        <v>134</v>
      </c>
      <c r="H142" s="191">
        <v>50592</v>
      </c>
      <c r="I142" s="189" t="s">
        <v>219</v>
      </c>
      <c r="J142" s="189">
        <v>0</v>
      </c>
      <c r="K142" s="189">
        <v>10101</v>
      </c>
      <c r="L142" s="191">
        <v>3</v>
      </c>
      <c r="M142" s="192">
        <v>46092</v>
      </c>
      <c r="N142" s="193">
        <v>1</v>
      </c>
      <c r="O142" s="194">
        <v>0.5</v>
      </c>
      <c r="P142" s="195"/>
      <c r="Q142" s="196" t="s">
        <v>38</v>
      </c>
      <c r="R142" s="197">
        <v>1</v>
      </c>
      <c r="S142" s="198" t="s">
        <v>33</v>
      </c>
      <c r="T142" s="199"/>
      <c r="U142" s="200"/>
      <c r="V142" s="200"/>
      <c r="W142" s="200"/>
      <c r="X142" s="200"/>
      <c r="Y142" s="200"/>
      <c r="Z142" s="200"/>
      <c r="AA142" s="200"/>
      <c r="AB142" s="200"/>
      <c r="AC142" s="208"/>
      <c r="AD142" s="11" t="str">
        <f t="shared" si="6"/>
        <v>3</v>
      </c>
      <c r="AF142" t="str">
        <f t="shared" si="7"/>
        <v>80.01.ZZ.03</v>
      </c>
      <c r="AH142" t="str">
        <f t="shared" si="8"/>
        <v>00 de 01</v>
      </c>
    </row>
    <row r="143" spans="1:34" ht="34.5" x14ac:dyDescent="0.25">
      <c r="A143" s="139" t="s">
        <v>116</v>
      </c>
      <c r="B143" s="105" t="s">
        <v>122</v>
      </c>
      <c r="C143" s="63">
        <v>131</v>
      </c>
      <c r="D143" s="197" t="s">
        <v>192</v>
      </c>
      <c r="E143" s="189" t="s">
        <v>376</v>
      </c>
      <c r="F143" s="190" t="s">
        <v>123</v>
      </c>
      <c r="G143" s="189" t="s">
        <v>134</v>
      </c>
      <c r="H143" s="191">
        <v>50592</v>
      </c>
      <c r="I143" s="189" t="s">
        <v>219</v>
      </c>
      <c r="J143" s="189">
        <v>0</v>
      </c>
      <c r="K143" s="189">
        <v>10101</v>
      </c>
      <c r="L143" s="191">
        <v>3</v>
      </c>
      <c r="M143" s="192">
        <v>46092</v>
      </c>
      <c r="N143" s="193">
        <v>1</v>
      </c>
      <c r="O143" s="194">
        <v>0.5</v>
      </c>
      <c r="P143" s="195"/>
      <c r="Q143" s="196" t="s">
        <v>38</v>
      </c>
      <c r="R143" s="197">
        <v>1</v>
      </c>
      <c r="S143" s="198" t="s">
        <v>33</v>
      </c>
      <c r="T143" s="199"/>
      <c r="U143" s="200"/>
      <c r="V143" s="200"/>
      <c r="W143" s="200"/>
      <c r="X143" s="200"/>
      <c r="Y143" s="200"/>
      <c r="Z143" s="200"/>
      <c r="AA143" s="200"/>
      <c r="AB143" s="200"/>
      <c r="AC143" s="208"/>
      <c r="AD143" s="11" t="str">
        <f t="shared" si="6"/>
        <v>3</v>
      </c>
      <c r="AF143" t="str">
        <f t="shared" si="7"/>
        <v>80.01.ZZ.03</v>
      </c>
      <c r="AH143" t="str">
        <f t="shared" si="8"/>
        <v>00 de 01</v>
      </c>
    </row>
    <row r="144" spans="1:34" ht="34.5" x14ac:dyDescent="0.25">
      <c r="A144" s="139" t="s">
        <v>116</v>
      </c>
      <c r="B144" s="105" t="s">
        <v>122</v>
      </c>
      <c r="C144" s="63">
        <v>132</v>
      </c>
      <c r="D144" s="197" t="s">
        <v>192</v>
      </c>
      <c r="E144" s="189" t="s">
        <v>377</v>
      </c>
      <c r="F144" s="190" t="s">
        <v>123</v>
      </c>
      <c r="G144" s="189" t="s">
        <v>134</v>
      </c>
      <c r="H144" s="191">
        <v>50592</v>
      </c>
      <c r="I144" s="189" t="s">
        <v>219</v>
      </c>
      <c r="J144" s="189">
        <v>0</v>
      </c>
      <c r="K144" s="189">
        <v>10101</v>
      </c>
      <c r="L144" s="191">
        <v>3</v>
      </c>
      <c r="M144" s="192">
        <v>46092</v>
      </c>
      <c r="N144" s="193">
        <v>1</v>
      </c>
      <c r="O144" s="194">
        <v>0.5</v>
      </c>
      <c r="P144" s="195"/>
      <c r="Q144" s="196" t="s">
        <v>38</v>
      </c>
      <c r="R144" s="197">
        <v>1</v>
      </c>
      <c r="S144" s="198" t="s">
        <v>33</v>
      </c>
      <c r="T144" s="199"/>
      <c r="U144" s="200"/>
      <c r="V144" s="200"/>
      <c r="W144" s="200"/>
      <c r="X144" s="200"/>
      <c r="Y144" s="200"/>
      <c r="Z144" s="200"/>
      <c r="AA144" s="200"/>
      <c r="AB144" s="200"/>
      <c r="AC144" s="208"/>
      <c r="AD144" s="11" t="str">
        <f t="shared" si="6"/>
        <v>3</v>
      </c>
      <c r="AF144" t="str">
        <f t="shared" si="7"/>
        <v>80.01.ZZ.03</v>
      </c>
      <c r="AH144" t="str">
        <f t="shared" si="8"/>
        <v>00 de 01</v>
      </c>
    </row>
    <row r="145" spans="1:34" ht="34.5" x14ac:dyDescent="0.25">
      <c r="A145" s="139" t="s">
        <v>116</v>
      </c>
      <c r="B145" s="105" t="s">
        <v>122</v>
      </c>
      <c r="C145" s="63">
        <v>133</v>
      </c>
      <c r="D145" s="197" t="s">
        <v>192</v>
      </c>
      <c r="E145" s="189" t="s">
        <v>378</v>
      </c>
      <c r="F145" s="190" t="s">
        <v>123</v>
      </c>
      <c r="G145" s="189" t="s">
        <v>134</v>
      </c>
      <c r="H145" s="191">
        <v>50592</v>
      </c>
      <c r="I145" s="189" t="s">
        <v>219</v>
      </c>
      <c r="J145" s="189">
        <v>0</v>
      </c>
      <c r="K145" s="189">
        <v>10101</v>
      </c>
      <c r="L145" s="191">
        <v>3</v>
      </c>
      <c r="M145" s="192">
        <v>46092</v>
      </c>
      <c r="N145" s="193">
        <v>1</v>
      </c>
      <c r="O145" s="194">
        <v>0.5</v>
      </c>
      <c r="P145" s="195"/>
      <c r="Q145" s="196" t="s">
        <v>38</v>
      </c>
      <c r="R145" s="197">
        <v>1</v>
      </c>
      <c r="S145" s="198" t="s">
        <v>33</v>
      </c>
      <c r="T145" s="199"/>
      <c r="U145" s="200"/>
      <c r="V145" s="200"/>
      <c r="W145" s="200"/>
      <c r="X145" s="200"/>
      <c r="Y145" s="200"/>
      <c r="Z145" s="200"/>
      <c r="AA145" s="200"/>
      <c r="AB145" s="200"/>
      <c r="AC145" s="208"/>
      <c r="AD145" s="11" t="str">
        <f t="shared" si="6"/>
        <v>3</v>
      </c>
      <c r="AF145" t="str">
        <f t="shared" si="7"/>
        <v>80.01.ZZ.03</v>
      </c>
      <c r="AH145" t="str">
        <f t="shared" si="8"/>
        <v>00 de 01</v>
      </c>
    </row>
    <row r="146" spans="1:34" ht="34.5" x14ac:dyDescent="0.25">
      <c r="A146" s="139" t="s">
        <v>116</v>
      </c>
      <c r="B146" s="105" t="s">
        <v>122</v>
      </c>
      <c r="C146" s="63">
        <v>134</v>
      </c>
      <c r="D146" s="197" t="s">
        <v>192</v>
      </c>
      <c r="E146" s="189" t="s">
        <v>379</v>
      </c>
      <c r="F146" s="190" t="s">
        <v>123</v>
      </c>
      <c r="G146" s="189" t="s">
        <v>134</v>
      </c>
      <c r="H146" s="191">
        <v>50592</v>
      </c>
      <c r="I146" s="189" t="s">
        <v>219</v>
      </c>
      <c r="J146" s="189">
        <v>0</v>
      </c>
      <c r="K146" s="189">
        <v>10101</v>
      </c>
      <c r="L146" s="191">
        <v>3</v>
      </c>
      <c r="M146" s="192">
        <v>46092</v>
      </c>
      <c r="N146" s="193">
        <v>1</v>
      </c>
      <c r="O146" s="194">
        <v>0.5</v>
      </c>
      <c r="P146" s="195"/>
      <c r="Q146" s="196" t="s">
        <v>38</v>
      </c>
      <c r="R146" s="197">
        <v>1</v>
      </c>
      <c r="S146" s="198" t="s">
        <v>33</v>
      </c>
      <c r="T146" s="199"/>
      <c r="U146" s="200"/>
      <c r="V146" s="200"/>
      <c r="W146" s="200"/>
      <c r="X146" s="200"/>
      <c r="Y146" s="200"/>
      <c r="Z146" s="200"/>
      <c r="AA146" s="200"/>
      <c r="AB146" s="200"/>
      <c r="AC146" s="208"/>
      <c r="AD146" s="11" t="str">
        <f t="shared" si="6"/>
        <v>3</v>
      </c>
      <c r="AF146" t="str">
        <f t="shared" si="7"/>
        <v>80.01.ZZ.03</v>
      </c>
      <c r="AH146" t="str">
        <f t="shared" si="8"/>
        <v>00 de 01</v>
      </c>
    </row>
    <row r="147" spans="1:34" ht="34.5" x14ac:dyDescent="0.25">
      <c r="A147" s="139" t="s">
        <v>116</v>
      </c>
      <c r="B147" s="105" t="s">
        <v>122</v>
      </c>
      <c r="C147" s="63">
        <v>135</v>
      </c>
      <c r="D147" s="197" t="s">
        <v>192</v>
      </c>
      <c r="E147" s="189" t="s">
        <v>380</v>
      </c>
      <c r="F147" s="190" t="s">
        <v>123</v>
      </c>
      <c r="G147" s="189" t="s">
        <v>134</v>
      </c>
      <c r="H147" s="191">
        <v>50592</v>
      </c>
      <c r="I147" s="189" t="s">
        <v>219</v>
      </c>
      <c r="J147" s="189">
        <v>0</v>
      </c>
      <c r="K147" s="189">
        <v>10101</v>
      </c>
      <c r="L147" s="191">
        <v>3</v>
      </c>
      <c r="M147" s="192">
        <v>46092</v>
      </c>
      <c r="N147" s="193">
        <v>1</v>
      </c>
      <c r="O147" s="194">
        <v>0.5</v>
      </c>
      <c r="P147" s="195"/>
      <c r="Q147" s="196" t="s">
        <v>38</v>
      </c>
      <c r="R147" s="197">
        <v>1</v>
      </c>
      <c r="S147" s="198" t="s">
        <v>33</v>
      </c>
      <c r="T147" s="199"/>
      <c r="U147" s="200"/>
      <c r="V147" s="200"/>
      <c r="W147" s="200"/>
      <c r="X147" s="200"/>
      <c r="Y147" s="200"/>
      <c r="Z147" s="200"/>
      <c r="AA147" s="200"/>
      <c r="AB147" s="200"/>
      <c r="AC147" s="208"/>
      <c r="AD147" s="11" t="str">
        <f t="shared" si="6"/>
        <v>3</v>
      </c>
      <c r="AF147" t="str">
        <f t="shared" si="7"/>
        <v>80.01.ZZ.03</v>
      </c>
      <c r="AH147" t="str">
        <f t="shared" si="8"/>
        <v>00 de 01</v>
      </c>
    </row>
    <row r="148" spans="1:34" ht="34.5" x14ac:dyDescent="0.25">
      <c r="A148" s="139" t="s">
        <v>116</v>
      </c>
      <c r="B148" s="105" t="s">
        <v>122</v>
      </c>
      <c r="C148" s="63">
        <v>136</v>
      </c>
      <c r="D148" s="197" t="s">
        <v>192</v>
      </c>
      <c r="E148" s="189" t="s">
        <v>381</v>
      </c>
      <c r="F148" s="190" t="s">
        <v>123</v>
      </c>
      <c r="G148" s="189" t="s">
        <v>134</v>
      </c>
      <c r="H148" s="191">
        <v>50592</v>
      </c>
      <c r="I148" s="189" t="s">
        <v>219</v>
      </c>
      <c r="J148" s="189">
        <v>0</v>
      </c>
      <c r="K148" s="189">
        <v>10101</v>
      </c>
      <c r="L148" s="191">
        <v>3</v>
      </c>
      <c r="M148" s="192">
        <v>46092</v>
      </c>
      <c r="N148" s="193">
        <v>1</v>
      </c>
      <c r="O148" s="194">
        <v>0.5</v>
      </c>
      <c r="P148" s="195"/>
      <c r="Q148" s="196" t="s">
        <v>38</v>
      </c>
      <c r="R148" s="197">
        <v>1</v>
      </c>
      <c r="S148" s="198" t="s">
        <v>33</v>
      </c>
      <c r="T148" s="199"/>
      <c r="U148" s="200"/>
      <c r="V148" s="200"/>
      <c r="W148" s="200"/>
      <c r="X148" s="200"/>
      <c r="Y148" s="200"/>
      <c r="Z148" s="200"/>
      <c r="AA148" s="200"/>
      <c r="AB148" s="200"/>
      <c r="AC148" s="208"/>
      <c r="AD148" s="11" t="str">
        <f t="shared" si="6"/>
        <v>3</v>
      </c>
      <c r="AF148" t="str">
        <f t="shared" si="7"/>
        <v>80.01.ZZ.03</v>
      </c>
      <c r="AH148" t="str">
        <f t="shared" si="8"/>
        <v>00 de 01</v>
      </c>
    </row>
    <row r="149" spans="1:34" ht="34.5" x14ac:dyDescent="0.25">
      <c r="A149" s="139" t="s">
        <v>116</v>
      </c>
      <c r="B149" s="105" t="s">
        <v>122</v>
      </c>
      <c r="C149" s="63">
        <v>137</v>
      </c>
      <c r="D149" s="197" t="s">
        <v>192</v>
      </c>
      <c r="E149" s="189" t="s">
        <v>382</v>
      </c>
      <c r="F149" s="190" t="s">
        <v>123</v>
      </c>
      <c r="G149" s="189" t="s">
        <v>134</v>
      </c>
      <c r="H149" s="191">
        <v>50592</v>
      </c>
      <c r="I149" s="189" t="s">
        <v>219</v>
      </c>
      <c r="J149" s="189">
        <v>0</v>
      </c>
      <c r="K149" s="189">
        <v>10201</v>
      </c>
      <c r="L149" s="191">
        <v>3</v>
      </c>
      <c r="M149" s="192">
        <v>46092</v>
      </c>
      <c r="N149" s="193">
        <v>1</v>
      </c>
      <c r="O149" s="194">
        <v>0.5</v>
      </c>
      <c r="P149" s="195"/>
      <c r="Q149" s="196" t="s">
        <v>38</v>
      </c>
      <c r="R149" s="197">
        <v>1</v>
      </c>
      <c r="S149" s="198" t="s">
        <v>33</v>
      </c>
      <c r="T149" s="199"/>
      <c r="U149" s="200"/>
      <c r="V149" s="200"/>
      <c r="W149" s="200"/>
      <c r="X149" s="200"/>
      <c r="Y149" s="200"/>
      <c r="Z149" s="200"/>
      <c r="AA149" s="200"/>
      <c r="AB149" s="200"/>
      <c r="AC149" s="208"/>
      <c r="AD149" s="11" t="str">
        <f t="shared" si="6"/>
        <v>3</v>
      </c>
      <c r="AF149" t="str">
        <f t="shared" si="7"/>
        <v>80.01.ZZ.03</v>
      </c>
      <c r="AH149" t="str">
        <f t="shared" si="8"/>
        <v>00 de 01</v>
      </c>
    </row>
    <row r="150" spans="1:34" ht="34.5" x14ac:dyDescent="0.25">
      <c r="A150" s="139" t="s">
        <v>116</v>
      </c>
      <c r="B150" s="105" t="s">
        <v>122</v>
      </c>
      <c r="C150" s="63">
        <v>138</v>
      </c>
      <c r="D150" s="197" t="s">
        <v>192</v>
      </c>
      <c r="E150" s="189" t="s">
        <v>383</v>
      </c>
      <c r="F150" s="190" t="s">
        <v>123</v>
      </c>
      <c r="G150" s="189" t="s">
        <v>134</v>
      </c>
      <c r="H150" s="191">
        <v>50592</v>
      </c>
      <c r="I150" s="189" t="s">
        <v>219</v>
      </c>
      <c r="J150" s="189">
        <v>0</v>
      </c>
      <c r="K150" s="189">
        <v>10201</v>
      </c>
      <c r="L150" s="191">
        <v>3</v>
      </c>
      <c r="M150" s="192">
        <v>46092</v>
      </c>
      <c r="N150" s="193">
        <v>1</v>
      </c>
      <c r="O150" s="194">
        <v>0.5</v>
      </c>
      <c r="P150" s="195"/>
      <c r="Q150" s="196" t="s">
        <v>38</v>
      </c>
      <c r="R150" s="197">
        <v>1</v>
      </c>
      <c r="S150" s="198" t="s">
        <v>33</v>
      </c>
      <c r="T150" s="199"/>
      <c r="U150" s="200"/>
      <c r="V150" s="200"/>
      <c r="W150" s="200"/>
      <c r="X150" s="200"/>
      <c r="Y150" s="200"/>
      <c r="Z150" s="200"/>
      <c r="AA150" s="200"/>
      <c r="AB150" s="200"/>
      <c r="AC150" s="208"/>
      <c r="AD150" s="11" t="str">
        <f t="shared" si="6"/>
        <v>3</v>
      </c>
      <c r="AF150" t="str">
        <f t="shared" si="7"/>
        <v>80.01.ZZ.03</v>
      </c>
      <c r="AH150" t="str">
        <f t="shared" si="8"/>
        <v>00 de 01</v>
      </c>
    </row>
    <row r="151" spans="1:34" ht="34.5" x14ac:dyDescent="0.25">
      <c r="A151" s="139" t="s">
        <v>116</v>
      </c>
      <c r="B151" s="105" t="s">
        <v>122</v>
      </c>
      <c r="C151" s="63">
        <v>139</v>
      </c>
      <c r="D151" s="197" t="s">
        <v>192</v>
      </c>
      <c r="E151" s="189" t="s">
        <v>384</v>
      </c>
      <c r="F151" s="190" t="s">
        <v>123</v>
      </c>
      <c r="G151" s="189" t="s">
        <v>134</v>
      </c>
      <c r="H151" s="191">
        <v>50592</v>
      </c>
      <c r="I151" s="189" t="s">
        <v>219</v>
      </c>
      <c r="J151" s="189">
        <v>0</v>
      </c>
      <c r="K151" s="189">
        <v>10201</v>
      </c>
      <c r="L151" s="191">
        <v>3</v>
      </c>
      <c r="M151" s="192">
        <v>46092</v>
      </c>
      <c r="N151" s="193">
        <v>1</v>
      </c>
      <c r="O151" s="194">
        <v>0.5</v>
      </c>
      <c r="P151" s="195"/>
      <c r="Q151" s="196" t="s">
        <v>38</v>
      </c>
      <c r="R151" s="197">
        <v>1</v>
      </c>
      <c r="S151" s="198" t="s">
        <v>33</v>
      </c>
      <c r="T151" s="199"/>
      <c r="U151" s="200"/>
      <c r="V151" s="200"/>
      <c r="W151" s="200"/>
      <c r="X151" s="200"/>
      <c r="Y151" s="200"/>
      <c r="Z151" s="200"/>
      <c r="AA151" s="200"/>
      <c r="AB151" s="200"/>
      <c r="AC151" s="208"/>
      <c r="AD151" s="11" t="str">
        <f t="shared" si="6"/>
        <v>3</v>
      </c>
      <c r="AF151" t="str">
        <f t="shared" si="7"/>
        <v>80.01.ZZ.03</v>
      </c>
      <c r="AH151" t="str">
        <f t="shared" si="8"/>
        <v>00 de 01</v>
      </c>
    </row>
    <row r="152" spans="1:34" ht="34.5" x14ac:dyDescent="0.25">
      <c r="A152" s="139" t="s">
        <v>116</v>
      </c>
      <c r="B152" s="105" t="s">
        <v>122</v>
      </c>
      <c r="C152" s="63">
        <v>140</v>
      </c>
      <c r="D152" s="197" t="s">
        <v>192</v>
      </c>
      <c r="E152" s="189" t="s">
        <v>385</v>
      </c>
      <c r="F152" s="190" t="s">
        <v>123</v>
      </c>
      <c r="G152" s="189" t="s">
        <v>134</v>
      </c>
      <c r="H152" s="191">
        <v>50592</v>
      </c>
      <c r="I152" s="189" t="s">
        <v>219</v>
      </c>
      <c r="J152" s="189">
        <v>0</v>
      </c>
      <c r="K152" s="189">
        <v>10201</v>
      </c>
      <c r="L152" s="191">
        <v>3</v>
      </c>
      <c r="M152" s="192">
        <v>46092</v>
      </c>
      <c r="N152" s="193">
        <v>1</v>
      </c>
      <c r="O152" s="194">
        <v>0.5</v>
      </c>
      <c r="P152" s="195"/>
      <c r="Q152" s="196" t="s">
        <v>38</v>
      </c>
      <c r="R152" s="197">
        <v>1</v>
      </c>
      <c r="S152" s="198" t="s">
        <v>33</v>
      </c>
      <c r="T152" s="199"/>
      <c r="U152" s="200"/>
      <c r="V152" s="200"/>
      <c r="W152" s="200"/>
      <c r="X152" s="200"/>
      <c r="Y152" s="200"/>
      <c r="Z152" s="200"/>
      <c r="AA152" s="200"/>
      <c r="AB152" s="200"/>
      <c r="AC152" s="208"/>
      <c r="AD152" s="11" t="str">
        <f t="shared" si="6"/>
        <v>3</v>
      </c>
      <c r="AF152" t="str">
        <f t="shared" si="7"/>
        <v>80.01.ZZ.03</v>
      </c>
      <c r="AH152" t="str">
        <f t="shared" si="8"/>
        <v>00 de 01</v>
      </c>
    </row>
    <row r="153" spans="1:34" ht="34.5" x14ac:dyDescent="0.25">
      <c r="A153" s="139" t="s">
        <v>116</v>
      </c>
      <c r="B153" s="105" t="s">
        <v>122</v>
      </c>
      <c r="C153" s="63">
        <v>141</v>
      </c>
      <c r="D153" s="197" t="s">
        <v>192</v>
      </c>
      <c r="E153" s="189" t="s">
        <v>386</v>
      </c>
      <c r="F153" s="190" t="s">
        <v>123</v>
      </c>
      <c r="G153" s="189" t="s">
        <v>134</v>
      </c>
      <c r="H153" s="191">
        <v>50592</v>
      </c>
      <c r="I153" s="189" t="s">
        <v>219</v>
      </c>
      <c r="J153" s="189">
        <v>0</v>
      </c>
      <c r="K153" s="189">
        <v>10201</v>
      </c>
      <c r="L153" s="191">
        <v>3</v>
      </c>
      <c r="M153" s="192">
        <v>46092</v>
      </c>
      <c r="N153" s="193">
        <v>1</v>
      </c>
      <c r="O153" s="194">
        <v>0.5</v>
      </c>
      <c r="P153" s="195"/>
      <c r="Q153" s="196" t="s">
        <v>38</v>
      </c>
      <c r="R153" s="197">
        <v>1</v>
      </c>
      <c r="S153" s="198" t="s">
        <v>33</v>
      </c>
      <c r="T153" s="199"/>
      <c r="U153" s="200"/>
      <c r="V153" s="200"/>
      <c r="W153" s="200"/>
      <c r="X153" s="200"/>
      <c r="Y153" s="200"/>
      <c r="Z153" s="200"/>
      <c r="AA153" s="200"/>
      <c r="AB153" s="200"/>
      <c r="AC153" s="208"/>
      <c r="AD153" s="11" t="str">
        <f t="shared" si="6"/>
        <v>3</v>
      </c>
      <c r="AF153" t="str">
        <f t="shared" si="7"/>
        <v>80.01.ZZ.03</v>
      </c>
      <c r="AH153" t="str">
        <f t="shared" si="8"/>
        <v>00 de 01</v>
      </c>
    </row>
    <row r="154" spans="1:34" ht="34.5" x14ac:dyDescent="0.25">
      <c r="A154" s="139" t="s">
        <v>116</v>
      </c>
      <c r="B154" s="105" t="s">
        <v>122</v>
      </c>
      <c r="C154" s="63">
        <v>142</v>
      </c>
      <c r="D154" s="197" t="s">
        <v>192</v>
      </c>
      <c r="E154" s="189" t="s">
        <v>387</v>
      </c>
      <c r="F154" s="190" t="s">
        <v>123</v>
      </c>
      <c r="G154" s="189" t="s">
        <v>134</v>
      </c>
      <c r="H154" s="191">
        <v>50592</v>
      </c>
      <c r="I154" s="189" t="s">
        <v>219</v>
      </c>
      <c r="J154" s="189">
        <v>0</v>
      </c>
      <c r="K154" s="189">
        <v>10201</v>
      </c>
      <c r="L154" s="191">
        <v>3</v>
      </c>
      <c r="M154" s="192">
        <v>46092</v>
      </c>
      <c r="N154" s="193">
        <v>1</v>
      </c>
      <c r="O154" s="194">
        <v>0.5</v>
      </c>
      <c r="P154" s="195"/>
      <c r="Q154" s="196" t="s">
        <v>38</v>
      </c>
      <c r="R154" s="197">
        <v>1</v>
      </c>
      <c r="S154" s="198" t="s">
        <v>33</v>
      </c>
      <c r="T154" s="199"/>
      <c r="U154" s="200"/>
      <c r="V154" s="200"/>
      <c r="W154" s="200"/>
      <c r="X154" s="200"/>
      <c r="Y154" s="200"/>
      <c r="Z154" s="200"/>
      <c r="AA154" s="200"/>
      <c r="AB154" s="200"/>
      <c r="AC154" s="208"/>
      <c r="AD154" s="11" t="str">
        <f t="shared" si="6"/>
        <v>3</v>
      </c>
      <c r="AF154" t="str">
        <f t="shared" si="7"/>
        <v>80.01.ZZ.03</v>
      </c>
      <c r="AH154" t="str">
        <f t="shared" si="8"/>
        <v>00 de 01</v>
      </c>
    </row>
    <row r="155" spans="1:34" ht="34.5" x14ac:dyDescent="0.25">
      <c r="A155" s="139" t="s">
        <v>116</v>
      </c>
      <c r="B155" s="105" t="s">
        <v>122</v>
      </c>
      <c r="C155" s="63">
        <v>143</v>
      </c>
      <c r="D155" s="197" t="s">
        <v>192</v>
      </c>
      <c r="E155" s="189" t="s">
        <v>388</v>
      </c>
      <c r="F155" s="190" t="s">
        <v>123</v>
      </c>
      <c r="G155" s="189" t="s">
        <v>134</v>
      </c>
      <c r="H155" s="191">
        <v>50592</v>
      </c>
      <c r="I155" s="189" t="s">
        <v>219</v>
      </c>
      <c r="J155" s="189">
        <v>0</v>
      </c>
      <c r="K155" s="189">
        <v>10201</v>
      </c>
      <c r="L155" s="191">
        <v>3</v>
      </c>
      <c r="M155" s="192">
        <v>46092</v>
      </c>
      <c r="N155" s="193">
        <v>1</v>
      </c>
      <c r="O155" s="194">
        <v>0.5</v>
      </c>
      <c r="P155" s="195"/>
      <c r="Q155" s="196" t="s">
        <v>38</v>
      </c>
      <c r="R155" s="197">
        <v>1</v>
      </c>
      <c r="S155" s="198" t="s">
        <v>33</v>
      </c>
      <c r="T155" s="199"/>
      <c r="U155" s="200"/>
      <c r="V155" s="200"/>
      <c r="W155" s="200"/>
      <c r="X155" s="200"/>
      <c r="Y155" s="200"/>
      <c r="Z155" s="200"/>
      <c r="AA155" s="200"/>
      <c r="AB155" s="200"/>
      <c r="AC155" s="208"/>
      <c r="AD155" s="11" t="str">
        <f t="shared" si="6"/>
        <v>3</v>
      </c>
      <c r="AF155" t="str">
        <f t="shared" si="7"/>
        <v>80.01.ZZ.03</v>
      </c>
      <c r="AH155" t="str">
        <f t="shared" si="8"/>
        <v>00 de 01</v>
      </c>
    </row>
    <row r="156" spans="1:34" ht="34.5" x14ac:dyDescent="0.25">
      <c r="A156" s="139" t="s">
        <v>116</v>
      </c>
      <c r="B156" s="105" t="s">
        <v>122</v>
      </c>
      <c r="C156" s="63">
        <v>144</v>
      </c>
      <c r="D156" s="197" t="s">
        <v>192</v>
      </c>
      <c r="E156" s="189" t="s">
        <v>389</v>
      </c>
      <c r="F156" s="190" t="s">
        <v>123</v>
      </c>
      <c r="G156" s="189" t="s">
        <v>134</v>
      </c>
      <c r="H156" s="191">
        <v>50592</v>
      </c>
      <c r="I156" s="189" t="s">
        <v>219</v>
      </c>
      <c r="J156" s="189">
        <v>0</v>
      </c>
      <c r="K156" s="189">
        <v>10201</v>
      </c>
      <c r="L156" s="191">
        <v>3</v>
      </c>
      <c r="M156" s="192">
        <v>46092</v>
      </c>
      <c r="N156" s="193">
        <v>1</v>
      </c>
      <c r="O156" s="194">
        <v>0.5</v>
      </c>
      <c r="P156" s="195"/>
      <c r="Q156" s="196" t="s">
        <v>38</v>
      </c>
      <c r="R156" s="197">
        <v>1</v>
      </c>
      <c r="S156" s="198" t="s">
        <v>33</v>
      </c>
      <c r="T156" s="199"/>
      <c r="U156" s="200"/>
      <c r="V156" s="200"/>
      <c r="W156" s="200"/>
      <c r="X156" s="200"/>
      <c r="Y156" s="200"/>
      <c r="Z156" s="200"/>
      <c r="AA156" s="200"/>
      <c r="AB156" s="200"/>
      <c r="AC156" s="208"/>
      <c r="AD156" s="11" t="str">
        <f t="shared" si="6"/>
        <v>3</v>
      </c>
      <c r="AF156" t="str">
        <f t="shared" si="7"/>
        <v>80.01.ZZ.03</v>
      </c>
      <c r="AH156" t="str">
        <f t="shared" si="8"/>
        <v>00 de 01</v>
      </c>
    </row>
    <row r="157" spans="1:34" ht="34.5" x14ac:dyDescent="0.25">
      <c r="A157" s="139" t="s">
        <v>116</v>
      </c>
      <c r="B157" s="105" t="s">
        <v>122</v>
      </c>
      <c r="C157" s="63">
        <v>145</v>
      </c>
      <c r="D157" s="197" t="s">
        <v>192</v>
      </c>
      <c r="E157" s="189" t="s">
        <v>390</v>
      </c>
      <c r="F157" s="190" t="s">
        <v>123</v>
      </c>
      <c r="G157" s="189" t="s">
        <v>134</v>
      </c>
      <c r="H157" s="191">
        <v>50592</v>
      </c>
      <c r="I157" s="189" t="s">
        <v>219</v>
      </c>
      <c r="J157" s="189">
        <v>0</v>
      </c>
      <c r="K157" s="189">
        <v>10201</v>
      </c>
      <c r="L157" s="191">
        <v>3</v>
      </c>
      <c r="M157" s="192">
        <v>46092</v>
      </c>
      <c r="N157" s="193">
        <v>1</v>
      </c>
      <c r="O157" s="194">
        <v>0.5</v>
      </c>
      <c r="P157" s="195"/>
      <c r="Q157" s="196" t="s">
        <v>38</v>
      </c>
      <c r="R157" s="197">
        <v>1</v>
      </c>
      <c r="S157" s="198" t="s">
        <v>33</v>
      </c>
      <c r="T157" s="199"/>
      <c r="U157" s="200"/>
      <c r="V157" s="200"/>
      <c r="W157" s="200"/>
      <c r="X157" s="200"/>
      <c r="Y157" s="200"/>
      <c r="Z157" s="200"/>
      <c r="AA157" s="200"/>
      <c r="AB157" s="200"/>
      <c r="AC157" s="208"/>
      <c r="AD157" s="11" t="str">
        <f t="shared" si="6"/>
        <v>3</v>
      </c>
      <c r="AF157" t="str">
        <f t="shared" si="7"/>
        <v>80.01.ZZ.03</v>
      </c>
      <c r="AH157" t="str">
        <f t="shared" si="8"/>
        <v>00 de 01</v>
      </c>
    </row>
    <row r="158" spans="1:34" ht="34.5" x14ac:dyDescent="0.25">
      <c r="A158" s="139" t="s">
        <v>116</v>
      </c>
      <c r="B158" s="105" t="s">
        <v>122</v>
      </c>
      <c r="C158" s="63">
        <v>146</v>
      </c>
      <c r="D158" s="197" t="s">
        <v>192</v>
      </c>
      <c r="E158" s="189" t="s">
        <v>391</v>
      </c>
      <c r="F158" s="190" t="s">
        <v>123</v>
      </c>
      <c r="G158" s="189" t="s">
        <v>134</v>
      </c>
      <c r="H158" s="191">
        <v>50592</v>
      </c>
      <c r="I158" s="189" t="s">
        <v>219</v>
      </c>
      <c r="J158" s="189">
        <v>0</v>
      </c>
      <c r="K158" s="189">
        <v>10201</v>
      </c>
      <c r="L158" s="191">
        <v>3</v>
      </c>
      <c r="M158" s="192">
        <v>46092</v>
      </c>
      <c r="N158" s="193">
        <v>1</v>
      </c>
      <c r="O158" s="194">
        <v>0.5</v>
      </c>
      <c r="P158" s="195"/>
      <c r="Q158" s="196" t="s">
        <v>38</v>
      </c>
      <c r="R158" s="197">
        <v>1</v>
      </c>
      <c r="S158" s="198" t="s">
        <v>33</v>
      </c>
      <c r="T158" s="199"/>
      <c r="U158" s="200"/>
      <c r="V158" s="200"/>
      <c r="W158" s="200"/>
      <c r="X158" s="200"/>
      <c r="Y158" s="200"/>
      <c r="Z158" s="200"/>
      <c r="AA158" s="200"/>
      <c r="AB158" s="200"/>
      <c r="AC158" s="208"/>
      <c r="AD158" s="11" t="str">
        <f t="shared" si="6"/>
        <v>3</v>
      </c>
      <c r="AF158" t="str">
        <f t="shared" si="7"/>
        <v>80.01.ZZ.03</v>
      </c>
      <c r="AH158" t="str">
        <f t="shared" si="8"/>
        <v>00 de 01</v>
      </c>
    </row>
    <row r="159" spans="1:34" ht="34.5" x14ac:dyDescent="0.25">
      <c r="A159" s="139" t="s">
        <v>116</v>
      </c>
      <c r="B159" s="105" t="s">
        <v>122</v>
      </c>
      <c r="C159" s="63">
        <v>147</v>
      </c>
      <c r="D159" s="197" t="s">
        <v>192</v>
      </c>
      <c r="E159" s="189" t="s">
        <v>392</v>
      </c>
      <c r="F159" s="190" t="s">
        <v>123</v>
      </c>
      <c r="G159" s="189" t="s">
        <v>134</v>
      </c>
      <c r="H159" s="191">
        <v>50592</v>
      </c>
      <c r="I159" s="189" t="s">
        <v>219</v>
      </c>
      <c r="J159" s="189">
        <v>0</v>
      </c>
      <c r="K159" s="189">
        <v>10201</v>
      </c>
      <c r="L159" s="191">
        <v>3</v>
      </c>
      <c r="M159" s="192">
        <v>46092</v>
      </c>
      <c r="N159" s="193">
        <v>1</v>
      </c>
      <c r="O159" s="194">
        <v>0.5</v>
      </c>
      <c r="P159" s="195"/>
      <c r="Q159" s="196" t="s">
        <v>38</v>
      </c>
      <c r="R159" s="197">
        <v>1</v>
      </c>
      <c r="S159" s="198" t="s">
        <v>33</v>
      </c>
      <c r="T159" s="199"/>
      <c r="U159" s="200"/>
      <c r="V159" s="200"/>
      <c r="W159" s="200"/>
      <c r="X159" s="200"/>
      <c r="Y159" s="200"/>
      <c r="Z159" s="200"/>
      <c r="AA159" s="200"/>
      <c r="AB159" s="200"/>
      <c r="AC159" s="208"/>
      <c r="AD159" s="11" t="str">
        <f t="shared" si="6"/>
        <v>3</v>
      </c>
      <c r="AF159" t="str">
        <f t="shared" si="7"/>
        <v>80.01.ZZ.03</v>
      </c>
      <c r="AH159" t="str">
        <f t="shared" si="8"/>
        <v>00 de 01</v>
      </c>
    </row>
    <row r="160" spans="1:34" ht="34.5" x14ac:dyDescent="0.25">
      <c r="A160" s="139" t="s">
        <v>116</v>
      </c>
      <c r="B160" s="105" t="s">
        <v>122</v>
      </c>
      <c r="C160" s="63">
        <v>148</v>
      </c>
      <c r="D160" s="197" t="s">
        <v>192</v>
      </c>
      <c r="E160" s="189" t="s">
        <v>393</v>
      </c>
      <c r="F160" s="190" t="s">
        <v>123</v>
      </c>
      <c r="G160" s="189" t="s">
        <v>134</v>
      </c>
      <c r="H160" s="191">
        <v>50592</v>
      </c>
      <c r="I160" s="189" t="s">
        <v>219</v>
      </c>
      <c r="J160" s="189">
        <v>0</v>
      </c>
      <c r="K160" s="189">
        <v>10201</v>
      </c>
      <c r="L160" s="191">
        <v>3</v>
      </c>
      <c r="M160" s="192">
        <v>46092</v>
      </c>
      <c r="N160" s="193">
        <v>1</v>
      </c>
      <c r="O160" s="194">
        <v>0.5</v>
      </c>
      <c r="P160" s="195"/>
      <c r="Q160" s="196" t="s">
        <v>38</v>
      </c>
      <c r="R160" s="197">
        <v>1</v>
      </c>
      <c r="S160" s="198" t="s">
        <v>33</v>
      </c>
      <c r="T160" s="199"/>
      <c r="U160" s="200"/>
      <c r="V160" s="200"/>
      <c r="W160" s="200"/>
      <c r="X160" s="200"/>
      <c r="Y160" s="200"/>
      <c r="Z160" s="200"/>
      <c r="AA160" s="200"/>
      <c r="AB160" s="200"/>
      <c r="AC160" s="208"/>
      <c r="AD160" s="11" t="str">
        <f t="shared" si="6"/>
        <v>3</v>
      </c>
      <c r="AF160" t="str">
        <f t="shared" si="7"/>
        <v>80.01.ZZ.03</v>
      </c>
      <c r="AH160" t="str">
        <f t="shared" si="8"/>
        <v>00 de 01</v>
      </c>
    </row>
    <row r="161" spans="1:34" ht="34.5" x14ac:dyDescent="0.25">
      <c r="A161" s="139" t="s">
        <v>116</v>
      </c>
      <c r="B161" s="105" t="s">
        <v>122</v>
      </c>
      <c r="C161" s="63">
        <v>149</v>
      </c>
      <c r="D161" s="197" t="s">
        <v>192</v>
      </c>
      <c r="E161" s="189" t="s">
        <v>394</v>
      </c>
      <c r="F161" s="190" t="s">
        <v>123</v>
      </c>
      <c r="G161" s="189" t="s">
        <v>134</v>
      </c>
      <c r="H161" s="191">
        <v>50592</v>
      </c>
      <c r="I161" s="189" t="s">
        <v>219</v>
      </c>
      <c r="J161" s="189">
        <v>0</v>
      </c>
      <c r="K161" s="189">
        <v>10201</v>
      </c>
      <c r="L161" s="191">
        <v>3</v>
      </c>
      <c r="M161" s="192">
        <v>46092</v>
      </c>
      <c r="N161" s="193">
        <v>1</v>
      </c>
      <c r="O161" s="194">
        <v>0.5</v>
      </c>
      <c r="P161" s="195"/>
      <c r="Q161" s="196" t="s">
        <v>38</v>
      </c>
      <c r="R161" s="197">
        <v>1</v>
      </c>
      <c r="S161" s="198" t="s">
        <v>33</v>
      </c>
      <c r="T161" s="199"/>
      <c r="U161" s="200"/>
      <c r="V161" s="200"/>
      <c r="W161" s="200"/>
      <c r="X161" s="200"/>
      <c r="Y161" s="200"/>
      <c r="Z161" s="200"/>
      <c r="AA161" s="200"/>
      <c r="AB161" s="200"/>
      <c r="AC161" s="208"/>
      <c r="AD161" s="11" t="str">
        <f t="shared" si="6"/>
        <v>3</v>
      </c>
      <c r="AF161" t="str">
        <f t="shared" si="7"/>
        <v>80.01.ZZ.03</v>
      </c>
      <c r="AH161" t="str">
        <f t="shared" si="8"/>
        <v>00 de 01</v>
      </c>
    </row>
    <row r="162" spans="1:34" ht="34.5" x14ac:dyDescent="0.25">
      <c r="A162" s="139" t="s">
        <v>116</v>
      </c>
      <c r="B162" s="105" t="s">
        <v>122</v>
      </c>
      <c r="C162" s="63">
        <v>150</v>
      </c>
      <c r="D162" s="197" t="s">
        <v>192</v>
      </c>
      <c r="E162" s="189" t="s">
        <v>395</v>
      </c>
      <c r="F162" s="190" t="s">
        <v>123</v>
      </c>
      <c r="G162" s="189" t="s">
        <v>134</v>
      </c>
      <c r="H162" s="191">
        <v>50592</v>
      </c>
      <c r="I162" s="189" t="s">
        <v>219</v>
      </c>
      <c r="J162" s="189">
        <v>0</v>
      </c>
      <c r="K162" s="189">
        <v>10201</v>
      </c>
      <c r="L162" s="191">
        <v>3</v>
      </c>
      <c r="M162" s="192">
        <v>46092</v>
      </c>
      <c r="N162" s="193">
        <v>1</v>
      </c>
      <c r="O162" s="194">
        <v>0.5</v>
      </c>
      <c r="P162" s="195"/>
      <c r="Q162" s="196" t="s">
        <v>38</v>
      </c>
      <c r="R162" s="197">
        <v>1</v>
      </c>
      <c r="S162" s="198" t="s">
        <v>33</v>
      </c>
      <c r="T162" s="199"/>
      <c r="U162" s="200"/>
      <c r="V162" s="200"/>
      <c r="W162" s="200"/>
      <c r="X162" s="200"/>
      <c r="Y162" s="200"/>
      <c r="Z162" s="200"/>
      <c r="AA162" s="200"/>
      <c r="AB162" s="200"/>
      <c r="AC162" s="208"/>
      <c r="AD162" s="11" t="str">
        <f t="shared" si="6"/>
        <v>3</v>
      </c>
      <c r="AF162" t="str">
        <f t="shared" si="7"/>
        <v>80.01.ZZ.03</v>
      </c>
      <c r="AH162" t="str">
        <f t="shared" si="8"/>
        <v>00 de 01</v>
      </c>
    </row>
    <row r="163" spans="1:34" ht="34.5" x14ac:dyDescent="0.25">
      <c r="A163" s="139" t="s">
        <v>116</v>
      </c>
      <c r="B163" s="105" t="s">
        <v>122</v>
      </c>
      <c r="C163" s="63">
        <v>151</v>
      </c>
      <c r="D163" s="197" t="s">
        <v>192</v>
      </c>
      <c r="E163" s="189" t="s">
        <v>396</v>
      </c>
      <c r="F163" s="190" t="s">
        <v>123</v>
      </c>
      <c r="G163" s="189" t="s">
        <v>134</v>
      </c>
      <c r="H163" s="191">
        <v>50592</v>
      </c>
      <c r="I163" s="189" t="s">
        <v>219</v>
      </c>
      <c r="J163" s="189">
        <v>0</v>
      </c>
      <c r="K163" s="189">
        <v>10201</v>
      </c>
      <c r="L163" s="191">
        <v>3</v>
      </c>
      <c r="M163" s="192">
        <v>46092</v>
      </c>
      <c r="N163" s="193">
        <v>1</v>
      </c>
      <c r="O163" s="194">
        <v>0.5</v>
      </c>
      <c r="P163" s="195"/>
      <c r="Q163" s="196" t="s">
        <v>38</v>
      </c>
      <c r="R163" s="197">
        <v>1</v>
      </c>
      <c r="S163" s="198" t="s">
        <v>33</v>
      </c>
      <c r="T163" s="199"/>
      <c r="U163" s="200"/>
      <c r="V163" s="200"/>
      <c r="W163" s="200"/>
      <c r="X163" s="200"/>
      <c r="Y163" s="200"/>
      <c r="Z163" s="200"/>
      <c r="AA163" s="200"/>
      <c r="AB163" s="200"/>
      <c r="AC163" s="208"/>
      <c r="AD163" s="11" t="str">
        <f t="shared" si="6"/>
        <v>3</v>
      </c>
      <c r="AF163" t="str">
        <f t="shared" si="7"/>
        <v>80.01.ZZ.03</v>
      </c>
      <c r="AH163" t="str">
        <f t="shared" si="8"/>
        <v>00 de 01</v>
      </c>
    </row>
    <row r="164" spans="1:34" ht="34.5" x14ac:dyDescent="0.25">
      <c r="A164" s="139" t="s">
        <v>116</v>
      </c>
      <c r="B164" s="105" t="s">
        <v>122</v>
      </c>
      <c r="C164" s="63">
        <v>152</v>
      </c>
      <c r="D164" s="197" t="s">
        <v>192</v>
      </c>
      <c r="E164" s="189" t="s">
        <v>397</v>
      </c>
      <c r="F164" s="190" t="s">
        <v>123</v>
      </c>
      <c r="G164" s="189" t="s">
        <v>134</v>
      </c>
      <c r="H164" s="191">
        <v>50592</v>
      </c>
      <c r="I164" s="189" t="s">
        <v>219</v>
      </c>
      <c r="J164" s="189">
        <v>0</v>
      </c>
      <c r="K164" s="189">
        <v>10201</v>
      </c>
      <c r="L164" s="191">
        <v>3</v>
      </c>
      <c r="M164" s="192">
        <v>46092</v>
      </c>
      <c r="N164" s="193">
        <v>1</v>
      </c>
      <c r="O164" s="194">
        <v>0.5</v>
      </c>
      <c r="P164" s="195"/>
      <c r="Q164" s="196" t="s">
        <v>38</v>
      </c>
      <c r="R164" s="197">
        <v>1</v>
      </c>
      <c r="S164" s="198" t="s">
        <v>33</v>
      </c>
      <c r="T164" s="199"/>
      <c r="U164" s="200"/>
      <c r="V164" s="200"/>
      <c r="W164" s="200"/>
      <c r="X164" s="200"/>
      <c r="Y164" s="200"/>
      <c r="Z164" s="200"/>
      <c r="AA164" s="200"/>
      <c r="AB164" s="200"/>
      <c r="AC164" s="208"/>
      <c r="AD164" s="11" t="str">
        <f t="shared" si="6"/>
        <v>3</v>
      </c>
      <c r="AF164" t="str">
        <f t="shared" si="7"/>
        <v>80.01.ZZ.03</v>
      </c>
      <c r="AH164" t="str">
        <f t="shared" si="8"/>
        <v>00 de 01</v>
      </c>
    </row>
    <row r="165" spans="1:34" ht="34.5" x14ac:dyDescent="0.25">
      <c r="A165" s="139" t="s">
        <v>116</v>
      </c>
      <c r="B165" s="105" t="s">
        <v>122</v>
      </c>
      <c r="C165" s="63">
        <v>153</v>
      </c>
      <c r="D165" s="197" t="s">
        <v>192</v>
      </c>
      <c r="E165" s="189" t="s">
        <v>398</v>
      </c>
      <c r="F165" s="190" t="s">
        <v>123</v>
      </c>
      <c r="G165" s="189" t="s">
        <v>134</v>
      </c>
      <c r="H165" s="191">
        <v>50592</v>
      </c>
      <c r="I165" s="189" t="s">
        <v>219</v>
      </c>
      <c r="J165" s="189">
        <v>0</v>
      </c>
      <c r="K165" s="189">
        <v>10201</v>
      </c>
      <c r="L165" s="191">
        <v>3</v>
      </c>
      <c r="M165" s="192">
        <v>46092</v>
      </c>
      <c r="N165" s="193">
        <v>1</v>
      </c>
      <c r="O165" s="194">
        <v>0.5</v>
      </c>
      <c r="P165" s="195"/>
      <c r="Q165" s="196" t="s">
        <v>38</v>
      </c>
      <c r="R165" s="197">
        <v>1</v>
      </c>
      <c r="S165" s="198" t="s">
        <v>33</v>
      </c>
      <c r="T165" s="199"/>
      <c r="U165" s="200"/>
      <c r="V165" s="200"/>
      <c r="W165" s="200"/>
      <c r="X165" s="200"/>
      <c r="Y165" s="200"/>
      <c r="Z165" s="200"/>
      <c r="AA165" s="200"/>
      <c r="AB165" s="200"/>
      <c r="AC165" s="208"/>
      <c r="AD165" s="11" t="str">
        <f t="shared" si="6"/>
        <v>3</v>
      </c>
      <c r="AF165" t="str">
        <f t="shared" si="7"/>
        <v>80.01.ZZ.03</v>
      </c>
      <c r="AH165" t="str">
        <f t="shared" si="8"/>
        <v>00 de 01</v>
      </c>
    </row>
    <row r="166" spans="1:34" ht="34.5" x14ac:dyDescent="0.25">
      <c r="A166" s="139" t="s">
        <v>116</v>
      </c>
      <c r="B166" s="105" t="s">
        <v>122</v>
      </c>
      <c r="C166" s="63">
        <v>154</v>
      </c>
      <c r="D166" s="197" t="s">
        <v>192</v>
      </c>
      <c r="E166" s="189" t="s">
        <v>399</v>
      </c>
      <c r="F166" s="190" t="s">
        <v>123</v>
      </c>
      <c r="G166" s="189" t="s">
        <v>134</v>
      </c>
      <c r="H166" s="191">
        <v>50592</v>
      </c>
      <c r="I166" s="189" t="s">
        <v>219</v>
      </c>
      <c r="J166" s="189">
        <v>0</v>
      </c>
      <c r="K166" s="189">
        <v>10201</v>
      </c>
      <c r="L166" s="191">
        <v>3</v>
      </c>
      <c r="M166" s="192">
        <v>46092</v>
      </c>
      <c r="N166" s="193">
        <v>1</v>
      </c>
      <c r="O166" s="194">
        <v>0.5</v>
      </c>
      <c r="P166" s="195"/>
      <c r="Q166" s="196" t="s">
        <v>38</v>
      </c>
      <c r="R166" s="197">
        <v>1</v>
      </c>
      <c r="S166" s="198" t="s">
        <v>33</v>
      </c>
      <c r="T166" s="199"/>
      <c r="U166" s="200"/>
      <c r="V166" s="200"/>
      <c r="W166" s="200"/>
      <c r="X166" s="200"/>
      <c r="Y166" s="200"/>
      <c r="Z166" s="200"/>
      <c r="AA166" s="200"/>
      <c r="AB166" s="200"/>
      <c r="AC166" s="208"/>
      <c r="AD166" s="11" t="str">
        <f t="shared" si="6"/>
        <v>3</v>
      </c>
      <c r="AF166" t="str">
        <f t="shared" si="7"/>
        <v>80.01.ZZ.03</v>
      </c>
      <c r="AH166" t="str">
        <f t="shared" si="8"/>
        <v>00 de 01</v>
      </c>
    </row>
    <row r="167" spans="1:34" ht="34.5" x14ac:dyDescent="0.25">
      <c r="A167" s="139" t="s">
        <v>116</v>
      </c>
      <c r="B167" s="105" t="s">
        <v>122</v>
      </c>
      <c r="C167" s="63">
        <v>155</v>
      </c>
      <c r="D167" s="197" t="s">
        <v>192</v>
      </c>
      <c r="E167" s="189" t="s">
        <v>400</v>
      </c>
      <c r="F167" s="190" t="s">
        <v>123</v>
      </c>
      <c r="G167" s="189" t="s">
        <v>134</v>
      </c>
      <c r="H167" s="191">
        <v>50592</v>
      </c>
      <c r="I167" s="189" t="s">
        <v>219</v>
      </c>
      <c r="J167" s="189">
        <v>0</v>
      </c>
      <c r="K167" s="189">
        <v>10201</v>
      </c>
      <c r="L167" s="191">
        <v>3</v>
      </c>
      <c r="M167" s="192">
        <v>46092</v>
      </c>
      <c r="N167" s="193">
        <v>1</v>
      </c>
      <c r="O167" s="194">
        <v>0.5</v>
      </c>
      <c r="P167" s="195"/>
      <c r="Q167" s="196" t="s">
        <v>38</v>
      </c>
      <c r="R167" s="197">
        <v>1</v>
      </c>
      <c r="S167" s="198" t="s">
        <v>33</v>
      </c>
      <c r="T167" s="199"/>
      <c r="U167" s="200"/>
      <c r="V167" s="200"/>
      <c r="W167" s="200"/>
      <c r="X167" s="200"/>
      <c r="Y167" s="200"/>
      <c r="Z167" s="200"/>
      <c r="AA167" s="200"/>
      <c r="AB167" s="200"/>
      <c r="AC167" s="208"/>
      <c r="AD167" s="11" t="str">
        <f t="shared" si="6"/>
        <v>3</v>
      </c>
      <c r="AF167" t="str">
        <f t="shared" si="7"/>
        <v>80.01.ZZ.03</v>
      </c>
      <c r="AH167" t="str">
        <f t="shared" si="8"/>
        <v>00 de 01</v>
      </c>
    </row>
    <row r="168" spans="1:34" ht="34.5" x14ac:dyDescent="0.25">
      <c r="A168" s="139" t="s">
        <v>116</v>
      </c>
      <c r="B168" s="105" t="s">
        <v>122</v>
      </c>
      <c r="C168" s="63">
        <v>156</v>
      </c>
      <c r="D168" s="197" t="s">
        <v>192</v>
      </c>
      <c r="E168" s="189" t="s">
        <v>401</v>
      </c>
      <c r="F168" s="190" t="s">
        <v>123</v>
      </c>
      <c r="G168" s="189" t="s">
        <v>134</v>
      </c>
      <c r="H168" s="191">
        <v>50592</v>
      </c>
      <c r="I168" s="189" t="s">
        <v>219</v>
      </c>
      <c r="J168" s="189">
        <v>0</v>
      </c>
      <c r="K168" s="189">
        <v>10201</v>
      </c>
      <c r="L168" s="191">
        <v>3</v>
      </c>
      <c r="M168" s="192">
        <v>46092</v>
      </c>
      <c r="N168" s="193">
        <v>1</v>
      </c>
      <c r="O168" s="194">
        <v>0.5</v>
      </c>
      <c r="P168" s="195"/>
      <c r="Q168" s="196" t="s">
        <v>38</v>
      </c>
      <c r="R168" s="197">
        <v>1</v>
      </c>
      <c r="S168" s="198" t="s">
        <v>33</v>
      </c>
      <c r="T168" s="199"/>
      <c r="U168" s="200"/>
      <c r="V168" s="200"/>
      <c r="W168" s="200"/>
      <c r="X168" s="200"/>
      <c r="Y168" s="200"/>
      <c r="Z168" s="200"/>
      <c r="AA168" s="200"/>
      <c r="AB168" s="200"/>
      <c r="AC168" s="208"/>
      <c r="AD168" s="11" t="str">
        <f t="shared" si="6"/>
        <v>3</v>
      </c>
      <c r="AF168" t="str">
        <f t="shared" si="7"/>
        <v>80.01.ZZ.03</v>
      </c>
      <c r="AH168" t="str">
        <f t="shared" si="8"/>
        <v>00 de 01</v>
      </c>
    </row>
    <row r="169" spans="1:34" ht="34.5" x14ac:dyDescent="0.25">
      <c r="A169" s="139" t="s">
        <v>116</v>
      </c>
      <c r="B169" s="105" t="s">
        <v>122</v>
      </c>
      <c r="C169" s="63">
        <v>157</v>
      </c>
      <c r="D169" s="197" t="s">
        <v>192</v>
      </c>
      <c r="E169" s="189" t="s">
        <v>402</v>
      </c>
      <c r="F169" s="190" t="s">
        <v>123</v>
      </c>
      <c r="G169" s="189" t="s">
        <v>134</v>
      </c>
      <c r="H169" s="191">
        <v>50592</v>
      </c>
      <c r="I169" s="189" t="s">
        <v>219</v>
      </c>
      <c r="J169" s="189">
        <v>0</v>
      </c>
      <c r="K169" s="189">
        <v>10201</v>
      </c>
      <c r="L169" s="191">
        <v>3</v>
      </c>
      <c r="M169" s="192">
        <v>46092</v>
      </c>
      <c r="N169" s="193">
        <v>1</v>
      </c>
      <c r="O169" s="194">
        <v>0.5</v>
      </c>
      <c r="P169" s="195"/>
      <c r="Q169" s="196" t="s">
        <v>38</v>
      </c>
      <c r="R169" s="197">
        <v>1</v>
      </c>
      <c r="S169" s="198" t="s">
        <v>33</v>
      </c>
      <c r="T169" s="199"/>
      <c r="U169" s="200"/>
      <c r="V169" s="200"/>
      <c r="W169" s="200"/>
      <c r="X169" s="200"/>
      <c r="Y169" s="200"/>
      <c r="Z169" s="200"/>
      <c r="AA169" s="200"/>
      <c r="AB169" s="200"/>
      <c r="AC169" s="208"/>
      <c r="AD169" s="11" t="str">
        <f t="shared" si="6"/>
        <v>3</v>
      </c>
      <c r="AF169" t="str">
        <f t="shared" si="7"/>
        <v>80.01.ZZ.03</v>
      </c>
      <c r="AH169" t="str">
        <f t="shared" si="8"/>
        <v>00 de 01</v>
      </c>
    </row>
    <row r="170" spans="1:34" ht="34.5" x14ac:dyDescent="0.25">
      <c r="A170" s="139" t="s">
        <v>116</v>
      </c>
      <c r="B170" s="105" t="s">
        <v>122</v>
      </c>
      <c r="C170" s="63">
        <v>158</v>
      </c>
      <c r="D170" s="197" t="s">
        <v>192</v>
      </c>
      <c r="E170" s="189" t="s">
        <v>403</v>
      </c>
      <c r="F170" s="190" t="s">
        <v>123</v>
      </c>
      <c r="G170" s="189" t="s">
        <v>134</v>
      </c>
      <c r="H170" s="191">
        <v>50592</v>
      </c>
      <c r="I170" s="189" t="s">
        <v>219</v>
      </c>
      <c r="J170" s="189">
        <v>0</v>
      </c>
      <c r="K170" s="189">
        <v>10201</v>
      </c>
      <c r="L170" s="191">
        <v>3</v>
      </c>
      <c r="M170" s="192">
        <v>46092</v>
      </c>
      <c r="N170" s="193">
        <v>1</v>
      </c>
      <c r="O170" s="194">
        <v>0.5</v>
      </c>
      <c r="P170" s="195"/>
      <c r="Q170" s="196" t="s">
        <v>38</v>
      </c>
      <c r="R170" s="197">
        <v>1</v>
      </c>
      <c r="S170" s="198" t="s">
        <v>33</v>
      </c>
      <c r="T170" s="199"/>
      <c r="U170" s="200"/>
      <c r="V170" s="200"/>
      <c r="W170" s="200"/>
      <c r="X170" s="200"/>
      <c r="Y170" s="200"/>
      <c r="Z170" s="200"/>
      <c r="AA170" s="200"/>
      <c r="AB170" s="200"/>
      <c r="AC170" s="208"/>
      <c r="AD170" s="11" t="str">
        <f t="shared" si="6"/>
        <v>3</v>
      </c>
      <c r="AF170" t="str">
        <f t="shared" si="7"/>
        <v>80.01.ZZ.03</v>
      </c>
      <c r="AH170" t="str">
        <f t="shared" si="8"/>
        <v>00 de 01</v>
      </c>
    </row>
    <row r="171" spans="1:34" ht="34.5" x14ac:dyDescent="0.25">
      <c r="A171" s="139" t="s">
        <v>116</v>
      </c>
      <c r="B171" s="105" t="s">
        <v>122</v>
      </c>
      <c r="C171" s="63">
        <v>159</v>
      </c>
      <c r="D171" s="197" t="s">
        <v>192</v>
      </c>
      <c r="E171" s="189" t="s">
        <v>404</v>
      </c>
      <c r="F171" s="190" t="s">
        <v>123</v>
      </c>
      <c r="G171" s="189" t="s">
        <v>134</v>
      </c>
      <c r="H171" s="191">
        <v>50592</v>
      </c>
      <c r="I171" s="189" t="s">
        <v>219</v>
      </c>
      <c r="J171" s="189">
        <v>0</v>
      </c>
      <c r="K171" s="189">
        <v>10201</v>
      </c>
      <c r="L171" s="191">
        <v>3</v>
      </c>
      <c r="M171" s="192">
        <v>46092</v>
      </c>
      <c r="N171" s="193">
        <v>1</v>
      </c>
      <c r="O171" s="194">
        <v>0.5</v>
      </c>
      <c r="P171" s="195"/>
      <c r="Q171" s="196" t="s">
        <v>38</v>
      </c>
      <c r="R171" s="197">
        <v>1</v>
      </c>
      <c r="S171" s="198" t="s">
        <v>33</v>
      </c>
      <c r="T171" s="199"/>
      <c r="U171" s="200"/>
      <c r="V171" s="200"/>
      <c r="W171" s="200"/>
      <c r="X171" s="200"/>
      <c r="Y171" s="200"/>
      <c r="Z171" s="200"/>
      <c r="AA171" s="200"/>
      <c r="AB171" s="200"/>
      <c r="AC171" s="208"/>
      <c r="AD171" s="11" t="str">
        <f t="shared" si="6"/>
        <v>3</v>
      </c>
      <c r="AF171" t="str">
        <f t="shared" si="7"/>
        <v>80.01.ZZ.03</v>
      </c>
      <c r="AH171" t="str">
        <f t="shared" si="8"/>
        <v>00 de 01</v>
      </c>
    </row>
    <row r="172" spans="1:34" ht="34.5" x14ac:dyDescent="0.25">
      <c r="A172" s="139" t="s">
        <v>116</v>
      </c>
      <c r="B172" s="105" t="s">
        <v>122</v>
      </c>
      <c r="C172" s="63">
        <v>160</v>
      </c>
      <c r="D172" s="197" t="s">
        <v>192</v>
      </c>
      <c r="E172" s="189" t="s">
        <v>405</v>
      </c>
      <c r="F172" s="190" t="s">
        <v>123</v>
      </c>
      <c r="G172" s="189" t="s">
        <v>134</v>
      </c>
      <c r="H172" s="191">
        <v>50592</v>
      </c>
      <c r="I172" s="189" t="s">
        <v>219</v>
      </c>
      <c r="J172" s="189">
        <v>0</v>
      </c>
      <c r="K172" s="189">
        <v>10201</v>
      </c>
      <c r="L172" s="191">
        <v>3</v>
      </c>
      <c r="M172" s="192">
        <v>46092</v>
      </c>
      <c r="N172" s="193">
        <v>1</v>
      </c>
      <c r="O172" s="194">
        <v>0.5</v>
      </c>
      <c r="P172" s="195"/>
      <c r="Q172" s="196" t="s">
        <v>38</v>
      </c>
      <c r="R172" s="197">
        <v>1</v>
      </c>
      <c r="S172" s="198" t="s">
        <v>33</v>
      </c>
      <c r="T172" s="199"/>
      <c r="U172" s="200"/>
      <c r="V172" s="200"/>
      <c r="W172" s="200"/>
      <c r="X172" s="200"/>
      <c r="Y172" s="200"/>
      <c r="Z172" s="200"/>
      <c r="AA172" s="200"/>
      <c r="AB172" s="200"/>
      <c r="AC172" s="208"/>
      <c r="AD172" s="11" t="str">
        <f t="shared" si="6"/>
        <v>3</v>
      </c>
      <c r="AF172" t="str">
        <f t="shared" si="7"/>
        <v>80.01.ZZ.03</v>
      </c>
      <c r="AH172" t="str">
        <f t="shared" si="8"/>
        <v>00 de 01</v>
      </c>
    </row>
    <row r="173" spans="1:34" ht="34.5" x14ac:dyDescent="0.25">
      <c r="A173" s="139" t="s">
        <v>116</v>
      </c>
      <c r="B173" s="105" t="s">
        <v>122</v>
      </c>
      <c r="C173" s="63">
        <v>161</v>
      </c>
      <c r="D173" s="197" t="s">
        <v>192</v>
      </c>
      <c r="E173" s="189" t="s">
        <v>406</v>
      </c>
      <c r="F173" s="190" t="s">
        <v>123</v>
      </c>
      <c r="G173" s="189" t="s">
        <v>134</v>
      </c>
      <c r="H173" s="191">
        <v>50592</v>
      </c>
      <c r="I173" s="189" t="s">
        <v>219</v>
      </c>
      <c r="J173" s="189">
        <v>0</v>
      </c>
      <c r="K173" s="189">
        <v>10201</v>
      </c>
      <c r="L173" s="191">
        <v>3</v>
      </c>
      <c r="M173" s="192">
        <v>46092</v>
      </c>
      <c r="N173" s="193">
        <v>1</v>
      </c>
      <c r="O173" s="194">
        <v>0.5</v>
      </c>
      <c r="P173" s="195"/>
      <c r="Q173" s="196" t="s">
        <v>38</v>
      </c>
      <c r="R173" s="197">
        <v>1</v>
      </c>
      <c r="S173" s="198" t="s">
        <v>33</v>
      </c>
      <c r="T173" s="199"/>
      <c r="U173" s="200"/>
      <c r="V173" s="200"/>
      <c r="W173" s="200"/>
      <c r="X173" s="200"/>
      <c r="Y173" s="200"/>
      <c r="Z173" s="200"/>
      <c r="AA173" s="200"/>
      <c r="AB173" s="200"/>
      <c r="AC173" s="208"/>
      <c r="AD173" s="11" t="str">
        <f t="shared" si="6"/>
        <v>3</v>
      </c>
      <c r="AF173" t="str">
        <f t="shared" si="7"/>
        <v>80.01.ZZ.03</v>
      </c>
      <c r="AH173" t="str">
        <f t="shared" si="8"/>
        <v>00 de 01</v>
      </c>
    </row>
    <row r="174" spans="1:34" ht="34.5" x14ac:dyDescent="0.25">
      <c r="A174" s="139" t="s">
        <v>116</v>
      </c>
      <c r="B174" s="105" t="s">
        <v>122</v>
      </c>
      <c r="C174" s="63">
        <v>162</v>
      </c>
      <c r="D174" s="197" t="s">
        <v>192</v>
      </c>
      <c r="E174" s="189" t="s">
        <v>407</v>
      </c>
      <c r="F174" s="190" t="s">
        <v>123</v>
      </c>
      <c r="G174" s="189" t="s">
        <v>134</v>
      </c>
      <c r="H174" s="191">
        <v>50592</v>
      </c>
      <c r="I174" s="189" t="s">
        <v>219</v>
      </c>
      <c r="J174" s="189">
        <v>0</v>
      </c>
      <c r="K174" s="189">
        <v>11801</v>
      </c>
      <c r="L174" s="191">
        <v>3</v>
      </c>
      <c r="M174" s="192">
        <v>46092</v>
      </c>
      <c r="N174" s="193">
        <v>1</v>
      </c>
      <c r="O174" s="194">
        <v>0.5</v>
      </c>
      <c r="P174" s="195"/>
      <c r="Q174" s="196" t="s">
        <v>38</v>
      </c>
      <c r="R174" s="197">
        <v>1</v>
      </c>
      <c r="S174" s="198" t="s">
        <v>33</v>
      </c>
      <c r="T174" s="199"/>
      <c r="U174" s="200"/>
      <c r="V174" s="200"/>
      <c r="W174" s="200"/>
      <c r="X174" s="200"/>
      <c r="Y174" s="200"/>
      <c r="Z174" s="200"/>
      <c r="AA174" s="200"/>
      <c r="AB174" s="200"/>
      <c r="AC174" s="208"/>
      <c r="AD174" s="11" t="str">
        <f t="shared" si="6"/>
        <v>3</v>
      </c>
      <c r="AF174" t="str">
        <f t="shared" si="7"/>
        <v>80.01.ZZ.03</v>
      </c>
      <c r="AH174" t="str">
        <f t="shared" si="8"/>
        <v>00 de 01</v>
      </c>
    </row>
    <row r="175" spans="1:34" ht="34.5" x14ac:dyDescent="0.25">
      <c r="A175" s="139" t="s">
        <v>116</v>
      </c>
      <c r="B175" s="105" t="s">
        <v>122</v>
      </c>
      <c r="C175" s="63">
        <v>163</v>
      </c>
      <c r="D175" s="197" t="s">
        <v>192</v>
      </c>
      <c r="E175" s="189" t="s">
        <v>408</v>
      </c>
      <c r="F175" s="190" t="s">
        <v>123</v>
      </c>
      <c r="G175" s="189" t="s">
        <v>134</v>
      </c>
      <c r="H175" s="191">
        <v>50592</v>
      </c>
      <c r="I175" s="189" t="s">
        <v>219</v>
      </c>
      <c r="J175" s="189">
        <v>0</v>
      </c>
      <c r="K175" s="189">
        <v>11801</v>
      </c>
      <c r="L175" s="191">
        <v>3</v>
      </c>
      <c r="M175" s="192">
        <v>46092</v>
      </c>
      <c r="N175" s="193">
        <v>1</v>
      </c>
      <c r="O175" s="194">
        <v>0.5</v>
      </c>
      <c r="P175" s="195"/>
      <c r="Q175" s="196" t="s">
        <v>38</v>
      </c>
      <c r="R175" s="197">
        <v>1</v>
      </c>
      <c r="S175" s="198" t="s">
        <v>33</v>
      </c>
      <c r="T175" s="199"/>
      <c r="U175" s="200"/>
      <c r="V175" s="200"/>
      <c r="W175" s="200"/>
      <c r="X175" s="200"/>
      <c r="Y175" s="200"/>
      <c r="Z175" s="200"/>
      <c r="AA175" s="200"/>
      <c r="AB175" s="200"/>
      <c r="AC175" s="208"/>
      <c r="AD175" s="11" t="str">
        <f t="shared" si="6"/>
        <v>3</v>
      </c>
      <c r="AF175" t="str">
        <f t="shared" si="7"/>
        <v>80.01.ZZ.03</v>
      </c>
      <c r="AH175" t="str">
        <f t="shared" si="8"/>
        <v>00 de 01</v>
      </c>
    </row>
    <row r="176" spans="1:34" ht="34.5" x14ac:dyDescent="0.25">
      <c r="A176" s="139" t="s">
        <v>116</v>
      </c>
      <c r="B176" s="105" t="s">
        <v>122</v>
      </c>
      <c r="C176" s="63">
        <v>164</v>
      </c>
      <c r="D176" s="197" t="s">
        <v>192</v>
      </c>
      <c r="E176" s="189" t="s">
        <v>409</v>
      </c>
      <c r="F176" s="190" t="s">
        <v>123</v>
      </c>
      <c r="G176" s="189" t="s">
        <v>134</v>
      </c>
      <c r="H176" s="191">
        <v>50592</v>
      </c>
      <c r="I176" s="189" t="s">
        <v>219</v>
      </c>
      <c r="J176" s="189">
        <v>0</v>
      </c>
      <c r="K176" s="189">
        <v>11801</v>
      </c>
      <c r="L176" s="191">
        <v>3</v>
      </c>
      <c r="M176" s="192">
        <v>46092</v>
      </c>
      <c r="N176" s="193">
        <v>1</v>
      </c>
      <c r="O176" s="194">
        <v>0.5</v>
      </c>
      <c r="P176" s="195"/>
      <c r="Q176" s="196" t="s">
        <v>38</v>
      </c>
      <c r="R176" s="197">
        <v>1</v>
      </c>
      <c r="S176" s="198" t="s">
        <v>33</v>
      </c>
      <c r="T176" s="199"/>
      <c r="U176" s="200"/>
      <c r="V176" s="200"/>
      <c r="W176" s="200"/>
      <c r="X176" s="200"/>
      <c r="Y176" s="200"/>
      <c r="Z176" s="200"/>
      <c r="AA176" s="200"/>
      <c r="AB176" s="200"/>
      <c r="AC176" s="208"/>
      <c r="AD176" s="11" t="str">
        <f t="shared" si="6"/>
        <v>3</v>
      </c>
      <c r="AF176" t="str">
        <f t="shared" si="7"/>
        <v>80.01.ZZ.03</v>
      </c>
      <c r="AH176" t="str">
        <f t="shared" si="8"/>
        <v>00 de 01</v>
      </c>
    </row>
    <row r="177" spans="1:34" ht="34.5" x14ac:dyDescent="0.25">
      <c r="A177" s="139" t="s">
        <v>116</v>
      </c>
      <c r="B177" s="105" t="s">
        <v>122</v>
      </c>
      <c r="C177" s="63">
        <v>165</v>
      </c>
      <c r="D177" s="197" t="s">
        <v>192</v>
      </c>
      <c r="E177" s="189" t="s">
        <v>410</v>
      </c>
      <c r="F177" s="190" t="s">
        <v>123</v>
      </c>
      <c r="G177" s="189" t="s">
        <v>134</v>
      </c>
      <c r="H177" s="191">
        <v>50592</v>
      </c>
      <c r="I177" s="189" t="s">
        <v>219</v>
      </c>
      <c r="J177" s="189">
        <v>0</v>
      </c>
      <c r="K177" s="189">
        <v>11801</v>
      </c>
      <c r="L177" s="191">
        <v>3</v>
      </c>
      <c r="M177" s="192">
        <v>46092</v>
      </c>
      <c r="N177" s="193">
        <v>1</v>
      </c>
      <c r="O177" s="194">
        <v>0.5</v>
      </c>
      <c r="P177" s="195"/>
      <c r="Q177" s="196" t="s">
        <v>38</v>
      </c>
      <c r="R177" s="197">
        <v>1</v>
      </c>
      <c r="S177" s="198" t="s">
        <v>33</v>
      </c>
      <c r="T177" s="199"/>
      <c r="U177" s="200"/>
      <c r="V177" s="200"/>
      <c r="W177" s="200"/>
      <c r="X177" s="200"/>
      <c r="Y177" s="200"/>
      <c r="Z177" s="200"/>
      <c r="AA177" s="200"/>
      <c r="AB177" s="200"/>
      <c r="AC177" s="208"/>
      <c r="AD177" s="11" t="str">
        <f t="shared" ref="AD177:AD240" si="9">RIGHT(L177,2)</f>
        <v>3</v>
      </c>
      <c r="AF177" t="str">
        <f t="shared" ref="AF177:AF240" si="10">CONCATENATE("80.01.ZZ.0",L177)</f>
        <v>80.01.ZZ.03</v>
      </c>
      <c r="AH177" t="str">
        <f t="shared" ref="AH177:AH240" si="11">CONCATENATE("00 de 0",R177)</f>
        <v>00 de 01</v>
      </c>
    </row>
    <row r="178" spans="1:34" ht="34.5" x14ac:dyDescent="0.25">
      <c r="A178" s="139" t="s">
        <v>116</v>
      </c>
      <c r="B178" s="105" t="s">
        <v>122</v>
      </c>
      <c r="C178" s="63">
        <v>166</v>
      </c>
      <c r="D178" s="197" t="s">
        <v>192</v>
      </c>
      <c r="E178" s="189" t="s">
        <v>411</v>
      </c>
      <c r="F178" s="190" t="s">
        <v>123</v>
      </c>
      <c r="G178" s="189" t="s">
        <v>134</v>
      </c>
      <c r="H178" s="191">
        <v>50592</v>
      </c>
      <c r="I178" s="189" t="s">
        <v>219</v>
      </c>
      <c r="J178" s="189">
        <v>0</v>
      </c>
      <c r="K178" s="189">
        <v>11801</v>
      </c>
      <c r="L178" s="191">
        <v>3</v>
      </c>
      <c r="M178" s="192">
        <v>46092</v>
      </c>
      <c r="N178" s="193">
        <v>1</v>
      </c>
      <c r="O178" s="194">
        <v>0.5</v>
      </c>
      <c r="P178" s="195"/>
      <c r="Q178" s="196" t="s">
        <v>38</v>
      </c>
      <c r="R178" s="197">
        <v>1</v>
      </c>
      <c r="S178" s="198" t="s">
        <v>33</v>
      </c>
      <c r="T178" s="199"/>
      <c r="U178" s="200"/>
      <c r="V178" s="200"/>
      <c r="W178" s="200"/>
      <c r="X178" s="200"/>
      <c r="Y178" s="200"/>
      <c r="Z178" s="200"/>
      <c r="AA178" s="200"/>
      <c r="AB178" s="200"/>
      <c r="AC178" s="208"/>
      <c r="AD178" s="11" t="str">
        <f t="shared" si="9"/>
        <v>3</v>
      </c>
      <c r="AF178" t="str">
        <f t="shared" si="10"/>
        <v>80.01.ZZ.03</v>
      </c>
      <c r="AH178" t="str">
        <f t="shared" si="11"/>
        <v>00 de 01</v>
      </c>
    </row>
    <row r="179" spans="1:34" ht="34.5" x14ac:dyDescent="0.25">
      <c r="A179" s="139" t="s">
        <v>116</v>
      </c>
      <c r="B179" s="105" t="s">
        <v>122</v>
      </c>
      <c r="C179" s="63">
        <v>167</v>
      </c>
      <c r="D179" s="197" t="s">
        <v>192</v>
      </c>
      <c r="E179" s="189" t="s">
        <v>412</v>
      </c>
      <c r="F179" s="190" t="s">
        <v>123</v>
      </c>
      <c r="G179" s="189" t="s">
        <v>134</v>
      </c>
      <c r="H179" s="191">
        <v>50592</v>
      </c>
      <c r="I179" s="189" t="s">
        <v>219</v>
      </c>
      <c r="J179" s="189">
        <v>0</v>
      </c>
      <c r="K179" s="189">
        <v>11801</v>
      </c>
      <c r="L179" s="191">
        <v>3</v>
      </c>
      <c r="M179" s="192">
        <v>46092</v>
      </c>
      <c r="N179" s="193">
        <v>1</v>
      </c>
      <c r="O179" s="194">
        <v>0.5</v>
      </c>
      <c r="P179" s="195"/>
      <c r="Q179" s="196" t="s">
        <v>38</v>
      </c>
      <c r="R179" s="197">
        <v>1</v>
      </c>
      <c r="S179" s="198" t="s">
        <v>33</v>
      </c>
      <c r="T179" s="199"/>
      <c r="U179" s="200"/>
      <c r="V179" s="200"/>
      <c r="W179" s="200"/>
      <c r="X179" s="200"/>
      <c r="Y179" s="200"/>
      <c r="Z179" s="200"/>
      <c r="AA179" s="200"/>
      <c r="AB179" s="200"/>
      <c r="AC179" s="208"/>
      <c r="AD179" s="11" t="str">
        <f t="shared" si="9"/>
        <v>3</v>
      </c>
      <c r="AF179" t="str">
        <f t="shared" si="10"/>
        <v>80.01.ZZ.03</v>
      </c>
      <c r="AH179" t="str">
        <f t="shared" si="11"/>
        <v>00 de 01</v>
      </c>
    </row>
    <row r="180" spans="1:34" ht="34.5" x14ac:dyDescent="0.25">
      <c r="A180" s="139" t="s">
        <v>116</v>
      </c>
      <c r="B180" s="105" t="s">
        <v>122</v>
      </c>
      <c r="C180" s="63">
        <v>168</v>
      </c>
      <c r="D180" s="197" t="s">
        <v>192</v>
      </c>
      <c r="E180" s="189" t="s">
        <v>413</v>
      </c>
      <c r="F180" s="190" t="s">
        <v>123</v>
      </c>
      <c r="G180" s="189" t="s">
        <v>134</v>
      </c>
      <c r="H180" s="191">
        <v>50592</v>
      </c>
      <c r="I180" s="189" t="s">
        <v>219</v>
      </c>
      <c r="J180" s="189">
        <v>0</v>
      </c>
      <c r="K180" s="189">
        <v>11801</v>
      </c>
      <c r="L180" s="191">
        <v>3</v>
      </c>
      <c r="M180" s="192">
        <v>46092</v>
      </c>
      <c r="N180" s="193">
        <v>1</v>
      </c>
      <c r="O180" s="194">
        <v>0.5</v>
      </c>
      <c r="P180" s="195"/>
      <c r="Q180" s="196" t="s">
        <v>38</v>
      </c>
      <c r="R180" s="197">
        <v>1</v>
      </c>
      <c r="S180" s="198" t="s">
        <v>33</v>
      </c>
      <c r="T180" s="199"/>
      <c r="U180" s="200"/>
      <c r="V180" s="200"/>
      <c r="W180" s="200"/>
      <c r="X180" s="200"/>
      <c r="Y180" s="200"/>
      <c r="Z180" s="200"/>
      <c r="AA180" s="200"/>
      <c r="AB180" s="200"/>
      <c r="AC180" s="208"/>
      <c r="AD180" s="11" t="str">
        <f t="shared" si="9"/>
        <v>3</v>
      </c>
      <c r="AF180" t="str">
        <f t="shared" si="10"/>
        <v>80.01.ZZ.03</v>
      </c>
      <c r="AH180" t="str">
        <f t="shared" si="11"/>
        <v>00 de 01</v>
      </c>
    </row>
    <row r="181" spans="1:34" ht="34.5" x14ac:dyDescent="0.25">
      <c r="A181" s="139" t="s">
        <v>116</v>
      </c>
      <c r="B181" s="105" t="s">
        <v>122</v>
      </c>
      <c r="C181" s="63">
        <v>169</v>
      </c>
      <c r="D181" s="197" t="s">
        <v>192</v>
      </c>
      <c r="E181" s="189" t="s">
        <v>414</v>
      </c>
      <c r="F181" s="190" t="s">
        <v>123</v>
      </c>
      <c r="G181" s="189" t="s">
        <v>134</v>
      </c>
      <c r="H181" s="191">
        <v>50592</v>
      </c>
      <c r="I181" s="189" t="s">
        <v>219</v>
      </c>
      <c r="J181" s="189">
        <v>0</v>
      </c>
      <c r="K181" s="189">
        <v>11801</v>
      </c>
      <c r="L181" s="191">
        <v>3</v>
      </c>
      <c r="M181" s="192">
        <v>46092</v>
      </c>
      <c r="N181" s="193">
        <v>1</v>
      </c>
      <c r="O181" s="194">
        <v>0.5</v>
      </c>
      <c r="P181" s="195"/>
      <c r="Q181" s="196" t="s">
        <v>38</v>
      </c>
      <c r="R181" s="197">
        <v>1</v>
      </c>
      <c r="S181" s="198" t="s">
        <v>33</v>
      </c>
      <c r="T181" s="199"/>
      <c r="U181" s="200"/>
      <c r="V181" s="200"/>
      <c r="W181" s="200"/>
      <c r="X181" s="200"/>
      <c r="Y181" s="200"/>
      <c r="Z181" s="200"/>
      <c r="AA181" s="200"/>
      <c r="AB181" s="200"/>
      <c r="AC181" s="208"/>
      <c r="AD181" s="11" t="str">
        <f t="shared" si="9"/>
        <v>3</v>
      </c>
      <c r="AF181" t="str">
        <f t="shared" si="10"/>
        <v>80.01.ZZ.03</v>
      </c>
      <c r="AH181" t="str">
        <f t="shared" si="11"/>
        <v>00 de 01</v>
      </c>
    </row>
    <row r="182" spans="1:34" ht="34.5" x14ac:dyDescent="0.25">
      <c r="A182" s="139" t="s">
        <v>116</v>
      </c>
      <c r="B182" s="105" t="s">
        <v>122</v>
      </c>
      <c r="C182" s="63">
        <v>170</v>
      </c>
      <c r="D182" s="197" t="s">
        <v>192</v>
      </c>
      <c r="E182" s="189" t="s">
        <v>415</v>
      </c>
      <c r="F182" s="190" t="s">
        <v>123</v>
      </c>
      <c r="G182" s="189" t="s">
        <v>134</v>
      </c>
      <c r="H182" s="191">
        <v>50592</v>
      </c>
      <c r="I182" s="189" t="s">
        <v>219</v>
      </c>
      <c r="J182" s="189">
        <v>0</v>
      </c>
      <c r="K182" s="189">
        <v>11801</v>
      </c>
      <c r="L182" s="191">
        <v>3</v>
      </c>
      <c r="M182" s="192">
        <v>46092</v>
      </c>
      <c r="N182" s="193">
        <v>1</v>
      </c>
      <c r="O182" s="194">
        <v>0.5</v>
      </c>
      <c r="P182" s="195"/>
      <c r="Q182" s="196" t="s">
        <v>38</v>
      </c>
      <c r="R182" s="197">
        <v>1</v>
      </c>
      <c r="S182" s="198" t="s">
        <v>33</v>
      </c>
      <c r="T182" s="199"/>
      <c r="U182" s="200"/>
      <c r="V182" s="200"/>
      <c r="W182" s="200"/>
      <c r="X182" s="200"/>
      <c r="Y182" s="200"/>
      <c r="Z182" s="200"/>
      <c r="AA182" s="200"/>
      <c r="AB182" s="200"/>
      <c r="AC182" s="208"/>
      <c r="AD182" s="11" t="str">
        <f t="shared" si="9"/>
        <v>3</v>
      </c>
      <c r="AF182" t="str">
        <f t="shared" si="10"/>
        <v>80.01.ZZ.03</v>
      </c>
      <c r="AH182" t="str">
        <f t="shared" si="11"/>
        <v>00 de 01</v>
      </c>
    </row>
    <row r="183" spans="1:34" ht="34.5" x14ac:dyDescent="0.25">
      <c r="A183" s="139" t="s">
        <v>116</v>
      </c>
      <c r="B183" s="105" t="s">
        <v>122</v>
      </c>
      <c r="C183" s="63">
        <v>171</v>
      </c>
      <c r="D183" s="197" t="s">
        <v>192</v>
      </c>
      <c r="E183" s="189" t="s">
        <v>416</v>
      </c>
      <c r="F183" s="190" t="s">
        <v>123</v>
      </c>
      <c r="G183" s="189" t="s">
        <v>134</v>
      </c>
      <c r="H183" s="191">
        <v>50592</v>
      </c>
      <c r="I183" s="189" t="s">
        <v>219</v>
      </c>
      <c r="J183" s="189">
        <v>0</v>
      </c>
      <c r="K183" s="189">
        <v>11801</v>
      </c>
      <c r="L183" s="191">
        <v>3</v>
      </c>
      <c r="M183" s="192">
        <v>46092</v>
      </c>
      <c r="N183" s="193">
        <v>1</v>
      </c>
      <c r="O183" s="194">
        <v>0.5</v>
      </c>
      <c r="P183" s="195"/>
      <c r="Q183" s="196" t="s">
        <v>38</v>
      </c>
      <c r="R183" s="197">
        <v>1</v>
      </c>
      <c r="S183" s="198" t="s">
        <v>33</v>
      </c>
      <c r="T183" s="199"/>
      <c r="U183" s="200"/>
      <c r="V183" s="200"/>
      <c r="W183" s="200"/>
      <c r="X183" s="200"/>
      <c r="Y183" s="200"/>
      <c r="Z183" s="200"/>
      <c r="AA183" s="200"/>
      <c r="AB183" s="200"/>
      <c r="AC183" s="208"/>
      <c r="AD183" s="11" t="str">
        <f t="shared" si="9"/>
        <v>3</v>
      </c>
      <c r="AF183" t="str">
        <f t="shared" si="10"/>
        <v>80.01.ZZ.03</v>
      </c>
      <c r="AH183" t="str">
        <f t="shared" si="11"/>
        <v>00 de 01</v>
      </c>
    </row>
    <row r="184" spans="1:34" ht="34.5" x14ac:dyDescent="0.25">
      <c r="A184" s="139" t="s">
        <v>116</v>
      </c>
      <c r="B184" s="105" t="s">
        <v>122</v>
      </c>
      <c r="C184" s="63">
        <v>172</v>
      </c>
      <c r="D184" s="197" t="s">
        <v>192</v>
      </c>
      <c r="E184" s="189" t="s">
        <v>417</v>
      </c>
      <c r="F184" s="190" t="s">
        <v>123</v>
      </c>
      <c r="G184" s="189" t="s">
        <v>134</v>
      </c>
      <c r="H184" s="191">
        <v>50592</v>
      </c>
      <c r="I184" s="189" t="s">
        <v>219</v>
      </c>
      <c r="J184" s="189">
        <v>0</v>
      </c>
      <c r="K184" s="189">
        <v>11801</v>
      </c>
      <c r="L184" s="191">
        <v>3</v>
      </c>
      <c r="M184" s="192">
        <v>46092</v>
      </c>
      <c r="N184" s="193">
        <v>1</v>
      </c>
      <c r="O184" s="194">
        <v>0.5</v>
      </c>
      <c r="P184" s="195"/>
      <c r="Q184" s="196" t="s">
        <v>38</v>
      </c>
      <c r="R184" s="197">
        <v>1</v>
      </c>
      <c r="S184" s="198" t="s">
        <v>33</v>
      </c>
      <c r="T184" s="199"/>
      <c r="U184" s="200"/>
      <c r="V184" s="200"/>
      <c r="W184" s="200"/>
      <c r="X184" s="200"/>
      <c r="Y184" s="200"/>
      <c r="Z184" s="200"/>
      <c r="AA184" s="200"/>
      <c r="AB184" s="200"/>
      <c r="AC184" s="208"/>
      <c r="AD184" s="11" t="str">
        <f t="shared" si="9"/>
        <v>3</v>
      </c>
      <c r="AF184" t="str">
        <f t="shared" si="10"/>
        <v>80.01.ZZ.03</v>
      </c>
      <c r="AH184" t="str">
        <f t="shared" si="11"/>
        <v>00 de 01</v>
      </c>
    </row>
    <row r="185" spans="1:34" ht="34.5" x14ac:dyDescent="0.25">
      <c r="A185" s="139" t="s">
        <v>116</v>
      </c>
      <c r="B185" s="105" t="s">
        <v>122</v>
      </c>
      <c r="C185" s="63">
        <v>173</v>
      </c>
      <c r="D185" s="197" t="s">
        <v>192</v>
      </c>
      <c r="E185" s="189" t="s">
        <v>418</v>
      </c>
      <c r="F185" s="190" t="s">
        <v>123</v>
      </c>
      <c r="G185" s="189" t="s">
        <v>134</v>
      </c>
      <c r="H185" s="191">
        <v>50592</v>
      </c>
      <c r="I185" s="189" t="s">
        <v>219</v>
      </c>
      <c r="J185" s="189">
        <v>0</v>
      </c>
      <c r="K185" s="189">
        <v>11801</v>
      </c>
      <c r="L185" s="191">
        <v>3</v>
      </c>
      <c r="M185" s="192">
        <v>46092</v>
      </c>
      <c r="N185" s="193">
        <v>1</v>
      </c>
      <c r="O185" s="194">
        <v>0.5</v>
      </c>
      <c r="P185" s="195"/>
      <c r="Q185" s="196" t="s">
        <v>38</v>
      </c>
      <c r="R185" s="197">
        <v>1</v>
      </c>
      <c r="S185" s="198" t="s">
        <v>33</v>
      </c>
      <c r="T185" s="199"/>
      <c r="U185" s="200"/>
      <c r="V185" s="200"/>
      <c r="W185" s="200"/>
      <c r="X185" s="200"/>
      <c r="Y185" s="200"/>
      <c r="Z185" s="200"/>
      <c r="AA185" s="200"/>
      <c r="AB185" s="200"/>
      <c r="AC185" s="208"/>
      <c r="AD185" s="11" t="str">
        <f t="shared" si="9"/>
        <v>3</v>
      </c>
      <c r="AF185" t="str">
        <f t="shared" si="10"/>
        <v>80.01.ZZ.03</v>
      </c>
      <c r="AH185" t="str">
        <f t="shared" si="11"/>
        <v>00 de 01</v>
      </c>
    </row>
    <row r="186" spans="1:34" ht="34.5" x14ac:dyDescent="0.25">
      <c r="A186" s="139" t="s">
        <v>116</v>
      </c>
      <c r="B186" s="105" t="s">
        <v>122</v>
      </c>
      <c r="C186" s="63">
        <v>174</v>
      </c>
      <c r="D186" s="197" t="s">
        <v>192</v>
      </c>
      <c r="E186" s="189" t="s">
        <v>419</v>
      </c>
      <c r="F186" s="190" t="s">
        <v>123</v>
      </c>
      <c r="G186" s="189" t="s">
        <v>134</v>
      </c>
      <c r="H186" s="191">
        <v>50592</v>
      </c>
      <c r="I186" s="189" t="s">
        <v>219</v>
      </c>
      <c r="J186" s="189">
        <v>0</v>
      </c>
      <c r="K186" s="189">
        <v>11801</v>
      </c>
      <c r="L186" s="191">
        <v>3</v>
      </c>
      <c r="M186" s="192">
        <v>46092</v>
      </c>
      <c r="N186" s="193">
        <v>1</v>
      </c>
      <c r="O186" s="194">
        <v>0.5</v>
      </c>
      <c r="P186" s="195"/>
      <c r="Q186" s="196" t="s">
        <v>38</v>
      </c>
      <c r="R186" s="197">
        <v>1</v>
      </c>
      <c r="S186" s="198" t="s">
        <v>33</v>
      </c>
      <c r="T186" s="199"/>
      <c r="U186" s="200"/>
      <c r="V186" s="200"/>
      <c r="W186" s="200"/>
      <c r="X186" s="200"/>
      <c r="Y186" s="200"/>
      <c r="Z186" s="200"/>
      <c r="AA186" s="200"/>
      <c r="AB186" s="200"/>
      <c r="AC186" s="208"/>
      <c r="AD186" s="11" t="str">
        <f t="shared" si="9"/>
        <v>3</v>
      </c>
      <c r="AF186" t="str">
        <f t="shared" si="10"/>
        <v>80.01.ZZ.03</v>
      </c>
      <c r="AH186" t="str">
        <f t="shared" si="11"/>
        <v>00 de 01</v>
      </c>
    </row>
    <row r="187" spans="1:34" ht="34.5" x14ac:dyDescent="0.25">
      <c r="A187" s="139" t="s">
        <v>116</v>
      </c>
      <c r="B187" s="105" t="s">
        <v>122</v>
      </c>
      <c r="C187" s="63">
        <v>175</v>
      </c>
      <c r="D187" s="197" t="s">
        <v>192</v>
      </c>
      <c r="E187" s="189" t="s">
        <v>238</v>
      </c>
      <c r="F187" s="190" t="s">
        <v>123</v>
      </c>
      <c r="G187" s="189" t="s">
        <v>134</v>
      </c>
      <c r="H187" s="191">
        <v>56192</v>
      </c>
      <c r="I187" s="189" t="s">
        <v>223</v>
      </c>
      <c r="J187" s="189">
        <v>0</v>
      </c>
      <c r="K187" s="189">
        <v>10001</v>
      </c>
      <c r="L187" s="191">
        <v>3</v>
      </c>
      <c r="M187" s="192">
        <v>46092</v>
      </c>
      <c r="N187" s="193">
        <v>1</v>
      </c>
      <c r="O187" s="194">
        <v>0.5</v>
      </c>
      <c r="P187" s="195"/>
      <c r="Q187" s="196" t="s">
        <v>38</v>
      </c>
      <c r="R187" s="197">
        <v>1</v>
      </c>
      <c r="S187" s="198" t="s">
        <v>33</v>
      </c>
      <c r="T187" s="199"/>
      <c r="U187" s="200"/>
      <c r="V187" s="200"/>
      <c r="W187" s="200"/>
      <c r="X187" s="200"/>
      <c r="Y187" s="200"/>
      <c r="Z187" s="200"/>
      <c r="AA187" s="200"/>
      <c r="AB187" s="200"/>
      <c r="AC187" s="208"/>
      <c r="AD187" s="11" t="str">
        <f t="shared" si="9"/>
        <v>3</v>
      </c>
      <c r="AF187" t="str">
        <f t="shared" si="10"/>
        <v>80.01.ZZ.03</v>
      </c>
      <c r="AH187" t="str">
        <f t="shared" si="11"/>
        <v>00 de 01</v>
      </c>
    </row>
    <row r="188" spans="1:34" ht="34.5" x14ac:dyDescent="0.25">
      <c r="A188" s="139" t="s">
        <v>116</v>
      </c>
      <c r="B188" s="105" t="s">
        <v>122</v>
      </c>
      <c r="C188" s="63">
        <v>176</v>
      </c>
      <c r="D188" s="197" t="s">
        <v>192</v>
      </c>
      <c r="E188" s="189" t="s">
        <v>420</v>
      </c>
      <c r="F188" s="190" t="s">
        <v>123</v>
      </c>
      <c r="G188" s="189" t="s">
        <v>134</v>
      </c>
      <c r="H188" s="191">
        <v>56192</v>
      </c>
      <c r="I188" s="189" t="s">
        <v>223</v>
      </c>
      <c r="J188" s="189">
        <v>0</v>
      </c>
      <c r="K188" s="189">
        <v>10001</v>
      </c>
      <c r="L188" s="191">
        <v>3</v>
      </c>
      <c r="M188" s="192">
        <v>46092</v>
      </c>
      <c r="N188" s="193">
        <v>1</v>
      </c>
      <c r="O188" s="194">
        <v>0.5</v>
      </c>
      <c r="P188" s="195"/>
      <c r="Q188" s="196" t="s">
        <v>38</v>
      </c>
      <c r="R188" s="197">
        <v>1</v>
      </c>
      <c r="S188" s="198" t="s">
        <v>33</v>
      </c>
      <c r="T188" s="199"/>
      <c r="U188" s="200"/>
      <c r="V188" s="200"/>
      <c r="W188" s="200"/>
      <c r="X188" s="200"/>
      <c r="Y188" s="200"/>
      <c r="Z188" s="200"/>
      <c r="AA188" s="200"/>
      <c r="AB188" s="200"/>
      <c r="AC188" s="208"/>
      <c r="AD188" s="11" t="str">
        <f t="shared" si="9"/>
        <v>3</v>
      </c>
      <c r="AF188" t="str">
        <f t="shared" si="10"/>
        <v>80.01.ZZ.03</v>
      </c>
      <c r="AH188" t="str">
        <f t="shared" si="11"/>
        <v>00 de 01</v>
      </c>
    </row>
    <row r="189" spans="1:34" ht="34.5" x14ac:dyDescent="0.25">
      <c r="A189" s="139" t="s">
        <v>116</v>
      </c>
      <c r="B189" s="105" t="s">
        <v>122</v>
      </c>
      <c r="C189" s="63">
        <v>177</v>
      </c>
      <c r="D189" s="197" t="s">
        <v>192</v>
      </c>
      <c r="E189" s="189" t="s">
        <v>421</v>
      </c>
      <c r="F189" s="190" t="s">
        <v>123</v>
      </c>
      <c r="G189" s="189" t="s">
        <v>134</v>
      </c>
      <c r="H189" s="191">
        <v>56192</v>
      </c>
      <c r="I189" s="189" t="s">
        <v>223</v>
      </c>
      <c r="J189" s="189">
        <v>0</v>
      </c>
      <c r="K189" s="189">
        <v>10001</v>
      </c>
      <c r="L189" s="191">
        <v>3</v>
      </c>
      <c r="M189" s="192">
        <v>46092</v>
      </c>
      <c r="N189" s="193">
        <v>1</v>
      </c>
      <c r="O189" s="194">
        <v>0.5</v>
      </c>
      <c r="P189" s="195"/>
      <c r="Q189" s="196" t="s">
        <v>38</v>
      </c>
      <c r="R189" s="197">
        <v>1</v>
      </c>
      <c r="S189" s="198" t="s">
        <v>33</v>
      </c>
      <c r="T189" s="199"/>
      <c r="U189" s="200"/>
      <c r="V189" s="200"/>
      <c r="W189" s="200"/>
      <c r="X189" s="200"/>
      <c r="Y189" s="200"/>
      <c r="Z189" s="200"/>
      <c r="AA189" s="200"/>
      <c r="AB189" s="200"/>
      <c r="AC189" s="208"/>
      <c r="AD189" s="11" t="str">
        <f t="shared" si="9"/>
        <v>3</v>
      </c>
      <c r="AF189" t="str">
        <f t="shared" si="10"/>
        <v>80.01.ZZ.03</v>
      </c>
      <c r="AH189" t="str">
        <f t="shared" si="11"/>
        <v>00 de 01</v>
      </c>
    </row>
    <row r="190" spans="1:34" ht="34.5" x14ac:dyDescent="0.25">
      <c r="A190" s="139" t="s">
        <v>116</v>
      </c>
      <c r="B190" s="105" t="s">
        <v>122</v>
      </c>
      <c r="C190" s="63">
        <v>178</v>
      </c>
      <c r="D190" s="197" t="s">
        <v>192</v>
      </c>
      <c r="E190" s="189" t="s">
        <v>422</v>
      </c>
      <c r="F190" s="190" t="s">
        <v>123</v>
      </c>
      <c r="G190" s="189" t="s">
        <v>134</v>
      </c>
      <c r="H190" s="191">
        <v>56192</v>
      </c>
      <c r="I190" s="189" t="s">
        <v>223</v>
      </c>
      <c r="J190" s="189">
        <v>0</v>
      </c>
      <c r="K190" s="189">
        <v>10001</v>
      </c>
      <c r="L190" s="191">
        <v>3</v>
      </c>
      <c r="M190" s="192">
        <v>46092</v>
      </c>
      <c r="N190" s="193">
        <v>1</v>
      </c>
      <c r="O190" s="194">
        <v>0.5</v>
      </c>
      <c r="P190" s="195"/>
      <c r="Q190" s="196" t="s">
        <v>38</v>
      </c>
      <c r="R190" s="197">
        <v>1</v>
      </c>
      <c r="S190" s="198" t="s">
        <v>33</v>
      </c>
      <c r="T190" s="199"/>
      <c r="U190" s="200"/>
      <c r="V190" s="200"/>
      <c r="W190" s="200"/>
      <c r="X190" s="200"/>
      <c r="Y190" s="200"/>
      <c r="Z190" s="200"/>
      <c r="AA190" s="200"/>
      <c r="AB190" s="200"/>
      <c r="AC190" s="208"/>
      <c r="AD190" s="11" t="str">
        <f t="shared" si="9"/>
        <v>3</v>
      </c>
      <c r="AF190" t="str">
        <f t="shared" si="10"/>
        <v>80.01.ZZ.03</v>
      </c>
      <c r="AH190" t="str">
        <f t="shared" si="11"/>
        <v>00 de 01</v>
      </c>
    </row>
    <row r="191" spans="1:34" ht="34.5" x14ac:dyDescent="0.25">
      <c r="A191" s="139" t="s">
        <v>116</v>
      </c>
      <c r="B191" s="105" t="s">
        <v>122</v>
      </c>
      <c r="C191" s="63">
        <v>179</v>
      </c>
      <c r="D191" s="197" t="s">
        <v>192</v>
      </c>
      <c r="E191" s="189" t="s">
        <v>423</v>
      </c>
      <c r="F191" s="190" t="s">
        <v>123</v>
      </c>
      <c r="G191" s="189" t="s">
        <v>134</v>
      </c>
      <c r="H191" s="191">
        <v>56192</v>
      </c>
      <c r="I191" s="189" t="s">
        <v>223</v>
      </c>
      <c r="J191" s="189">
        <v>0</v>
      </c>
      <c r="K191" s="189">
        <v>10001</v>
      </c>
      <c r="L191" s="191">
        <v>3</v>
      </c>
      <c r="M191" s="192">
        <v>46092</v>
      </c>
      <c r="N191" s="193">
        <v>1</v>
      </c>
      <c r="O191" s="194">
        <v>0.5</v>
      </c>
      <c r="P191" s="195"/>
      <c r="Q191" s="196" t="s">
        <v>38</v>
      </c>
      <c r="R191" s="197">
        <v>1</v>
      </c>
      <c r="S191" s="198" t="s">
        <v>33</v>
      </c>
      <c r="T191" s="199"/>
      <c r="U191" s="200"/>
      <c r="V191" s="200"/>
      <c r="W191" s="200"/>
      <c r="X191" s="200"/>
      <c r="Y191" s="200"/>
      <c r="Z191" s="200"/>
      <c r="AA191" s="200"/>
      <c r="AB191" s="200"/>
      <c r="AC191" s="208"/>
      <c r="AD191" s="11" t="str">
        <f t="shared" si="9"/>
        <v>3</v>
      </c>
      <c r="AF191" t="str">
        <f t="shared" si="10"/>
        <v>80.01.ZZ.03</v>
      </c>
      <c r="AH191" t="str">
        <f t="shared" si="11"/>
        <v>00 de 01</v>
      </c>
    </row>
    <row r="192" spans="1:34" ht="34.5" x14ac:dyDescent="0.25">
      <c r="A192" s="139" t="s">
        <v>116</v>
      </c>
      <c r="B192" s="105" t="s">
        <v>122</v>
      </c>
      <c r="C192" s="63">
        <v>180</v>
      </c>
      <c r="D192" s="197" t="s">
        <v>192</v>
      </c>
      <c r="E192" s="189" t="s">
        <v>424</v>
      </c>
      <c r="F192" s="190" t="s">
        <v>123</v>
      </c>
      <c r="G192" s="189" t="s">
        <v>134</v>
      </c>
      <c r="H192" s="191">
        <v>56192</v>
      </c>
      <c r="I192" s="189" t="s">
        <v>223</v>
      </c>
      <c r="J192" s="189">
        <v>0</v>
      </c>
      <c r="K192" s="189">
        <v>10001</v>
      </c>
      <c r="L192" s="191">
        <v>3</v>
      </c>
      <c r="M192" s="192">
        <v>46092</v>
      </c>
      <c r="N192" s="193">
        <v>1</v>
      </c>
      <c r="O192" s="194">
        <v>0.5</v>
      </c>
      <c r="P192" s="195"/>
      <c r="Q192" s="196" t="s">
        <v>38</v>
      </c>
      <c r="R192" s="197">
        <v>1</v>
      </c>
      <c r="S192" s="198" t="s">
        <v>33</v>
      </c>
      <c r="T192" s="199"/>
      <c r="U192" s="200"/>
      <c r="V192" s="200"/>
      <c r="W192" s="200"/>
      <c r="X192" s="200"/>
      <c r="Y192" s="200"/>
      <c r="Z192" s="200"/>
      <c r="AA192" s="200"/>
      <c r="AB192" s="200"/>
      <c r="AC192" s="208"/>
      <c r="AD192" s="11" t="str">
        <f t="shared" si="9"/>
        <v>3</v>
      </c>
      <c r="AF192" t="str">
        <f t="shared" si="10"/>
        <v>80.01.ZZ.03</v>
      </c>
      <c r="AH192" t="str">
        <f t="shared" si="11"/>
        <v>00 de 01</v>
      </c>
    </row>
    <row r="193" spans="1:34" ht="34.5" x14ac:dyDescent="0.25">
      <c r="A193" s="139" t="s">
        <v>116</v>
      </c>
      <c r="B193" s="105" t="s">
        <v>122</v>
      </c>
      <c r="C193" s="63">
        <v>181</v>
      </c>
      <c r="D193" s="197" t="s">
        <v>192</v>
      </c>
      <c r="E193" s="189" t="s">
        <v>425</v>
      </c>
      <c r="F193" s="190" t="s">
        <v>123</v>
      </c>
      <c r="G193" s="189" t="s">
        <v>134</v>
      </c>
      <c r="H193" s="191">
        <v>56192</v>
      </c>
      <c r="I193" s="189" t="s">
        <v>223</v>
      </c>
      <c r="J193" s="189">
        <v>0</v>
      </c>
      <c r="K193" s="189">
        <v>10001</v>
      </c>
      <c r="L193" s="191">
        <v>3</v>
      </c>
      <c r="M193" s="192">
        <v>46092</v>
      </c>
      <c r="N193" s="193">
        <v>1</v>
      </c>
      <c r="O193" s="194">
        <v>0.5</v>
      </c>
      <c r="P193" s="195"/>
      <c r="Q193" s="196" t="s">
        <v>38</v>
      </c>
      <c r="R193" s="197">
        <v>1</v>
      </c>
      <c r="S193" s="198" t="s">
        <v>33</v>
      </c>
      <c r="T193" s="199"/>
      <c r="U193" s="200"/>
      <c r="V193" s="200"/>
      <c r="W193" s="200"/>
      <c r="X193" s="200"/>
      <c r="Y193" s="200"/>
      <c r="Z193" s="200"/>
      <c r="AA193" s="200"/>
      <c r="AB193" s="200"/>
      <c r="AC193" s="208"/>
      <c r="AD193" s="11" t="str">
        <f t="shared" si="9"/>
        <v>3</v>
      </c>
      <c r="AF193" t="str">
        <f t="shared" si="10"/>
        <v>80.01.ZZ.03</v>
      </c>
      <c r="AH193" t="str">
        <f t="shared" si="11"/>
        <v>00 de 01</v>
      </c>
    </row>
    <row r="194" spans="1:34" ht="34.5" x14ac:dyDescent="0.25">
      <c r="A194" s="139" t="s">
        <v>116</v>
      </c>
      <c r="B194" s="105" t="s">
        <v>122</v>
      </c>
      <c r="C194" s="63">
        <v>182</v>
      </c>
      <c r="D194" s="197" t="s">
        <v>192</v>
      </c>
      <c r="E194" s="189" t="s">
        <v>426</v>
      </c>
      <c r="F194" s="190" t="s">
        <v>123</v>
      </c>
      <c r="G194" s="189" t="s">
        <v>134</v>
      </c>
      <c r="H194" s="191">
        <v>56192</v>
      </c>
      <c r="I194" s="189" t="s">
        <v>223</v>
      </c>
      <c r="J194" s="189">
        <v>0</v>
      </c>
      <c r="K194" s="189">
        <v>10001</v>
      </c>
      <c r="L194" s="191">
        <v>3</v>
      </c>
      <c r="M194" s="192">
        <v>46092</v>
      </c>
      <c r="N194" s="193">
        <v>1</v>
      </c>
      <c r="O194" s="194">
        <v>0.5</v>
      </c>
      <c r="P194" s="195"/>
      <c r="Q194" s="196" t="s">
        <v>38</v>
      </c>
      <c r="R194" s="197">
        <v>1</v>
      </c>
      <c r="S194" s="198" t="s">
        <v>33</v>
      </c>
      <c r="T194" s="199"/>
      <c r="U194" s="200"/>
      <c r="V194" s="200"/>
      <c r="W194" s="200"/>
      <c r="X194" s="200"/>
      <c r="Y194" s="200"/>
      <c r="Z194" s="200"/>
      <c r="AA194" s="200"/>
      <c r="AB194" s="200"/>
      <c r="AC194" s="208"/>
      <c r="AD194" s="11" t="str">
        <f t="shared" si="9"/>
        <v>3</v>
      </c>
      <c r="AF194" t="str">
        <f t="shared" si="10"/>
        <v>80.01.ZZ.03</v>
      </c>
      <c r="AH194" t="str">
        <f t="shared" si="11"/>
        <v>00 de 01</v>
      </c>
    </row>
    <row r="195" spans="1:34" ht="34.5" x14ac:dyDescent="0.25">
      <c r="A195" s="139" t="s">
        <v>116</v>
      </c>
      <c r="B195" s="105" t="s">
        <v>122</v>
      </c>
      <c r="C195" s="63">
        <v>183</v>
      </c>
      <c r="D195" s="197" t="s">
        <v>192</v>
      </c>
      <c r="E195" s="189" t="s">
        <v>427</v>
      </c>
      <c r="F195" s="190" t="s">
        <v>123</v>
      </c>
      <c r="G195" s="189" t="s">
        <v>134</v>
      </c>
      <c r="H195" s="191">
        <v>56192</v>
      </c>
      <c r="I195" s="189" t="s">
        <v>223</v>
      </c>
      <c r="J195" s="189">
        <v>0</v>
      </c>
      <c r="K195" s="189">
        <v>10001</v>
      </c>
      <c r="L195" s="191">
        <v>3</v>
      </c>
      <c r="M195" s="192">
        <v>46092</v>
      </c>
      <c r="N195" s="193">
        <v>1</v>
      </c>
      <c r="O195" s="194">
        <v>0.5</v>
      </c>
      <c r="P195" s="195"/>
      <c r="Q195" s="196" t="s">
        <v>38</v>
      </c>
      <c r="R195" s="197">
        <v>1</v>
      </c>
      <c r="S195" s="198" t="s">
        <v>33</v>
      </c>
      <c r="T195" s="199"/>
      <c r="U195" s="200"/>
      <c r="V195" s="200"/>
      <c r="W195" s="200"/>
      <c r="X195" s="200"/>
      <c r="Y195" s="200"/>
      <c r="Z195" s="200"/>
      <c r="AA195" s="200"/>
      <c r="AB195" s="200"/>
      <c r="AC195" s="208"/>
      <c r="AD195" s="11" t="str">
        <f t="shared" si="9"/>
        <v>3</v>
      </c>
      <c r="AF195" t="str">
        <f t="shared" si="10"/>
        <v>80.01.ZZ.03</v>
      </c>
      <c r="AH195" t="str">
        <f t="shared" si="11"/>
        <v>00 de 01</v>
      </c>
    </row>
    <row r="196" spans="1:34" ht="34.5" x14ac:dyDescent="0.25">
      <c r="A196" s="139" t="s">
        <v>116</v>
      </c>
      <c r="B196" s="105" t="s">
        <v>122</v>
      </c>
      <c r="C196" s="63">
        <v>184</v>
      </c>
      <c r="D196" s="197" t="s">
        <v>192</v>
      </c>
      <c r="E196" s="189" t="s">
        <v>428</v>
      </c>
      <c r="F196" s="190" t="s">
        <v>123</v>
      </c>
      <c r="G196" s="189" t="s">
        <v>134</v>
      </c>
      <c r="H196" s="191">
        <v>56192</v>
      </c>
      <c r="I196" s="189" t="s">
        <v>223</v>
      </c>
      <c r="J196" s="189">
        <v>0</v>
      </c>
      <c r="K196" s="189">
        <v>10001</v>
      </c>
      <c r="L196" s="191">
        <v>3</v>
      </c>
      <c r="M196" s="192">
        <v>46092</v>
      </c>
      <c r="N196" s="193">
        <v>1</v>
      </c>
      <c r="O196" s="194">
        <v>0.5</v>
      </c>
      <c r="P196" s="195"/>
      <c r="Q196" s="196" t="s">
        <v>38</v>
      </c>
      <c r="R196" s="197">
        <v>1</v>
      </c>
      <c r="S196" s="198" t="s">
        <v>33</v>
      </c>
      <c r="T196" s="199"/>
      <c r="U196" s="200"/>
      <c r="V196" s="200"/>
      <c r="W196" s="200"/>
      <c r="X196" s="200"/>
      <c r="Y196" s="200"/>
      <c r="Z196" s="200"/>
      <c r="AA196" s="200"/>
      <c r="AB196" s="200"/>
      <c r="AC196" s="208"/>
      <c r="AD196" s="11" t="str">
        <f t="shared" si="9"/>
        <v>3</v>
      </c>
      <c r="AF196" t="str">
        <f t="shared" si="10"/>
        <v>80.01.ZZ.03</v>
      </c>
      <c r="AH196" t="str">
        <f t="shared" si="11"/>
        <v>00 de 01</v>
      </c>
    </row>
    <row r="197" spans="1:34" ht="34.5" x14ac:dyDescent="0.25">
      <c r="A197" s="139" t="s">
        <v>116</v>
      </c>
      <c r="B197" s="105" t="s">
        <v>122</v>
      </c>
      <c r="C197" s="63">
        <v>185</v>
      </c>
      <c r="D197" s="197" t="s">
        <v>192</v>
      </c>
      <c r="E197" s="189" t="s">
        <v>429</v>
      </c>
      <c r="F197" s="190" t="s">
        <v>123</v>
      </c>
      <c r="G197" s="189" t="s">
        <v>134</v>
      </c>
      <c r="H197" s="191">
        <v>56192</v>
      </c>
      <c r="I197" s="189" t="s">
        <v>223</v>
      </c>
      <c r="J197" s="189">
        <v>0</v>
      </c>
      <c r="K197" s="189">
        <v>10001</v>
      </c>
      <c r="L197" s="191">
        <v>3</v>
      </c>
      <c r="M197" s="192">
        <v>46092</v>
      </c>
      <c r="N197" s="193">
        <v>1</v>
      </c>
      <c r="O197" s="194">
        <v>0.5</v>
      </c>
      <c r="P197" s="195"/>
      <c r="Q197" s="196" t="s">
        <v>38</v>
      </c>
      <c r="R197" s="197">
        <v>1</v>
      </c>
      <c r="S197" s="198" t="s">
        <v>33</v>
      </c>
      <c r="T197" s="199"/>
      <c r="U197" s="200"/>
      <c r="V197" s="200"/>
      <c r="W197" s="200"/>
      <c r="X197" s="200"/>
      <c r="Y197" s="200"/>
      <c r="Z197" s="200"/>
      <c r="AA197" s="200"/>
      <c r="AB197" s="200"/>
      <c r="AC197" s="208"/>
      <c r="AD197" s="11" t="str">
        <f t="shared" si="9"/>
        <v>3</v>
      </c>
      <c r="AF197" t="str">
        <f t="shared" si="10"/>
        <v>80.01.ZZ.03</v>
      </c>
      <c r="AH197" t="str">
        <f t="shared" si="11"/>
        <v>00 de 01</v>
      </c>
    </row>
    <row r="198" spans="1:34" ht="34.5" x14ac:dyDescent="0.25">
      <c r="A198" s="139" t="s">
        <v>116</v>
      </c>
      <c r="B198" s="105" t="s">
        <v>122</v>
      </c>
      <c r="C198" s="63">
        <v>186</v>
      </c>
      <c r="D198" s="197" t="s">
        <v>192</v>
      </c>
      <c r="E198" s="189" t="s">
        <v>430</v>
      </c>
      <c r="F198" s="190" t="s">
        <v>123</v>
      </c>
      <c r="G198" s="189" t="s">
        <v>134</v>
      </c>
      <c r="H198" s="191">
        <v>56192</v>
      </c>
      <c r="I198" s="189" t="s">
        <v>223</v>
      </c>
      <c r="J198" s="189">
        <v>0</v>
      </c>
      <c r="K198" s="189">
        <v>10001</v>
      </c>
      <c r="L198" s="191">
        <v>3</v>
      </c>
      <c r="M198" s="192">
        <v>46092</v>
      </c>
      <c r="N198" s="193">
        <v>1</v>
      </c>
      <c r="O198" s="194">
        <v>0.5</v>
      </c>
      <c r="P198" s="195"/>
      <c r="Q198" s="196" t="s">
        <v>38</v>
      </c>
      <c r="R198" s="197">
        <v>1</v>
      </c>
      <c r="S198" s="198" t="s">
        <v>33</v>
      </c>
      <c r="T198" s="199"/>
      <c r="U198" s="200"/>
      <c r="V198" s="200"/>
      <c r="W198" s="200"/>
      <c r="X198" s="200"/>
      <c r="Y198" s="200"/>
      <c r="Z198" s="200"/>
      <c r="AA198" s="200"/>
      <c r="AB198" s="200"/>
      <c r="AC198" s="208"/>
      <c r="AD198" s="11" t="str">
        <f t="shared" si="9"/>
        <v>3</v>
      </c>
      <c r="AF198" t="str">
        <f t="shared" si="10"/>
        <v>80.01.ZZ.03</v>
      </c>
      <c r="AH198" t="str">
        <f t="shared" si="11"/>
        <v>00 de 01</v>
      </c>
    </row>
    <row r="199" spans="1:34" ht="34.5" x14ac:dyDescent="0.25">
      <c r="A199" s="139" t="s">
        <v>116</v>
      </c>
      <c r="B199" s="105" t="s">
        <v>122</v>
      </c>
      <c r="C199" s="63">
        <v>187</v>
      </c>
      <c r="D199" s="197" t="s">
        <v>192</v>
      </c>
      <c r="E199" s="189" t="s">
        <v>431</v>
      </c>
      <c r="F199" s="190" t="s">
        <v>123</v>
      </c>
      <c r="G199" s="189" t="s">
        <v>134</v>
      </c>
      <c r="H199" s="191">
        <v>56192</v>
      </c>
      <c r="I199" s="189" t="s">
        <v>223</v>
      </c>
      <c r="J199" s="189">
        <v>0</v>
      </c>
      <c r="K199" s="189">
        <v>10001</v>
      </c>
      <c r="L199" s="191">
        <v>3</v>
      </c>
      <c r="M199" s="192">
        <v>46092</v>
      </c>
      <c r="N199" s="193">
        <v>1</v>
      </c>
      <c r="O199" s="194">
        <v>0.5</v>
      </c>
      <c r="P199" s="195"/>
      <c r="Q199" s="196" t="s">
        <v>38</v>
      </c>
      <c r="R199" s="197">
        <v>1</v>
      </c>
      <c r="S199" s="198" t="s">
        <v>33</v>
      </c>
      <c r="T199" s="199"/>
      <c r="U199" s="200"/>
      <c r="V199" s="200"/>
      <c r="W199" s="200"/>
      <c r="X199" s="200"/>
      <c r="Y199" s="200"/>
      <c r="Z199" s="200"/>
      <c r="AA199" s="200"/>
      <c r="AB199" s="200"/>
      <c r="AC199" s="208"/>
      <c r="AD199" s="11" t="str">
        <f t="shared" si="9"/>
        <v>3</v>
      </c>
      <c r="AF199" t="str">
        <f t="shared" si="10"/>
        <v>80.01.ZZ.03</v>
      </c>
      <c r="AH199" t="str">
        <f t="shared" si="11"/>
        <v>00 de 01</v>
      </c>
    </row>
    <row r="200" spans="1:34" ht="34.5" x14ac:dyDescent="0.25">
      <c r="A200" s="139" t="s">
        <v>116</v>
      </c>
      <c r="B200" s="105" t="s">
        <v>122</v>
      </c>
      <c r="C200" s="63">
        <v>188</v>
      </c>
      <c r="D200" s="197" t="s">
        <v>192</v>
      </c>
      <c r="E200" s="189" t="s">
        <v>432</v>
      </c>
      <c r="F200" s="190" t="s">
        <v>123</v>
      </c>
      <c r="G200" s="189" t="s">
        <v>134</v>
      </c>
      <c r="H200" s="191">
        <v>56192</v>
      </c>
      <c r="I200" s="189" t="s">
        <v>223</v>
      </c>
      <c r="J200" s="189">
        <v>0</v>
      </c>
      <c r="K200" s="189">
        <v>10001</v>
      </c>
      <c r="L200" s="191">
        <v>3</v>
      </c>
      <c r="M200" s="192">
        <v>46092</v>
      </c>
      <c r="N200" s="193">
        <v>1</v>
      </c>
      <c r="O200" s="194">
        <v>0.5</v>
      </c>
      <c r="P200" s="195"/>
      <c r="Q200" s="196" t="s">
        <v>38</v>
      </c>
      <c r="R200" s="197">
        <v>1</v>
      </c>
      <c r="S200" s="198" t="s">
        <v>33</v>
      </c>
      <c r="T200" s="199"/>
      <c r="U200" s="200"/>
      <c r="V200" s="200"/>
      <c r="W200" s="200"/>
      <c r="X200" s="200"/>
      <c r="Y200" s="200"/>
      <c r="Z200" s="200"/>
      <c r="AA200" s="200"/>
      <c r="AB200" s="200"/>
      <c r="AC200" s="208"/>
      <c r="AD200" s="11" t="str">
        <f t="shared" si="9"/>
        <v>3</v>
      </c>
      <c r="AF200" t="str">
        <f t="shared" si="10"/>
        <v>80.01.ZZ.03</v>
      </c>
      <c r="AH200" t="str">
        <f t="shared" si="11"/>
        <v>00 de 01</v>
      </c>
    </row>
    <row r="201" spans="1:34" ht="34.5" x14ac:dyDescent="0.25">
      <c r="A201" s="139" t="s">
        <v>116</v>
      </c>
      <c r="B201" s="105" t="s">
        <v>122</v>
      </c>
      <c r="C201" s="63">
        <v>189</v>
      </c>
      <c r="D201" s="197" t="s">
        <v>192</v>
      </c>
      <c r="E201" s="189" t="s">
        <v>433</v>
      </c>
      <c r="F201" s="190" t="s">
        <v>123</v>
      </c>
      <c r="G201" s="189" t="s">
        <v>134</v>
      </c>
      <c r="H201" s="191">
        <v>56192</v>
      </c>
      <c r="I201" s="189" t="s">
        <v>223</v>
      </c>
      <c r="J201" s="189">
        <v>0</v>
      </c>
      <c r="K201" s="189">
        <v>10001</v>
      </c>
      <c r="L201" s="191">
        <v>3</v>
      </c>
      <c r="M201" s="192">
        <v>46092</v>
      </c>
      <c r="N201" s="193">
        <v>1</v>
      </c>
      <c r="O201" s="194">
        <v>0.5</v>
      </c>
      <c r="P201" s="195"/>
      <c r="Q201" s="196" t="s">
        <v>38</v>
      </c>
      <c r="R201" s="197">
        <v>1</v>
      </c>
      <c r="S201" s="198" t="s">
        <v>33</v>
      </c>
      <c r="T201" s="199"/>
      <c r="U201" s="200"/>
      <c r="V201" s="200"/>
      <c r="W201" s="200"/>
      <c r="X201" s="200"/>
      <c r="Y201" s="200"/>
      <c r="Z201" s="200"/>
      <c r="AA201" s="200"/>
      <c r="AB201" s="200"/>
      <c r="AC201" s="208"/>
      <c r="AD201" s="11" t="str">
        <f t="shared" si="9"/>
        <v>3</v>
      </c>
      <c r="AF201" t="str">
        <f t="shared" si="10"/>
        <v>80.01.ZZ.03</v>
      </c>
      <c r="AH201" t="str">
        <f t="shared" si="11"/>
        <v>00 de 01</v>
      </c>
    </row>
    <row r="202" spans="1:34" ht="34.5" x14ac:dyDescent="0.25">
      <c r="A202" s="139" t="s">
        <v>116</v>
      </c>
      <c r="B202" s="105" t="s">
        <v>122</v>
      </c>
      <c r="C202" s="63">
        <v>190</v>
      </c>
      <c r="D202" s="197" t="s">
        <v>192</v>
      </c>
      <c r="E202" s="189" t="s">
        <v>434</v>
      </c>
      <c r="F202" s="190" t="s">
        <v>123</v>
      </c>
      <c r="G202" s="189" t="s">
        <v>134</v>
      </c>
      <c r="H202" s="191">
        <v>56192</v>
      </c>
      <c r="I202" s="189" t="s">
        <v>223</v>
      </c>
      <c r="J202" s="189">
        <v>0</v>
      </c>
      <c r="K202" s="189">
        <v>10001</v>
      </c>
      <c r="L202" s="191">
        <v>3</v>
      </c>
      <c r="M202" s="192">
        <v>46092</v>
      </c>
      <c r="N202" s="193">
        <v>1</v>
      </c>
      <c r="O202" s="194">
        <v>0.5</v>
      </c>
      <c r="P202" s="195"/>
      <c r="Q202" s="196" t="s">
        <v>38</v>
      </c>
      <c r="R202" s="197">
        <v>1</v>
      </c>
      <c r="S202" s="198" t="s">
        <v>33</v>
      </c>
      <c r="T202" s="199"/>
      <c r="U202" s="200"/>
      <c r="V202" s="200"/>
      <c r="W202" s="200"/>
      <c r="X202" s="200"/>
      <c r="Y202" s="200"/>
      <c r="Z202" s="200"/>
      <c r="AA202" s="200"/>
      <c r="AB202" s="200"/>
      <c r="AC202" s="208"/>
      <c r="AD202" s="11" t="str">
        <f t="shared" si="9"/>
        <v>3</v>
      </c>
      <c r="AF202" t="str">
        <f t="shared" si="10"/>
        <v>80.01.ZZ.03</v>
      </c>
      <c r="AH202" t="str">
        <f t="shared" si="11"/>
        <v>00 de 01</v>
      </c>
    </row>
    <row r="203" spans="1:34" ht="34.5" x14ac:dyDescent="0.25">
      <c r="A203" s="139" t="s">
        <v>116</v>
      </c>
      <c r="B203" s="105" t="s">
        <v>122</v>
      </c>
      <c r="C203" s="63">
        <v>191</v>
      </c>
      <c r="D203" s="197" t="s">
        <v>192</v>
      </c>
      <c r="E203" s="189" t="s">
        <v>435</v>
      </c>
      <c r="F203" s="190" t="s">
        <v>123</v>
      </c>
      <c r="G203" s="189" t="s">
        <v>134</v>
      </c>
      <c r="H203" s="191">
        <v>56192</v>
      </c>
      <c r="I203" s="189" t="s">
        <v>223</v>
      </c>
      <c r="J203" s="189">
        <v>0</v>
      </c>
      <c r="K203" s="189">
        <v>10001</v>
      </c>
      <c r="L203" s="191">
        <v>3</v>
      </c>
      <c r="M203" s="192">
        <v>46092</v>
      </c>
      <c r="N203" s="193">
        <v>1</v>
      </c>
      <c r="O203" s="194">
        <v>0.5</v>
      </c>
      <c r="P203" s="195"/>
      <c r="Q203" s="196" t="s">
        <v>38</v>
      </c>
      <c r="R203" s="197">
        <v>1</v>
      </c>
      <c r="S203" s="198" t="s">
        <v>33</v>
      </c>
      <c r="T203" s="199"/>
      <c r="U203" s="200"/>
      <c r="V203" s="200"/>
      <c r="W203" s="200"/>
      <c r="X203" s="200"/>
      <c r="Y203" s="200"/>
      <c r="Z203" s="200"/>
      <c r="AA203" s="200"/>
      <c r="AB203" s="200"/>
      <c r="AC203" s="208"/>
      <c r="AD203" s="11" t="str">
        <f t="shared" si="9"/>
        <v>3</v>
      </c>
      <c r="AF203" t="str">
        <f t="shared" si="10"/>
        <v>80.01.ZZ.03</v>
      </c>
      <c r="AH203" t="str">
        <f t="shared" si="11"/>
        <v>00 de 01</v>
      </c>
    </row>
    <row r="204" spans="1:34" ht="34.5" x14ac:dyDescent="0.25">
      <c r="A204" s="139" t="s">
        <v>116</v>
      </c>
      <c r="B204" s="105" t="s">
        <v>122</v>
      </c>
      <c r="C204" s="63">
        <v>192</v>
      </c>
      <c r="D204" s="197" t="s">
        <v>192</v>
      </c>
      <c r="E204" s="189" t="s">
        <v>436</v>
      </c>
      <c r="F204" s="190" t="s">
        <v>123</v>
      </c>
      <c r="G204" s="189" t="s">
        <v>134</v>
      </c>
      <c r="H204" s="191">
        <v>56192</v>
      </c>
      <c r="I204" s="189" t="s">
        <v>223</v>
      </c>
      <c r="J204" s="189">
        <v>0</v>
      </c>
      <c r="K204" s="189">
        <v>10001</v>
      </c>
      <c r="L204" s="191">
        <v>3</v>
      </c>
      <c r="M204" s="192">
        <v>46092</v>
      </c>
      <c r="N204" s="193">
        <v>1</v>
      </c>
      <c r="O204" s="194">
        <v>0.5</v>
      </c>
      <c r="P204" s="195"/>
      <c r="Q204" s="196" t="s">
        <v>38</v>
      </c>
      <c r="R204" s="197">
        <v>1</v>
      </c>
      <c r="S204" s="198" t="s">
        <v>33</v>
      </c>
      <c r="T204" s="199"/>
      <c r="U204" s="200"/>
      <c r="V204" s="200"/>
      <c r="W204" s="200"/>
      <c r="X204" s="200"/>
      <c r="Y204" s="200"/>
      <c r="Z204" s="200"/>
      <c r="AA204" s="200"/>
      <c r="AB204" s="200"/>
      <c r="AC204" s="208"/>
      <c r="AD204" s="11" t="str">
        <f t="shared" si="9"/>
        <v>3</v>
      </c>
      <c r="AF204" t="str">
        <f t="shared" si="10"/>
        <v>80.01.ZZ.03</v>
      </c>
      <c r="AH204" t="str">
        <f t="shared" si="11"/>
        <v>00 de 01</v>
      </c>
    </row>
    <row r="205" spans="1:34" ht="34.5" x14ac:dyDescent="0.25">
      <c r="A205" s="139" t="s">
        <v>116</v>
      </c>
      <c r="B205" s="105" t="s">
        <v>122</v>
      </c>
      <c r="C205" s="63">
        <v>193</v>
      </c>
      <c r="D205" s="197" t="s">
        <v>192</v>
      </c>
      <c r="E205" s="189" t="s">
        <v>437</v>
      </c>
      <c r="F205" s="190" t="s">
        <v>123</v>
      </c>
      <c r="G205" s="189" t="s">
        <v>134</v>
      </c>
      <c r="H205" s="191">
        <v>56192</v>
      </c>
      <c r="I205" s="189" t="s">
        <v>223</v>
      </c>
      <c r="J205" s="189">
        <v>0</v>
      </c>
      <c r="K205" s="189">
        <v>10001</v>
      </c>
      <c r="L205" s="191">
        <v>3</v>
      </c>
      <c r="M205" s="192">
        <v>46092</v>
      </c>
      <c r="N205" s="193">
        <v>1</v>
      </c>
      <c r="O205" s="194">
        <v>0.5</v>
      </c>
      <c r="P205" s="195"/>
      <c r="Q205" s="196" t="s">
        <v>38</v>
      </c>
      <c r="R205" s="197">
        <v>1</v>
      </c>
      <c r="S205" s="198" t="s">
        <v>33</v>
      </c>
      <c r="T205" s="199"/>
      <c r="U205" s="200"/>
      <c r="V205" s="200"/>
      <c r="W205" s="200"/>
      <c r="X205" s="200"/>
      <c r="Y205" s="200"/>
      <c r="Z205" s="200"/>
      <c r="AA205" s="200"/>
      <c r="AB205" s="200"/>
      <c r="AC205" s="208"/>
      <c r="AD205" s="11" t="str">
        <f t="shared" si="9"/>
        <v>3</v>
      </c>
      <c r="AF205" t="str">
        <f t="shared" si="10"/>
        <v>80.01.ZZ.03</v>
      </c>
      <c r="AH205" t="str">
        <f t="shared" si="11"/>
        <v>00 de 01</v>
      </c>
    </row>
    <row r="206" spans="1:34" ht="34.5" x14ac:dyDescent="0.25">
      <c r="A206" s="139" t="s">
        <v>116</v>
      </c>
      <c r="B206" s="105" t="s">
        <v>122</v>
      </c>
      <c r="C206" s="63">
        <v>194</v>
      </c>
      <c r="D206" s="197" t="s">
        <v>192</v>
      </c>
      <c r="E206" s="189" t="s">
        <v>438</v>
      </c>
      <c r="F206" s="190" t="s">
        <v>123</v>
      </c>
      <c r="G206" s="189" t="s">
        <v>134</v>
      </c>
      <c r="H206" s="191">
        <v>56192</v>
      </c>
      <c r="I206" s="189" t="s">
        <v>223</v>
      </c>
      <c r="J206" s="189">
        <v>0</v>
      </c>
      <c r="K206" s="189">
        <v>10001</v>
      </c>
      <c r="L206" s="191">
        <v>3</v>
      </c>
      <c r="M206" s="192">
        <v>46092</v>
      </c>
      <c r="N206" s="193">
        <v>1</v>
      </c>
      <c r="O206" s="194">
        <v>0.5</v>
      </c>
      <c r="P206" s="195"/>
      <c r="Q206" s="196" t="s">
        <v>38</v>
      </c>
      <c r="R206" s="197">
        <v>1</v>
      </c>
      <c r="S206" s="198" t="s">
        <v>33</v>
      </c>
      <c r="T206" s="199"/>
      <c r="U206" s="200"/>
      <c r="V206" s="200"/>
      <c r="W206" s="200"/>
      <c r="X206" s="200"/>
      <c r="Y206" s="200"/>
      <c r="Z206" s="200"/>
      <c r="AA206" s="200"/>
      <c r="AB206" s="200"/>
      <c r="AC206" s="208"/>
      <c r="AD206" s="11" t="str">
        <f t="shared" si="9"/>
        <v>3</v>
      </c>
      <c r="AF206" t="str">
        <f t="shared" si="10"/>
        <v>80.01.ZZ.03</v>
      </c>
      <c r="AH206" t="str">
        <f t="shared" si="11"/>
        <v>00 de 01</v>
      </c>
    </row>
    <row r="207" spans="1:34" ht="34.5" x14ac:dyDescent="0.25">
      <c r="A207" s="139" t="s">
        <v>116</v>
      </c>
      <c r="B207" s="105" t="s">
        <v>122</v>
      </c>
      <c r="C207" s="63">
        <v>195</v>
      </c>
      <c r="D207" s="197" t="s">
        <v>192</v>
      </c>
      <c r="E207" s="189" t="s">
        <v>439</v>
      </c>
      <c r="F207" s="190" t="s">
        <v>123</v>
      </c>
      <c r="G207" s="189" t="s">
        <v>134</v>
      </c>
      <c r="H207" s="191">
        <v>56192</v>
      </c>
      <c r="I207" s="189" t="s">
        <v>223</v>
      </c>
      <c r="J207" s="189">
        <v>0</v>
      </c>
      <c r="K207" s="189">
        <v>10001</v>
      </c>
      <c r="L207" s="191">
        <v>3</v>
      </c>
      <c r="M207" s="192">
        <v>46092</v>
      </c>
      <c r="N207" s="193">
        <v>1</v>
      </c>
      <c r="O207" s="194">
        <v>0.5</v>
      </c>
      <c r="P207" s="195"/>
      <c r="Q207" s="196" t="s">
        <v>38</v>
      </c>
      <c r="R207" s="197">
        <v>1</v>
      </c>
      <c r="S207" s="198" t="s">
        <v>33</v>
      </c>
      <c r="T207" s="199"/>
      <c r="U207" s="200"/>
      <c r="V207" s="200"/>
      <c r="W207" s="200"/>
      <c r="X207" s="200"/>
      <c r="Y207" s="200"/>
      <c r="Z207" s="200"/>
      <c r="AA207" s="200"/>
      <c r="AB207" s="200"/>
      <c r="AC207" s="208"/>
      <c r="AD207" s="11" t="str">
        <f t="shared" si="9"/>
        <v>3</v>
      </c>
      <c r="AF207" t="str">
        <f t="shared" si="10"/>
        <v>80.01.ZZ.03</v>
      </c>
      <c r="AH207" t="str">
        <f t="shared" si="11"/>
        <v>00 de 01</v>
      </c>
    </row>
    <row r="208" spans="1:34" ht="34.5" x14ac:dyDescent="0.25">
      <c r="A208" s="139" t="s">
        <v>116</v>
      </c>
      <c r="B208" s="105" t="s">
        <v>122</v>
      </c>
      <c r="C208" s="63">
        <v>196</v>
      </c>
      <c r="D208" s="197" t="s">
        <v>192</v>
      </c>
      <c r="E208" s="189" t="s">
        <v>440</v>
      </c>
      <c r="F208" s="190" t="s">
        <v>123</v>
      </c>
      <c r="G208" s="189" t="s">
        <v>134</v>
      </c>
      <c r="H208" s="191">
        <v>56192</v>
      </c>
      <c r="I208" s="189" t="s">
        <v>223</v>
      </c>
      <c r="J208" s="189">
        <v>0</v>
      </c>
      <c r="K208" s="189">
        <v>10001</v>
      </c>
      <c r="L208" s="191">
        <v>3</v>
      </c>
      <c r="M208" s="192">
        <v>46092</v>
      </c>
      <c r="N208" s="193">
        <v>1</v>
      </c>
      <c r="O208" s="194">
        <v>0.5</v>
      </c>
      <c r="P208" s="195"/>
      <c r="Q208" s="196" t="s">
        <v>38</v>
      </c>
      <c r="R208" s="197">
        <v>1</v>
      </c>
      <c r="S208" s="198" t="s">
        <v>33</v>
      </c>
      <c r="T208" s="199"/>
      <c r="U208" s="200"/>
      <c r="V208" s="200"/>
      <c r="W208" s="200"/>
      <c r="X208" s="200"/>
      <c r="Y208" s="200"/>
      <c r="Z208" s="200"/>
      <c r="AA208" s="200"/>
      <c r="AB208" s="200"/>
      <c r="AC208" s="208"/>
      <c r="AD208" s="11" t="str">
        <f t="shared" si="9"/>
        <v>3</v>
      </c>
      <c r="AF208" t="str">
        <f t="shared" si="10"/>
        <v>80.01.ZZ.03</v>
      </c>
      <c r="AH208" t="str">
        <f t="shared" si="11"/>
        <v>00 de 01</v>
      </c>
    </row>
    <row r="209" spans="1:34" ht="34.5" x14ac:dyDescent="0.25">
      <c r="A209" s="139" t="s">
        <v>116</v>
      </c>
      <c r="B209" s="105" t="s">
        <v>122</v>
      </c>
      <c r="C209" s="63">
        <v>197</v>
      </c>
      <c r="D209" s="197" t="s">
        <v>192</v>
      </c>
      <c r="E209" s="189" t="s">
        <v>441</v>
      </c>
      <c r="F209" s="190" t="s">
        <v>123</v>
      </c>
      <c r="G209" s="189" t="s">
        <v>134</v>
      </c>
      <c r="H209" s="191">
        <v>56192</v>
      </c>
      <c r="I209" s="189" t="s">
        <v>223</v>
      </c>
      <c r="J209" s="189">
        <v>0</v>
      </c>
      <c r="K209" s="189">
        <v>10001</v>
      </c>
      <c r="L209" s="191">
        <v>3</v>
      </c>
      <c r="M209" s="192">
        <v>46092</v>
      </c>
      <c r="N209" s="193">
        <v>1</v>
      </c>
      <c r="O209" s="194">
        <v>0.5</v>
      </c>
      <c r="P209" s="195"/>
      <c r="Q209" s="196" t="s">
        <v>38</v>
      </c>
      <c r="R209" s="197">
        <v>1</v>
      </c>
      <c r="S209" s="198" t="s">
        <v>33</v>
      </c>
      <c r="T209" s="199"/>
      <c r="U209" s="200"/>
      <c r="V209" s="200"/>
      <c r="W209" s="200"/>
      <c r="X209" s="200"/>
      <c r="Y209" s="200"/>
      <c r="Z209" s="200"/>
      <c r="AA209" s="200"/>
      <c r="AB209" s="200"/>
      <c r="AC209" s="208"/>
      <c r="AD209" s="11" t="str">
        <f t="shared" si="9"/>
        <v>3</v>
      </c>
      <c r="AF209" t="str">
        <f t="shared" si="10"/>
        <v>80.01.ZZ.03</v>
      </c>
      <c r="AH209" t="str">
        <f t="shared" si="11"/>
        <v>00 de 01</v>
      </c>
    </row>
    <row r="210" spans="1:34" ht="34.5" x14ac:dyDescent="0.25">
      <c r="A210" s="139" t="s">
        <v>116</v>
      </c>
      <c r="B210" s="105" t="s">
        <v>122</v>
      </c>
      <c r="C210" s="63">
        <v>198</v>
      </c>
      <c r="D210" s="197" t="s">
        <v>192</v>
      </c>
      <c r="E210" s="189" t="s">
        <v>442</v>
      </c>
      <c r="F210" s="190" t="s">
        <v>123</v>
      </c>
      <c r="G210" s="189" t="s">
        <v>134</v>
      </c>
      <c r="H210" s="191">
        <v>56192</v>
      </c>
      <c r="I210" s="189" t="s">
        <v>223</v>
      </c>
      <c r="J210" s="189">
        <v>0</v>
      </c>
      <c r="K210" s="189">
        <v>10001</v>
      </c>
      <c r="L210" s="191">
        <v>3</v>
      </c>
      <c r="M210" s="192">
        <v>46092</v>
      </c>
      <c r="N210" s="193">
        <v>1</v>
      </c>
      <c r="O210" s="194">
        <v>0.5</v>
      </c>
      <c r="P210" s="195"/>
      <c r="Q210" s="196" t="s">
        <v>38</v>
      </c>
      <c r="R210" s="197">
        <v>1</v>
      </c>
      <c r="S210" s="198" t="s">
        <v>33</v>
      </c>
      <c r="T210" s="199"/>
      <c r="U210" s="200"/>
      <c r="V210" s="200"/>
      <c r="W210" s="200"/>
      <c r="X210" s="200"/>
      <c r="Y210" s="200"/>
      <c r="Z210" s="200"/>
      <c r="AA210" s="200"/>
      <c r="AB210" s="200"/>
      <c r="AC210" s="208"/>
      <c r="AD210" s="11" t="str">
        <f t="shared" si="9"/>
        <v>3</v>
      </c>
      <c r="AF210" t="str">
        <f t="shared" si="10"/>
        <v>80.01.ZZ.03</v>
      </c>
      <c r="AH210" t="str">
        <f t="shared" si="11"/>
        <v>00 de 01</v>
      </c>
    </row>
    <row r="211" spans="1:34" ht="34.5" x14ac:dyDescent="0.25">
      <c r="A211" s="139" t="s">
        <v>116</v>
      </c>
      <c r="B211" s="105" t="s">
        <v>122</v>
      </c>
      <c r="C211" s="63">
        <v>199</v>
      </c>
      <c r="D211" s="197" t="s">
        <v>192</v>
      </c>
      <c r="E211" s="189" t="s">
        <v>443</v>
      </c>
      <c r="F211" s="190" t="s">
        <v>123</v>
      </c>
      <c r="G211" s="189" t="s">
        <v>134</v>
      </c>
      <c r="H211" s="191">
        <v>56192</v>
      </c>
      <c r="I211" s="189" t="s">
        <v>223</v>
      </c>
      <c r="J211" s="189">
        <v>0</v>
      </c>
      <c r="K211" s="189">
        <v>10001</v>
      </c>
      <c r="L211" s="191">
        <v>3</v>
      </c>
      <c r="M211" s="192">
        <v>46092</v>
      </c>
      <c r="N211" s="193">
        <v>1</v>
      </c>
      <c r="O211" s="194">
        <v>0.5</v>
      </c>
      <c r="P211" s="195"/>
      <c r="Q211" s="196" t="s">
        <v>38</v>
      </c>
      <c r="R211" s="197">
        <v>1</v>
      </c>
      <c r="S211" s="198" t="s">
        <v>33</v>
      </c>
      <c r="T211" s="199"/>
      <c r="U211" s="200"/>
      <c r="V211" s="200"/>
      <c r="W211" s="200"/>
      <c r="X211" s="200"/>
      <c r="Y211" s="200"/>
      <c r="Z211" s="200"/>
      <c r="AA211" s="200"/>
      <c r="AB211" s="200"/>
      <c r="AC211" s="208"/>
      <c r="AD211" s="11" t="str">
        <f t="shared" si="9"/>
        <v>3</v>
      </c>
      <c r="AF211" t="str">
        <f t="shared" si="10"/>
        <v>80.01.ZZ.03</v>
      </c>
      <c r="AH211" t="str">
        <f t="shared" si="11"/>
        <v>00 de 01</v>
      </c>
    </row>
    <row r="212" spans="1:34" ht="34.5" x14ac:dyDescent="0.25">
      <c r="A212" s="139" t="s">
        <v>116</v>
      </c>
      <c r="B212" s="105" t="s">
        <v>122</v>
      </c>
      <c r="C212" s="63">
        <v>200</v>
      </c>
      <c r="D212" s="197" t="s">
        <v>192</v>
      </c>
      <c r="E212" s="189" t="s">
        <v>444</v>
      </c>
      <c r="F212" s="190" t="s">
        <v>123</v>
      </c>
      <c r="G212" s="189" t="s">
        <v>134</v>
      </c>
      <c r="H212" s="191">
        <v>56192</v>
      </c>
      <c r="I212" s="189" t="s">
        <v>223</v>
      </c>
      <c r="J212" s="189">
        <v>0</v>
      </c>
      <c r="K212" s="189">
        <v>10001</v>
      </c>
      <c r="L212" s="191">
        <v>3</v>
      </c>
      <c r="M212" s="192">
        <v>46092</v>
      </c>
      <c r="N212" s="193">
        <v>1</v>
      </c>
      <c r="O212" s="194">
        <v>0.5</v>
      </c>
      <c r="P212" s="195"/>
      <c r="Q212" s="196" t="s">
        <v>38</v>
      </c>
      <c r="R212" s="197">
        <v>1</v>
      </c>
      <c r="S212" s="198" t="s">
        <v>33</v>
      </c>
      <c r="T212" s="199"/>
      <c r="U212" s="200"/>
      <c r="V212" s="200"/>
      <c r="W212" s="200"/>
      <c r="X212" s="200"/>
      <c r="Y212" s="200"/>
      <c r="Z212" s="200"/>
      <c r="AA212" s="200"/>
      <c r="AB212" s="200"/>
      <c r="AC212" s="208"/>
      <c r="AD212" s="11" t="str">
        <f t="shared" si="9"/>
        <v>3</v>
      </c>
      <c r="AF212" t="str">
        <f t="shared" si="10"/>
        <v>80.01.ZZ.03</v>
      </c>
      <c r="AH212" t="str">
        <f t="shared" si="11"/>
        <v>00 de 01</v>
      </c>
    </row>
    <row r="213" spans="1:34" ht="34.5" x14ac:dyDescent="0.25">
      <c r="A213" s="139" t="s">
        <v>116</v>
      </c>
      <c r="B213" s="105" t="s">
        <v>122</v>
      </c>
      <c r="C213" s="63">
        <v>201</v>
      </c>
      <c r="D213" s="197" t="s">
        <v>192</v>
      </c>
      <c r="E213" s="189" t="s">
        <v>239</v>
      </c>
      <c r="F213" s="190" t="s">
        <v>123</v>
      </c>
      <c r="G213" s="189" t="s">
        <v>134</v>
      </c>
      <c r="H213" s="191">
        <v>56192</v>
      </c>
      <c r="I213" s="189" t="s">
        <v>223</v>
      </c>
      <c r="J213" s="189">
        <v>0</v>
      </c>
      <c r="K213" s="189">
        <v>10101</v>
      </c>
      <c r="L213" s="191">
        <v>3</v>
      </c>
      <c r="M213" s="192">
        <v>46092</v>
      </c>
      <c r="N213" s="193">
        <v>1</v>
      </c>
      <c r="O213" s="194">
        <v>0.5</v>
      </c>
      <c r="P213" s="195"/>
      <c r="Q213" s="196" t="s">
        <v>38</v>
      </c>
      <c r="R213" s="197">
        <v>1</v>
      </c>
      <c r="S213" s="198" t="s">
        <v>33</v>
      </c>
      <c r="T213" s="199"/>
      <c r="U213" s="200"/>
      <c r="V213" s="200"/>
      <c r="W213" s="200"/>
      <c r="X213" s="200"/>
      <c r="Y213" s="200"/>
      <c r="Z213" s="200"/>
      <c r="AA213" s="200"/>
      <c r="AB213" s="200"/>
      <c r="AC213" s="208"/>
      <c r="AD213" s="11" t="str">
        <f t="shared" si="9"/>
        <v>3</v>
      </c>
      <c r="AF213" t="str">
        <f t="shared" si="10"/>
        <v>80.01.ZZ.03</v>
      </c>
      <c r="AH213" t="str">
        <f t="shared" si="11"/>
        <v>00 de 01</v>
      </c>
    </row>
    <row r="214" spans="1:34" ht="34.5" x14ac:dyDescent="0.25">
      <c r="A214" s="139" t="s">
        <v>116</v>
      </c>
      <c r="B214" s="105" t="s">
        <v>122</v>
      </c>
      <c r="C214" s="63">
        <v>202</v>
      </c>
      <c r="D214" s="197" t="s">
        <v>192</v>
      </c>
      <c r="E214" s="189" t="s">
        <v>445</v>
      </c>
      <c r="F214" s="190" t="s">
        <v>123</v>
      </c>
      <c r="G214" s="189" t="s">
        <v>134</v>
      </c>
      <c r="H214" s="191">
        <v>56192</v>
      </c>
      <c r="I214" s="189" t="s">
        <v>223</v>
      </c>
      <c r="J214" s="189">
        <v>0</v>
      </c>
      <c r="K214" s="189">
        <v>10101</v>
      </c>
      <c r="L214" s="191">
        <v>3</v>
      </c>
      <c r="M214" s="192">
        <v>46092</v>
      </c>
      <c r="N214" s="193">
        <v>1</v>
      </c>
      <c r="O214" s="194">
        <v>0.5</v>
      </c>
      <c r="P214" s="195"/>
      <c r="Q214" s="196" t="s">
        <v>38</v>
      </c>
      <c r="R214" s="197">
        <v>1</v>
      </c>
      <c r="S214" s="198" t="s">
        <v>33</v>
      </c>
      <c r="T214" s="199"/>
      <c r="U214" s="200"/>
      <c r="V214" s="200"/>
      <c r="W214" s="200"/>
      <c r="X214" s="200"/>
      <c r="Y214" s="200"/>
      <c r="Z214" s="200"/>
      <c r="AA214" s="200"/>
      <c r="AB214" s="200"/>
      <c r="AC214" s="208"/>
      <c r="AD214" s="11" t="str">
        <f t="shared" si="9"/>
        <v>3</v>
      </c>
      <c r="AF214" t="str">
        <f t="shared" si="10"/>
        <v>80.01.ZZ.03</v>
      </c>
      <c r="AH214" t="str">
        <f t="shared" si="11"/>
        <v>00 de 01</v>
      </c>
    </row>
    <row r="215" spans="1:34" ht="34.5" x14ac:dyDescent="0.25">
      <c r="A215" s="139" t="s">
        <v>116</v>
      </c>
      <c r="B215" s="105" t="s">
        <v>122</v>
      </c>
      <c r="C215" s="63">
        <v>203</v>
      </c>
      <c r="D215" s="197" t="s">
        <v>192</v>
      </c>
      <c r="E215" s="189" t="s">
        <v>446</v>
      </c>
      <c r="F215" s="190" t="s">
        <v>123</v>
      </c>
      <c r="G215" s="189" t="s">
        <v>134</v>
      </c>
      <c r="H215" s="191">
        <v>56192</v>
      </c>
      <c r="I215" s="189" t="s">
        <v>223</v>
      </c>
      <c r="J215" s="189">
        <v>0</v>
      </c>
      <c r="K215" s="189">
        <v>10101</v>
      </c>
      <c r="L215" s="191">
        <v>3</v>
      </c>
      <c r="M215" s="192">
        <v>46092</v>
      </c>
      <c r="N215" s="193">
        <v>1</v>
      </c>
      <c r="O215" s="194">
        <v>0.5</v>
      </c>
      <c r="P215" s="195"/>
      <c r="Q215" s="196" t="s">
        <v>38</v>
      </c>
      <c r="R215" s="197">
        <v>1</v>
      </c>
      <c r="S215" s="198" t="s">
        <v>33</v>
      </c>
      <c r="T215" s="199"/>
      <c r="U215" s="200"/>
      <c r="V215" s="200"/>
      <c r="W215" s="200"/>
      <c r="X215" s="200"/>
      <c r="Y215" s="200"/>
      <c r="Z215" s="200"/>
      <c r="AA215" s="200"/>
      <c r="AB215" s="200"/>
      <c r="AC215" s="208"/>
      <c r="AD215" s="11" t="str">
        <f t="shared" si="9"/>
        <v>3</v>
      </c>
      <c r="AF215" t="str">
        <f t="shared" si="10"/>
        <v>80.01.ZZ.03</v>
      </c>
      <c r="AH215" t="str">
        <f t="shared" si="11"/>
        <v>00 de 01</v>
      </c>
    </row>
    <row r="216" spans="1:34" ht="34.5" x14ac:dyDescent="0.25">
      <c r="A216" s="139" t="s">
        <v>116</v>
      </c>
      <c r="B216" s="105" t="s">
        <v>122</v>
      </c>
      <c r="C216" s="63">
        <v>204</v>
      </c>
      <c r="D216" s="197" t="s">
        <v>192</v>
      </c>
      <c r="E216" s="189" t="s">
        <v>447</v>
      </c>
      <c r="F216" s="190" t="s">
        <v>123</v>
      </c>
      <c r="G216" s="189" t="s">
        <v>134</v>
      </c>
      <c r="H216" s="191">
        <v>56192</v>
      </c>
      <c r="I216" s="189" t="s">
        <v>223</v>
      </c>
      <c r="J216" s="189">
        <v>0</v>
      </c>
      <c r="K216" s="189">
        <v>10101</v>
      </c>
      <c r="L216" s="191">
        <v>3</v>
      </c>
      <c r="M216" s="192">
        <v>46092</v>
      </c>
      <c r="N216" s="193">
        <v>1</v>
      </c>
      <c r="O216" s="194">
        <v>0.5</v>
      </c>
      <c r="P216" s="195"/>
      <c r="Q216" s="196" t="s">
        <v>38</v>
      </c>
      <c r="R216" s="197">
        <v>1</v>
      </c>
      <c r="S216" s="198" t="s">
        <v>33</v>
      </c>
      <c r="T216" s="199"/>
      <c r="U216" s="200"/>
      <c r="V216" s="200"/>
      <c r="W216" s="200"/>
      <c r="X216" s="200"/>
      <c r="Y216" s="200"/>
      <c r="Z216" s="200"/>
      <c r="AA216" s="200"/>
      <c r="AB216" s="200"/>
      <c r="AC216" s="208"/>
      <c r="AD216" s="11" t="str">
        <f t="shared" si="9"/>
        <v>3</v>
      </c>
      <c r="AF216" t="str">
        <f t="shared" si="10"/>
        <v>80.01.ZZ.03</v>
      </c>
      <c r="AH216" t="str">
        <f t="shared" si="11"/>
        <v>00 de 01</v>
      </c>
    </row>
    <row r="217" spans="1:34" ht="34.5" x14ac:dyDescent="0.25">
      <c r="A217" s="139" t="s">
        <v>116</v>
      </c>
      <c r="B217" s="105" t="s">
        <v>122</v>
      </c>
      <c r="C217" s="63">
        <v>205</v>
      </c>
      <c r="D217" s="197" t="s">
        <v>192</v>
      </c>
      <c r="E217" s="189" t="s">
        <v>448</v>
      </c>
      <c r="F217" s="190" t="s">
        <v>123</v>
      </c>
      <c r="G217" s="189" t="s">
        <v>134</v>
      </c>
      <c r="H217" s="191">
        <v>56192</v>
      </c>
      <c r="I217" s="189" t="s">
        <v>223</v>
      </c>
      <c r="J217" s="189">
        <v>0</v>
      </c>
      <c r="K217" s="189">
        <v>10101</v>
      </c>
      <c r="L217" s="191">
        <v>3</v>
      </c>
      <c r="M217" s="192">
        <v>46092</v>
      </c>
      <c r="N217" s="193">
        <v>1</v>
      </c>
      <c r="O217" s="194">
        <v>0.5</v>
      </c>
      <c r="P217" s="195"/>
      <c r="Q217" s="196" t="s">
        <v>38</v>
      </c>
      <c r="R217" s="197">
        <v>1</v>
      </c>
      <c r="S217" s="198" t="s">
        <v>33</v>
      </c>
      <c r="T217" s="199"/>
      <c r="U217" s="200"/>
      <c r="V217" s="200"/>
      <c r="W217" s="200"/>
      <c r="X217" s="200"/>
      <c r="Y217" s="200"/>
      <c r="Z217" s="200"/>
      <c r="AA217" s="200"/>
      <c r="AB217" s="200"/>
      <c r="AC217" s="208"/>
      <c r="AD217" s="11" t="str">
        <f t="shared" si="9"/>
        <v>3</v>
      </c>
      <c r="AF217" t="str">
        <f t="shared" si="10"/>
        <v>80.01.ZZ.03</v>
      </c>
      <c r="AH217" t="str">
        <f t="shared" si="11"/>
        <v>00 de 01</v>
      </c>
    </row>
    <row r="218" spans="1:34" ht="34.5" x14ac:dyDescent="0.25">
      <c r="A218" s="139" t="s">
        <v>116</v>
      </c>
      <c r="B218" s="105" t="s">
        <v>122</v>
      </c>
      <c r="C218" s="63">
        <v>206</v>
      </c>
      <c r="D218" s="197" t="s">
        <v>192</v>
      </c>
      <c r="E218" s="189" t="s">
        <v>449</v>
      </c>
      <c r="F218" s="190" t="s">
        <v>123</v>
      </c>
      <c r="G218" s="189" t="s">
        <v>134</v>
      </c>
      <c r="H218" s="191">
        <v>56192</v>
      </c>
      <c r="I218" s="189" t="s">
        <v>223</v>
      </c>
      <c r="J218" s="189">
        <v>0</v>
      </c>
      <c r="K218" s="189">
        <v>10101</v>
      </c>
      <c r="L218" s="191">
        <v>3</v>
      </c>
      <c r="M218" s="192">
        <v>46092</v>
      </c>
      <c r="N218" s="193">
        <v>1</v>
      </c>
      <c r="O218" s="194">
        <v>0.5</v>
      </c>
      <c r="P218" s="195"/>
      <c r="Q218" s="196" t="s">
        <v>38</v>
      </c>
      <c r="R218" s="197">
        <v>1</v>
      </c>
      <c r="S218" s="198" t="s">
        <v>33</v>
      </c>
      <c r="T218" s="199"/>
      <c r="U218" s="200"/>
      <c r="V218" s="200"/>
      <c r="W218" s="200"/>
      <c r="X218" s="200"/>
      <c r="Y218" s="200"/>
      <c r="Z218" s="200"/>
      <c r="AA218" s="200"/>
      <c r="AB218" s="200"/>
      <c r="AC218" s="208"/>
      <c r="AD218" s="11" t="str">
        <f t="shared" si="9"/>
        <v>3</v>
      </c>
      <c r="AF218" t="str">
        <f t="shared" si="10"/>
        <v>80.01.ZZ.03</v>
      </c>
      <c r="AH218" t="str">
        <f t="shared" si="11"/>
        <v>00 de 01</v>
      </c>
    </row>
    <row r="219" spans="1:34" ht="34.5" x14ac:dyDescent="0.25">
      <c r="A219" s="139" t="s">
        <v>116</v>
      </c>
      <c r="B219" s="105" t="s">
        <v>122</v>
      </c>
      <c r="C219" s="63">
        <v>207</v>
      </c>
      <c r="D219" s="197" t="s">
        <v>192</v>
      </c>
      <c r="E219" s="189" t="s">
        <v>450</v>
      </c>
      <c r="F219" s="190" t="s">
        <v>123</v>
      </c>
      <c r="G219" s="189" t="s">
        <v>134</v>
      </c>
      <c r="H219" s="191">
        <v>56192</v>
      </c>
      <c r="I219" s="189" t="s">
        <v>223</v>
      </c>
      <c r="J219" s="189">
        <v>0</v>
      </c>
      <c r="K219" s="189">
        <v>10101</v>
      </c>
      <c r="L219" s="191">
        <v>3</v>
      </c>
      <c r="M219" s="192">
        <v>46092</v>
      </c>
      <c r="N219" s="193">
        <v>1</v>
      </c>
      <c r="O219" s="194">
        <v>0.5</v>
      </c>
      <c r="P219" s="195"/>
      <c r="Q219" s="196" t="s">
        <v>38</v>
      </c>
      <c r="R219" s="197">
        <v>1</v>
      </c>
      <c r="S219" s="198" t="s">
        <v>33</v>
      </c>
      <c r="T219" s="199"/>
      <c r="U219" s="200"/>
      <c r="V219" s="200"/>
      <c r="W219" s="200"/>
      <c r="X219" s="200"/>
      <c r="Y219" s="200"/>
      <c r="Z219" s="200"/>
      <c r="AA219" s="200"/>
      <c r="AB219" s="200"/>
      <c r="AC219" s="208"/>
      <c r="AD219" s="11" t="str">
        <f t="shared" si="9"/>
        <v>3</v>
      </c>
      <c r="AF219" t="str">
        <f t="shared" si="10"/>
        <v>80.01.ZZ.03</v>
      </c>
      <c r="AH219" t="str">
        <f t="shared" si="11"/>
        <v>00 de 01</v>
      </c>
    </row>
    <row r="220" spans="1:34" ht="34.5" x14ac:dyDescent="0.25">
      <c r="A220" s="139" t="s">
        <v>116</v>
      </c>
      <c r="B220" s="105" t="s">
        <v>122</v>
      </c>
      <c r="C220" s="63">
        <v>208</v>
      </c>
      <c r="D220" s="197" t="s">
        <v>192</v>
      </c>
      <c r="E220" s="189" t="s">
        <v>451</v>
      </c>
      <c r="F220" s="190" t="s">
        <v>123</v>
      </c>
      <c r="G220" s="189" t="s">
        <v>134</v>
      </c>
      <c r="H220" s="191">
        <v>56192</v>
      </c>
      <c r="I220" s="189" t="s">
        <v>223</v>
      </c>
      <c r="J220" s="189">
        <v>0</v>
      </c>
      <c r="K220" s="189">
        <v>10101</v>
      </c>
      <c r="L220" s="191">
        <v>3</v>
      </c>
      <c r="M220" s="192">
        <v>46092</v>
      </c>
      <c r="N220" s="193">
        <v>1</v>
      </c>
      <c r="O220" s="194">
        <v>0.5</v>
      </c>
      <c r="P220" s="195"/>
      <c r="Q220" s="196" t="s">
        <v>38</v>
      </c>
      <c r="R220" s="197">
        <v>1</v>
      </c>
      <c r="S220" s="198" t="s">
        <v>33</v>
      </c>
      <c r="T220" s="199"/>
      <c r="U220" s="200"/>
      <c r="V220" s="200"/>
      <c r="W220" s="200"/>
      <c r="X220" s="200"/>
      <c r="Y220" s="200"/>
      <c r="Z220" s="200"/>
      <c r="AA220" s="200"/>
      <c r="AB220" s="200"/>
      <c r="AC220" s="208"/>
      <c r="AD220" s="11" t="str">
        <f t="shared" si="9"/>
        <v>3</v>
      </c>
      <c r="AF220" t="str">
        <f t="shared" si="10"/>
        <v>80.01.ZZ.03</v>
      </c>
      <c r="AH220" t="str">
        <f t="shared" si="11"/>
        <v>00 de 01</v>
      </c>
    </row>
    <row r="221" spans="1:34" ht="34.5" x14ac:dyDescent="0.25">
      <c r="A221" s="139" t="s">
        <v>116</v>
      </c>
      <c r="B221" s="105" t="s">
        <v>122</v>
      </c>
      <c r="C221" s="63">
        <v>209</v>
      </c>
      <c r="D221" s="197" t="s">
        <v>192</v>
      </c>
      <c r="E221" s="189" t="s">
        <v>452</v>
      </c>
      <c r="F221" s="190" t="s">
        <v>123</v>
      </c>
      <c r="G221" s="189" t="s">
        <v>134</v>
      </c>
      <c r="H221" s="191">
        <v>56192</v>
      </c>
      <c r="I221" s="189" t="s">
        <v>223</v>
      </c>
      <c r="J221" s="189">
        <v>0</v>
      </c>
      <c r="K221" s="189">
        <v>10101</v>
      </c>
      <c r="L221" s="191">
        <v>3</v>
      </c>
      <c r="M221" s="192">
        <v>46092</v>
      </c>
      <c r="N221" s="193">
        <v>1</v>
      </c>
      <c r="O221" s="194">
        <v>0.5</v>
      </c>
      <c r="P221" s="195"/>
      <c r="Q221" s="196" t="s">
        <v>38</v>
      </c>
      <c r="R221" s="197">
        <v>1</v>
      </c>
      <c r="S221" s="198" t="s">
        <v>33</v>
      </c>
      <c r="T221" s="199"/>
      <c r="U221" s="200"/>
      <c r="V221" s="200"/>
      <c r="W221" s="200"/>
      <c r="X221" s="200"/>
      <c r="Y221" s="200"/>
      <c r="Z221" s="200"/>
      <c r="AA221" s="200"/>
      <c r="AB221" s="200"/>
      <c r="AC221" s="208"/>
      <c r="AD221" s="11" t="str">
        <f t="shared" si="9"/>
        <v>3</v>
      </c>
      <c r="AF221" t="str">
        <f t="shared" si="10"/>
        <v>80.01.ZZ.03</v>
      </c>
      <c r="AH221" t="str">
        <f t="shared" si="11"/>
        <v>00 de 01</v>
      </c>
    </row>
    <row r="222" spans="1:34" ht="34.5" x14ac:dyDescent="0.25">
      <c r="A222" s="139" t="s">
        <v>116</v>
      </c>
      <c r="B222" s="105" t="s">
        <v>122</v>
      </c>
      <c r="C222" s="63">
        <v>210</v>
      </c>
      <c r="D222" s="197" t="s">
        <v>192</v>
      </c>
      <c r="E222" s="189" t="s">
        <v>453</v>
      </c>
      <c r="F222" s="190" t="s">
        <v>123</v>
      </c>
      <c r="G222" s="189" t="s">
        <v>134</v>
      </c>
      <c r="H222" s="191">
        <v>56192</v>
      </c>
      <c r="I222" s="189" t="s">
        <v>223</v>
      </c>
      <c r="J222" s="189">
        <v>0</v>
      </c>
      <c r="K222" s="189">
        <v>10101</v>
      </c>
      <c r="L222" s="191">
        <v>3</v>
      </c>
      <c r="M222" s="192">
        <v>46092</v>
      </c>
      <c r="N222" s="193">
        <v>1</v>
      </c>
      <c r="O222" s="194">
        <v>0.5</v>
      </c>
      <c r="P222" s="195"/>
      <c r="Q222" s="196" t="s">
        <v>38</v>
      </c>
      <c r="R222" s="197">
        <v>1</v>
      </c>
      <c r="S222" s="198" t="s">
        <v>33</v>
      </c>
      <c r="T222" s="199"/>
      <c r="U222" s="200"/>
      <c r="V222" s="200"/>
      <c r="W222" s="200"/>
      <c r="X222" s="200"/>
      <c r="Y222" s="200"/>
      <c r="Z222" s="200"/>
      <c r="AA222" s="200"/>
      <c r="AB222" s="200"/>
      <c r="AC222" s="208"/>
      <c r="AD222" s="11" t="str">
        <f t="shared" si="9"/>
        <v>3</v>
      </c>
      <c r="AF222" t="str">
        <f t="shared" si="10"/>
        <v>80.01.ZZ.03</v>
      </c>
      <c r="AH222" t="str">
        <f t="shared" si="11"/>
        <v>00 de 01</v>
      </c>
    </row>
    <row r="223" spans="1:34" ht="34.5" x14ac:dyDescent="0.25">
      <c r="A223" s="139" t="s">
        <v>116</v>
      </c>
      <c r="B223" s="105" t="s">
        <v>122</v>
      </c>
      <c r="C223" s="63">
        <v>211</v>
      </c>
      <c r="D223" s="197" t="s">
        <v>192</v>
      </c>
      <c r="E223" s="189" t="s">
        <v>454</v>
      </c>
      <c r="F223" s="190" t="s">
        <v>123</v>
      </c>
      <c r="G223" s="189" t="s">
        <v>134</v>
      </c>
      <c r="H223" s="191">
        <v>56192</v>
      </c>
      <c r="I223" s="189" t="s">
        <v>223</v>
      </c>
      <c r="J223" s="189">
        <v>0</v>
      </c>
      <c r="K223" s="189">
        <v>10101</v>
      </c>
      <c r="L223" s="191">
        <v>3</v>
      </c>
      <c r="M223" s="192">
        <v>46092</v>
      </c>
      <c r="N223" s="193">
        <v>1</v>
      </c>
      <c r="O223" s="194">
        <v>0.5</v>
      </c>
      <c r="P223" s="195"/>
      <c r="Q223" s="196" t="s">
        <v>38</v>
      </c>
      <c r="R223" s="197">
        <v>1</v>
      </c>
      <c r="S223" s="198" t="s">
        <v>33</v>
      </c>
      <c r="T223" s="199"/>
      <c r="U223" s="200"/>
      <c r="V223" s="200"/>
      <c r="W223" s="200"/>
      <c r="X223" s="200"/>
      <c r="Y223" s="200"/>
      <c r="Z223" s="200"/>
      <c r="AA223" s="200"/>
      <c r="AB223" s="200"/>
      <c r="AC223" s="208"/>
      <c r="AD223" s="11" t="str">
        <f t="shared" si="9"/>
        <v>3</v>
      </c>
      <c r="AF223" t="str">
        <f t="shared" si="10"/>
        <v>80.01.ZZ.03</v>
      </c>
      <c r="AH223" t="str">
        <f t="shared" si="11"/>
        <v>00 de 01</v>
      </c>
    </row>
    <row r="224" spans="1:34" ht="34.5" x14ac:dyDescent="0.25">
      <c r="A224" s="139" t="s">
        <v>116</v>
      </c>
      <c r="B224" s="105" t="s">
        <v>122</v>
      </c>
      <c r="C224" s="63">
        <v>212</v>
      </c>
      <c r="D224" s="197" t="s">
        <v>192</v>
      </c>
      <c r="E224" s="189" t="s">
        <v>455</v>
      </c>
      <c r="F224" s="190" t="s">
        <v>123</v>
      </c>
      <c r="G224" s="189" t="s">
        <v>134</v>
      </c>
      <c r="H224" s="191">
        <v>56192</v>
      </c>
      <c r="I224" s="189" t="s">
        <v>223</v>
      </c>
      <c r="J224" s="189">
        <v>0</v>
      </c>
      <c r="K224" s="189">
        <v>10101</v>
      </c>
      <c r="L224" s="191">
        <v>3</v>
      </c>
      <c r="M224" s="192">
        <v>46092</v>
      </c>
      <c r="N224" s="193">
        <v>1</v>
      </c>
      <c r="O224" s="194">
        <v>0.5</v>
      </c>
      <c r="P224" s="195"/>
      <c r="Q224" s="196" t="s">
        <v>38</v>
      </c>
      <c r="R224" s="197">
        <v>1</v>
      </c>
      <c r="S224" s="198" t="s">
        <v>33</v>
      </c>
      <c r="T224" s="199"/>
      <c r="U224" s="200"/>
      <c r="V224" s="200"/>
      <c r="W224" s="200"/>
      <c r="X224" s="200"/>
      <c r="Y224" s="200"/>
      <c r="Z224" s="200"/>
      <c r="AA224" s="200"/>
      <c r="AB224" s="200"/>
      <c r="AC224" s="208"/>
      <c r="AD224" s="11" t="str">
        <f t="shared" si="9"/>
        <v>3</v>
      </c>
      <c r="AF224" t="str">
        <f t="shared" si="10"/>
        <v>80.01.ZZ.03</v>
      </c>
      <c r="AH224" t="str">
        <f t="shared" si="11"/>
        <v>00 de 01</v>
      </c>
    </row>
    <row r="225" spans="1:34" ht="34.5" x14ac:dyDescent="0.25">
      <c r="A225" s="139" t="s">
        <v>116</v>
      </c>
      <c r="B225" s="105" t="s">
        <v>122</v>
      </c>
      <c r="C225" s="63">
        <v>213</v>
      </c>
      <c r="D225" s="197" t="s">
        <v>192</v>
      </c>
      <c r="E225" s="189" t="s">
        <v>456</v>
      </c>
      <c r="F225" s="190" t="s">
        <v>123</v>
      </c>
      <c r="G225" s="189" t="s">
        <v>134</v>
      </c>
      <c r="H225" s="191">
        <v>56192</v>
      </c>
      <c r="I225" s="189" t="s">
        <v>223</v>
      </c>
      <c r="J225" s="189">
        <v>0</v>
      </c>
      <c r="K225" s="189">
        <v>10101</v>
      </c>
      <c r="L225" s="191">
        <v>3</v>
      </c>
      <c r="M225" s="192">
        <v>46092</v>
      </c>
      <c r="N225" s="193">
        <v>1</v>
      </c>
      <c r="O225" s="194">
        <v>0.5</v>
      </c>
      <c r="P225" s="195"/>
      <c r="Q225" s="196" t="s">
        <v>38</v>
      </c>
      <c r="R225" s="197">
        <v>1</v>
      </c>
      <c r="S225" s="198" t="s">
        <v>33</v>
      </c>
      <c r="T225" s="199"/>
      <c r="U225" s="200"/>
      <c r="V225" s="200"/>
      <c r="W225" s="200"/>
      <c r="X225" s="200"/>
      <c r="Y225" s="200"/>
      <c r="Z225" s="200"/>
      <c r="AA225" s="200"/>
      <c r="AB225" s="200"/>
      <c r="AC225" s="208"/>
      <c r="AD225" s="11" t="str">
        <f t="shared" si="9"/>
        <v>3</v>
      </c>
      <c r="AF225" t="str">
        <f t="shared" si="10"/>
        <v>80.01.ZZ.03</v>
      </c>
      <c r="AH225" t="str">
        <f t="shared" si="11"/>
        <v>00 de 01</v>
      </c>
    </row>
    <row r="226" spans="1:34" ht="34.5" x14ac:dyDescent="0.25">
      <c r="A226" s="139" t="s">
        <v>116</v>
      </c>
      <c r="B226" s="105" t="s">
        <v>122</v>
      </c>
      <c r="C226" s="63">
        <v>214</v>
      </c>
      <c r="D226" s="197" t="s">
        <v>192</v>
      </c>
      <c r="E226" s="189" t="s">
        <v>457</v>
      </c>
      <c r="F226" s="190" t="s">
        <v>123</v>
      </c>
      <c r="G226" s="189" t="s">
        <v>134</v>
      </c>
      <c r="H226" s="191">
        <v>56192</v>
      </c>
      <c r="I226" s="189" t="s">
        <v>223</v>
      </c>
      <c r="J226" s="189">
        <v>0</v>
      </c>
      <c r="K226" s="189">
        <v>10101</v>
      </c>
      <c r="L226" s="191">
        <v>3</v>
      </c>
      <c r="M226" s="192">
        <v>46092</v>
      </c>
      <c r="N226" s="193">
        <v>1</v>
      </c>
      <c r="O226" s="194">
        <v>0.5</v>
      </c>
      <c r="P226" s="195"/>
      <c r="Q226" s="196" t="s">
        <v>38</v>
      </c>
      <c r="R226" s="197">
        <v>1</v>
      </c>
      <c r="S226" s="198" t="s">
        <v>33</v>
      </c>
      <c r="T226" s="199"/>
      <c r="U226" s="200"/>
      <c r="V226" s="200"/>
      <c r="W226" s="200"/>
      <c r="X226" s="200"/>
      <c r="Y226" s="200"/>
      <c r="Z226" s="200"/>
      <c r="AA226" s="200"/>
      <c r="AB226" s="200"/>
      <c r="AC226" s="208"/>
      <c r="AD226" s="11" t="str">
        <f t="shared" si="9"/>
        <v>3</v>
      </c>
      <c r="AF226" t="str">
        <f t="shared" si="10"/>
        <v>80.01.ZZ.03</v>
      </c>
      <c r="AH226" t="str">
        <f t="shared" si="11"/>
        <v>00 de 01</v>
      </c>
    </row>
    <row r="227" spans="1:34" ht="34.5" x14ac:dyDescent="0.25">
      <c r="A227" s="139" t="s">
        <v>116</v>
      </c>
      <c r="B227" s="105" t="s">
        <v>122</v>
      </c>
      <c r="C227" s="63">
        <v>215</v>
      </c>
      <c r="D227" s="197" t="s">
        <v>192</v>
      </c>
      <c r="E227" s="189" t="s">
        <v>458</v>
      </c>
      <c r="F227" s="190" t="s">
        <v>123</v>
      </c>
      <c r="G227" s="189" t="s">
        <v>134</v>
      </c>
      <c r="H227" s="191">
        <v>56192</v>
      </c>
      <c r="I227" s="189" t="s">
        <v>223</v>
      </c>
      <c r="J227" s="189">
        <v>0</v>
      </c>
      <c r="K227" s="189">
        <v>10101</v>
      </c>
      <c r="L227" s="191">
        <v>3</v>
      </c>
      <c r="M227" s="192">
        <v>46092</v>
      </c>
      <c r="N227" s="193">
        <v>1</v>
      </c>
      <c r="O227" s="194">
        <v>0.5</v>
      </c>
      <c r="P227" s="195"/>
      <c r="Q227" s="196" t="s">
        <v>38</v>
      </c>
      <c r="R227" s="197">
        <v>1</v>
      </c>
      <c r="S227" s="198" t="s">
        <v>33</v>
      </c>
      <c r="T227" s="199"/>
      <c r="U227" s="200"/>
      <c r="V227" s="200"/>
      <c r="W227" s="200"/>
      <c r="X227" s="200"/>
      <c r="Y227" s="200"/>
      <c r="Z227" s="200"/>
      <c r="AA227" s="200"/>
      <c r="AB227" s="200"/>
      <c r="AC227" s="208"/>
      <c r="AD227" s="11" t="str">
        <f t="shared" si="9"/>
        <v>3</v>
      </c>
      <c r="AF227" t="str">
        <f t="shared" si="10"/>
        <v>80.01.ZZ.03</v>
      </c>
      <c r="AH227" t="str">
        <f t="shared" si="11"/>
        <v>00 de 01</v>
      </c>
    </row>
    <row r="228" spans="1:34" ht="34.5" x14ac:dyDescent="0.25">
      <c r="A228" s="139" t="s">
        <v>116</v>
      </c>
      <c r="B228" s="105" t="s">
        <v>122</v>
      </c>
      <c r="C228" s="63">
        <v>216</v>
      </c>
      <c r="D228" s="197" t="s">
        <v>192</v>
      </c>
      <c r="E228" s="189" t="s">
        <v>459</v>
      </c>
      <c r="F228" s="190" t="s">
        <v>123</v>
      </c>
      <c r="G228" s="189" t="s">
        <v>134</v>
      </c>
      <c r="H228" s="191">
        <v>56192</v>
      </c>
      <c r="I228" s="189" t="s">
        <v>223</v>
      </c>
      <c r="J228" s="189">
        <v>0</v>
      </c>
      <c r="K228" s="189">
        <v>10101</v>
      </c>
      <c r="L228" s="191">
        <v>3</v>
      </c>
      <c r="M228" s="192">
        <v>46092</v>
      </c>
      <c r="N228" s="193">
        <v>1</v>
      </c>
      <c r="O228" s="194">
        <v>0.5</v>
      </c>
      <c r="P228" s="195"/>
      <c r="Q228" s="196" t="s">
        <v>38</v>
      </c>
      <c r="R228" s="197">
        <v>1</v>
      </c>
      <c r="S228" s="198" t="s">
        <v>33</v>
      </c>
      <c r="T228" s="199"/>
      <c r="U228" s="200"/>
      <c r="V228" s="200"/>
      <c r="W228" s="200"/>
      <c r="X228" s="200"/>
      <c r="Y228" s="200"/>
      <c r="Z228" s="200"/>
      <c r="AA228" s="200"/>
      <c r="AB228" s="200"/>
      <c r="AC228" s="208"/>
      <c r="AD228" s="11" t="str">
        <f t="shared" si="9"/>
        <v>3</v>
      </c>
      <c r="AF228" t="str">
        <f t="shared" si="10"/>
        <v>80.01.ZZ.03</v>
      </c>
      <c r="AH228" t="str">
        <f t="shared" si="11"/>
        <v>00 de 01</v>
      </c>
    </row>
    <row r="229" spans="1:34" ht="34.5" x14ac:dyDescent="0.25">
      <c r="A229" s="139" t="s">
        <v>116</v>
      </c>
      <c r="B229" s="105" t="s">
        <v>122</v>
      </c>
      <c r="C229" s="63">
        <v>217</v>
      </c>
      <c r="D229" s="197" t="s">
        <v>192</v>
      </c>
      <c r="E229" s="189" t="s">
        <v>460</v>
      </c>
      <c r="F229" s="190" t="s">
        <v>123</v>
      </c>
      <c r="G229" s="189" t="s">
        <v>134</v>
      </c>
      <c r="H229" s="191">
        <v>56192</v>
      </c>
      <c r="I229" s="189" t="s">
        <v>223</v>
      </c>
      <c r="J229" s="189">
        <v>0</v>
      </c>
      <c r="K229" s="189">
        <v>10101</v>
      </c>
      <c r="L229" s="191">
        <v>3</v>
      </c>
      <c r="M229" s="192">
        <v>46092</v>
      </c>
      <c r="N229" s="193">
        <v>1</v>
      </c>
      <c r="O229" s="194">
        <v>0.5</v>
      </c>
      <c r="P229" s="195"/>
      <c r="Q229" s="196" t="s">
        <v>38</v>
      </c>
      <c r="R229" s="197">
        <v>1</v>
      </c>
      <c r="S229" s="198" t="s">
        <v>33</v>
      </c>
      <c r="T229" s="199"/>
      <c r="U229" s="200"/>
      <c r="V229" s="200"/>
      <c r="W229" s="200"/>
      <c r="X229" s="200"/>
      <c r="Y229" s="200"/>
      <c r="Z229" s="200"/>
      <c r="AA229" s="200"/>
      <c r="AB229" s="200"/>
      <c r="AC229" s="208"/>
      <c r="AD229" s="11" t="str">
        <f t="shared" si="9"/>
        <v>3</v>
      </c>
      <c r="AF229" t="str">
        <f t="shared" si="10"/>
        <v>80.01.ZZ.03</v>
      </c>
      <c r="AH229" t="str">
        <f t="shared" si="11"/>
        <v>00 de 01</v>
      </c>
    </row>
    <row r="230" spans="1:34" ht="34.5" x14ac:dyDescent="0.25">
      <c r="A230" s="139" t="s">
        <v>116</v>
      </c>
      <c r="B230" s="105" t="s">
        <v>122</v>
      </c>
      <c r="C230" s="63">
        <v>218</v>
      </c>
      <c r="D230" s="197" t="s">
        <v>192</v>
      </c>
      <c r="E230" s="189" t="s">
        <v>461</v>
      </c>
      <c r="F230" s="190" t="s">
        <v>123</v>
      </c>
      <c r="G230" s="189" t="s">
        <v>134</v>
      </c>
      <c r="H230" s="191">
        <v>56192</v>
      </c>
      <c r="I230" s="189" t="s">
        <v>223</v>
      </c>
      <c r="J230" s="189">
        <v>0</v>
      </c>
      <c r="K230" s="189">
        <v>10101</v>
      </c>
      <c r="L230" s="191">
        <v>3</v>
      </c>
      <c r="M230" s="192">
        <v>46092</v>
      </c>
      <c r="N230" s="193">
        <v>1</v>
      </c>
      <c r="O230" s="194">
        <v>0.5</v>
      </c>
      <c r="P230" s="195"/>
      <c r="Q230" s="196" t="s">
        <v>38</v>
      </c>
      <c r="R230" s="197">
        <v>1</v>
      </c>
      <c r="S230" s="198" t="s">
        <v>33</v>
      </c>
      <c r="T230" s="199"/>
      <c r="U230" s="200"/>
      <c r="V230" s="200"/>
      <c r="W230" s="200"/>
      <c r="X230" s="200"/>
      <c r="Y230" s="200"/>
      <c r="Z230" s="200"/>
      <c r="AA230" s="200"/>
      <c r="AB230" s="200"/>
      <c r="AC230" s="208"/>
      <c r="AD230" s="11" t="str">
        <f t="shared" si="9"/>
        <v>3</v>
      </c>
      <c r="AF230" t="str">
        <f t="shared" si="10"/>
        <v>80.01.ZZ.03</v>
      </c>
      <c r="AH230" t="str">
        <f t="shared" si="11"/>
        <v>00 de 01</v>
      </c>
    </row>
    <row r="231" spans="1:34" ht="34.5" x14ac:dyDescent="0.25">
      <c r="A231" s="139" t="s">
        <v>116</v>
      </c>
      <c r="B231" s="105" t="s">
        <v>122</v>
      </c>
      <c r="C231" s="63">
        <v>219</v>
      </c>
      <c r="D231" s="197" t="s">
        <v>192</v>
      </c>
      <c r="E231" s="189" t="s">
        <v>462</v>
      </c>
      <c r="F231" s="190" t="s">
        <v>123</v>
      </c>
      <c r="G231" s="189" t="s">
        <v>134</v>
      </c>
      <c r="H231" s="191">
        <v>56192</v>
      </c>
      <c r="I231" s="189" t="s">
        <v>223</v>
      </c>
      <c r="J231" s="189">
        <v>0</v>
      </c>
      <c r="K231" s="189">
        <v>10101</v>
      </c>
      <c r="L231" s="191">
        <v>3</v>
      </c>
      <c r="M231" s="192">
        <v>46092</v>
      </c>
      <c r="N231" s="193">
        <v>1</v>
      </c>
      <c r="O231" s="194">
        <v>0.5</v>
      </c>
      <c r="P231" s="195"/>
      <c r="Q231" s="196" t="s">
        <v>38</v>
      </c>
      <c r="R231" s="197">
        <v>1</v>
      </c>
      <c r="S231" s="198" t="s">
        <v>33</v>
      </c>
      <c r="T231" s="199"/>
      <c r="U231" s="200"/>
      <c r="V231" s="200"/>
      <c r="W231" s="200"/>
      <c r="X231" s="200"/>
      <c r="Y231" s="200"/>
      <c r="Z231" s="200"/>
      <c r="AA231" s="200"/>
      <c r="AB231" s="200"/>
      <c r="AC231" s="208"/>
      <c r="AD231" s="11" t="str">
        <f t="shared" si="9"/>
        <v>3</v>
      </c>
      <c r="AF231" t="str">
        <f t="shared" si="10"/>
        <v>80.01.ZZ.03</v>
      </c>
      <c r="AH231" t="str">
        <f t="shared" si="11"/>
        <v>00 de 01</v>
      </c>
    </row>
    <row r="232" spans="1:34" ht="34.5" x14ac:dyDescent="0.25">
      <c r="A232" s="139" t="s">
        <v>116</v>
      </c>
      <c r="B232" s="105" t="s">
        <v>122</v>
      </c>
      <c r="C232" s="63">
        <v>220</v>
      </c>
      <c r="D232" s="197" t="s">
        <v>192</v>
      </c>
      <c r="E232" s="189" t="s">
        <v>463</v>
      </c>
      <c r="F232" s="190" t="s">
        <v>123</v>
      </c>
      <c r="G232" s="189" t="s">
        <v>134</v>
      </c>
      <c r="H232" s="191">
        <v>56192</v>
      </c>
      <c r="I232" s="189" t="s">
        <v>223</v>
      </c>
      <c r="J232" s="189">
        <v>0</v>
      </c>
      <c r="K232" s="189">
        <v>10101</v>
      </c>
      <c r="L232" s="191">
        <v>3</v>
      </c>
      <c r="M232" s="192">
        <v>46092</v>
      </c>
      <c r="N232" s="193">
        <v>1</v>
      </c>
      <c r="O232" s="194">
        <v>0.5</v>
      </c>
      <c r="P232" s="195"/>
      <c r="Q232" s="196" t="s">
        <v>38</v>
      </c>
      <c r="R232" s="197">
        <v>1</v>
      </c>
      <c r="S232" s="198" t="s">
        <v>33</v>
      </c>
      <c r="T232" s="199"/>
      <c r="U232" s="200"/>
      <c r="V232" s="200"/>
      <c r="W232" s="200"/>
      <c r="X232" s="200"/>
      <c r="Y232" s="200"/>
      <c r="Z232" s="200"/>
      <c r="AA232" s="200"/>
      <c r="AB232" s="200"/>
      <c r="AC232" s="208"/>
      <c r="AD232" s="11" t="str">
        <f t="shared" si="9"/>
        <v>3</v>
      </c>
      <c r="AF232" t="str">
        <f t="shared" si="10"/>
        <v>80.01.ZZ.03</v>
      </c>
      <c r="AH232" t="str">
        <f t="shared" si="11"/>
        <v>00 de 01</v>
      </c>
    </row>
    <row r="233" spans="1:34" ht="34.5" x14ac:dyDescent="0.25">
      <c r="A233" s="139" t="s">
        <v>116</v>
      </c>
      <c r="B233" s="105" t="s">
        <v>122</v>
      </c>
      <c r="C233" s="63">
        <v>221</v>
      </c>
      <c r="D233" s="197" t="s">
        <v>192</v>
      </c>
      <c r="E233" s="189" t="s">
        <v>464</v>
      </c>
      <c r="F233" s="190" t="s">
        <v>123</v>
      </c>
      <c r="G233" s="189" t="s">
        <v>134</v>
      </c>
      <c r="H233" s="191">
        <v>56192</v>
      </c>
      <c r="I233" s="189" t="s">
        <v>223</v>
      </c>
      <c r="J233" s="189">
        <v>0</v>
      </c>
      <c r="K233" s="189">
        <v>10101</v>
      </c>
      <c r="L233" s="191">
        <v>3</v>
      </c>
      <c r="M233" s="192">
        <v>46092</v>
      </c>
      <c r="N233" s="193">
        <v>1</v>
      </c>
      <c r="O233" s="194">
        <v>0.5</v>
      </c>
      <c r="P233" s="195"/>
      <c r="Q233" s="196" t="s">
        <v>38</v>
      </c>
      <c r="R233" s="197">
        <v>1</v>
      </c>
      <c r="S233" s="198" t="s">
        <v>33</v>
      </c>
      <c r="T233" s="199"/>
      <c r="U233" s="200"/>
      <c r="V233" s="200"/>
      <c r="W233" s="200"/>
      <c r="X233" s="200"/>
      <c r="Y233" s="200"/>
      <c r="Z233" s="200"/>
      <c r="AA233" s="200"/>
      <c r="AB233" s="200"/>
      <c r="AC233" s="208"/>
      <c r="AD233" s="11" t="str">
        <f t="shared" si="9"/>
        <v>3</v>
      </c>
      <c r="AF233" t="str">
        <f t="shared" si="10"/>
        <v>80.01.ZZ.03</v>
      </c>
      <c r="AH233" t="str">
        <f t="shared" si="11"/>
        <v>00 de 01</v>
      </c>
    </row>
    <row r="234" spans="1:34" ht="34.5" x14ac:dyDescent="0.25">
      <c r="A234" s="139" t="s">
        <v>116</v>
      </c>
      <c r="B234" s="105" t="s">
        <v>122</v>
      </c>
      <c r="C234" s="63">
        <v>222</v>
      </c>
      <c r="D234" s="197" t="s">
        <v>192</v>
      </c>
      <c r="E234" s="189" t="s">
        <v>465</v>
      </c>
      <c r="F234" s="190" t="s">
        <v>123</v>
      </c>
      <c r="G234" s="189" t="s">
        <v>134</v>
      </c>
      <c r="H234" s="191">
        <v>56192</v>
      </c>
      <c r="I234" s="189" t="s">
        <v>223</v>
      </c>
      <c r="J234" s="189">
        <v>0</v>
      </c>
      <c r="K234" s="189">
        <v>10101</v>
      </c>
      <c r="L234" s="191">
        <v>3</v>
      </c>
      <c r="M234" s="192">
        <v>46092</v>
      </c>
      <c r="N234" s="193">
        <v>1</v>
      </c>
      <c r="O234" s="194">
        <v>0.5</v>
      </c>
      <c r="P234" s="195"/>
      <c r="Q234" s="196" t="s">
        <v>38</v>
      </c>
      <c r="R234" s="197">
        <v>1</v>
      </c>
      <c r="S234" s="198" t="s">
        <v>33</v>
      </c>
      <c r="T234" s="199"/>
      <c r="U234" s="200"/>
      <c r="V234" s="200"/>
      <c r="W234" s="200"/>
      <c r="X234" s="200"/>
      <c r="Y234" s="200"/>
      <c r="Z234" s="200"/>
      <c r="AA234" s="200"/>
      <c r="AB234" s="200"/>
      <c r="AC234" s="208"/>
      <c r="AD234" s="11" t="str">
        <f t="shared" si="9"/>
        <v>3</v>
      </c>
      <c r="AF234" t="str">
        <f t="shared" si="10"/>
        <v>80.01.ZZ.03</v>
      </c>
      <c r="AH234" t="str">
        <f t="shared" si="11"/>
        <v>00 de 01</v>
      </c>
    </row>
    <row r="235" spans="1:34" ht="34.5" x14ac:dyDescent="0.25">
      <c r="A235" s="139" t="s">
        <v>116</v>
      </c>
      <c r="B235" s="105" t="s">
        <v>122</v>
      </c>
      <c r="C235" s="63">
        <v>223</v>
      </c>
      <c r="D235" s="197" t="s">
        <v>192</v>
      </c>
      <c r="E235" s="189" t="s">
        <v>466</v>
      </c>
      <c r="F235" s="190" t="s">
        <v>123</v>
      </c>
      <c r="G235" s="189" t="s">
        <v>134</v>
      </c>
      <c r="H235" s="191">
        <v>56192</v>
      </c>
      <c r="I235" s="189" t="s">
        <v>223</v>
      </c>
      <c r="J235" s="189">
        <v>0</v>
      </c>
      <c r="K235" s="189">
        <v>10101</v>
      </c>
      <c r="L235" s="191">
        <v>3</v>
      </c>
      <c r="M235" s="192">
        <v>46092</v>
      </c>
      <c r="N235" s="193">
        <v>1</v>
      </c>
      <c r="O235" s="194">
        <v>0.5</v>
      </c>
      <c r="P235" s="195"/>
      <c r="Q235" s="196" t="s">
        <v>38</v>
      </c>
      <c r="R235" s="197">
        <v>1</v>
      </c>
      <c r="S235" s="198" t="s">
        <v>33</v>
      </c>
      <c r="T235" s="199"/>
      <c r="U235" s="200"/>
      <c r="V235" s="200"/>
      <c r="W235" s="200"/>
      <c r="X235" s="200"/>
      <c r="Y235" s="200"/>
      <c r="Z235" s="200"/>
      <c r="AA235" s="200"/>
      <c r="AB235" s="200"/>
      <c r="AC235" s="208"/>
      <c r="AD235" s="11" t="str">
        <f t="shared" si="9"/>
        <v>3</v>
      </c>
      <c r="AF235" t="str">
        <f t="shared" si="10"/>
        <v>80.01.ZZ.03</v>
      </c>
      <c r="AH235" t="str">
        <f t="shared" si="11"/>
        <v>00 de 01</v>
      </c>
    </row>
    <row r="236" spans="1:34" ht="34.5" x14ac:dyDescent="0.25">
      <c r="A236" s="139" t="s">
        <v>116</v>
      </c>
      <c r="B236" s="105" t="s">
        <v>122</v>
      </c>
      <c r="C236" s="63">
        <v>224</v>
      </c>
      <c r="D236" s="197" t="s">
        <v>192</v>
      </c>
      <c r="E236" s="189" t="s">
        <v>467</v>
      </c>
      <c r="F236" s="190" t="s">
        <v>123</v>
      </c>
      <c r="G236" s="189" t="s">
        <v>134</v>
      </c>
      <c r="H236" s="191">
        <v>56192</v>
      </c>
      <c r="I236" s="189" t="s">
        <v>223</v>
      </c>
      <c r="J236" s="189">
        <v>0</v>
      </c>
      <c r="K236" s="189">
        <v>10101</v>
      </c>
      <c r="L236" s="191">
        <v>3</v>
      </c>
      <c r="M236" s="192">
        <v>46092</v>
      </c>
      <c r="N236" s="193">
        <v>1</v>
      </c>
      <c r="O236" s="194">
        <v>0.5</v>
      </c>
      <c r="P236" s="195"/>
      <c r="Q236" s="196" t="s">
        <v>38</v>
      </c>
      <c r="R236" s="197">
        <v>1</v>
      </c>
      <c r="S236" s="198" t="s">
        <v>33</v>
      </c>
      <c r="T236" s="199"/>
      <c r="U236" s="200"/>
      <c r="V236" s="200"/>
      <c r="W236" s="200"/>
      <c r="X236" s="200"/>
      <c r="Y236" s="200"/>
      <c r="Z236" s="200"/>
      <c r="AA236" s="200"/>
      <c r="AB236" s="200"/>
      <c r="AC236" s="208"/>
      <c r="AD236" s="11" t="str">
        <f t="shared" si="9"/>
        <v>3</v>
      </c>
      <c r="AF236" t="str">
        <f t="shared" si="10"/>
        <v>80.01.ZZ.03</v>
      </c>
      <c r="AH236" t="str">
        <f t="shared" si="11"/>
        <v>00 de 01</v>
      </c>
    </row>
    <row r="237" spans="1:34" ht="34.5" x14ac:dyDescent="0.25">
      <c r="A237" s="139" t="s">
        <v>116</v>
      </c>
      <c r="B237" s="105" t="s">
        <v>122</v>
      </c>
      <c r="C237" s="63">
        <v>225</v>
      </c>
      <c r="D237" s="197" t="s">
        <v>192</v>
      </c>
      <c r="E237" s="189" t="s">
        <v>468</v>
      </c>
      <c r="F237" s="190" t="s">
        <v>123</v>
      </c>
      <c r="G237" s="189" t="s">
        <v>134</v>
      </c>
      <c r="H237" s="191">
        <v>56192</v>
      </c>
      <c r="I237" s="189" t="s">
        <v>223</v>
      </c>
      <c r="J237" s="189">
        <v>0</v>
      </c>
      <c r="K237" s="189">
        <v>10101</v>
      </c>
      <c r="L237" s="191">
        <v>3</v>
      </c>
      <c r="M237" s="192">
        <v>46092</v>
      </c>
      <c r="N237" s="193">
        <v>1</v>
      </c>
      <c r="O237" s="194">
        <v>0.5</v>
      </c>
      <c r="P237" s="195"/>
      <c r="Q237" s="196" t="s">
        <v>38</v>
      </c>
      <c r="R237" s="197">
        <v>1</v>
      </c>
      <c r="S237" s="198" t="s">
        <v>33</v>
      </c>
      <c r="T237" s="199"/>
      <c r="U237" s="200"/>
      <c r="V237" s="200"/>
      <c r="W237" s="200"/>
      <c r="X237" s="200"/>
      <c r="Y237" s="200"/>
      <c r="Z237" s="200"/>
      <c r="AA237" s="200"/>
      <c r="AB237" s="200"/>
      <c r="AC237" s="208"/>
      <c r="AD237" s="11" t="str">
        <f t="shared" si="9"/>
        <v>3</v>
      </c>
      <c r="AF237" t="str">
        <f t="shared" si="10"/>
        <v>80.01.ZZ.03</v>
      </c>
      <c r="AH237" t="str">
        <f t="shared" si="11"/>
        <v>00 de 01</v>
      </c>
    </row>
    <row r="238" spans="1:34" ht="34.5" x14ac:dyDescent="0.25">
      <c r="A238" s="139" t="s">
        <v>116</v>
      </c>
      <c r="B238" s="105" t="s">
        <v>122</v>
      </c>
      <c r="C238" s="63">
        <v>226</v>
      </c>
      <c r="D238" s="197" t="s">
        <v>192</v>
      </c>
      <c r="E238" s="189" t="s">
        <v>469</v>
      </c>
      <c r="F238" s="190" t="s">
        <v>123</v>
      </c>
      <c r="G238" s="189" t="s">
        <v>134</v>
      </c>
      <c r="H238" s="191">
        <v>56192</v>
      </c>
      <c r="I238" s="189" t="s">
        <v>223</v>
      </c>
      <c r="J238" s="189">
        <v>0</v>
      </c>
      <c r="K238" s="189">
        <v>10101</v>
      </c>
      <c r="L238" s="191">
        <v>3</v>
      </c>
      <c r="M238" s="192">
        <v>46092</v>
      </c>
      <c r="N238" s="193">
        <v>1</v>
      </c>
      <c r="O238" s="194">
        <v>0.5</v>
      </c>
      <c r="P238" s="195"/>
      <c r="Q238" s="196" t="s">
        <v>38</v>
      </c>
      <c r="R238" s="197">
        <v>1</v>
      </c>
      <c r="S238" s="198" t="s">
        <v>33</v>
      </c>
      <c r="T238" s="199"/>
      <c r="U238" s="200"/>
      <c r="V238" s="200"/>
      <c r="W238" s="200"/>
      <c r="X238" s="200"/>
      <c r="Y238" s="200"/>
      <c r="Z238" s="200"/>
      <c r="AA238" s="200"/>
      <c r="AB238" s="200"/>
      <c r="AC238" s="208"/>
      <c r="AD238" s="11" t="str">
        <f t="shared" si="9"/>
        <v>3</v>
      </c>
      <c r="AF238" t="str">
        <f t="shared" si="10"/>
        <v>80.01.ZZ.03</v>
      </c>
      <c r="AH238" t="str">
        <f t="shared" si="11"/>
        <v>00 de 01</v>
      </c>
    </row>
    <row r="239" spans="1:34" ht="34.5" x14ac:dyDescent="0.25">
      <c r="A239" s="139" t="s">
        <v>116</v>
      </c>
      <c r="B239" s="105" t="s">
        <v>122</v>
      </c>
      <c r="C239" s="63">
        <v>227</v>
      </c>
      <c r="D239" s="197" t="s">
        <v>192</v>
      </c>
      <c r="E239" s="189" t="s">
        <v>240</v>
      </c>
      <c r="F239" s="190" t="s">
        <v>123</v>
      </c>
      <c r="G239" s="189" t="s">
        <v>134</v>
      </c>
      <c r="H239" s="191">
        <v>56192</v>
      </c>
      <c r="I239" s="189" t="s">
        <v>223</v>
      </c>
      <c r="J239" s="189">
        <v>0</v>
      </c>
      <c r="K239" s="189">
        <v>10201</v>
      </c>
      <c r="L239" s="191">
        <v>3</v>
      </c>
      <c r="M239" s="192">
        <v>46092</v>
      </c>
      <c r="N239" s="193">
        <v>1</v>
      </c>
      <c r="O239" s="194">
        <v>0.5</v>
      </c>
      <c r="P239" s="195"/>
      <c r="Q239" s="196" t="s">
        <v>38</v>
      </c>
      <c r="R239" s="197">
        <v>1</v>
      </c>
      <c r="S239" s="198" t="s">
        <v>33</v>
      </c>
      <c r="T239" s="199"/>
      <c r="U239" s="200"/>
      <c r="V239" s="200"/>
      <c r="W239" s="200"/>
      <c r="X239" s="200"/>
      <c r="Y239" s="200"/>
      <c r="Z239" s="200"/>
      <c r="AA239" s="200"/>
      <c r="AB239" s="200"/>
      <c r="AC239" s="208"/>
      <c r="AD239" s="11" t="str">
        <f t="shared" si="9"/>
        <v>3</v>
      </c>
      <c r="AF239" t="str">
        <f t="shared" si="10"/>
        <v>80.01.ZZ.03</v>
      </c>
      <c r="AH239" t="str">
        <f t="shared" si="11"/>
        <v>00 de 01</v>
      </c>
    </row>
    <row r="240" spans="1:34" ht="34.5" x14ac:dyDescent="0.25">
      <c r="A240" s="139" t="s">
        <v>116</v>
      </c>
      <c r="B240" s="105" t="s">
        <v>122</v>
      </c>
      <c r="C240" s="63">
        <v>228</v>
      </c>
      <c r="D240" s="197" t="s">
        <v>192</v>
      </c>
      <c r="E240" s="189" t="s">
        <v>470</v>
      </c>
      <c r="F240" s="190" t="s">
        <v>123</v>
      </c>
      <c r="G240" s="189" t="s">
        <v>134</v>
      </c>
      <c r="H240" s="191">
        <v>56192</v>
      </c>
      <c r="I240" s="189" t="s">
        <v>223</v>
      </c>
      <c r="J240" s="189">
        <v>0</v>
      </c>
      <c r="K240" s="189">
        <v>10201</v>
      </c>
      <c r="L240" s="191">
        <v>3</v>
      </c>
      <c r="M240" s="192">
        <v>46092</v>
      </c>
      <c r="N240" s="193">
        <v>1</v>
      </c>
      <c r="O240" s="194">
        <v>0.5</v>
      </c>
      <c r="P240" s="195"/>
      <c r="Q240" s="196" t="s">
        <v>38</v>
      </c>
      <c r="R240" s="197">
        <v>1</v>
      </c>
      <c r="S240" s="198" t="s">
        <v>33</v>
      </c>
      <c r="T240" s="199"/>
      <c r="U240" s="200"/>
      <c r="V240" s="200"/>
      <c r="W240" s="200"/>
      <c r="X240" s="200"/>
      <c r="Y240" s="200"/>
      <c r="Z240" s="200"/>
      <c r="AA240" s="200"/>
      <c r="AB240" s="200"/>
      <c r="AC240" s="208"/>
      <c r="AD240" s="11" t="str">
        <f t="shared" si="9"/>
        <v>3</v>
      </c>
      <c r="AF240" t="str">
        <f t="shared" si="10"/>
        <v>80.01.ZZ.03</v>
      </c>
      <c r="AH240" t="str">
        <f t="shared" si="11"/>
        <v>00 de 01</v>
      </c>
    </row>
    <row r="241" spans="1:34" ht="34.5" x14ac:dyDescent="0.25">
      <c r="A241" s="139" t="s">
        <v>116</v>
      </c>
      <c r="B241" s="105" t="s">
        <v>122</v>
      </c>
      <c r="C241" s="63">
        <v>229</v>
      </c>
      <c r="D241" s="197" t="s">
        <v>192</v>
      </c>
      <c r="E241" s="189" t="s">
        <v>471</v>
      </c>
      <c r="F241" s="190" t="s">
        <v>123</v>
      </c>
      <c r="G241" s="189" t="s">
        <v>134</v>
      </c>
      <c r="H241" s="191">
        <v>56192</v>
      </c>
      <c r="I241" s="189" t="s">
        <v>223</v>
      </c>
      <c r="J241" s="189">
        <v>0</v>
      </c>
      <c r="K241" s="189">
        <v>10201</v>
      </c>
      <c r="L241" s="191">
        <v>3</v>
      </c>
      <c r="M241" s="192">
        <v>46092</v>
      </c>
      <c r="N241" s="193">
        <v>1</v>
      </c>
      <c r="O241" s="194">
        <v>0.5</v>
      </c>
      <c r="P241" s="195"/>
      <c r="Q241" s="196" t="s">
        <v>38</v>
      </c>
      <c r="R241" s="197">
        <v>1</v>
      </c>
      <c r="S241" s="198" t="s">
        <v>33</v>
      </c>
      <c r="T241" s="199"/>
      <c r="U241" s="200"/>
      <c r="V241" s="200"/>
      <c r="W241" s="200"/>
      <c r="X241" s="200"/>
      <c r="Y241" s="200"/>
      <c r="Z241" s="200"/>
      <c r="AA241" s="200"/>
      <c r="AB241" s="200"/>
      <c r="AC241" s="208"/>
      <c r="AD241" s="11" t="str">
        <f t="shared" ref="AD241:AD304" si="12">RIGHT(L241,2)</f>
        <v>3</v>
      </c>
      <c r="AF241" t="str">
        <f t="shared" ref="AF241:AF304" si="13">CONCATENATE("80.01.ZZ.0",L241)</f>
        <v>80.01.ZZ.03</v>
      </c>
      <c r="AH241" t="str">
        <f t="shared" ref="AH241:AH304" si="14">CONCATENATE("00 de 0",R241)</f>
        <v>00 de 01</v>
      </c>
    </row>
    <row r="242" spans="1:34" ht="34.5" x14ac:dyDescent="0.25">
      <c r="A242" s="139" t="s">
        <v>116</v>
      </c>
      <c r="B242" s="105" t="s">
        <v>122</v>
      </c>
      <c r="C242" s="63">
        <v>230</v>
      </c>
      <c r="D242" s="197" t="s">
        <v>192</v>
      </c>
      <c r="E242" s="189" t="s">
        <v>472</v>
      </c>
      <c r="F242" s="190" t="s">
        <v>123</v>
      </c>
      <c r="G242" s="189" t="s">
        <v>134</v>
      </c>
      <c r="H242" s="191">
        <v>56192</v>
      </c>
      <c r="I242" s="189" t="s">
        <v>223</v>
      </c>
      <c r="J242" s="189">
        <v>0</v>
      </c>
      <c r="K242" s="189">
        <v>10201</v>
      </c>
      <c r="L242" s="191">
        <v>3</v>
      </c>
      <c r="M242" s="192">
        <v>46092</v>
      </c>
      <c r="N242" s="193">
        <v>1</v>
      </c>
      <c r="O242" s="194">
        <v>0.5</v>
      </c>
      <c r="P242" s="195"/>
      <c r="Q242" s="196" t="s">
        <v>38</v>
      </c>
      <c r="R242" s="197">
        <v>1</v>
      </c>
      <c r="S242" s="198" t="s">
        <v>33</v>
      </c>
      <c r="T242" s="199"/>
      <c r="U242" s="200"/>
      <c r="V242" s="200"/>
      <c r="W242" s="200"/>
      <c r="X242" s="200"/>
      <c r="Y242" s="200"/>
      <c r="Z242" s="200"/>
      <c r="AA242" s="200"/>
      <c r="AB242" s="200"/>
      <c r="AC242" s="208"/>
      <c r="AD242" s="11" t="str">
        <f t="shared" si="12"/>
        <v>3</v>
      </c>
      <c r="AF242" t="str">
        <f t="shared" si="13"/>
        <v>80.01.ZZ.03</v>
      </c>
      <c r="AH242" t="str">
        <f t="shared" si="14"/>
        <v>00 de 01</v>
      </c>
    </row>
    <row r="243" spans="1:34" ht="34.5" x14ac:dyDescent="0.25">
      <c r="A243" s="139" t="s">
        <v>116</v>
      </c>
      <c r="B243" s="105" t="s">
        <v>122</v>
      </c>
      <c r="C243" s="63">
        <v>231</v>
      </c>
      <c r="D243" s="197" t="s">
        <v>192</v>
      </c>
      <c r="E243" s="189" t="s">
        <v>473</v>
      </c>
      <c r="F243" s="190" t="s">
        <v>123</v>
      </c>
      <c r="G243" s="189" t="s">
        <v>134</v>
      </c>
      <c r="H243" s="191">
        <v>56192</v>
      </c>
      <c r="I243" s="189" t="s">
        <v>223</v>
      </c>
      <c r="J243" s="189">
        <v>0</v>
      </c>
      <c r="K243" s="189">
        <v>10201</v>
      </c>
      <c r="L243" s="191">
        <v>3</v>
      </c>
      <c r="M243" s="192">
        <v>46092</v>
      </c>
      <c r="N243" s="193">
        <v>1</v>
      </c>
      <c r="O243" s="194">
        <v>0.5</v>
      </c>
      <c r="P243" s="195"/>
      <c r="Q243" s="196" t="s">
        <v>38</v>
      </c>
      <c r="R243" s="197">
        <v>1</v>
      </c>
      <c r="S243" s="198" t="s">
        <v>33</v>
      </c>
      <c r="T243" s="199"/>
      <c r="U243" s="200"/>
      <c r="V243" s="200"/>
      <c r="W243" s="200"/>
      <c r="X243" s="200"/>
      <c r="Y243" s="200"/>
      <c r="Z243" s="200"/>
      <c r="AA243" s="200"/>
      <c r="AB243" s="200"/>
      <c r="AC243" s="208"/>
      <c r="AD243" s="11" t="str">
        <f t="shared" si="12"/>
        <v>3</v>
      </c>
      <c r="AF243" t="str">
        <f t="shared" si="13"/>
        <v>80.01.ZZ.03</v>
      </c>
      <c r="AH243" t="str">
        <f t="shared" si="14"/>
        <v>00 de 01</v>
      </c>
    </row>
    <row r="244" spans="1:34" ht="34.5" x14ac:dyDescent="0.25">
      <c r="A244" s="139" t="s">
        <v>116</v>
      </c>
      <c r="B244" s="105" t="s">
        <v>122</v>
      </c>
      <c r="C244" s="63">
        <v>232</v>
      </c>
      <c r="D244" s="197" t="s">
        <v>192</v>
      </c>
      <c r="E244" s="189" t="s">
        <v>474</v>
      </c>
      <c r="F244" s="190" t="s">
        <v>123</v>
      </c>
      <c r="G244" s="189" t="s">
        <v>134</v>
      </c>
      <c r="H244" s="191">
        <v>56192</v>
      </c>
      <c r="I244" s="189" t="s">
        <v>223</v>
      </c>
      <c r="J244" s="189">
        <v>0</v>
      </c>
      <c r="K244" s="189">
        <v>10201</v>
      </c>
      <c r="L244" s="191">
        <v>3</v>
      </c>
      <c r="M244" s="192">
        <v>46092</v>
      </c>
      <c r="N244" s="193">
        <v>1</v>
      </c>
      <c r="O244" s="194">
        <v>0.5</v>
      </c>
      <c r="P244" s="195"/>
      <c r="Q244" s="196" t="s">
        <v>38</v>
      </c>
      <c r="R244" s="197">
        <v>1</v>
      </c>
      <c r="S244" s="198" t="s">
        <v>33</v>
      </c>
      <c r="T244" s="199"/>
      <c r="U244" s="200"/>
      <c r="V244" s="200"/>
      <c r="W244" s="200"/>
      <c r="X244" s="200"/>
      <c r="Y244" s="200"/>
      <c r="Z244" s="200"/>
      <c r="AA244" s="200"/>
      <c r="AB244" s="200"/>
      <c r="AC244" s="208"/>
      <c r="AD244" s="11" t="str">
        <f t="shared" si="12"/>
        <v>3</v>
      </c>
      <c r="AF244" t="str">
        <f t="shared" si="13"/>
        <v>80.01.ZZ.03</v>
      </c>
      <c r="AH244" t="str">
        <f t="shared" si="14"/>
        <v>00 de 01</v>
      </c>
    </row>
    <row r="245" spans="1:34" ht="34.5" x14ac:dyDescent="0.25">
      <c r="A245" s="139" t="s">
        <v>116</v>
      </c>
      <c r="B245" s="105" t="s">
        <v>122</v>
      </c>
      <c r="C245" s="63">
        <v>233</v>
      </c>
      <c r="D245" s="197" t="s">
        <v>192</v>
      </c>
      <c r="E245" s="189" t="s">
        <v>475</v>
      </c>
      <c r="F245" s="190" t="s">
        <v>123</v>
      </c>
      <c r="G245" s="189" t="s">
        <v>134</v>
      </c>
      <c r="H245" s="191">
        <v>56192</v>
      </c>
      <c r="I245" s="189" t="s">
        <v>223</v>
      </c>
      <c r="J245" s="189">
        <v>0</v>
      </c>
      <c r="K245" s="189">
        <v>10201</v>
      </c>
      <c r="L245" s="191">
        <v>3</v>
      </c>
      <c r="M245" s="192">
        <v>46092</v>
      </c>
      <c r="N245" s="193">
        <v>1</v>
      </c>
      <c r="O245" s="194">
        <v>0.5</v>
      </c>
      <c r="P245" s="195"/>
      <c r="Q245" s="196" t="s">
        <v>38</v>
      </c>
      <c r="R245" s="197">
        <v>1</v>
      </c>
      <c r="S245" s="198" t="s">
        <v>33</v>
      </c>
      <c r="T245" s="199"/>
      <c r="U245" s="200"/>
      <c r="V245" s="200"/>
      <c r="W245" s="200"/>
      <c r="X245" s="200"/>
      <c r="Y245" s="200"/>
      <c r="Z245" s="200"/>
      <c r="AA245" s="200"/>
      <c r="AB245" s="200"/>
      <c r="AC245" s="208"/>
      <c r="AD245" s="11" t="str">
        <f t="shared" si="12"/>
        <v>3</v>
      </c>
      <c r="AF245" t="str">
        <f t="shared" si="13"/>
        <v>80.01.ZZ.03</v>
      </c>
      <c r="AH245" t="str">
        <f t="shared" si="14"/>
        <v>00 de 01</v>
      </c>
    </row>
    <row r="246" spans="1:34" ht="34.5" x14ac:dyDescent="0.25">
      <c r="A246" s="139" t="s">
        <v>116</v>
      </c>
      <c r="B246" s="105" t="s">
        <v>122</v>
      </c>
      <c r="C246" s="63">
        <v>234</v>
      </c>
      <c r="D246" s="197" t="s">
        <v>192</v>
      </c>
      <c r="E246" s="189" t="s">
        <v>476</v>
      </c>
      <c r="F246" s="190" t="s">
        <v>123</v>
      </c>
      <c r="G246" s="189" t="s">
        <v>134</v>
      </c>
      <c r="H246" s="191">
        <v>56192</v>
      </c>
      <c r="I246" s="189" t="s">
        <v>223</v>
      </c>
      <c r="J246" s="189">
        <v>0</v>
      </c>
      <c r="K246" s="189">
        <v>10201</v>
      </c>
      <c r="L246" s="191">
        <v>3</v>
      </c>
      <c r="M246" s="192">
        <v>46092</v>
      </c>
      <c r="N246" s="193">
        <v>1</v>
      </c>
      <c r="O246" s="194">
        <v>0.5</v>
      </c>
      <c r="P246" s="195"/>
      <c r="Q246" s="196" t="s">
        <v>38</v>
      </c>
      <c r="R246" s="197">
        <v>1</v>
      </c>
      <c r="S246" s="198" t="s">
        <v>33</v>
      </c>
      <c r="T246" s="199"/>
      <c r="U246" s="200"/>
      <c r="V246" s="200"/>
      <c r="W246" s="200"/>
      <c r="X246" s="200"/>
      <c r="Y246" s="200"/>
      <c r="Z246" s="200"/>
      <c r="AA246" s="200"/>
      <c r="AB246" s="200"/>
      <c r="AC246" s="208"/>
      <c r="AD246" s="11" t="str">
        <f t="shared" si="12"/>
        <v>3</v>
      </c>
      <c r="AF246" t="str">
        <f t="shared" si="13"/>
        <v>80.01.ZZ.03</v>
      </c>
      <c r="AH246" t="str">
        <f t="shared" si="14"/>
        <v>00 de 01</v>
      </c>
    </row>
    <row r="247" spans="1:34" ht="34.5" x14ac:dyDescent="0.25">
      <c r="A247" s="139" t="s">
        <v>116</v>
      </c>
      <c r="B247" s="105" t="s">
        <v>122</v>
      </c>
      <c r="C247" s="63">
        <v>235</v>
      </c>
      <c r="D247" s="197" t="s">
        <v>192</v>
      </c>
      <c r="E247" s="189" t="s">
        <v>477</v>
      </c>
      <c r="F247" s="190" t="s">
        <v>123</v>
      </c>
      <c r="G247" s="189" t="s">
        <v>134</v>
      </c>
      <c r="H247" s="191">
        <v>56192</v>
      </c>
      <c r="I247" s="189" t="s">
        <v>223</v>
      </c>
      <c r="J247" s="189">
        <v>0</v>
      </c>
      <c r="K247" s="189">
        <v>10201</v>
      </c>
      <c r="L247" s="191">
        <v>3</v>
      </c>
      <c r="M247" s="192">
        <v>46092</v>
      </c>
      <c r="N247" s="193">
        <v>1</v>
      </c>
      <c r="O247" s="194">
        <v>0.5</v>
      </c>
      <c r="P247" s="195"/>
      <c r="Q247" s="196" t="s">
        <v>38</v>
      </c>
      <c r="R247" s="197">
        <v>1</v>
      </c>
      <c r="S247" s="198" t="s">
        <v>33</v>
      </c>
      <c r="T247" s="199"/>
      <c r="U247" s="200"/>
      <c r="V247" s="200"/>
      <c r="W247" s="200"/>
      <c r="X247" s="200"/>
      <c r="Y247" s="200"/>
      <c r="Z247" s="200"/>
      <c r="AA247" s="200"/>
      <c r="AB247" s="200"/>
      <c r="AC247" s="208"/>
      <c r="AD247" s="11" t="str">
        <f t="shared" si="12"/>
        <v>3</v>
      </c>
      <c r="AF247" t="str">
        <f t="shared" si="13"/>
        <v>80.01.ZZ.03</v>
      </c>
      <c r="AH247" t="str">
        <f t="shared" si="14"/>
        <v>00 de 01</v>
      </c>
    </row>
    <row r="248" spans="1:34" ht="34.5" x14ac:dyDescent="0.25">
      <c r="A248" s="139" t="s">
        <v>116</v>
      </c>
      <c r="B248" s="105" t="s">
        <v>122</v>
      </c>
      <c r="C248" s="63">
        <v>236</v>
      </c>
      <c r="D248" s="197" t="s">
        <v>192</v>
      </c>
      <c r="E248" s="189" t="s">
        <v>478</v>
      </c>
      <c r="F248" s="190" t="s">
        <v>123</v>
      </c>
      <c r="G248" s="189" t="s">
        <v>134</v>
      </c>
      <c r="H248" s="191">
        <v>56192</v>
      </c>
      <c r="I248" s="189" t="s">
        <v>223</v>
      </c>
      <c r="J248" s="189">
        <v>0</v>
      </c>
      <c r="K248" s="189">
        <v>10201</v>
      </c>
      <c r="L248" s="191">
        <v>3</v>
      </c>
      <c r="M248" s="192">
        <v>46092</v>
      </c>
      <c r="N248" s="193">
        <v>1</v>
      </c>
      <c r="O248" s="194">
        <v>0.5</v>
      </c>
      <c r="P248" s="195"/>
      <c r="Q248" s="196" t="s">
        <v>38</v>
      </c>
      <c r="R248" s="197">
        <v>1</v>
      </c>
      <c r="S248" s="198" t="s">
        <v>33</v>
      </c>
      <c r="T248" s="199"/>
      <c r="U248" s="200"/>
      <c r="V248" s="200"/>
      <c r="W248" s="200"/>
      <c r="X248" s="200"/>
      <c r="Y248" s="200"/>
      <c r="Z248" s="200"/>
      <c r="AA248" s="200"/>
      <c r="AB248" s="200"/>
      <c r="AC248" s="208"/>
      <c r="AD248" s="11" t="str">
        <f t="shared" si="12"/>
        <v>3</v>
      </c>
      <c r="AF248" t="str">
        <f t="shared" si="13"/>
        <v>80.01.ZZ.03</v>
      </c>
      <c r="AH248" t="str">
        <f t="shared" si="14"/>
        <v>00 de 01</v>
      </c>
    </row>
    <row r="249" spans="1:34" ht="34.5" x14ac:dyDescent="0.25">
      <c r="A249" s="139" t="s">
        <v>116</v>
      </c>
      <c r="B249" s="105" t="s">
        <v>122</v>
      </c>
      <c r="C249" s="63">
        <v>237</v>
      </c>
      <c r="D249" s="197" t="s">
        <v>192</v>
      </c>
      <c r="E249" s="189" t="s">
        <v>479</v>
      </c>
      <c r="F249" s="190" t="s">
        <v>123</v>
      </c>
      <c r="G249" s="189" t="s">
        <v>134</v>
      </c>
      <c r="H249" s="191">
        <v>56192</v>
      </c>
      <c r="I249" s="189" t="s">
        <v>223</v>
      </c>
      <c r="J249" s="189">
        <v>0</v>
      </c>
      <c r="K249" s="189">
        <v>10201</v>
      </c>
      <c r="L249" s="191">
        <v>3</v>
      </c>
      <c r="M249" s="192">
        <v>46092</v>
      </c>
      <c r="N249" s="193">
        <v>1</v>
      </c>
      <c r="O249" s="194">
        <v>0.5</v>
      </c>
      <c r="P249" s="195"/>
      <c r="Q249" s="196" t="s">
        <v>38</v>
      </c>
      <c r="R249" s="197">
        <v>1</v>
      </c>
      <c r="S249" s="198" t="s">
        <v>33</v>
      </c>
      <c r="T249" s="199"/>
      <c r="U249" s="200"/>
      <c r="V249" s="200"/>
      <c r="W249" s="200"/>
      <c r="X249" s="200"/>
      <c r="Y249" s="200"/>
      <c r="Z249" s="200"/>
      <c r="AA249" s="200"/>
      <c r="AB249" s="200"/>
      <c r="AC249" s="208"/>
      <c r="AD249" s="11" t="str">
        <f t="shared" si="12"/>
        <v>3</v>
      </c>
      <c r="AF249" t="str">
        <f t="shared" si="13"/>
        <v>80.01.ZZ.03</v>
      </c>
      <c r="AH249" t="str">
        <f t="shared" si="14"/>
        <v>00 de 01</v>
      </c>
    </row>
    <row r="250" spans="1:34" ht="34.5" x14ac:dyDescent="0.25">
      <c r="A250" s="139" t="s">
        <v>116</v>
      </c>
      <c r="B250" s="105" t="s">
        <v>122</v>
      </c>
      <c r="C250" s="63">
        <v>238</v>
      </c>
      <c r="D250" s="197" t="s">
        <v>192</v>
      </c>
      <c r="E250" s="189" t="s">
        <v>480</v>
      </c>
      <c r="F250" s="190" t="s">
        <v>123</v>
      </c>
      <c r="G250" s="189" t="s">
        <v>134</v>
      </c>
      <c r="H250" s="191">
        <v>56192</v>
      </c>
      <c r="I250" s="189" t="s">
        <v>223</v>
      </c>
      <c r="J250" s="189">
        <v>0</v>
      </c>
      <c r="K250" s="189">
        <v>10201</v>
      </c>
      <c r="L250" s="191">
        <v>3</v>
      </c>
      <c r="M250" s="192">
        <v>46092</v>
      </c>
      <c r="N250" s="193">
        <v>1</v>
      </c>
      <c r="O250" s="194">
        <v>0.5</v>
      </c>
      <c r="P250" s="195"/>
      <c r="Q250" s="196" t="s">
        <v>38</v>
      </c>
      <c r="R250" s="197">
        <v>1</v>
      </c>
      <c r="S250" s="198" t="s">
        <v>33</v>
      </c>
      <c r="T250" s="199"/>
      <c r="U250" s="200"/>
      <c r="V250" s="200"/>
      <c r="W250" s="200"/>
      <c r="X250" s="200"/>
      <c r="Y250" s="200"/>
      <c r="Z250" s="200"/>
      <c r="AA250" s="200"/>
      <c r="AB250" s="200"/>
      <c r="AC250" s="208"/>
      <c r="AD250" s="11" t="str">
        <f t="shared" si="12"/>
        <v>3</v>
      </c>
      <c r="AF250" t="str">
        <f t="shared" si="13"/>
        <v>80.01.ZZ.03</v>
      </c>
      <c r="AH250" t="str">
        <f t="shared" si="14"/>
        <v>00 de 01</v>
      </c>
    </row>
    <row r="251" spans="1:34" ht="34.5" x14ac:dyDescent="0.25">
      <c r="A251" s="139" t="s">
        <v>116</v>
      </c>
      <c r="B251" s="105" t="s">
        <v>122</v>
      </c>
      <c r="C251" s="63">
        <v>239</v>
      </c>
      <c r="D251" s="197" t="s">
        <v>192</v>
      </c>
      <c r="E251" s="189" t="s">
        <v>481</v>
      </c>
      <c r="F251" s="190" t="s">
        <v>123</v>
      </c>
      <c r="G251" s="189" t="s">
        <v>134</v>
      </c>
      <c r="H251" s="191">
        <v>56192</v>
      </c>
      <c r="I251" s="189" t="s">
        <v>223</v>
      </c>
      <c r="J251" s="189">
        <v>0</v>
      </c>
      <c r="K251" s="189">
        <v>10201</v>
      </c>
      <c r="L251" s="191">
        <v>3</v>
      </c>
      <c r="M251" s="192">
        <v>46092</v>
      </c>
      <c r="N251" s="193">
        <v>1</v>
      </c>
      <c r="O251" s="194">
        <v>0.5</v>
      </c>
      <c r="P251" s="195"/>
      <c r="Q251" s="196" t="s">
        <v>38</v>
      </c>
      <c r="R251" s="197">
        <v>1</v>
      </c>
      <c r="S251" s="198" t="s">
        <v>33</v>
      </c>
      <c r="T251" s="199"/>
      <c r="U251" s="200"/>
      <c r="V251" s="200"/>
      <c r="W251" s="200"/>
      <c r="X251" s="200"/>
      <c r="Y251" s="200"/>
      <c r="Z251" s="200"/>
      <c r="AA251" s="200"/>
      <c r="AB251" s="200"/>
      <c r="AC251" s="208"/>
      <c r="AD251" s="11" t="str">
        <f t="shared" si="12"/>
        <v>3</v>
      </c>
      <c r="AF251" t="str">
        <f t="shared" si="13"/>
        <v>80.01.ZZ.03</v>
      </c>
      <c r="AH251" t="str">
        <f t="shared" si="14"/>
        <v>00 de 01</v>
      </c>
    </row>
    <row r="252" spans="1:34" ht="34.5" x14ac:dyDescent="0.25">
      <c r="A252" s="139" t="s">
        <v>116</v>
      </c>
      <c r="B252" s="105" t="s">
        <v>122</v>
      </c>
      <c r="C252" s="63">
        <v>240</v>
      </c>
      <c r="D252" s="197" t="s">
        <v>192</v>
      </c>
      <c r="E252" s="189" t="s">
        <v>482</v>
      </c>
      <c r="F252" s="190" t="s">
        <v>123</v>
      </c>
      <c r="G252" s="189" t="s">
        <v>134</v>
      </c>
      <c r="H252" s="191">
        <v>56192</v>
      </c>
      <c r="I252" s="189" t="s">
        <v>223</v>
      </c>
      <c r="J252" s="189">
        <v>0</v>
      </c>
      <c r="K252" s="189">
        <v>10201</v>
      </c>
      <c r="L252" s="191">
        <v>3</v>
      </c>
      <c r="M252" s="192">
        <v>46092</v>
      </c>
      <c r="N252" s="193">
        <v>1</v>
      </c>
      <c r="O252" s="194">
        <v>0.5</v>
      </c>
      <c r="P252" s="195"/>
      <c r="Q252" s="196" t="s">
        <v>38</v>
      </c>
      <c r="R252" s="197">
        <v>1</v>
      </c>
      <c r="S252" s="198" t="s">
        <v>33</v>
      </c>
      <c r="T252" s="199"/>
      <c r="U252" s="200"/>
      <c r="V252" s="200"/>
      <c r="W252" s="200"/>
      <c r="X252" s="200"/>
      <c r="Y252" s="200"/>
      <c r="Z252" s="200"/>
      <c r="AA252" s="200"/>
      <c r="AB252" s="200"/>
      <c r="AC252" s="208"/>
      <c r="AD252" s="11" t="str">
        <f t="shared" si="12"/>
        <v>3</v>
      </c>
      <c r="AF252" t="str">
        <f t="shared" si="13"/>
        <v>80.01.ZZ.03</v>
      </c>
      <c r="AH252" t="str">
        <f t="shared" si="14"/>
        <v>00 de 01</v>
      </c>
    </row>
    <row r="253" spans="1:34" ht="34.5" x14ac:dyDescent="0.25">
      <c r="A253" s="139" t="s">
        <v>116</v>
      </c>
      <c r="B253" s="105" t="s">
        <v>122</v>
      </c>
      <c r="C253" s="63">
        <v>241</v>
      </c>
      <c r="D253" s="197" t="s">
        <v>192</v>
      </c>
      <c r="E253" s="189" t="s">
        <v>483</v>
      </c>
      <c r="F253" s="190" t="s">
        <v>123</v>
      </c>
      <c r="G253" s="189" t="s">
        <v>134</v>
      </c>
      <c r="H253" s="191">
        <v>56192</v>
      </c>
      <c r="I253" s="189" t="s">
        <v>223</v>
      </c>
      <c r="J253" s="189">
        <v>0</v>
      </c>
      <c r="K253" s="189">
        <v>10201</v>
      </c>
      <c r="L253" s="191">
        <v>3</v>
      </c>
      <c r="M253" s="192">
        <v>46092</v>
      </c>
      <c r="N253" s="193">
        <v>1</v>
      </c>
      <c r="O253" s="194">
        <v>0.5</v>
      </c>
      <c r="P253" s="195"/>
      <c r="Q253" s="196" t="s">
        <v>38</v>
      </c>
      <c r="R253" s="197">
        <v>1</v>
      </c>
      <c r="S253" s="198" t="s">
        <v>33</v>
      </c>
      <c r="T253" s="199"/>
      <c r="U253" s="200"/>
      <c r="V253" s="200"/>
      <c r="W253" s="200"/>
      <c r="X253" s="200"/>
      <c r="Y253" s="200"/>
      <c r="Z253" s="200"/>
      <c r="AA253" s="200"/>
      <c r="AB253" s="200"/>
      <c r="AC253" s="208"/>
      <c r="AD253" s="11" t="str">
        <f t="shared" si="12"/>
        <v>3</v>
      </c>
      <c r="AF253" t="str">
        <f t="shared" si="13"/>
        <v>80.01.ZZ.03</v>
      </c>
      <c r="AH253" t="str">
        <f t="shared" si="14"/>
        <v>00 de 01</v>
      </c>
    </row>
    <row r="254" spans="1:34" ht="34.5" x14ac:dyDescent="0.25">
      <c r="A254" s="139" t="s">
        <v>116</v>
      </c>
      <c r="B254" s="105" t="s">
        <v>122</v>
      </c>
      <c r="C254" s="63">
        <v>242</v>
      </c>
      <c r="D254" s="197" t="s">
        <v>192</v>
      </c>
      <c r="E254" s="189" t="s">
        <v>484</v>
      </c>
      <c r="F254" s="190" t="s">
        <v>123</v>
      </c>
      <c r="G254" s="189" t="s">
        <v>134</v>
      </c>
      <c r="H254" s="191">
        <v>56192</v>
      </c>
      <c r="I254" s="189" t="s">
        <v>223</v>
      </c>
      <c r="J254" s="189">
        <v>0</v>
      </c>
      <c r="K254" s="189">
        <v>10201</v>
      </c>
      <c r="L254" s="191">
        <v>3</v>
      </c>
      <c r="M254" s="192">
        <v>46092</v>
      </c>
      <c r="N254" s="193">
        <v>1</v>
      </c>
      <c r="O254" s="194">
        <v>0.5</v>
      </c>
      <c r="P254" s="195"/>
      <c r="Q254" s="196" t="s">
        <v>38</v>
      </c>
      <c r="R254" s="197">
        <v>1</v>
      </c>
      <c r="S254" s="198" t="s">
        <v>33</v>
      </c>
      <c r="T254" s="199"/>
      <c r="U254" s="200"/>
      <c r="V254" s="200"/>
      <c r="W254" s="200"/>
      <c r="X254" s="200"/>
      <c r="Y254" s="200"/>
      <c r="Z254" s="200"/>
      <c r="AA254" s="200"/>
      <c r="AB254" s="200"/>
      <c r="AC254" s="208"/>
      <c r="AD254" s="11" t="str">
        <f t="shared" si="12"/>
        <v>3</v>
      </c>
      <c r="AF254" t="str">
        <f t="shared" si="13"/>
        <v>80.01.ZZ.03</v>
      </c>
      <c r="AH254" t="str">
        <f t="shared" si="14"/>
        <v>00 de 01</v>
      </c>
    </row>
    <row r="255" spans="1:34" ht="34.5" x14ac:dyDescent="0.25">
      <c r="A255" s="139" t="s">
        <v>116</v>
      </c>
      <c r="B255" s="105" t="s">
        <v>122</v>
      </c>
      <c r="C255" s="63">
        <v>243</v>
      </c>
      <c r="D255" s="197" t="s">
        <v>192</v>
      </c>
      <c r="E255" s="189" t="s">
        <v>485</v>
      </c>
      <c r="F255" s="190" t="s">
        <v>123</v>
      </c>
      <c r="G255" s="189" t="s">
        <v>134</v>
      </c>
      <c r="H255" s="191">
        <v>56192</v>
      </c>
      <c r="I255" s="189" t="s">
        <v>223</v>
      </c>
      <c r="J255" s="189">
        <v>0</v>
      </c>
      <c r="K255" s="189">
        <v>10201</v>
      </c>
      <c r="L255" s="191">
        <v>3</v>
      </c>
      <c r="M255" s="192">
        <v>46092</v>
      </c>
      <c r="N255" s="193">
        <v>1</v>
      </c>
      <c r="O255" s="194">
        <v>0.5</v>
      </c>
      <c r="P255" s="195"/>
      <c r="Q255" s="196" t="s">
        <v>38</v>
      </c>
      <c r="R255" s="197">
        <v>1</v>
      </c>
      <c r="S255" s="198" t="s">
        <v>33</v>
      </c>
      <c r="T255" s="199"/>
      <c r="U255" s="200"/>
      <c r="V255" s="200"/>
      <c r="W255" s="200"/>
      <c r="X255" s="200"/>
      <c r="Y255" s="200"/>
      <c r="Z255" s="200"/>
      <c r="AA255" s="200"/>
      <c r="AB255" s="200"/>
      <c r="AC255" s="208"/>
      <c r="AD255" s="11" t="str">
        <f t="shared" si="12"/>
        <v>3</v>
      </c>
      <c r="AF255" t="str">
        <f t="shared" si="13"/>
        <v>80.01.ZZ.03</v>
      </c>
      <c r="AH255" t="str">
        <f t="shared" si="14"/>
        <v>00 de 01</v>
      </c>
    </row>
    <row r="256" spans="1:34" ht="34.5" x14ac:dyDescent="0.25">
      <c r="A256" s="139" t="s">
        <v>116</v>
      </c>
      <c r="B256" s="105" t="s">
        <v>122</v>
      </c>
      <c r="C256" s="63">
        <v>244</v>
      </c>
      <c r="D256" s="197" t="s">
        <v>192</v>
      </c>
      <c r="E256" s="189" t="s">
        <v>486</v>
      </c>
      <c r="F256" s="190" t="s">
        <v>123</v>
      </c>
      <c r="G256" s="189" t="s">
        <v>134</v>
      </c>
      <c r="H256" s="191">
        <v>56192</v>
      </c>
      <c r="I256" s="189" t="s">
        <v>223</v>
      </c>
      <c r="J256" s="189">
        <v>0</v>
      </c>
      <c r="K256" s="189">
        <v>10201</v>
      </c>
      <c r="L256" s="191">
        <v>3</v>
      </c>
      <c r="M256" s="192">
        <v>46092</v>
      </c>
      <c r="N256" s="193">
        <v>1</v>
      </c>
      <c r="O256" s="194">
        <v>0.5</v>
      </c>
      <c r="P256" s="195"/>
      <c r="Q256" s="196" t="s">
        <v>38</v>
      </c>
      <c r="R256" s="197">
        <v>1</v>
      </c>
      <c r="S256" s="198" t="s">
        <v>33</v>
      </c>
      <c r="T256" s="199"/>
      <c r="U256" s="200"/>
      <c r="V256" s="200"/>
      <c r="W256" s="200"/>
      <c r="X256" s="200"/>
      <c r="Y256" s="200"/>
      <c r="Z256" s="200"/>
      <c r="AA256" s="200"/>
      <c r="AB256" s="200"/>
      <c r="AC256" s="208"/>
      <c r="AD256" s="11" t="str">
        <f t="shared" si="12"/>
        <v>3</v>
      </c>
      <c r="AF256" t="str">
        <f t="shared" si="13"/>
        <v>80.01.ZZ.03</v>
      </c>
      <c r="AH256" t="str">
        <f t="shared" si="14"/>
        <v>00 de 01</v>
      </c>
    </row>
    <row r="257" spans="1:34" ht="34.5" x14ac:dyDescent="0.25">
      <c r="A257" s="139" t="s">
        <v>116</v>
      </c>
      <c r="B257" s="105" t="s">
        <v>122</v>
      </c>
      <c r="C257" s="63">
        <v>245</v>
      </c>
      <c r="D257" s="197" t="s">
        <v>192</v>
      </c>
      <c r="E257" s="189" t="s">
        <v>487</v>
      </c>
      <c r="F257" s="190" t="s">
        <v>123</v>
      </c>
      <c r="G257" s="189" t="s">
        <v>134</v>
      </c>
      <c r="H257" s="191">
        <v>56192</v>
      </c>
      <c r="I257" s="189" t="s">
        <v>223</v>
      </c>
      <c r="J257" s="189">
        <v>0</v>
      </c>
      <c r="K257" s="189">
        <v>10201</v>
      </c>
      <c r="L257" s="191">
        <v>3</v>
      </c>
      <c r="M257" s="192">
        <v>46092</v>
      </c>
      <c r="N257" s="193">
        <v>1</v>
      </c>
      <c r="O257" s="194">
        <v>0.5</v>
      </c>
      <c r="P257" s="195"/>
      <c r="Q257" s="196" t="s">
        <v>38</v>
      </c>
      <c r="R257" s="197">
        <v>1</v>
      </c>
      <c r="S257" s="198" t="s">
        <v>33</v>
      </c>
      <c r="T257" s="199"/>
      <c r="U257" s="200"/>
      <c r="V257" s="200"/>
      <c r="W257" s="200"/>
      <c r="X257" s="200"/>
      <c r="Y257" s="200"/>
      <c r="Z257" s="200"/>
      <c r="AA257" s="200"/>
      <c r="AB257" s="200"/>
      <c r="AC257" s="208"/>
      <c r="AD257" s="11" t="str">
        <f t="shared" si="12"/>
        <v>3</v>
      </c>
      <c r="AF257" t="str">
        <f t="shared" si="13"/>
        <v>80.01.ZZ.03</v>
      </c>
      <c r="AH257" t="str">
        <f t="shared" si="14"/>
        <v>00 de 01</v>
      </c>
    </row>
    <row r="258" spans="1:34" ht="34.5" x14ac:dyDescent="0.25">
      <c r="A258" s="139" t="s">
        <v>116</v>
      </c>
      <c r="B258" s="105" t="s">
        <v>122</v>
      </c>
      <c r="C258" s="63">
        <v>246</v>
      </c>
      <c r="D258" s="197" t="s">
        <v>192</v>
      </c>
      <c r="E258" s="189" t="s">
        <v>488</v>
      </c>
      <c r="F258" s="190" t="s">
        <v>123</v>
      </c>
      <c r="G258" s="189" t="s">
        <v>134</v>
      </c>
      <c r="H258" s="191">
        <v>56192</v>
      </c>
      <c r="I258" s="189" t="s">
        <v>223</v>
      </c>
      <c r="J258" s="189">
        <v>0</v>
      </c>
      <c r="K258" s="189">
        <v>10201</v>
      </c>
      <c r="L258" s="191">
        <v>3</v>
      </c>
      <c r="M258" s="192">
        <v>46092</v>
      </c>
      <c r="N258" s="193">
        <v>1</v>
      </c>
      <c r="O258" s="194">
        <v>0.5</v>
      </c>
      <c r="P258" s="195"/>
      <c r="Q258" s="196" t="s">
        <v>38</v>
      </c>
      <c r="R258" s="197">
        <v>1</v>
      </c>
      <c r="S258" s="198" t="s">
        <v>33</v>
      </c>
      <c r="T258" s="199"/>
      <c r="U258" s="200"/>
      <c r="V258" s="200"/>
      <c r="W258" s="200"/>
      <c r="X258" s="200"/>
      <c r="Y258" s="200"/>
      <c r="Z258" s="200"/>
      <c r="AA258" s="200"/>
      <c r="AB258" s="200"/>
      <c r="AC258" s="208"/>
      <c r="AD258" s="11" t="str">
        <f t="shared" si="12"/>
        <v>3</v>
      </c>
      <c r="AF258" t="str">
        <f t="shared" si="13"/>
        <v>80.01.ZZ.03</v>
      </c>
      <c r="AH258" t="str">
        <f t="shared" si="14"/>
        <v>00 de 01</v>
      </c>
    </row>
    <row r="259" spans="1:34" ht="34.5" x14ac:dyDescent="0.25">
      <c r="A259" s="139" t="s">
        <v>116</v>
      </c>
      <c r="B259" s="105" t="s">
        <v>122</v>
      </c>
      <c r="C259" s="63">
        <v>247</v>
      </c>
      <c r="D259" s="197" t="s">
        <v>192</v>
      </c>
      <c r="E259" s="189" t="s">
        <v>489</v>
      </c>
      <c r="F259" s="190" t="s">
        <v>123</v>
      </c>
      <c r="G259" s="189" t="s">
        <v>134</v>
      </c>
      <c r="H259" s="191">
        <v>56192</v>
      </c>
      <c r="I259" s="189" t="s">
        <v>223</v>
      </c>
      <c r="J259" s="189">
        <v>0</v>
      </c>
      <c r="K259" s="189">
        <v>10201</v>
      </c>
      <c r="L259" s="191">
        <v>3</v>
      </c>
      <c r="M259" s="192">
        <v>46092</v>
      </c>
      <c r="N259" s="193">
        <v>1</v>
      </c>
      <c r="O259" s="194">
        <v>0.5</v>
      </c>
      <c r="P259" s="195"/>
      <c r="Q259" s="196" t="s">
        <v>38</v>
      </c>
      <c r="R259" s="197">
        <v>1</v>
      </c>
      <c r="S259" s="198" t="s">
        <v>33</v>
      </c>
      <c r="T259" s="199"/>
      <c r="U259" s="200"/>
      <c r="V259" s="200"/>
      <c r="W259" s="200"/>
      <c r="X259" s="200"/>
      <c r="Y259" s="200"/>
      <c r="Z259" s="200"/>
      <c r="AA259" s="200"/>
      <c r="AB259" s="200"/>
      <c r="AC259" s="208"/>
      <c r="AD259" s="11" t="str">
        <f t="shared" si="12"/>
        <v>3</v>
      </c>
      <c r="AF259" t="str">
        <f t="shared" si="13"/>
        <v>80.01.ZZ.03</v>
      </c>
      <c r="AH259" t="str">
        <f t="shared" si="14"/>
        <v>00 de 01</v>
      </c>
    </row>
    <row r="260" spans="1:34" ht="34.5" x14ac:dyDescent="0.25">
      <c r="A260" s="139" t="s">
        <v>116</v>
      </c>
      <c r="B260" s="105" t="s">
        <v>122</v>
      </c>
      <c r="C260" s="63">
        <v>248</v>
      </c>
      <c r="D260" s="197" t="s">
        <v>192</v>
      </c>
      <c r="E260" s="189" t="s">
        <v>490</v>
      </c>
      <c r="F260" s="190" t="s">
        <v>123</v>
      </c>
      <c r="G260" s="189" t="s">
        <v>134</v>
      </c>
      <c r="H260" s="191">
        <v>56192</v>
      </c>
      <c r="I260" s="189" t="s">
        <v>223</v>
      </c>
      <c r="J260" s="189">
        <v>0</v>
      </c>
      <c r="K260" s="189">
        <v>10201</v>
      </c>
      <c r="L260" s="191">
        <v>3</v>
      </c>
      <c r="M260" s="192">
        <v>46092</v>
      </c>
      <c r="N260" s="193">
        <v>1</v>
      </c>
      <c r="O260" s="194">
        <v>0.5</v>
      </c>
      <c r="P260" s="195"/>
      <c r="Q260" s="196" t="s">
        <v>38</v>
      </c>
      <c r="R260" s="197">
        <v>1</v>
      </c>
      <c r="S260" s="198" t="s">
        <v>33</v>
      </c>
      <c r="T260" s="199"/>
      <c r="U260" s="200"/>
      <c r="V260" s="200"/>
      <c r="W260" s="200"/>
      <c r="X260" s="200"/>
      <c r="Y260" s="200"/>
      <c r="Z260" s="200"/>
      <c r="AA260" s="200"/>
      <c r="AB260" s="200"/>
      <c r="AC260" s="208"/>
      <c r="AD260" s="11" t="str">
        <f t="shared" si="12"/>
        <v>3</v>
      </c>
      <c r="AF260" t="str">
        <f t="shared" si="13"/>
        <v>80.01.ZZ.03</v>
      </c>
      <c r="AH260" t="str">
        <f t="shared" si="14"/>
        <v>00 de 01</v>
      </c>
    </row>
    <row r="261" spans="1:34" ht="34.5" x14ac:dyDescent="0.25">
      <c r="A261" s="139" t="s">
        <v>116</v>
      </c>
      <c r="B261" s="105" t="s">
        <v>122</v>
      </c>
      <c r="C261" s="63">
        <v>249</v>
      </c>
      <c r="D261" s="197" t="s">
        <v>192</v>
      </c>
      <c r="E261" s="189" t="s">
        <v>491</v>
      </c>
      <c r="F261" s="190" t="s">
        <v>123</v>
      </c>
      <c r="G261" s="189" t="s">
        <v>134</v>
      </c>
      <c r="H261" s="191">
        <v>56192</v>
      </c>
      <c r="I261" s="189" t="s">
        <v>223</v>
      </c>
      <c r="J261" s="189">
        <v>0</v>
      </c>
      <c r="K261" s="189">
        <v>10201</v>
      </c>
      <c r="L261" s="191">
        <v>3</v>
      </c>
      <c r="M261" s="192">
        <v>46092</v>
      </c>
      <c r="N261" s="193">
        <v>1</v>
      </c>
      <c r="O261" s="194">
        <v>0.5</v>
      </c>
      <c r="P261" s="195"/>
      <c r="Q261" s="196" t="s">
        <v>38</v>
      </c>
      <c r="R261" s="197">
        <v>1</v>
      </c>
      <c r="S261" s="198" t="s">
        <v>33</v>
      </c>
      <c r="T261" s="199"/>
      <c r="U261" s="200"/>
      <c r="V261" s="200"/>
      <c r="W261" s="200"/>
      <c r="X261" s="200"/>
      <c r="Y261" s="200"/>
      <c r="Z261" s="200"/>
      <c r="AA261" s="200"/>
      <c r="AB261" s="200"/>
      <c r="AC261" s="208"/>
      <c r="AD261" s="11" t="str">
        <f t="shared" si="12"/>
        <v>3</v>
      </c>
      <c r="AF261" t="str">
        <f t="shared" si="13"/>
        <v>80.01.ZZ.03</v>
      </c>
      <c r="AH261" t="str">
        <f t="shared" si="14"/>
        <v>00 de 01</v>
      </c>
    </row>
    <row r="262" spans="1:34" ht="34.5" x14ac:dyDescent="0.25">
      <c r="A262" s="139" t="s">
        <v>116</v>
      </c>
      <c r="B262" s="105" t="s">
        <v>122</v>
      </c>
      <c r="C262" s="63">
        <v>250</v>
      </c>
      <c r="D262" s="197" t="s">
        <v>192</v>
      </c>
      <c r="E262" s="189" t="s">
        <v>492</v>
      </c>
      <c r="F262" s="190" t="s">
        <v>123</v>
      </c>
      <c r="G262" s="189" t="s">
        <v>134</v>
      </c>
      <c r="H262" s="191">
        <v>56192</v>
      </c>
      <c r="I262" s="189" t="s">
        <v>223</v>
      </c>
      <c r="J262" s="189">
        <v>0</v>
      </c>
      <c r="K262" s="189">
        <v>10201</v>
      </c>
      <c r="L262" s="191">
        <v>3</v>
      </c>
      <c r="M262" s="192">
        <v>46092</v>
      </c>
      <c r="N262" s="193">
        <v>1</v>
      </c>
      <c r="O262" s="194">
        <v>0.5</v>
      </c>
      <c r="P262" s="195"/>
      <c r="Q262" s="196" t="s">
        <v>38</v>
      </c>
      <c r="R262" s="197">
        <v>1</v>
      </c>
      <c r="S262" s="198" t="s">
        <v>33</v>
      </c>
      <c r="T262" s="199"/>
      <c r="U262" s="200"/>
      <c r="V262" s="200"/>
      <c r="W262" s="200"/>
      <c r="X262" s="200"/>
      <c r="Y262" s="200"/>
      <c r="Z262" s="200"/>
      <c r="AA262" s="200"/>
      <c r="AB262" s="200"/>
      <c r="AC262" s="208"/>
      <c r="AD262" s="11" t="str">
        <f t="shared" si="12"/>
        <v>3</v>
      </c>
      <c r="AF262" t="str">
        <f t="shared" si="13"/>
        <v>80.01.ZZ.03</v>
      </c>
      <c r="AH262" t="str">
        <f t="shared" si="14"/>
        <v>00 de 01</v>
      </c>
    </row>
    <row r="263" spans="1:34" ht="34.5" x14ac:dyDescent="0.25">
      <c r="A263" s="139" t="s">
        <v>116</v>
      </c>
      <c r="B263" s="105" t="s">
        <v>122</v>
      </c>
      <c r="C263" s="63">
        <v>251</v>
      </c>
      <c r="D263" s="197" t="s">
        <v>192</v>
      </c>
      <c r="E263" s="189" t="s">
        <v>493</v>
      </c>
      <c r="F263" s="190" t="s">
        <v>123</v>
      </c>
      <c r="G263" s="189" t="s">
        <v>134</v>
      </c>
      <c r="H263" s="191">
        <v>56192</v>
      </c>
      <c r="I263" s="189" t="s">
        <v>223</v>
      </c>
      <c r="J263" s="189">
        <v>0</v>
      </c>
      <c r="K263" s="189">
        <v>10201</v>
      </c>
      <c r="L263" s="191">
        <v>3</v>
      </c>
      <c r="M263" s="192">
        <v>46092</v>
      </c>
      <c r="N263" s="193">
        <v>1</v>
      </c>
      <c r="O263" s="194">
        <v>0.5</v>
      </c>
      <c r="P263" s="195"/>
      <c r="Q263" s="196" t="s">
        <v>38</v>
      </c>
      <c r="R263" s="197">
        <v>1</v>
      </c>
      <c r="S263" s="198" t="s">
        <v>33</v>
      </c>
      <c r="T263" s="199"/>
      <c r="U263" s="200"/>
      <c r="V263" s="200"/>
      <c r="W263" s="200"/>
      <c r="X263" s="200"/>
      <c r="Y263" s="200"/>
      <c r="Z263" s="200"/>
      <c r="AA263" s="200"/>
      <c r="AB263" s="200"/>
      <c r="AC263" s="208"/>
      <c r="AD263" s="11" t="str">
        <f t="shared" si="12"/>
        <v>3</v>
      </c>
      <c r="AF263" t="str">
        <f t="shared" si="13"/>
        <v>80.01.ZZ.03</v>
      </c>
      <c r="AH263" t="str">
        <f t="shared" si="14"/>
        <v>00 de 01</v>
      </c>
    </row>
    <row r="264" spans="1:34" ht="34.5" x14ac:dyDescent="0.25">
      <c r="A264" s="139" t="s">
        <v>116</v>
      </c>
      <c r="B264" s="105" t="s">
        <v>122</v>
      </c>
      <c r="C264" s="63">
        <v>252</v>
      </c>
      <c r="D264" s="197" t="s">
        <v>192</v>
      </c>
      <c r="E264" s="189" t="s">
        <v>494</v>
      </c>
      <c r="F264" s="190" t="s">
        <v>123</v>
      </c>
      <c r="G264" s="189" t="s">
        <v>134</v>
      </c>
      <c r="H264" s="191">
        <v>56192</v>
      </c>
      <c r="I264" s="189" t="s">
        <v>223</v>
      </c>
      <c r="J264" s="189">
        <v>0</v>
      </c>
      <c r="K264" s="189">
        <v>10201</v>
      </c>
      <c r="L264" s="191">
        <v>3</v>
      </c>
      <c r="M264" s="192">
        <v>46092</v>
      </c>
      <c r="N264" s="193">
        <v>1</v>
      </c>
      <c r="O264" s="194">
        <v>0.5</v>
      </c>
      <c r="P264" s="195"/>
      <c r="Q264" s="196" t="s">
        <v>38</v>
      </c>
      <c r="R264" s="197">
        <v>1</v>
      </c>
      <c r="S264" s="198" t="s">
        <v>33</v>
      </c>
      <c r="T264" s="199"/>
      <c r="U264" s="200"/>
      <c r="V264" s="200"/>
      <c r="W264" s="200"/>
      <c r="X264" s="200"/>
      <c r="Y264" s="200"/>
      <c r="Z264" s="200"/>
      <c r="AA264" s="200"/>
      <c r="AB264" s="200"/>
      <c r="AC264" s="208"/>
      <c r="AD264" s="11" t="str">
        <f t="shared" si="12"/>
        <v>3</v>
      </c>
      <c r="AF264" t="str">
        <f t="shared" si="13"/>
        <v>80.01.ZZ.03</v>
      </c>
      <c r="AH264" t="str">
        <f t="shared" si="14"/>
        <v>00 de 01</v>
      </c>
    </row>
    <row r="265" spans="1:34" ht="34.5" x14ac:dyDescent="0.25">
      <c r="A265" s="139" t="s">
        <v>116</v>
      </c>
      <c r="B265" s="105" t="s">
        <v>122</v>
      </c>
      <c r="C265" s="63">
        <v>253</v>
      </c>
      <c r="D265" s="197" t="s">
        <v>192</v>
      </c>
      <c r="E265" s="189" t="s">
        <v>241</v>
      </c>
      <c r="F265" s="190" t="s">
        <v>123</v>
      </c>
      <c r="G265" s="189" t="s">
        <v>134</v>
      </c>
      <c r="H265" s="191">
        <v>56192</v>
      </c>
      <c r="I265" s="189" t="s">
        <v>223</v>
      </c>
      <c r="J265" s="189">
        <v>0</v>
      </c>
      <c r="K265" s="189">
        <v>12001</v>
      </c>
      <c r="L265" s="191">
        <v>3</v>
      </c>
      <c r="M265" s="192">
        <v>46092</v>
      </c>
      <c r="N265" s="193">
        <v>1</v>
      </c>
      <c r="O265" s="194">
        <v>0.5</v>
      </c>
      <c r="P265" s="195"/>
      <c r="Q265" s="196" t="s">
        <v>38</v>
      </c>
      <c r="R265" s="197">
        <v>1</v>
      </c>
      <c r="S265" s="198" t="s">
        <v>33</v>
      </c>
      <c r="T265" s="199"/>
      <c r="U265" s="200"/>
      <c r="V265" s="200"/>
      <c r="W265" s="200"/>
      <c r="X265" s="200"/>
      <c r="Y265" s="200"/>
      <c r="Z265" s="200"/>
      <c r="AA265" s="200"/>
      <c r="AB265" s="200"/>
      <c r="AC265" s="208"/>
      <c r="AD265" s="11" t="str">
        <f t="shared" si="12"/>
        <v>3</v>
      </c>
      <c r="AF265" t="str">
        <f t="shared" si="13"/>
        <v>80.01.ZZ.03</v>
      </c>
      <c r="AH265" t="str">
        <f t="shared" si="14"/>
        <v>00 de 01</v>
      </c>
    </row>
    <row r="266" spans="1:34" ht="34.5" x14ac:dyDescent="0.25">
      <c r="A266" s="139" t="s">
        <v>116</v>
      </c>
      <c r="B266" s="105" t="s">
        <v>122</v>
      </c>
      <c r="C266" s="63">
        <v>254</v>
      </c>
      <c r="D266" s="197" t="s">
        <v>192</v>
      </c>
      <c r="E266" s="189" t="s">
        <v>495</v>
      </c>
      <c r="F266" s="190" t="s">
        <v>123</v>
      </c>
      <c r="G266" s="189" t="s">
        <v>134</v>
      </c>
      <c r="H266" s="191">
        <v>56192</v>
      </c>
      <c r="I266" s="189" t="s">
        <v>223</v>
      </c>
      <c r="J266" s="189">
        <v>0</v>
      </c>
      <c r="K266" s="189">
        <v>12001</v>
      </c>
      <c r="L266" s="191">
        <v>3</v>
      </c>
      <c r="M266" s="192">
        <v>46092</v>
      </c>
      <c r="N266" s="193">
        <v>1</v>
      </c>
      <c r="O266" s="194">
        <v>0.5</v>
      </c>
      <c r="P266" s="195"/>
      <c r="Q266" s="196" t="s">
        <v>38</v>
      </c>
      <c r="R266" s="197">
        <v>1</v>
      </c>
      <c r="S266" s="198" t="s">
        <v>33</v>
      </c>
      <c r="T266" s="199"/>
      <c r="U266" s="200"/>
      <c r="V266" s="200"/>
      <c r="W266" s="200"/>
      <c r="X266" s="200"/>
      <c r="Y266" s="200"/>
      <c r="Z266" s="200"/>
      <c r="AA266" s="200"/>
      <c r="AB266" s="200"/>
      <c r="AC266" s="208"/>
      <c r="AD266" s="11" t="str">
        <f t="shared" si="12"/>
        <v>3</v>
      </c>
      <c r="AF266" t="str">
        <f t="shared" si="13"/>
        <v>80.01.ZZ.03</v>
      </c>
      <c r="AH266" t="str">
        <f t="shared" si="14"/>
        <v>00 de 01</v>
      </c>
    </row>
    <row r="267" spans="1:34" ht="34.5" x14ac:dyDescent="0.25">
      <c r="A267" s="139" t="s">
        <v>116</v>
      </c>
      <c r="B267" s="105" t="s">
        <v>122</v>
      </c>
      <c r="C267" s="63">
        <v>255</v>
      </c>
      <c r="D267" s="197" t="s">
        <v>192</v>
      </c>
      <c r="E267" s="189" t="s">
        <v>496</v>
      </c>
      <c r="F267" s="190" t="s">
        <v>123</v>
      </c>
      <c r="G267" s="189" t="s">
        <v>134</v>
      </c>
      <c r="H267" s="191">
        <v>56192</v>
      </c>
      <c r="I267" s="189" t="s">
        <v>223</v>
      </c>
      <c r="J267" s="189">
        <v>0</v>
      </c>
      <c r="K267" s="189">
        <v>12001</v>
      </c>
      <c r="L267" s="191">
        <v>3</v>
      </c>
      <c r="M267" s="192">
        <v>46092</v>
      </c>
      <c r="N267" s="193">
        <v>1</v>
      </c>
      <c r="O267" s="194">
        <v>0.5</v>
      </c>
      <c r="P267" s="195"/>
      <c r="Q267" s="196" t="s">
        <v>38</v>
      </c>
      <c r="R267" s="197">
        <v>1</v>
      </c>
      <c r="S267" s="198" t="s">
        <v>33</v>
      </c>
      <c r="T267" s="199"/>
      <c r="U267" s="200"/>
      <c r="V267" s="200"/>
      <c r="W267" s="200"/>
      <c r="X267" s="200"/>
      <c r="Y267" s="200"/>
      <c r="Z267" s="200"/>
      <c r="AA267" s="200"/>
      <c r="AB267" s="200"/>
      <c r="AC267" s="208"/>
      <c r="AD267" s="11" t="str">
        <f t="shared" si="12"/>
        <v>3</v>
      </c>
      <c r="AF267" t="str">
        <f t="shared" si="13"/>
        <v>80.01.ZZ.03</v>
      </c>
      <c r="AH267" t="str">
        <f t="shared" si="14"/>
        <v>00 de 01</v>
      </c>
    </row>
    <row r="268" spans="1:34" ht="34.5" x14ac:dyDescent="0.25">
      <c r="A268" s="139" t="s">
        <v>116</v>
      </c>
      <c r="B268" s="105" t="s">
        <v>122</v>
      </c>
      <c r="C268" s="63">
        <v>256</v>
      </c>
      <c r="D268" s="197" t="s">
        <v>192</v>
      </c>
      <c r="E268" s="189" t="s">
        <v>497</v>
      </c>
      <c r="F268" s="190" t="s">
        <v>123</v>
      </c>
      <c r="G268" s="189" t="s">
        <v>134</v>
      </c>
      <c r="H268" s="191">
        <v>56192</v>
      </c>
      <c r="I268" s="189" t="s">
        <v>223</v>
      </c>
      <c r="J268" s="189">
        <v>0</v>
      </c>
      <c r="K268" s="189">
        <v>12001</v>
      </c>
      <c r="L268" s="191">
        <v>3</v>
      </c>
      <c r="M268" s="192">
        <v>46092</v>
      </c>
      <c r="N268" s="193">
        <v>1</v>
      </c>
      <c r="O268" s="194">
        <v>0.5</v>
      </c>
      <c r="P268" s="195"/>
      <c r="Q268" s="196" t="s">
        <v>38</v>
      </c>
      <c r="R268" s="197">
        <v>1</v>
      </c>
      <c r="S268" s="198" t="s">
        <v>33</v>
      </c>
      <c r="T268" s="199"/>
      <c r="U268" s="200"/>
      <c r="V268" s="200"/>
      <c r="W268" s="200"/>
      <c r="X268" s="200"/>
      <c r="Y268" s="200"/>
      <c r="Z268" s="200"/>
      <c r="AA268" s="200"/>
      <c r="AB268" s="200"/>
      <c r="AC268" s="208"/>
      <c r="AD268" s="11" t="str">
        <f t="shared" si="12"/>
        <v>3</v>
      </c>
      <c r="AF268" t="str">
        <f t="shared" si="13"/>
        <v>80.01.ZZ.03</v>
      </c>
      <c r="AH268" t="str">
        <f t="shared" si="14"/>
        <v>00 de 01</v>
      </c>
    </row>
    <row r="269" spans="1:34" ht="34.5" x14ac:dyDescent="0.25">
      <c r="A269" s="139" t="s">
        <v>116</v>
      </c>
      <c r="B269" s="105" t="s">
        <v>122</v>
      </c>
      <c r="C269" s="63">
        <v>257</v>
      </c>
      <c r="D269" s="197" t="s">
        <v>192</v>
      </c>
      <c r="E269" s="189" t="s">
        <v>498</v>
      </c>
      <c r="F269" s="190" t="s">
        <v>123</v>
      </c>
      <c r="G269" s="189" t="s">
        <v>134</v>
      </c>
      <c r="H269" s="191">
        <v>56192</v>
      </c>
      <c r="I269" s="189" t="s">
        <v>223</v>
      </c>
      <c r="J269" s="189">
        <v>0</v>
      </c>
      <c r="K269" s="189">
        <v>12001</v>
      </c>
      <c r="L269" s="191">
        <v>3</v>
      </c>
      <c r="M269" s="192">
        <v>46092</v>
      </c>
      <c r="N269" s="193">
        <v>1</v>
      </c>
      <c r="O269" s="194">
        <v>0.5</v>
      </c>
      <c r="P269" s="195"/>
      <c r="Q269" s="196" t="s">
        <v>38</v>
      </c>
      <c r="R269" s="197">
        <v>1</v>
      </c>
      <c r="S269" s="198" t="s">
        <v>33</v>
      </c>
      <c r="T269" s="199"/>
      <c r="U269" s="200"/>
      <c r="V269" s="200"/>
      <c r="W269" s="200"/>
      <c r="X269" s="200"/>
      <c r="Y269" s="200"/>
      <c r="Z269" s="200"/>
      <c r="AA269" s="200"/>
      <c r="AB269" s="200"/>
      <c r="AC269" s="208"/>
      <c r="AD269" s="11" t="str">
        <f t="shared" si="12"/>
        <v>3</v>
      </c>
      <c r="AF269" t="str">
        <f t="shared" si="13"/>
        <v>80.01.ZZ.03</v>
      </c>
      <c r="AH269" t="str">
        <f t="shared" si="14"/>
        <v>00 de 01</v>
      </c>
    </row>
    <row r="270" spans="1:34" ht="34.5" x14ac:dyDescent="0.25">
      <c r="A270" s="139" t="s">
        <v>116</v>
      </c>
      <c r="B270" s="105" t="s">
        <v>122</v>
      </c>
      <c r="C270" s="63">
        <v>258</v>
      </c>
      <c r="D270" s="197" t="s">
        <v>192</v>
      </c>
      <c r="E270" s="189" t="s">
        <v>499</v>
      </c>
      <c r="F270" s="190" t="s">
        <v>123</v>
      </c>
      <c r="G270" s="189" t="s">
        <v>134</v>
      </c>
      <c r="H270" s="191">
        <v>56192</v>
      </c>
      <c r="I270" s="189" t="s">
        <v>223</v>
      </c>
      <c r="J270" s="189">
        <v>0</v>
      </c>
      <c r="K270" s="189">
        <v>12001</v>
      </c>
      <c r="L270" s="191">
        <v>3</v>
      </c>
      <c r="M270" s="192">
        <v>46092</v>
      </c>
      <c r="N270" s="193">
        <v>1</v>
      </c>
      <c r="O270" s="194">
        <v>0.5</v>
      </c>
      <c r="P270" s="195"/>
      <c r="Q270" s="196" t="s">
        <v>38</v>
      </c>
      <c r="R270" s="197">
        <v>1</v>
      </c>
      <c r="S270" s="198" t="s">
        <v>33</v>
      </c>
      <c r="T270" s="199"/>
      <c r="U270" s="200"/>
      <c r="V270" s="200"/>
      <c r="W270" s="200"/>
      <c r="X270" s="200"/>
      <c r="Y270" s="200"/>
      <c r="Z270" s="200"/>
      <c r="AA270" s="200"/>
      <c r="AB270" s="200"/>
      <c r="AC270" s="208"/>
      <c r="AD270" s="11" t="str">
        <f t="shared" si="12"/>
        <v>3</v>
      </c>
      <c r="AF270" t="str">
        <f t="shared" si="13"/>
        <v>80.01.ZZ.03</v>
      </c>
      <c r="AH270" t="str">
        <f t="shared" si="14"/>
        <v>00 de 01</v>
      </c>
    </row>
    <row r="271" spans="1:34" ht="34.5" x14ac:dyDescent="0.25">
      <c r="A271" s="139" t="s">
        <v>116</v>
      </c>
      <c r="B271" s="105" t="s">
        <v>122</v>
      </c>
      <c r="C271" s="63">
        <v>259</v>
      </c>
      <c r="D271" s="197" t="s">
        <v>192</v>
      </c>
      <c r="E271" s="189" t="s">
        <v>500</v>
      </c>
      <c r="F271" s="190" t="s">
        <v>123</v>
      </c>
      <c r="G271" s="189" t="s">
        <v>134</v>
      </c>
      <c r="H271" s="191">
        <v>56192</v>
      </c>
      <c r="I271" s="189" t="s">
        <v>223</v>
      </c>
      <c r="J271" s="189">
        <v>0</v>
      </c>
      <c r="K271" s="189">
        <v>12001</v>
      </c>
      <c r="L271" s="191">
        <v>3</v>
      </c>
      <c r="M271" s="192">
        <v>46092</v>
      </c>
      <c r="N271" s="193">
        <v>1</v>
      </c>
      <c r="O271" s="194">
        <v>0.5</v>
      </c>
      <c r="P271" s="195"/>
      <c r="Q271" s="196" t="s">
        <v>38</v>
      </c>
      <c r="R271" s="197">
        <v>1</v>
      </c>
      <c r="S271" s="198" t="s">
        <v>33</v>
      </c>
      <c r="T271" s="199"/>
      <c r="U271" s="200"/>
      <c r="V271" s="200"/>
      <c r="W271" s="200"/>
      <c r="X271" s="200"/>
      <c r="Y271" s="200"/>
      <c r="Z271" s="200"/>
      <c r="AA271" s="200"/>
      <c r="AB271" s="200"/>
      <c r="AC271" s="208"/>
      <c r="AD271" s="11" t="str">
        <f t="shared" si="12"/>
        <v>3</v>
      </c>
      <c r="AF271" t="str">
        <f t="shared" si="13"/>
        <v>80.01.ZZ.03</v>
      </c>
      <c r="AH271" t="str">
        <f t="shared" si="14"/>
        <v>00 de 01</v>
      </c>
    </row>
    <row r="272" spans="1:34" ht="34.5" x14ac:dyDescent="0.25">
      <c r="A272" s="139" t="s">
        <v>116</v>
      </c>
      <c r="B272" s="105" t="s">
        <v>122</v>
      </c>
      <c r="C272" s="63">
        <v>260</v>
      </c>
      <c r="D272" s="197" t="s">
        <v>192</v>
      </c>
      <c r="E272" s="189" t="s">
        <v>501</v>
      </c>
      <c r="F272" s="190" t="s">
        <v>123</v>
      </c>
      <c r="G272" s="189" t="s">
        <v>134</v>
      </c>
      <c r="H272" s="191">
        <v>56192</v>
      </c>
      <c r="I272" s="189" t="s">
        <v>223</v>
      </c>
      <c r="J272" s="189">
        <v>0</v>
      </c>
      <c r="K272" s="189">
        <v>12001</v>
      </c>
      <c r="L272" s="191">
        <v>3</v>
      </c>
      <c r="M272" s="192">
        <v>46092</v>
      </c>
      <c r="N272" s="193">
        <v>1</v>
      </c>
      <c r="O272" s="194">
        <v>0.5</v>
      </c>
      <c r="P272" s="195"/>
      <c r="Q272" s="196" t="s">
        <v>38</v>
      </c>
      <c r="R272" s="197">
        <v>1</v>
      </c>
      <c r="S272" s="198" t="s">
        <v>33</v>
      </c>
      <c r="T272" s="199"/>
      <c r="U272" s="200"/>
      <c r="V272" s="200"/>
      <c r="W272" s="200"/>
      <c r="X272" s="200"/>
      <c r="Y272" s="200"/>
      <c r="Z272" s="200"/>
      <c r="AA272" s="200"/>
      <c r="AB272" s="200"/>
      <c r="AC272" s="208"/>
      <c r="AD272" s="11" t="str">
        <f t="shared" si="12"/>
        <v>3</v>
      </c>
      <c r="AF272" t="str">
        <f t="shared" si="13"/>
        <v>80.01.ZZ.03</v>
      </c>
      <c r="AH272" t="str">
        <f t="shared" si="14"/>
        <v>00 de 01</v>
      </c>
    </row>
    <row r="273" spans="1:34" ht="34.5" x14ac:dyDescent="0.25">
      <c r="A273" s="139" t="s">
        <v>116</v>
      </c>
      <c r="B273" s="105" t="s">
        <v>122</v>
      </c>
      <c r="C273" s="63">
        <v>261</v>
      </c>
      <c r="D273" s="197" t="s">
        <v>192</v>
      </c>
      <c r="E273" s="189" t="s">
        <v>502</v>
      </c>
      <c r="F273" s="190" t="s">
        <v>123</v>
      </c>
      <c r="G273" s="189" t="s">
        <v>134</v>
      </c>
      <c r="H273" s="191">
        <v>56192</v>
      </c>
      <c r="I273" s="189" t="s">
        <v>223</v>
      </c>
      <c r="J273" s="189">
        <v>0</v>
      </c>
      <c r="K273" s="189">
        <v>12001</v>
      </c>
      <c r="L273" s="191">
        <v>3</v>
      </c>
      <c r="M273" s="192">
        <v>46092</v>
      </c>
      <c r="N273" s="193">
        <v>1</v>
      </c>
      <c r="O273" s="194">
        <v>0.5</v>
      </c>
      <c r="P273" s="195"/>
      <c r="Q273" s="196" t="s">
        <v>38</v>
      </c>
      <c r="R273" s="197">
        <v>1</v>
      </c>
      <c r="S273" s="198" t="s">
        <v>33</v>
      </c>
      <c r="T273" s="199"/>
      <c r="U273" s="200"/>
      <c r="V273" s="200"/>
      <c r="W273" s="200"/>
      <c r="X273" s="200"/>
      <c r="Y273" s="200"/>
      <c r="Z273" s="200"/>
      <c r="AA273" s="200"/>
      <c r="AB273" s="200"/>
      <c r="AC273" s="208"/>
      <c r="AD273" s="11" t="str">
        <f t="shared" si="12"/>
        <v>3</v>
      </c>
      <c r="AF273" t="str">
        <f t="shared" si="13"/>
        <v>80.01.ZZ.03</v>
      </c>
      <c r="AH273" t="str">
        <f t="shared" si="14"/>
        <v>00 de 01</v>
      </c>
    </row>
    <row r="274" spans="1:34" ht="34.5" x14ac:dyDescent="0.25">
      <c r="A274" s="139" t="s">
        <v>116</v>
      </c>
      <c r="B274" s="105" t="s">
        <v>122</v>
      </c>
      <c r="C274" s="63">
        <v>262</v>
      </c>
      <c r="D274" s="197" t="s">
        <v>192</v>
      </c>
      <c r="E274" s="189" t="s">
        <v>503</v>
      </c>
      <c r="F274" s="190" t="s">
        <v>123</v>
      </c>
      <c r="G274" s="189" t="s">
        <v>134</v>
      </c>
      <c r="H274" s="191">
        <v>56192</v>
      </c>
      <c r="I274" s="189" t="s">
        <v>223</v>
      </c>
      <c r="J274" s="189">
        <v>0</v>
      </c>
      <c r="K274" s="189">
        <v>12001</v>
      </c>
      <c r="L274" s="191">
        <v>3</v>
      </c>
      <c r="M274" s="192">
        <v>46092</v>
      </c>
      <c r="N274" s="193">
        <v>1</v>
      </c>
      <c r="O274" s="194">
        <v>0.5</v>
      </c>
      <c r="P274" s="195"/>
      <c r="Q274" s="196" t="s">
        <v>38</v>
      </c>
      <c r="R274" s="197">
        <v>1</v>
      </c>
      <c r="S274" s="198" t="s">
        <v>33</v>
      </c>
      <c r="T274" s="199"/>
      <c r="U274" s="200"/>
      <c r="V274" s="200"/>
      <c r="W274" s="200"/>
      <c r="X274" s="200"/>
      <c r="Y274" s="200"/>
      <c r="Z274" s="200"/>
      <c r="AA274" s="200"/>
      <c r="AB274" s="200"/>
      <c r="AC274" s="208"/>
      <c r="AD274" s="11" t="str">
        <f t="shared" si="12"/>
        <v>3</v>
      </c>
      <c r="AF274" t="str">
        <f t="shared" si="13"/>
        <v>80.01.ZZ.03</v>
      </c>
      <c r="AH274" t="str">
        <f t="shared" si="14"/>
        <v>00 de 01</v>
      </c>
    </row>
    <row r="275" spans="1:34" ht="34.5" x14ac:dyDescent="0.25">
      <c r="A275" s="139" t="s">
        <v>116</v>
      </c>
      <c r="B275" s="105" t="s">
        <v>122</v>
      </c>
      <c r="C275" s="63">
        <v>263</v>
      </c>
      <c r="D275" s="197" t="s">
        <v>192</v>
      </c>
      <c r="E275" s="189" t="s">
        <v>504</v>
      </c>
      <c r="F275" s="190" t="s">
        <v>123</v>
      </c>
      <c r="G275" s="189" t="s">
        <v>134</v>
      </c>
      <c r="H275" s="191">
        <v>56192</v>
      </c>
      <c r="I275" s="189" t="s">
        <v>223</v>
      </c>
      <c r="J275" s="189">
        <v>0</v>
      </c>
      <c r="K275" s="189">
        <v>12001</v>
      </c>
      <c r="L275" s="191">
        <v>3</v>
      </c>
      <c r="M275" s="192">
        <v>46092</v>
      </c>
      <c r="N275" s="193">
        <v>1</v>
      </c>
      <c r="O275" s="194">
        <v>0.5</v>
      </c>
      <c r="P275" s="195"/>
      <c r="Q275" s="196" t="s">
        <v>38</v>
      </c>
      <c r="R275" s="197">
        <v>1</v>
      </c>
      <c r="S275" s="198" t="s">
        <v>33</v>
      </c>
      <c r="T275" s="199"/>
      <c r="U275" s="200"/>
      <c r="V275" s="200"/>
      <c r="W275" s="200"/>
      <c r="X275" s="200"/>
      <c r="Y275" s="200"/>
      <c r="Z275" s="200"/>
      <c r="AA275" s="200"/>
      <c r="AB275" s="200"/>
      <c r="AC275" s="208"/>
      <c r="AD275" s="11" t="str">
        <f t="shared" si="12"/>
        <v>3</v>
      </c>
      <c r="AF275" t="str">
        <f t="shared" si="13"/>
        <v>80.01.ZZ.03</v>
      </c>
      <c r="AH275" t="str">
        <f t="shared" si="14"/>
        <v>00 de 01</v>
      </c>
    </row>
    <row r="276" spans="1:34" ht="34.5" x14ac:dyDescent="0.25">
      <c r="A276" s="139" t="s">
        <v>116</v>
      </c>
      <c r="B276" s="105" t="s">
        <v>122</v>
      </c>
      <c r="C276" s="63">
        <v>264</v>
      </c>
      <c r="D276" s="197" t="s">
        <v>192</v>
      </c>
      <c r="E276" s="189" t="s">
        <v>505</v>
      </c>
      <c r="F276" s="190" t="s">
        <v>123</v>
      </c>
      <c r="G276" s="189" t="s">
        <v>134</v>
      </c>
      <c r="H276" s="191">
        <v>56192</v>
      </c>
      <c r="I276" s="189" t="s">
        <v>223</v>
      </c>
      <c r="J276" s="189">
        <v>0</v>
      </c>
      <c r="K276" s="189">
        <v>12001</v>
      </c>
      <c r="L276" s="191">
        <v>3</v>
      </c>
      <c r="M276" s="192">
        <v>46092</v>
      </c>
      <c r="N276" s="193">
        <v>1</v>
      </c>
      <c r="O276" s="194">
        <v>0.5</v>
      </c>
      <c r="P276" s="195"/>
      <c r="Q276" s="196" t="s">
        <v>38</v>
      </c>
      <c r="R276" s="197">
        <v>1</v>
      </c>
      <c r="S276" s="198" t="s">
        <v>33</v>
      </c>
      <c r="T276" s="199"/>
      <c r="U276" s="200"/>
      <c r="V276" s="200"/>
      <c r="W276" s="200"/>
      <c r="X276" s="200"/>
      <c r="Y276" s="200"/>
      <c r="Z276" s="200"/>
      <c r="AA276" s="200"/>
      <c r="AB276" s="200"/>
      <c r="AC276" s="208"/>
      <c r="AD276" s="11" t="str">
        <f t="shared" si="12"/>
        <v>3</v>
      </c>
      <c r="AF276" t="str">
        <f t="shared" si="13"/>
        <v>80.01.ZZ.03</v>
      </c>
      <c r="AH276" t="str">
        <f t="shared" si="14"/>
        <v>00 de 01</v>
      </c>
    </row>
    <row r="277" spans="1:34" ht="34.5" x14ac:dyDescent="0.25">
      <c r="A277" s="139" t="s">
        <v>116</v>
      </c>
      <c r="B277" s="105" t="s">
        <v>122</v>
      </c>
      <c r="C277" s="63">
        <v>265</v>
      </c>
      <c r="D277" s="197" t="s">
        <v>192</v>
      </c>
      <c r="E277" s="189" t="s">
        <v>506</v>
      </c>
      <c r="F277" s="190" t="s">
        <v>123</v>
      </c>
      <c r="G277" s="189" t="s">
        <v>134</v>
      </c>
      <c r="H277" s="191">
        <v>56192</v>
      </c>
      <c r="I277" s="189" t="s">
        <v>223</v>
      </c>
      <c r="J277" s="189">
        <v>0</v>
      </c>
      <c r="K277" s="189">
        <v>12001</v>
      </c>
      <c r="L277" s="191">
        <v>3</v>
      </c>
      <c r="M277" s="192">
        <v>46092</v>
      </c>
      <c r="N277" s="193">
        <v>1</v>
      </c>
      <c r="O277" s="194">
        <v>0.5</v>
      </c>
      <c r="P277" s="195"/>
      <c r="Q277" s="196" t="s">
        <v>38</v>
      </c>
      <c r="R277" s="197">
        <v>1</v>
      </c>
      <c r="S277" s="198" t="s">
        <v>33</v>
      </c>
      <c r="T277" s="199"/>
      <c r="U277" s="200"/>
      <c r="V277" s="200"/>
      <c r="W277" s="200"/>
      <c r="X277" s="200"/>
      <c r="Y277" s="200"/>
      <c r="Z277" s="200"/>
      <c r="AA277" s="200"/>
      <c r="AB277" s="200"/>
      <c r="AC277" s="208"/>
      <c r="AD277" s="11" t="str">
        <f t="shared" si="12"/>
        <v>3</v>
      </c>
      <c r="AF277" t="str">
        <f t="shared" si="13"/>
        <v>80.01.ZZ.03</v>
      </c>
      <c r="AH277" t="str">
        <f t="shared" si="14"/>
        <v>00 de 01</v>
      </c>
    </row>
    <row r="278" spans="1:34" ht="34.5" x14ac:dyDescent="0.25">
      <c r="A278" s="139" t="s">
        <v>116</v>
      </c>
      <c r="B278" s="105" t="s">
        <v>122</v>
      </c>
      <c r="C278" s="63">
        <v>266</v>
      </c>
      <c r="D278" s="197" t="s">
        <v>192</v>
      </c>
      <c r="E278" s="189" t="s">
        <v>507</v>
      </c>
      <c r="F278" s="190" t="s">
        <v>123</v>
      </c>
      <c r="G278" s="189" t="s">
        <v>134</v>
      </c>
      <c r="H278" s="191">
        <v>56192</v>
      </c>
      <c r="I278" s="189" t="s">
        <v>223</v>
      </c>
      <c r="J278" s="189">
        <v>0</v>
      </c>
      <c r="K278" s="189">
        <v>12001</v>
      </c>
      <c r="L278" s="191">
        <v>3</v>
      </c>
      <c r="M278" s="192">
        <v>46092</v>
      </c>
      <c r="N278" s="193">
        <v>1</v>
      </c>
      <c r="O278" s="194">
        <v>0.5</v>
      </c>
      <c r="P278" s="195"/>
      <c r="Q278" s="196" t="s">
        <v>38</v>
      </c>
      <c r="R278" s="197">
        <v>1</v>
      </c>
      <c r="S278" s="198" t="s">
        <v>33</v>
      </c>
      <c r="T278" s="199"/>
      <c r="U278" s="200"/>
      <c r="V278" s="200"/>
      <c r="W278" s="200"/>
      <c r="X278" s="200"/>
      <c r="Y278" s="200"/>
      <c r="Z278" s="200"/>
      <c r="AA278" s="200"/>
      <c r="AB278" s="200"/>
      <c r="AC278" s="208"/>
      <c r="AD278" s="11" t="str">
        <f t="shared" si="12"/>
        <v>3</v>
      </c>
      <c r="AF278" t="str">
        <f t="shared" si="13"/>
        <v>80.01.ZZ.03</v>
      </c>
      <c r="AH278" t="str">
        <f t="shared" si="14"/>
        <v>00 de 01</v>
      </c>
    </row>
    <row r="279" spans="1:34" ht="34.5" x14ac:dyDescent="0.25">
      <c r="A279" s="139" t="s">
        <v>116</v>
      </c>
      <c r="B279" s="105" t="s">
        <v>122</v>
      </c>
      <c r="C279" s="63">
        <v>267</v>
      </c>
      <c r="D279" s="197" t="s">
        <v>192</v>
      </c>
      <c r="E279" s="189" t="s">
        <v>508</v>
      </c>
      <c r="F279" s="190" t="s">
        <v>123</v>
      </c>
      <c r="G279" s="189" t="s">
        <v>134</v>
      </c>
      <c r="H279" s="191">
        <v>56192</v>
      </c>
      <c r="I279" s="189" t="s">
        <v>223</v>
      </c>
      <c r="J279" s="189">
        <v>0</v>
      </c>
      <c r="K279" s="189">
        <v>12001</v>
      </c>
      <c r="L279" s="191">
        <v>3</v>
      </c>
      <c r="M279" s="192">
        <v>46092</v>
      </c>
      <c r="N279" s="193">
        <v>1</v>
      </c>
      <c r="O279" s="194">
        <v>0.5</v>
      </c>
      <c r="P279" s="195"/>
      <c r="Q279" s="196" t="s">
        <v>38</v>
      </c>
      <c r="R279" s="197">
        <v>1</v>
      </c>
      <c r="S279" s="198" t="s">
        <v>33</v>
      </c>
      <c r="T279" s="199"/>
      <c r="U279" s="200"/>
      <c r="V279" s="200"/>
      <c r="W279" s="200"/>
      <c r="X279" s="200"/>
      <c r="Y279" s="200"/>
      <c r="Z279" s="200"/>
      <c r="AA279" s="200"/>
      <c r="AB279" s="200"/>
      <c r="AC279" s="208"/>
      <c r="AD279" s="11" t="str">
        <f t="shared" si="12"/>
        <v>3</v>
      </c>
      <c r="AF279" t="str">
        <f t="shared" si="13"/>
        <v>80.01.ZZ.03</v>
      </c>
      <c r="AH279" t="str">
        <f t="shared" si="14"/>
        <v>00 de 01</v>
      </c>
    </row>
    <row r="280" spans="1:34" ht="34.5" x14ac:dyDescent="0.25">
      <c r="A280" s="139" t="s">
        <v>116</v>
      </c>
      <c r="B280" s="105" t="s">
        <v>122</v>
      </c>
      <c r="C280" s="63">
        <v>268</v>
      </c>
      <c r="D280" s="197" t="s">
        <v>192</v>
      </c>
      <c r="E280" s="189" t="s">
        <v>509</v>
      </c>
      <c r="F280" s="190" t="s">
        <v>123</v>
      </c>
      <c r="G280" s="189" t="s">
        <v>134</v>
      </c>
      <c r="H280" s="191">
        <v>56192</v>
      </c>
      <c r="I280" s="189" t="s">
        <v>223</v>
      </c>
      <c r="J280" s="189">
        <v>0</v>
      </c>
      <c r="K280" s="189">
        <v>12001</v>
      </c>
      <c r="L280" s="191">
        <v>3</v>
      </c>
      <c r="M280" s="192">
        <v>46092</v>
      </c>
      <c r="N280" s="193">
        <v>1</v>
      </c>
      <c r="O280" s="194">
        <v>0.5</v>
      </c>
      <c r="P280" s="195"/>
      <c r="Q280" s="196" t="s">
        <v>38</v>
      </c>
      <c r="R280" s="197">
        <v>1</v>
      </c>
      <c r="S280" s="198" t="s">
        <v>33</v>
      </c>
      <c r="T280" s="199"/>
      <c r="U280" s="200"/>
      <c r="V280" s="200"/>
      <c r="W280" s="200"/>
      <c r="X280" s="200"/>
      <c r="Y280" s="200"/>
      <c r="Z280" s="200"/>
      <c r="AA280" s="200"/>
      <c r="AB280" s="200"/>
      <c r="AC280" s="208"/>
      <c r="AD280" s="11" t="str">
        <f t="shared" si="12"/>
        <v>3</v>
      </c>
      <c r="AF280" t="str">
        <f t="shared" si="13"/>
        <v>80.01.ZZ.03</v>
      </c>
      <c r="AH280" t="str">
        <f t="shared" si="14"/>
        <v>00 de 01</v>
      </c>
    </row>
    <row r="281" spans="1:34" ht="34.5" x14ac:dyDescent="0.25">
      <c r="A281" s="139" t="s">
        <v>116</v>
      </c>
      <c r="B281" s="105" t="s">
        <v>122</v>
      </c>
      <c r="C281" s="63">
        <v>269</v>
      </c>
      <c r="D281" s="197" t="s">
        <v>192</v>
      </c>
      <c r="E281" s="189" t="s">
        <v>510</v>
      </c>
      <c r="F281" s="190" t="s">
        <v>123</v>
      </c>
      <c r="G281" s="189" t="s">
        <v>134</v>
      </c>
      <c r="H281" s="191">
        <v>56192</v>
      </c>
      <c r="I281" s="189" t="s">
        <v>223</v>
      </c>
      <c r="J281" s="189">
        <v>0</v>
      </c>
      <c r="K281" s="189">
        <v>12001</v>
      </c>
      <c r="L281" s="191">
        <v>3</v>
      </c>
      <c r="M281" s="192">
        <v>46092</v>
      </c>
      <c r="N281" s="193">
        <v>1</v>
      </c>
      <c r="O281" s="194">
        <v>0.5</v>
      </c>
      <c r="P281" s="195"/>
      <c r="Q281" s="196" t="s">
        <v>38</v>
      </c>
      <c r="R281" s="197">
        <v>1</v>
      </c>
      <c r="S281" s="198" t="s">
        <v>33</v>
      </c>
      <c r="T281" s="199"/>
      <c r="U281" s="200"/>
      <c r="V281" s="200"/>
      <c r="W281" s="200"/>
      <c r="X281" s="200"/>
      <c r="Y281" s="200"/>
      <c r="Z281" s="200"/>
      <c r="AA281" s="200"/>
      <c r="AB281" s="200"/>
      <c r="AC281" s="208"/>
      <c r="AD281" s="11" t="str">
        <f t="shared" si="12"/>
        <v>3</v>
      </c>
      <c r="AF281" t="str">
        <f t="shared" si="13"/>
        <v>80.01.ZZ.03</v>
      </c>
      <c r="AH281" t="str">
        <f t="shared" si="14"/>
        <v>00 de 01</v>
      </c>
    </row>
    <row r="282" spans="1:34" ht="34.5" x14ac:dyDescent="0.25">
      <c r="A282" s="139" t="s">
        <v>116</v>
      </c>
      <c r="B282" s="105" t="s">
        <v>122</v>
      </c>
      <c r="C282" s="63">
        <v>270</v>
      </c>
      <c r="D282" s="197" t="s">
        <v>192</v>
      </c>
      <c r="E282" s="189" t="s">
        <v>511</v>
      </c>
      <c r="F282" s="190" t="s">
        <v>123</v>
      </c>
      <c r="G282" s="189" t="s">
        <v>134</v>
      </c>
      <c r="H282" s="191">
        <v>56192</v>
      </c>
      <c r="I282" s="189" t="s">
        <v>223</v>
      </c>
      <c r="J282" s="189">
        <v>0</v>
      </c>
      <c r="K282" s="189">
        <v>12001</v>
      </c>
      <c r="L282" s="191">
        <v>3</v>
      </c>
      <c r="M282" s="192">
        <v>46092</v>
      </c>
      <c r="N282" s="193">
        <v>1</v>
      </c>
      <c r="O282" s="194">
        <v>0.5</v>
      </c>
      <c r="P282" s="195"/>
      <c r="Q282" s="196" t="s">
        <v>38</v>
      </c>
      <c r="R282" s="197">
        <v>1</v>
      </c>
      <c r="S282" s="198" t="s">
        <v>33</v>
      </c>
      <c r="T282" s="199"/>
      <c r="U282" s="200"/>
      <c r="V282" s="200"/>
      <c r="W282" s="200"/>
      <c r="X282" s="200"/>
      <c r="Y282" s="200"/>
      <c r="Z282" s="200"/>
      <c r="AA282" s="200"/>
      <c r="AB282" s="200"/>
      <c r="AC282" s="208"/>
      <c r="AD282" s="11" t="str">
        <f t="shared" si="12"/>
        <v>3</v>
      </c>
      <c r="AF282" t="str">
        <f t="shared" si="13"/>
        <v>80.01.ZZ.03</v>
      </c>
      <c r="AH282" t="str">
        <f t="shared" si="14"/>
        <v>00 de 01</v>
      </c>
    </row>
    <row r="283" spans="1:34" ht="34.5" x14ac:dyDescent="0.25">
      <c r="A283" s="139" t="s">
        <v>116</v>
      </c>
      <c r="B283" s="105" t="s">
        <v>122</v>
      </c>
      <c r="C283" s="63">
        <v>271</v>
      </c>
      <c r="D283" s="197" t="s">
        <v>192</v>
      </c>
      <c r="E283" s="189" t="s">
        <v>512</v>
      </c>
      <c r="F283" s="190" t="s">
        <v>123</v>
      </c>
      <c r="G283" s="189" t="s">
        <v>134</v>
      </c>
      <c r="H283" s="191">
        <v>56192</v>
      </c>
      <c r="I283" s="189" t="s">
        <v>223</v>
      </c>
      <c r="J283" s="189">
        <v>0</v>
      </c>
      <c r="K283" s="189">
        <v>12001</v>
      </c>
      <c r="L283" s="191">
        <v>3</v>
      </c>
      <c r="M283" s="192">
        <v>46092</v>
      </c>
      <c r="N283" s="193">
        <v>1</v>
      </c>
      <c r="O283" s="194">
        <v>0.5</v>
      </c>
      <c r="P283" s="195"/>
      <c r="Q283" s="196" t="s">
        <v>38</v>
      </c>
      <c r="R283" s="197">
        <v>1</v>
      </c>
      <c r="S283" s="198" t="s">
        <v>33</v>
      </c>
      <c r="T283" s="199"/>
      <c r="U283" s="200"/>
      <c r="V283" s="200"/>
      <c r="W283" s="200"/>
      <c r="X283" s="200"/>
      <c r="Y283" s="200"/>
      <c r="Z283" s="200"/>
      <c r="AA283" s="200"/>
      <c r="AB283" s="200"/>
      <c r="AC283" s="208"/>
      <c r="AD283" s="11" t="str">
        <f t="shared" si="12"/>
        <v>3</v>
      </c>
      <c r="AF283" t="str">
        <f t="shared" si="13"/>
        <v>80.01.ZZ.03</v>
      </c>
      <c r="AH283" t="str">
        <f t="shared" si="14"/>
        <v>00 de 01</v>
      </c>
    </row>
    <row r="284" spans="1:34" ht="34.5" x14ac:dyDescent="0.25">
      <c r="A284" s="139" t="s">
        <v>116</v>
      </c>
      <c r="B284" s="105" t="s">
        <v>122</v>
      </c>
      <c r="C284" s="63">
        <v>272</v>
      </c>
      <c r="D284" s="197" t="s">
        <v>192</v>
      </c>
      <c r="E284" s="189" t="s">
        <v>513</v>
      </c>
      <c r="F284" s="190" t="s">
        <v>123</v>
      </c>
      <c r="G284" s="189" t="s">
        <v>134</v>
      </c>
      <c r="H284" s="191">
        <v>56192</v>
      </c>
      <c r="I284" s="189" t="s">
        <v>223</v>
      </c>
      <c r="J284" s="189">
        <v>0</v>
      </c>
      <c r="K284" s="189">
        <v>12001</v>
      </c>
      <c r="L284" s="191">
        <v>3</v>
      </c>
      <c r="M284" s="192">
        <v>46092</v>
      </c>
      <c r="N284" s="193">
        <v>1</v>
      </c>
      <c r="O284" s="194">
        <v>0.5</v>
      </c>
      <c r="P284" s="195"/>
      <c r="Q284" s="196" t="s">
        <v>38</v>
      </c>
      <c r="R284" s="197">
        <v>1</v>
      </c>
      <c r="S284" s="198" t="s">
        <v>33</v>
      </c>
      <c r="T284" s="199"/>
      <c r="U284" s="200"/>
      <c r="V284" s="200"/>
      <c r="W284" s="200"/>
      <c r="X284" s="200"/>
      <c r="Y284" s="200"/>
      <c r="Z284" s="200"/>
      <c r="AA284" s="200"/>
      <c r="AB284" s="200"/>
      <c r="AC284" s="208"/>
      <c r="AD284" s="11" t="str">
        <f t="shared" si="12"/>
        <v>3</v>
      </c>
      <c r="AF284" t="str">
        <f t="shared" si="13"/>
        <v>80.01.ZZ.03</v>
      </c>
      <c r="AH284" t="str">
        <f t="shared" si="14"/>
        <v>00 de 01</v>
      </c>
    </row>
    <row r="285" spans="1:34" ht="34.5" x14ac:dyDescent="0.25">
      <c r="A285" s="139" t="s">
        <v>116</v>
      </c>
      <c r="B285" s="105" t="s">
        <v>122</v>
      </c>
      <c r="C285" s="63">
        <v>273</v>
      </c>
      <c r="D285" s="197" t="s">
        <v>192</v>
      </c>
      <c r="E285" s="189" t="s">
        <v>514</v>
      </c>
      <c r="F285" s="190" t="s">
        <v>123</v>
      </c>
      <c r="G285" s="189" t="s">
        <v>134</v>
      </c>
      <c r="H285" s="191">
        <v>56192</v>
      </c>
      <c r="I285" s="189" t="s">
        <v>223</v>
      </c>
      <c r="J285" s="189">
        <v>0</v>
      </c>
      <c r="K285" s="189">
        <v>12001</v>
      </c>
      <c r="L285" s="191">
        <v>3</v>
      </c>
      <c r="M285" s="192">
        <v>46092</v>
      </c>
      <c r="N285" s="193">
        <v>1</v>
      </c>
      <c r="O285" s="194">
        <v>0.5</v>
      </c>
      <c r="P285" s="195"/>
      <c r="Q285" s="196" t="s">
        <v>38</v>
      </c>
      <c r="R285" s="197">
        <v>1</v>
      </c>
      <c r="S285" s="198" t="s">
        <v>33</v>
      </c>
      <c r="T285" s="199"/>
      <c r="U285" s="200"/>
      <c r="V285" s="200"/>
      <c r="W285" s="200"/>
      <c r="X285" s="200"/>
      <c r="Y285" s="200"/>
      <c r="Z285" s="200"/>
      <c r="AA285" s="200"/>
      <c r="AB285" s="200"/>
      <c r="AC285" s="208"/>
      <c r="AD285" s="11" t="str">
        <f t="shared" si="12"/>
        <v>3</v>
      </c>
      <c r="AF285" t="str">
        <f t="shared" si="13"/>
        <v>80.01.ZZ.03</v>
      </c>
      <c r="AH285" t="str">
        <f t="shared" si="14"/>
        <v>00 de 01</v>
      </c>
    </row>
    <row r="286" spans="1:34" ht="34.5" x14ac:dyDescent="0.25">
      <c r="A286" s="139" t="s">
        <v>116</v>
      </c>
      <c r="B286" s="105" t="s">
        <v>122</v>
      </c>
      <c r="C286" s="63">
        <v>274</v>
      </c>
      <c r="D286" s="197" t="s">
        <v>192</v>
      </c>
      <c r="E286" s="189" t="s">
        <v>515</v>
      </c>
      <c r="F286" s="190" t="s">
        <v>123</v>
      </c>
      <c r="G286" s="189" t="s">
        <v>134</v>
      </c>
      <c r="H286" s="191">
        <v>56192</v>
      </c>
      <c r="I286" s="189" t="s">
        <v>223</v>
      </c>
      <c r="J286" s="189">
        <v>0</v>
      </c>
      <c r="K286" s="189">
        <v>12001</v>
      </c>
      <c r="L286" s="191">
        <v>3</v>
      </c>
      <c r="M286" s="192">
        <v>46092</v>
      </c>
      <c r="N286" s="193">
        <v>1</v>
      </c>
      <c r="O286" s="194">
        <v>0.5</v>
      </c>
      <c r="P286" s="195"/>
      <c r="Q286" s="196" t="s">
        <v>38</v>
      </c>
      <c r="R286" s="197">
        <v>1</v>
      </c>
      <c r="S286" s="198" t="s">
        <v>33</v>
      </c>
      <c r="T286" s="199"/>
      <c r="U286" s="200"/>
      <c r="V286" s="200"/>
      <c r="W286" s="200"/>
      <c r="X286" s="200"/>
      <c r="Y286" s="200"/>
      <c r="Z286" s="200"/>
      <c r="AA286" s="200"/>
      <c r="AB286" s="200"/>
      <c r="AC286" s="208"/>
      <c r="AD286" s="11" t="str">
        <f t="shared" si="12"/>
        <v>3</v>
      </c>
      <c r="AF286" t="str">
        <f t="shared" si="13"/>
        <v>80.01.ZZ.03</v>
      </c>
      <c r="AH286" t="str">
        <f t="shared" si="14"/>
        <v>00 de 01</v>
      </c>
    </row>
    <row r="287" spans="1:34" ht="34.5" x14ac:dyDescent="0.25">
      <c r="A287" s="139" t="s">
        <v>116</v>
      </c>
      <c r="B287" s="105" t="s">
        <v>122</v>
      </c>
      <c r="C287" s="63">
        <v>275</v>
      </c>
      <c r="D287" s="197" t="s">
        <v>192</v>
      </c>
      <c r="E287" s="189" t="s">
        <v>516</v>
      </c>
      <c r="F287" s="190" t="s">
        <v>123</v>
      </c>
      <c r="G287" s="189" t="s">
        <v>134</v>
      </c>
      <c r="H287" s="191">
        <v>56192</v>
      </c>
      <c r="I287" s="189" t="s">
        <v>223</v>
      </c>
      <c r="J287" s="189">
        <v>0</v>
      </c>
      <c r="K287" s="189">
        <v>12001</v>
      </c>
      <c r="L287" s="191">
        <v>3</v>
      </c>
      <c r="M287" s="192">
        <v>46092</v>
      </c>
      <c r="N287" s="193">
        <v>1</v>
      </c>
      <c r="O287" s="194">
        <v>0.5</v>
      </c>
      <c r="P287" s="195"/>
      <c r="Q287" s="196" t="s">
        <v>38</v>
      </c>
      <c r="R287" s="197">
        <v>1</v>
      </c>
      <c r="S287" s="198" t="s">
        <v>33</v>
      </c>
      <c r="T287" s="199"/>
      <c r="U287" s="200"/>
      <c r="V287" s="200"/>
      <c r="W287" s="200"/>
      <c r="X287" s="200"/>
      <c r="Y287" s="200"/>
      <c r="Z287" s="200"/>
      <c r="AA287" s="200"/>
      <c r="AB287" s="200"/>
      <c r="AC287" s="208"/>
      <c r="AD287" s="11" t="str">
        <f t="shared" si="12"/>
        <v>3</v>
      </c>
      <c r="AF287" t="str">
        <f t="shared" si="13"/>
        <v>80.01.ZZ.03</v>
      </c>
      <c r="AH287" t="str">
        <f t="shared" si="14"/>
        <v>00 de 01</v>
      </c>
    </row>
    <row r="288" spans="1:34" ht="34.5" x14ac:dyDescent="0.25">
      <c r="A288" s="139" t="s">
        <v>116</v>
      </c>
      <c r="B288" s="105" t="s">
        <v>122</v>
      </c>
      <c r="C288" s="63">
        <v>276</v>
      </c>
      <c r="D288" s="197" t="s">
        <v>192</v>
      </c>
      <c r="E288" s="189" t="s">
        <v>517</v>
      </c>
      <c r="F288" s="190" t="s">
        <v>123</v>
      </c>
      <c r="G288" s="189" t="s">
        <v>134</v>
      </c>
      <c r="H288" s="191">
        <v>56192</v>
      </c>
      <c r="I288" s="189" t="s">
        <v>223</v>
      </c>
      <c r="J288" s="189">
        <v>0</v>
      </c>
      <c r="K288" s="189">
        <v>12001</v>
      </c>
      <c r="L288" s="191">
        <v>3</v>
      </c>
      <c r="M288" s="192">
        <v>46092</v>
      </c>
      <c r="N288" s="193">
        <v>1</v>
      </c>
      <c r="O288" s="194">
        <v>0.5</v>
      </c>
      <c r="P288" s="195"/>
      <c r="Q288" s="196" t="s">
        <v>38</v>
      </c>
      <c r="R288" s="197">
        <v>1</v>
      </c>
      <c r="S288" s="198" t="s">
        <v>33</v>
      </c>
      <c r="T288" s="199"/>
      <c r="U288" s="200"/>
      <c r="V288" s="200"/>
      <c r="W288" s="200"/>
      <c r="X288" s="200"/>
      <c r="Y288" s="200"/>
      <c r="Z288" s="200"/>
      <c r="AA288" s="200"/>
      <c r="AB288" s="200"/>
      <c r="AC288" s="208"/>
      <c r="AD288" s="11" t="str">
        <f t="shared" si="12"/>
        <v>3</v>
      </c>
      <c r="AF288" t="str">
        <f t="shared" si="13"/>
        <v>80.01.ZZ.03</v>
      </c>
      <c r="AH288" t="str">
        <f t="shared" si="14"/>
        <v>00 de 01</v>
      </c>
    </row>
    <row r="289" spans="1:34" ht="34.5" x14ac:dyDescent="0.25">
      <c r="A289" s="139" t="s">
        <v>116</v>
      </c>
      <c r="B289" s="105" t="s">
        <v>122</v>
      </c>
      <c r="C289" s="63">
        <v>277</v>
      </c>
      <c r="D289" s="197" t="s">
        <v>192</v>
      </c>
      <c r="E289" s="189" t="s">
        <v>518</v>
      </c>
      <c r="F289" s="190" t="s">
        <v>123</v>
      </c>
      <c r="G289" s="189" t="s">
        <v>134</v>
      </c>
      <c r="H289" s="191">
        <v>56192</v>
      </c>
      <c r="I289" s="189" t="s">
        <v>223</v>
      </c>
      <c r="J289" s="189">
        <v>0</v>
      </c>
      <c r="K289" s="189">
        <v>12001</v>
      </c>
      <c r="L289" s="191">
        <v>3</v>
      </c>
      <c r="M289" s="192">
        <v>46092</v>
      </c>
      <c r="N289" s="193">
        <v>1</v>
      </c>
      <c r="O289" s="194">
        <v>0.5</v>
      </c>
      <c r="P289" s="195"/>
      <c r="Q289" s="196" t="s">
        <v>38</v>
      </c>
      <c r="R289" s="197">
        <v>1</v>
      </c>
      <c r="S289" s="198" t="s">
        <v>33</v>
      </c>
      <c r="T289" s="199"/>
      <c r="U289" s="200"/>
      <c r="V289" s="200"/>
      <c r="W289" s="200"/>
      <c r="X289" s="200"/>
      <c r="Y289" s="200"/>
      <c r="Z289" s="200"/>
      <c r="AA289" s="200"/>
      <c r="AB289" s="200"/>
      <c r="AC289" s="208"/>
      <c r="AD289" s="11" t="str">
        <f t="shared" si="12"/>
        <v>3</v>
      </c>
      <c r="AF289" t="str">
        <f t="shared" si="13"/>
        <v>80.01.ZZ.03</v>
      </c>
      <c r="AH289" t="str">
        <f t="shared" si="14"/>
        <v>00 de 01</v>
      </c>
    </row>
    <row r="290" spans="1:34" ht="34.5" x14ac:dyDescent="0.25">
      <c r="A290" s="139" t="s">
        <v>116</v>
      </c>
      <c r="B290" s="105" t="s">
        <v>122</v>
      </c>
      <c r="C290" s="63">
        <v>278</v>
      </c>
      <c r="D290" s="197" t="s">
        <v>192</v>
      </c>
      <c r="E290" s="189" t="s">
        <v>519</v>
      </c>
      <c r="F290" s="190" t="s">
        <v>123</v>
      </c>
      <c r="G290" s="189" t="s">
        <v>134</v>
      </c>
      <c r="H290" s="191">
        <v>56192</v>
      </c>
      <c r="I290" s="189" t="s">
        <v>223</v>
      </c>
      <c r="J290" s="189">
        <v>0</v>
      </c>
      <c r="K290" s="189">
        <v>12001</v>
      </c>
      <c r="L290" s="191">
        <v>3</v>
      </c>
      <c r="M290" s="192">
        <v>46092</v>
      </c>
      <c r="N290" s="193">
        <v>1</v>
      </c>
      <c r="O290" s="194">
        <v>0.5</v>
      </c>
      <c r="P290" s="195"/>
      <c r="Q290" s="196" t="s">
        <v>38</v>
      </c>
      <c r="R290" s="197">
        <v>1</v>
      </c>
      <c r="S290" s="198" t="s">
        <v>33</v>
      </c>
      <c r="T290" s="199"/>
      <c r="U290" s="200"/>
      <c r="V290" s="200"/>
      <c r="W290" s="200"/>
      <c r="X290" s="200"/>
      <c r="Y290" s="200"/>
      <c r="Z290" s="200"/>
      <c r="AA290" s="200"/>
      <c r="AB290" s="200"/>
      <c r="AC290" s="208"/>
      <c r="AD290" s="11" t="str">
        <f t="shared" si="12"/>
        <v>3</v>
      </c>
      <c r="AF290" t="str">
        <f t="shared" si="13"/>
        <v>80.01.ZZ.03</v>
      </c>
      <c r="AH290" t="str">
        <f t="shared" si="14"/>
        <v>00 de 01</v>
      </c>
    </row>
    <row r="291" spans="1:34" ht="34.5" x14ac:dyDescent="0.25">
      <c r="A291" s="139" t="s">
        <v>116</v>
      </c>
      <c r="B291" s="105" t="s">
        <v>122</v>
      </c>
      <c r="C291" s="63">
        <v>279</v>
      </c>
      <c r="D291" s="197" t="s">
        <v>192</v>
      </c>
      <c r="E291" s="189" t="s">
        <v>242</v>
      </c>
      <c r="F291" s="190" t="s">
        <v>123</v>
      </c>
      <c r="G291" s="189" t="s">
        <v>134</v>
      </c>
      <c r="H291" s="191">
        <v>61792</v>
      </c>
      <c r="I291" s="189" t="s">
        <v>224</v>
      </c>
      <c r="J291" s="189">
        <v>0</v>
      </c>
      <c r="K291" s="189">
        <v>10201</v>
      </c>
      <c r="L291" s="191">
        <v>3</v>
      </c>
      <c r="M291" s="192">
        <v>46092</v>
      </c>
      <c r="N291" s="193">
        <v>1</v>
      </c>
      <c r="O291" s="194">
        <v>0.5</v>
      </c>
      <c r="P291" s="195"/>
      <c r="Q291" s="196" t="s">
        <v>38</v>
      </c>
      <c r="R291" s="197">
        <v>1</v>
      </c>
      <c r="S291" s="198" t="s">
        <v>33</v>
      </c>
      <c r="T291" s="199"/>
      <c r="U291" s="200"/>
      <c r="V291" s="200"/>
      <c r="W291" s="200"/>
      <c r="X291" s="200"/>
      <c r="Y291" s="200"/>
      <c r="Z291" s="200"/>
      <c r="AA291" s="200"/>
      <c r="AB291" s="200"/>
      <c r="AC291" s="208"/>
      <c r="AD291" s="11" t="str">
        <f t="shared" si="12"/>
        <v>3</v>
      </c>
      <c r="AF291" t="str">
        <f t="shared" si="13"/>
        <v>80.01.ZZ.03</v>
      </c>
      <c r="AH291" t="str">
        <f t="shared" si="14"/>
        <v>00 de 01</v>
      </c>
    </row>
    <row r="292" spans="1:34" ht="34.5" x14ac:dyDescent="0.25">
      <c r="A292" s="139" t="s">
        <v>116</v>
      </c>
      <c r="B292" s="105" t="s">
        <v>122</v>
      </c>
      <c r="C292" s="63">
        <v>280</v>
      </c>
      <c r="D292" s="197" t="s">
        <v>192</v>
      </c>
      <c r="E292" s="189" t="s">
        <v>520</v>
      </c>
      <c r="F292" s="190" t="s">
        <v>123</v>
      </c>
      <c r="G292" s="189" t="s">
        <v>134</v>
      </c>
      <c r="H292" s="191">
        <v>61792</v>
      </c>
      <c r="I292" s="189" t="s">
        <v>224</v>
      </c>
      <c r="J292" s="189">
        <v>0</v>
      </c>
      <c r="K292" s="189">
        <v>10201</v>
      </c>
      <c r="L292" s="191">
        <v>3</v>
      </c>
      <c r="M292" s="192">
        <v>46092</v>
      </c>
      <c r="N292" s="193">
        <v>1</v>
      </c>
      <c r="O292" s="194">
        <v>0.5</v>
      </c>
      <c r="P292" s="195"/>
      <c r="Q292" s="196" t="s">
        <v>38</v>
      </c>
      <c r="R292" s="197">
        <v>1</v>
      </c>
      <c r="S292" s="198" t="s">
        <v>33</v>
      </c>
      <c r="T292" s="199"/>
      <c r="U292" s="200"/>
      <c r="V292" s="200"/>
      <c r="W292" s="200"/>
      <c r="X292" s="200"/>
      <c r="Y292" s="200"/>
      <c r="Z292" s="200"/>
      <c r="AA292" s="200"/>
      <c r="AB292" s="200"/>
      <c r="AC292" s="208"/>
      <c r="AD292" s="11" t="str">
        <f t="shared" si="12"/>
        <v>3</v>
      </c>
      <c r="AF292" t="str">
        <f t="shared" si="13"/>
        <v>80.01.ZZ.03</v>
      </c>
      <c r="AH292" t="str">
        <f t="shared" si="14"/>
        <v>00 de 01</v>
      </c>
    </row>
    <row r="293" spans="1:34" ht="34.5" x14ac:dyDescent="0.25">
      <c r="A293" s="139" t="s">
        <v>116</v>
      </c>
      <c r="B293" s="105" t="s">
        <v>122</v>
      </c>
      <c r="C293" s="63">
        <v>281</v>
      </c>
      <c r="D293" s="197" t="s">
        <v>192</v>
      </c>
      <c r="E293" s="189" t="s">
        <v>521</v>
      </c>
      <c r="F293" s="190" t="s">
        <v>123</v>
      </c>
      <c r="G293" s="189" t="s">
        <v>134</v>
      </c>
      <c r="H293" s="191">
        <v>61792</v>
      </c>
      <c r="I293" s="189" t="s">
        <v>224</v>
      </c>
      <c r="J293" s="189">
        <v>0</v>
      </c>
      <c r="K293" s="189">
        <v>10201</v>
      </c>
      <c r="L293" s="191">
        <v>3</v>
      </c>
      <c r="M293" s="192">
        <v>46092</v>
      </c>
      <c r="N293" s="193">
        <v>1</v>
      </c>
      <c r="O293" s="194">
        <v>0.5</v>
      </c>
      <c r="P293" s="195"/>
      <c r="Q293" s="196" t="s">
        <v>38</v>
      </c>
      <c r="R293" s="197">
        <v>1</v>
      </c>
      <c r="S293" s="198" t="s">
        <v>33</v>
      </c>
      <c r="T293" s="199"/>
      <c r="U293" s="200"/>
      <c r="V293" s="200"/>
      <c r="W293" s="200"/>
      <c r="X293" s="200"/>
      <c r="Y293" s="200"/>
      <c r="Z293" s="200"/>
      <c r="AA293" s="200"/>
      <c r="AB293" s="200"/>
      <c r="AC293" s="208"/>
      <c r="AD293" s="11" t="str">
        <f t="shared" si="12"/>
        <v>3</v>
      </c>
      <c r="AF293" t="str">
        <f t="shared" si="13"/>
        <v>80.01.ZZ.03</v>
      </c>
      <c r="AH293" t="str">
        <f t="shared" si="14"/>
        <v>00 de 01</v>
      </c>
    </row>
    <row r="294" spans="1:34" ht="34.5" x14ac:dyDescent="0.25">
      <c r="A294" s="139" t="s">
        <v>116</v>
      </c>
      <c r="B294" s="105" t="s">
        <v>122</v>
      </c>
      <c r="C294" s="63">
        <v>282</v>
      </c>
      <c r="D294" s="197" t="s">
        <v>192</v>
      </c>
      <c r="E294" s="189" t="s">
        <v>522</v>
      </c>
      <c r="F294" s="190" t="s">
        <v>123</v>
      </c>
      <c r="G294" s="189" t="s">
        <v>134</v>
      </c>
      <c r="H294" s="191">
        <v>61792</v>
      </c>
      <c r="I294" s="189" t="s">
        <v>224</v>
      </c>
      <c r="J294" s="189">
        <v>0</v>
      </c>
      <c r="K294" s="189">
        <v>10201</v>
      </c>
      <c r="L294" s="191">
        <v>3</v>
      </c>
      <c r="M294" s="192">
        <v>46092</v>
      </c>
      <c r="N294" s="193">
        <v>1</v>
      </c>
      <c r="O294" s="194">
        <v>0.5</v>
      </c>
      <c r="P294" s="195"/>
      <c r="Q294" s="196" t="s">
        <v>38</v>
      </c>
      <c r="R294" s="197">
        <v>1</v>
      </c>
      <c r="S294" s="198" t="s">
        <v>33</v>
      </c>
      <c r="T294" s="199"/>
      <c r="U294" s="200"/>
      <c r="V294" s="200"/>
      <c r="W294" s="200"/>
      <c r="X294" s="200"/>
      <c r="Y294" s="200"/>
      <c r="Z294" s="200"/>
      <c r="AA294" s="200"/>
      <c r="AB294" s="200"/>
      <c r="AC294" s="208"/>
      <c r="AD294" s="11" t="str">
        <f t="shared" si="12"/>
        <v>3</v>
      </c>
      <c r="AF294" t="str">
        <f t="shared" si="13"/>
        <v>80.01.ZZ.03</v>
      </c>
      <c r="AH294" t="str">
        <f t="shared" si="14"/>
        <v>00 de 01</v>
      </c>
    </row>
    <row r="295" spans="1:34" ht="34.5" x14ac:dyDescent="0.25">
      <c r="A295" s="139" t="s">
        <v>116</v>
      </c>
      <c r="B295" s="105" t="s">
        <v>122</v>
      </c>
      <c r="C295" s="63">
        <v>283</v>
      </c>
      <c r="D295" s="197" t="s">
        <v>192</v>
      </c>
      <c r="E295" s="189" t="s">
        <v>523</v>
      </c>
      <c r="F295" s="190" t="s">
        <v>123</v>
      </c>
      <c r="G295" s="189" t="s">
        <v>134</v>
      </c>
      <c r="H295" s="191">
        <v>61792</v>
      </c>
      <c r="I295" s="189" t="s">
        <v>224</v>
      </c>
      <c r="J295" s="189">
        <v>0</v>
      </c>
      <c r="K295" s="189">
        <v>10201</v>
      </c>
      <c r="L295" s="191">
        <v>3</v>
      </c>
      <c r="M295" s="192">
        <v>46092</v>
      </c>
      <c r="N295" s="193">
        <v>1</v>
      </c>
      <c r="O295" s="194">
        <v>0.5</v>
      </c>
      <c r="P295" s="195"/>
      <c r="Q295" s="196" t="s">
        <v>38</v>
      </c>
      <c r="R295" s="197">
        <v>1</v>
      </c>
      <c r="S295" s="198" t="s">
        <v>33</v>
      </c>
      <c r="T295" s="199"/>
      <c r="U295" s="200"/>
      <c r="V295" s="200"/>
      <c r="W295" s="200"/>
      <c r="X295" s="200"/>
      <c r="Y295" s="200"/>
      <c r="Z295" s="200"/>
      <c r="AA295" s="200"/>
      <c r="AB295" s="200"/>
      <c r="AC295" s="208"/>
      <c r="AD295" s="11" t="str">
        <f t="shared" si="12"/>
        <v>3</v>
      </c>
      <c r="AF295" t="str">
        <f t="shared" si="13"/>
        <v>80.01.ZZ.03</v>
      </c>
      <c r="AH295" t="str">
        <f t="shared" si="14"/>
        <v>00 de 01</v>
      </c>
    </row>
    <row r="296" spans="1:34" ht="34.5" x14ac:dyDescent="0.25">
      <c r="A296" s="139" t="s">
        <v>116</v>
      </c>
      <c r="B296" s="105" t="s">
        <v>122</v>
      </c>
      <c r="C296" s="63">
        <v>284</v>
      </c>
      <c r="D296" s="197" t="s">
        <v>192</v>
      </c>
      <c r="E296" s="189" t="s">
        <v>524</v>
      </c>
      <c r="F296" s="190" t="s">
        <v>123</v>
      </c>
      <c r="G296" s="189" t="s">
        <v>134</v>
      </c>
      <c r="H296" s="191">
        <v>61792</v>
      </c>
      <c r="I296" s="189" t="s">
        <v>224</v>
      </c>
      <c r="J296" s="189">
        <v>0</v>
      </c>
      <c r="K296" s="189">
        <v>10201</v>
      </c>
      <c r="L296" s="191">
        <v>3</v>
      </c>
      <c r="M296" s="192">
        <v>46092</v>
      </c>
      <c r="N296" s="193">
        <v>1</v>
      </c>
      <c r="O296" s="194">
        <v>0.5</v>
      </c>
      <c r="P296" s="195"/>
      <c r="Q296" s="196" t="s">
        <v>38</v>
      </c>
      <c r="R296" s="197">
        <v>1</v>
      </c>
      <c r="S296" s="198" t="s">
        <v>33</v>
      </c>
      <c r="T296" s="199"/>
      <c r="U296" s="200"/>
      <c r="V296" s="200"/>
      <c r="W296" s="200"/>
      <c r="X296" s="200"/>
      <c r="Y296" s="200"/>
      <c r="Z296" s="200"/>
      <c r="AA296" s="200"/>
      <c r="AB296" s="200"/>
      <c r="AC296" s="208"/>
      <c r="AD296" s="11" t="str">
        <f t="shared" si="12"/>
        <v>3</v>
      </c>
      <c r="AF296" t="str">
        <f t="shared" si="13"/>
        <v>80.01.ZZ.03</v>
      </c>
      <c r="AH296" t="str">
        <f t="shared" si="14"/>
        <v>00 de 01</v>
      </c>
    </row>
    <row r="297" spans="1:34" ht="34.5" x14ac:dyDescent="0.25">
      <c r="A297" s="139" t="s">
        <v>116</v>
      </c>
      <c r="B297" s="105" t="s">
        <v>122</v>
      </c>
      <c r="C297" s="63">
        <v>285</v>
      </c>
      <c r="D297" s="197" t="s">
        <v>192</v>
      </c>
      <c r="E297" s="189" t="s">
        <v>525</v>
      </c>
      <c r="F297" s="190" t="s">
        <v>123</v>
      </c>
      <c r="G297" s="189" t="s">
        <v>134</v>
      </c>
      <c r="H297" s="191">
        <v>61792</v>
      </c>
      <c r="I297" s="189" t="s">
        <v>224</v>
      </c>
      <c r="J297" s="189">
        <v>0</v>
      </c>
      <c r="K297" s="189">
        <v>10201</v>
      </c>
      <c r="L297" s="191">
        <v>3</v>
      </c>
      <c r="M297" s="192">
        <v>46092</v>
      </c>
      <c r="N297" s="193">
        <v>1</v>
      </c>
      <c r="O297" s="194">
        <v>0.5</v>
      </c>
      <c r="P297" s="195"/>
      <c r="Q297" s="196" t="s">
        <v>38</v>
      </c>
      <c r="R297" s="197">
        <v>1</v>
      </c>
      <c r="S297" s="198" t="s">
        <v>33</v>
      </c>
      <c r="T297" s="199"/>
      <c r="U297" s="200"/>
      <c r="V297" s="200"/>
      <c r="W297" s="200"/>
      <c r="X297" s="200"/>
      <c r="Y297" s="200"/>
      <c r="Z297" s="200"/>
      <c r="AA297" s="200"/>
      <c r="AB297" s="200"/>
      <c r="AC297" s="208"/>
      <c r="AD297" s="11" t="str">
        <f t="shared" si="12"/>
        <v>3</v>
      </c>
      <c r="AF297" t="str">
        <f t="shared" si="13"/>
        <v>80.01.ZZ.03</v>
      </c>
      <c r="AH297" t="str">
        <f t="shared" si="14"/>
        <v>00 de 01</v>
      </c>
    </row>
    <row r="298" spans="1:34" ht="34.5" x14ac:dyDescent="0.25">
      <c r="A298" s="139" t="s">
        <v>116</v>
      </c>
      <c r="B298" s="105" t="s">
        <v>122</v>
      </c>
      <c r="C298" s="63">
        <v>286</v>
      </c>
      <c r="D298" s="197" t="s">
        <v>192</v>
      </c>
      <c r="E298" s="189" t="s">
        <v>526</v>
      </c>
      <c r="F298" s="190" t="s">
        <v>123</v>
      </c>
      <c r="G298" s="189" t="s">
        <v>134</v>
      </c>
      <c r="H298" s="191">
        <v>61792</v>
      </c>
      <c r="I298" s="189" t="s">
        <v>224</v>
      </c>
      <c r="J298" s="189">
        <v>0</v>
      </c>
      <c r="K298" s="189">
        <v>10201</v>
      </c>
      <c r="L298" s="191">
        <v>3</v>
      </c>
      <c r="M298" s="192">
        <v>46092</v>
      </c>
      <c r="N298" s="193">
        <v>1</v>
      </c>
      <c r="O298" s="194">
        <v>0.5</v>
      </c>
      <c r="P298" s="195"/>
      <c r="Q298" s="196" t="s">
        <v>38</v>
      </c>
      <c r="R298" s="197">
        <v>1</v>
      </c>
      <c r="S298" s="198" t="s">
        <v>33</v>
      </c>
      <c r="T298" s="199"/>
      <c r="U298" s="200"/>
      <c r="V298" s="200"/>
      <c r="W298" s="200"/>
      <c r="X298" s="200"/>
      <c r="Y298" s="200"/>
      <c r="Z298" s="200"/>
      <c r="AA298" s="200"/>
      <c r="AB298" s="200"/>
      <c r="AC298" s="208"/>
      <c r="AD298" s="11" t="str">
        <f t="shared" si="12"/>
        <v>3</v>
      </c>
      <c r="AF298" t="str">
        <f t="shared" si="13"/>
        <v>80.01.ZZ.03</v>
      </c>
      <c r="AH298" t="str">
        <f t="shared" si="14"/>
        <v>00 de 01</v>
      </c>
    </row>
    <row r="299" spans="1:34" ht="34.5" x14ac:dyDescent="0.25">
      <c r="A299" s="139" t="s">
        <v>116</v>
      </c>
      <c r="B299" s="105" t="s">
        <v>122</v>
      </c>
      <c r="C299" s="63">
        <v>287</v>
      </c>
      <c r="D299" s="197" t="s">
        <v>192</v>
      </c>
      <c r="E299" s="189" t="s">
        <v>527</v>
      </c>
      <c r="F299" s="190" t="s">
        <v>123</v>
      </c>
      <c r="G299" s="189" t="s">
        <v>134</v>
      </c>
      <c r="H299" s="191">
        <v>61792</v>
      </c>
      <c r="I299" s="189" t="s">
        <v>224</v>
      </c>
      <c r="J299" s="189">
        <v>0</v>
      </c>
      <c r="K299" s="189">
        <v>10201</v>
      </c>
      <c r="L299" s="191">
        <v>3</v>
      </c>
      <c r="M299" s="192">
        <v>46092</v>
      </c>
      <c r="N299" s="193">
        <v>1</v>
      </c>
      <c r="O299" s="194">
        <v>0.5</v>
      </c>
      <c r="P299" s="195"/>
      <c r="Q299" s="196" t="s">
        <v>38</v>
      </c>
      <c r="R299" s="197">
        <v>1</v>
      </c>
      <c r="S299" s="198" t="s">
        <v>33</v>
      </c>
      <c r="T299" s="199"/>
      <c r="U299" s="200"/>
      <c r="V299" s="200"/>
      <c r="W299" s="200"/>
      <c r="X299" s="200"/>
      <c r="Y299" s="200"/>
      <c r="Z299" s="200"/>
      <c r="AA299" s="200"/>
      <c r="AB299" s="200"/>
      <c r="AC299" s="208"/>
      <c r="AD299" s="11" t="str">
        <f t="shared" si="12"/>
        <v>3</v>
      </c>
      <c r="AF299" t="str">
        <f t="shared" si="13"/>
        <v>80.01.ZZ.03</v>
      </c>
      <c r="AH299" t="str">
        <f t="shared" si="14"/>
        <v>00 de 01</v>
      </c>
    </row>
    <row r="300" spans="1:34" ht="34.5" x14ac:dyDescent="0.25">
      <c r="A300" s="139" t="s">
        <v>116</v>
      </c>
      <c r="B300" s="105" t="s">
        <v>122</v>
      </c>
      <c r="C300" s="63">
        <v>288</v>
      </c>
      <c r="D300" s="197" t="s">
        <v>192</v>
      </c>
      <c r="E300" s="189" t="s">
        <v>528</v>
      </c>
      <c r="F300" s="190" t="s">
        <v>123</v>
      </c>
      <c r="G300" s="189" t="s">
        <v>134</v>
      </c>
      <c r="H300" s="191">
        <v>61792</v>
      </c>
      <c r="I300" s="189" t="s">
        <v>224</v>
      </c>
      <c r="J300" s="189">
        <v>0</v>
      </c>
      <c r="K300" s="189">
        <v>10201</v>
      </c>
      <c r="L300" s="191">
        <v>3</v>
      </c>
      <c r="M300" s="192">
        <v>46092</v>
      </c>
      <c r="N300" s="193">
        <v>1</v>
      </c>
      <c r="O300" s="194">
        <v>0.5</v>
      </c>
      <c r="P300" s="195"/>
      <c r="Q300" s="196" t="s">
        <v>38</v>
      </c>
      <c r="R300" s="197">
        <v>1</v>
      </c>
      <c r="S300" s="198" t="s">
        <v>33</v>
      </c>
      <c r="T300" s="199"/>
      <c r="U300" s="200"/>
      <c r="V300" s="200"/>
      <c r="W300" s="200"/>
      <c r="X300" s="200"/>
      <c r="Y300" s="200"/>
      <c r="Z300" s="200"/>
      <c r="AA300" s="200"/>
      <c r="AB300" s="200"/>
      <c r="AC300" s="208"/>
      <c r="AD300" s="11" t="str">
        <f t="shared" si="12"/>
        <v>3</v>
      </c>
      <c r="AF300" t="str">
        <f t="shared" si="13"/>
        <v>80.01.ZZ.03</v>
      </c>
      <c r="AH300" t="str">
        <f t="shared" si="14"/>
        <v>00 de 01</v>
      </c>
    </row>
    <row r="301" spans="1:34" ht="34.5" x14ac:dyDescent="0.25">
      <c r="A301" s="139" t="s">
        <v>116</v>
      </c>
      <c r="B301" s="105" t="s">
        <v>122</v>
      </c>
      <c r="C301" s="63">
        <v>289</v>
      </c>
      <c r="D301" s="197" t="s">
        <v>192</v>
      </c>
      <c r="E301" s="189" t="s">
        <v>529</v>
      </c>
      <c r="F301" s="190" t="s">
        <v>123</v>
      </c>
      <c r="G301" s="189" t="s">
        <v>134</v>
      </c>
      <c r="H301" s="191">
        <v>61792</v>
      </c>
      <c r="I301" s="189" t="s">
        <v>224</v>
      </c>
      <c r="J301" s="189">
        <v>0</v>
      </c>
      <c r="K301" s="189">
        <v>10201</v>
      </c>
      <c r="L301" s="191">
        <v>3</v>
      </c>
      <c r="M301" s="192">
        <v>46092</v>
      </c>
      <c r="N301" s="193">
        <v>1</v>
      </c>
      <c r="O301" s="194">
        <v>0.5</v>
      </c>
      <c r="P301" s="195"/>
      <c r="Q301" s="196" t="s">
        <v>38</v>
      </c>
      <c r="R301" s="197">
        <v>1</v>
      </c>
      <c r="S301" s="198" t="s">
        <v>33</v>
      </c>
      <c r="T301" s="199"/>
      <c r="U301" s="200"/>
      <c r="V301" s="200"/>
      <c r="W301" s="200"/>
      <c r="X301" s="200"/>
      <c r="Y301" s="200"/>
      <c r="Z301" s="200"/>
      <c r="AA301" s="200"/>
      <c r="AB301" s="200"/>
      <c r="AC301" s="208"/>
      <c r="AD301" s="11" t="str">
        <f t="shared" si="12"/>
        <v>3</v>
      </c>
      <c r="AF301" t="str">
        <f t="shared" si="13"/>
        <v>80.01.ZZ.03</v>
      </c>
      <c r="AH301" t="str">
        <f t="shared" si="14"/>
        <v>00 de 01</v>
      </c>
    </row>
    <row r="302" spans="1:34" ht="34.5" x14ac:dyDescent="0.25">
      <c r="A302" s="139" t="s">
        <v>116</v>
      </c>
      <c r="B302" s="105" t="s">
        <v>122</v>
      </c>
      <c r="C302" s="63">
        <v>290</v>
      </c>
      <c r="D302" s="197" t="s">
        <v>192</v>
      </c>
      <c r="E302" s="189" t="s">
        <v>530</v>
      </c>
      <c r="F302" s="190" t="s">
        <v>123</v>
      </c>
      <c r="G302" s="189" t="s">
        <v>134</v>
      </c>
      <c r="H302" s="191">
        <v>61792</v>
      </c>
      <c r="I302" s="189" t="s">
        <v>224</v>
      </c>
      <c r="J302" s="189">
        <v>0</v>
      </c>
      <c r="K302" s="189">
        <v>10201</v>
      </c>
      <c r="L302" s="191">
        <v>3</v>
      </c>
      <c r="M302" s="192">
        <v>46092</v>
      </c>
      <c r="N302" s="193">
        <v>1</v>
      </c>
      <c r="O302" s="194">
        <v>0.5</v>
      </c>
      <c r="P302" s="195"/>
      <c r="Q302" s="196" t="s">
        <v>38</v>
      </c>
      <c r="R302" s="197">
        <v>1</v>
      </c>
      <c r="S302" s="198" t="s">
        <v>33</v>
      </c>
      <c r="T302" s="199"/>
      <c r="U302" s="200"/>
      <c r="V302" s="200"/>
      <c r="W302" s="200"/>
      <c r="X302" s="200"/>
      <c r="Y302" s="200"/>
      <c r="Z302" s="200"/>
      <c r="AA302" s="200"/>
      <c r="AB302" s="200"/>
      <c r="AC302" s="208"/>
      <c r="AD302" s="11" t="str">
        <f t="shared" si="12"/>
        <v>3</v>
      </c>
      <c r="AF302" t="str">
        <f t="shared" si="13"/>
        <v>80.01.ZZ.03</v>
      </c>
      <c r="AH302" t="str">
        <f t="shared" si="14"/>
        <v>00 de 01</v>
      </c>
    </row>
    <row r="303" spans="1:34" ht="34.5" x14ac:dyDescent="0.25">
      <c r="A303" s="139" t="s">
        <v>116</v>
      </c>
      <c r="B303" s="105" t="s">
        <v>122</v>
      </c>
      <c r="C303" s="63">
        <v>291</v>
      </c>
      <c r="D303" s="197" t="s">
        <v>192</v>
      </c>
      <c r="E303" s="189" t="s">
        <v>531</v>
      </c>
      <c r="F303" s="190" t="s">
        <v>123</v>
      </c>
      <c r="G303" s="189" t="s">
        <v>134</v>
      </c>
      <c r="H303" s="191">
        <v>61792</v>
      </c>
      <c r="I303" s="189" t="s">
        <v>224</v>
      </c>
      <c r="J303" s="189">
        <v>0</v>
      </c>
      <c r="K303" s="189">
        <v>10201</v>
      </c>
      <c r="L303" s="191">
        <v>3</v>
      </c>
      <c r="M303" s="192">
        <v>46092</v>
      </c>
      <c r="N303" s="193">
        <v>1</v>
      </c>
      <c r="O303" s="194">
        <v>0.5</v>
      </c>
      <c r="P303" s="195"/>
      <c r="Q303" s="196" t="s">
        <v>38</v>
      </c>
      <c r="R303" s="197">
        <v>1</v>
      </c>
      <c r="S303" s="198" t="s">
        <v>33</v>
      </c>
      <c r="T303" s="199"/>
      <c r="U303" s="200"/>
      <c r="V303" s="200"/>
      <c r="W303" s="200"/>
      <c r="X303" s="200"/>
      <c r="Y303" s="200"/>
      <c r="Z303" s="200"/>
      <c r="AA303" s="200"/>
      <c r="AB303" s="200"/>
      <c r="AC303" s="208"/>
      <c r="AD303" s="11" t="str">
        <f t="shared" si="12"/>
        <v>3</v>
      </c>
      <c r="AF303" t="str">
        <f t="shared" si="13"/>
        <v>80.01.ZZ.03</v>
      </c>
      <c r="AH303" t="str">
        <f t="shared" si="14"/>
        <v>00 de 01</v>
      </c>
    </row>
    <row r="304" spans="1:34" ht="34.5" x14ac:dyDescent="0.25">
      <c r="A304" s="139" t="s">
        <v>116</v>
      </c>
      <c r="B304" s="105" t="s">
        <v>122</v>
      </c>
      <c r="C304" s="63">
        <v>292</v>
      </c>
      <c r="D304" s="197" t="s">
        <v>192</v>
      </c>
      <c r="E304" s="189" t="s">
        <v>532</v>
      </c>
      <c r="F304" s="190" t="s">
        <v>123</v>
      </c>
      <c r="G304" s="189" t="s">
        <v>134</v>
      </c>
      <c r="H304" s="191">
        <v>61792</v>
      </c>
      <c r="I304" s="189" t="s">
        <v>224</v>
      </c>
      <c r="J304" s="189">
        <v>0</v>
      </c>
      <c r="K304" s="189">
        <v>10201</v>
      </c>
      <c r="L304" s="191">
        <v>3</v>
      </c>
      <c r="M304" s="192">
        <v>46092</v>
      </c>
      <c r="N304" s="193">
        <v>1</v>
      </c>
      <c r="O304" s="194">
        <v>0.5</v>
      </c>
      <c r="P304" s="195"/>
      <c r="Q304" s="196" t="s">
        <v>38</v>
      </c>
      <c r="R304" s="197">
        <v>1</v>
      </c>
      <c r="S304" s="198" t="s">
        <v>33</v>
      </c>
      <c r="T304" s="199"/>
      <c r="U304" s="200"/>
      <c r="V304" s="200"/>
      <c r="W304" s="200"/>
      <c r="X304" s="200"/>
      <c r="Y304" s="200"/>
      <c r="Z304" s="200"/>
      <c r="AA304" s="200"/>
      <c r="AB304" s="200"/>
      <c r="AC304" s="208"/>
      <c r="AD304" s="11" t="str">
        <f t="shared" si="12"/>
        <v>3</v>
      </c>
      <c r="AF304" t="str">
        <f t="shared" si="13"/>
        <v>80.01.ZZ.03</v>
      </c>
      <c r="AH304" t="str">
        <f t="shared" si="14"/>
        <v>00 de 01</v>
      </c>
    </row>
    <row r="305" spans="1:34" ht="34.5" x14ac:dyDescent="0.25">
      <c r="A305" s="139" t="s">
        <v>116</v>
      </c>
      <c r="B305" s="105" t="s">
        <v>122</v>
      </c>
      <c r="C305" s="63">
        <v>293</v>
      </c>
      <c r="D305" s="197" t="s">
        <v>192</v>
      </c>
      <c r="E305" s="189" t="s">
        <v>533</v>
      </c>
      <c r="F305" s="190" t="s">
        <v>123</v>
      </c>
      <c r="G305" s="189" t="s">
        <v>134</v>
      </c>
      <c r="H305" s="191">
        <v>61792</v>
      </c>
      <c r="I305" s="189" t="s">
        <v>224</v>
      </c>
      <c r="J305" s="189">
        <v>0</v>
      </c>
      <c r="K305" s="189">
        <v>10201</v>
      </c>
      <c r="L305" s="191">
        <v>3</v>
      </c>
      <c r="M305" s="192">
        <v>46092</v>
      </c>
      <c r="N305" s="193">
        <v>1</v>
      </c>
      <c r="O305" s="194">
        <v>0.5</v>
      </c>
      <c r="P305" s="195"/>
      <c r="Q305" s="196" t="s">
        <v>38</v>
      </c>
      <c r="R305" s="197">
        <v>1</v>
      </c>
      <c r="S305" s="198" t="s">
        <v>33</v>
      </c>
      <c r="T305" s="199"/>
      <c r="U305" s="200"/>
      <c r="V305" s="200"/>
      <c r="W305" s="200"/>
      <c r="X305" s="200"/>
      <c r="Y305" s="200"/>
      <c r="Z305" s="200"/>
      <c r="AA305" s="200"/>
      <c r="AB305" s="200"/>
      <c r="AC305" s="208"/>
      <c r="AD305" s="11" t="str">
        <f t="shared" ref="AD305:AD366" si="15">RIGHT(L305,2)</f>
        <v>3</v>
      </c>
      <c r="AF305" t="str">
        <f t="shared" ref="AF305:AF366" si="16">CONCATENATE("80.01.ZZ.0",L305)</f>
        <v>80.01.ZZ.03</v>
      </c>
      <c r="AH305" t="str">
        <f t="shared" ref="AH305:AH366" si="17">CONCATENATE("00 de 0",R305)</f>
        <v>00 de 01</v>
      </c>
    </row>
    <row r="306" spans="1:34" ht="34.5" x14ac:dyDescent="0.25">
      <c r="A306" s="139" t="s">
        <v>116</v>
      </c>
      <c r="B306" s="105" t="s">
        <v>122</v>
      </c>
      <c r="C306" s="63">
        <v>294</v>
      </c>
      <c r="D306" s="197" t="s">
        <v>192</v>
      </c>
      <c r="E306" s="189" t="s">
        <v>534</v>
      </c>
      <c r="F306" s="190" t="s">
        <v>123</v>
      </c>
      <c r="G306" s="189" t="s">
        <v>134</v>
      </c>
      <c r="H306" s="191">
        <v>61792</v>
      </c>
      <c r="I306" s="189" t="s">
        <v>224</v>
      </c>
      <c r="J306" s="189">
        <v>0</v>
      </c>
      <c r="K306" s="189">
        <v>10201</v>
      </c>
      <c r="L306" s="191">
        <v>3</v>
      </c>
      <c r="M306" s="192">
        <v>46092</v>
      </c>
      <c r="N306" s="193">
        <v>1</v>
      </c>
      <c r="O306" s="194">
        <v>0.5</v>
      </c>
      <c r="P306" s="195"/>
      <c r="Q306" s="196" t="s">
        <v>38</v>
      </c>
      <c r="R306" s="197">
        <v>1</v>
      </c>
      <c r="S306" s="198" t="s">
        <v>33</v>
      </c>
      <c r="T306" s="199"/>
      <c r="U306" s="200"/>
      <c r="V306" s="200"/>
      <c r="W306" s="200"/>
      <c r="X306" s="200"/>
      <c r="Y306" s="200"/>
      <c r="Z306" s="200"/>
      <c r="AA306" s="200"/>
      <c r="AB306" s="200"/>
      <c r="AC306" s="208"/>
      <c r="AD306" s="11" t="str">
        <f t="shared" si="15"/>
        <v>3</v>
      </c>
      <c r="AF306" t="str">
        <f t="shared" si="16"/>
        <v>80.01.ZZ.03</v>
      </c>
      <c r="AH306" t="str">
        <f t="shared" si="17"/>
        <v>00 de 01</v>
      </c>
    </row>
    <row r="307" spans="1:34" ht="34.5" x14ac:dyDescent="0.25">
      <c r="A307" s="139" t="s">
        <v>116</v>
      </c>
      <c r="B307" s="105" t="s">
        <v>122</v>
      </c>
      <c r="C307" s="63">
        <v>295</v>
      </c>
      <c r="D307" s="197" t="s">
        <v>192</v>
      </c>
      <c r="E307" s="189" t="s">
        <v>535</v>
      </c>
      <c r="F307" s="190" t="s">
        <v>123</v>
      </c>
      <c r="G307" s="189" t="s">
        <v>134</v>
      </c>
      <c r="H307" s="191">
        <v>61792</v>
      </c>
      <c r="I307" s="189" t="s">
        <v>224</v>
      </c>
      <c r="J307" s="189">
        <v>0</v>
      </c>
      <c r="K307" s="189">
        <v>10201</v>
      </c>
      <c r="L307" s="191">
        <v>3</v>
      </c>
      <c r="M307" s="192">
        <v>46092</v>
      </c>
      <c r="N307" s="193">
        <v>1</v>
      </c>
      <c r="O307" s="194">
        <v>0.5</v>
      </c>
      <c r="P307" s="195"/>
      <c r="Q307" s="196" t="s">
        <v>38</v>
      </c>
      <c r="R307" s="197">
        <v>1</v>
      </c>
      <c r="S307" s="198" t="s">
        <v>33</v>
      </c>
      <c r="T307" s="199"/>
      <c r="U307" s="200"/>
      <c r="V307" s="200"/>
      <c r="W307" s="200"/>
      <c r="X307" s="200"/>
      <c r="Y307" s="200"/>
      <c r="Z307" s="200"/>
      <c r="AA307" s="200"/>
      <c r="AB307" s="200"/>
      <c r="AC307" s="208"/>
      <c r="AD307" s="11" t="str">
        <f t="shared" si="15"/>
        <v>3</v>
      </c>
      <c r="AF307" t="str">
        <f t="shared" si="16"/>
        <v>80.01.ZZ.03</v>
      </c>
      <c r="AH307" t="str">
        <f t="shared" si="17"/>
        <v>00 de 01</v>
      </c>
    </row>
    <row r="308" spans="1:34" ht="34.5" x14ac:dyDescent="0.25">
      <c r="A308" s="139" t="s">
        <v>116</v>
      </c>
      <c r="B308" s="105" t="s">
        <v>122</v>
      </c>
      <c r="C308" s="63">
        <v>296</v>
      </c>
      <c r="D308" s="197" t="s">
        <v>192</v>
      </c>
      <c r="E308" s="189" t="s">
        <v>536</v>
      </c>
      <c r="F308" s="190" t="s">
        <v>123</v>
      </c>
      <c r="G308" s="189" t="s">
        <v>134</v>
      </c>
      <c r="H308" s="191">
        <v>61792</v>
      </c>
      <c r="I308" s="189" t="s">
        <v>224</v>
      </c>
      <c r="J308" s="189">
        <v>0</v>
      </c>
      <c r="K308" s="189">
        <v>10201</v>
      </c>
      <c r="L308" s="191">
        <v>3</v>
      </c>
      <c r="M308" s="192">
        <v>46092</v>
      </c>
      <c r="N308" s="193">
        <v>1</v>
      </c>
      <c r="O308" s="194">
        <v>0.5</v>
      </c>
      <c r="P308" s="195"/>
      <c r="Q308" s="196" t="s">
        <v>38</v>
      </c>
      <c r="R308" s="197">
        <v>1</v>
      </c>
      <c r="S308" s="198" t="s">
        <v>33</v>
      </c>
      <c r="T308" s="199"/>
      <c r="U308" s="200"/>
      <c r="V308" s="200"/>
      <c r="W308" s="200"/>
      <c r="X308" s="200"/>
      <c r="Y308" s="200"/>
      <c r="Z308" s="200"/>
      <c r="AA308" s="200"/>
      <c r="AB308" s="200"/>
      <c r="AC308" s="208"/>
      <c r="AD308" s="11" t="str">
        <f t="shared" si="15"/>
        <v>3</v>
      </c>
      <c r="AF308" t="str">
        <f t="shared" si="16"/>
        <v>80.01.ZZ.03</v>
      </c>
      <c r="AH308" t="str">
        <f t="shared" si="17"/>
        <v>00 de 01</v>
      </c>
    </row>
    <row r="309" spans="1:34" ht="34.5" x14ac:dyDescent="0.25">
      <c r="A309" s="139" t="s">
        <v>116</v>
      </c>
      <c r="B309" s="105" t="s">
        <v>122</v>
      </c>
      <c r="C309" s="63">
        <v>297</v>
      </c>
      <c r="D309" s="197" t="s">
        <v>192</v>
      </c>
      <c r="E309" s="189" t="s">
        <v>537</v>
      </c>
      <c r="F309" s="190" t="s">
        <v>123</v>
      </c>
      <c r="G309" s="189" t="s">
        <v>134</v>
      </c>
      <c r="H309" s="191">
        <v>61792</v>
      </c>
      <c r="I309" s="189" t="s">
        <v>224</v>
      </c>
      <c r="J309" s="189">
        <v>0</v>
      </c>
      <c r="K309" s="189">
        <v>10201</v>
      </c>
      <c r="L309" s="191">
        <v>3</v>
      </c>
      <c r="M309" s="192">
        <v>46092</v>
      </c>
      <c r="N309" s="193">
        <v>1</v>
      </c>
      <c r="O309" s="194">
        <v>0.5</v>
      </c>
      <c r="P309" s="195"/>
      <c r="Q309" s="196" t="s">
        <v>38</v>
      </c>
      <c r="R309" s="197">
        <v>1</v>
      </c>
      <c r="S309" s="198" t="s">
        <v>33</v>
      </c>
      <c r="T309" s="199"/>
      <c r="U309" s="200"/>
      <c r="V309" s="200"/>
      <c r="W309" s="200"/>
      <c r="X309" s="200"/>
      <c r="Y309" s="200"/>
      <c r="Z309" s="200"/>
      <c r="AA309" s="200"/>
      <c r="AB309" s="200"/>
      <c r="AC309" s="208"/>
      <c r="AD309" s="11" t="str">
        <f t="shared" si="15"/>
        <v>3</v>
      </c>
      <c r="AF309" t="str">
        <f t="shared" si="16"/>
        <v>80.01.ZZ.03</v>
      </c>
      <c r="AH309" t="str">
        <f t="shared" si="17"/>
        <v>00 de 01</v>
      </c>
    </row>
    <row r="310" spans="1:34" ht="34.5" x14ac:dyDescent="0.25">
      <c r="A310" s="139" t="s">
        <v>116</v>
      </c>
      <c r="B310" s="105" t="s">
        <v>122</v>
      </c>
      <c r="C310" s="63">
        <v>298</v>
      </c>
      <c r="D310" s="197" t="s">
        <v>192</v>
      </c>
      <c r="E310" s="189" t="s">
        <v>538</v>
      </c>
      <c r="F310" s="190" t="s">
        <v>123</v>
      </c>
      <c r="G310" s="189" t="s">
        <v>134</v>
      </c>
      <c r="H310" s="191">
        <v>61792</v>
      </c>
      <c r="I310" s="189" t="s">
        <v>224</v>
      </c>
      <c r="J310" s="189">
        <v>0</v>
      </c>
      <c r="K310" s="189">
        <v>10201</v>
      </c>
      <c r="L310" s="191">
        <v>3</v>
      </c>
      <c r="M310" s="192">
        <v>46092</v>
      </c>
      <c r="N310" s="193">
        <v>1</v>
      </c>
      <c r="O310" s="194">
        <v>0.5</v>
      </c>
      <c r="P310" s="195"/>
      <c r="Q310" s="196" t="s">
        <v>38</v>
      </c>
      <c r="R310" s="197">
        <v>1</v>
      </c>
      <c r="S310" s="198" t="s">
        <v>33</v>
      </c>
      <c r="T310" s="199"/>
      <c r="U310" s="200"/>
      <c r="V310" s="200"/>
      <c r="W310" s="200"/>
      <c r="X310" s="200"/>
      <c r="Y310" s="200"/>
      <c r="Z310" s="200"/>
      <c r="AA310" s="200"/>
      <c r="AB310" s="200"/>
      <c r="AC310" s="208"/>
      <c r="AD310" s="11" t="str">
        <f t="shared" si="15"/>
        <v>3</v>
      </c>
      <c r="AF310" t="str">
        <f t="shared" si="16"/>
        <v>80.01.ZZ.03</v>
      </c>
      <c r="AH310" t="str">
        <f t="shared" si="17"/>
        <v>00 de 01</v>
      </c>
    </row>
    <row r="311" spans="1:34" ht="34.5" x14ac:dyDescent="0.25">
      <c r="A311" s="139" t="s">
        <v>116</v>
      </c>
      <c r="B311" s="105" t="s">
        <v>122</v>
      </c>
      <c r="C311" s="63">
        <v>299</v>
      </c>
      <c r="D311" s="197" t="s">
        <v>192</v>
      </c>
      <c r="E311" s="189" t="s">
        <v>539</v>
      </c>
      <c r="F311" s="190" t="s">
        <v>123</v>
      </c>
      <c r="G311" s="189" t="s">
        <v>134</v>
      </c>
      <c r="H311" s="191">
        <v>61792</v>
      </c>
      <c r="I311" s="189" t="s">
        <v>224</v>
      </c>
      <c r="J311" s="189">
        <v>0</v>
      </c>
      <c r="K311" s="189">
        <v>10201</v>
      </c>
      <c r="L311" s="191">
        <v>3</v>
      </c>
      <c r="M311" s="192">
        <v>46092</v>
      </c>
      <c r="N311" s="193">
        <v>1</v>
      </c>
      <c r="O311" s="194">
        <v>0.5</v>
      </c>
      <c r="P311" s="195"/>
      <c r="Q311" s="196" t="s">
        <v>38</v>
      </c>
      <c r="R311" s="197">
        <v>1</v>
      </c>
      <c r="S311" s="198" t="s">
        <v>33</v>
      </c>
      <c r="T311" s="199"/>
      <c r="U311" s="200"/>
      <c r="V311" s="200"/>
      <c r="W311" s="200"/>
      <c r="X311" s="200"/>
      <c r="Y311" s="200"/>
      <c r="Z311" s="200"/>
      <c r="AA311" s="200"/>
      <c r="AB311" s="200"/>
      <c r="AC311" s="208"/>
      <c r="AD311" s="11" t="str">
        <f t="shared" si="15"/>
        <v>3</v>
      </c>
      <c r="AF311" t="str">
        <f t="shared" si="16"/>
        <v>80.01.ZZ.03</v>
      </c>
      <c r="AH311" t="str">
        <f t="shared" si="17"/>
        <v>00 de 01</v>
      </c>
    </row>
    <row r="312" spans="1:34" ht="34.5" x14ac:dyDescent="0.25">
      <c r="A312" s="139" t="s">
        <v>116</v>
      </c>
      <c r="B312" s="105" t="s">
        <v>122</v>
      </c>
      <c r="C312" s="63">
        <v>300</v>
      </c>
      <c r="D312" s="197" t="s">
        <v>192</v>
      </c>
      <c r="E312" s="189" t="s">
        <v>540</v>
      </c>
      <c r="F312" s="190" t="s">
        <v>123</v>
      </c>
      <c r="G312" s="189" t="s">
        <v>134</v>
      </c>
      <c r="H312" s="191">
        <v>61792</v>
      </c>
      <c r="I312" s="189" t="s">
        <v>224</v>
      </c>
      <c r="J312" s="189">
        <v>0</v>
      </c>
      <c r="K312" s="189">
        <v>10201</v>
      </c>
      <c r="L312" s="191">
        <v>3</v>
      </c>
      <c r="M312" s="192">
        <v>46092</v>
      </c>
      <c r="N312" s="193">
        <v>1</v>
      </c>
      <c r="O312" s="194">
        <v>0.5</v>
      </c>
      <c r="P312" s="195"/>
      <c r="Q312" s="196" t="s">
        <v>38</v>
      </c>
      <c r="R312" s="197">
        <v>1</v>
      </c>
      <c r="S312" s="198" t="s">
        <v>33</v>
      </c>
      <c r="T312" s="199"/>
      <c r="U312" s="200"/>
      <c r="V312" s="200"/>
      <c r="W312" s="200"/>
      <c r="X312" s="200"/>
      <c r="Y312" s="200"/>
      <c r="Z312" s="200"/>
      <c r="AA312" s="200"/>
      <c r="AB312" s="200"/>
      <c r="AC312" s="208"/>
      <c r="AD312" s="11" t="str">
        <f t="shared" si="15"/>
        <v>3</v>
      </c>
      <c r="AF312" t="str">
        <f t="shared" si="16"/>
        <v>80.01.ZZ.03</v>
      </c>
      <c r="AH312" t="str">
        <f t="shared" si="17"/>
        <v>00 de 01</v>
      </c>
    </row>
    <row r="313" spans="1:34" ht="34.5" x14ac:dyDescent="0.25">
      <c r="A313" s="139" t="s">
        <v>116</v>
      </c>
      <c r="B313" s="105" t="s">
        <v>122</v>
      </c>
      <c r="C313" s="63">
        <v>301</v>
      </c>
      <c r="D313" s="197" t="s">
        <v>192</v>
      </c>
      <c r="E313" s="189" t="s">
        <v>541</v>
      </c>
      <c r="F313" s="190" t="s">
        <v>123</v>
      </c>
      <c r="G313" s="189" t="s">
        <v>134</v>
      </c>
      <c r="H313" s="191">
        <v>61792</v>
      </c>
      <c r="I313" s="189" t="s">
        <v>224</v>
      </c>
      <c r="J313" s="189">
        <v>0</v>
      </c>
      <c r="K313" s="189">
        <v>10201</v>
      </c>
      <c r="L313" s="191">
        <v>3</v>
      </c>
      <c r="M313" s="192">
        <v>46092</v>
      </c>
      <c r="N313" s="193">
        <v>1</v>
      </c>
      <c r="O313" s="194">
        <v>0.5</v>
      </c>
      <c r="P313" s="195"/>
      <c r="Q313" s="196" t="s">
        <v>38</v>
      </c>
      <c r="R313" s="197">
        <v>1</v>
      </c>
      <c r="S313" s="198" t="s">
        <v>33</v>
      </c>
      <c r="T313" s="199"/>
      <c r="U313" s="200"/>
      <c r="V313" s="200"/>
      <c r="W313" s="200"/>
      <c r="X313" s="200"/>
      <c r="Y313" s="200"/>
      <c r="Z313" s="200"/>
      <c r="AA313" s="200"/>
      <c r="AB313" s="200"/>
      <c r="AC313" s="208"/>
      <c r="AD313" s="11" t="str">
        <f t="shared" si="15"/>
        <v>3</v>
      </c>
      <c r="AF313" t="str">
        <f t="shared" si="16"/>
        <v>80.01.ZZ.03</v>
      </c>
      <c r="AH313" t="str">
        <f t="shared" si="17"/>
        <v>00 de 01</v>
      </c>
    </row>
    <row r="314" spans="1:34" ht="34.5" x14ac:dyDescent="0.25">
      <c r="A314" s="139" t="s">
        <v>116</v>
      </c>
      <c r="B314" s="105" t="s">
        <v>122</v>
      </c>
      <c r="C314" s="63">
        <v>302</v>
      </c>
      <c r="D314" s="197" t="s">
        <v>192</v>
      </c>
      <c r="E314" s="189" t="s">
        <v>542</v>
      </c>
      <c r="F314" s="190" t="s">
        <v>123</v>
      </c>
      <c r="G314" s="189" t="s">
        <v>134</v>
      </c>
      <c r="H314" s="191">
        <v>61792</v>
      </c>
      <c r="I314" s="189" t="s">
        <v>224</v>
      </c>
      <c r="J314" s="189">
        <v>0</v>
      </c>
      <c r="K314" s="189">
        <v>10201</v>
      </c>
      <c r="L314" s="191">
        <v>3</v>
      </c>
      <c r="M314" s="192">
        <v>46092</v>
      </c>
      <c r="N314" s="193">
        <v>1</v>
      </c>
      <c r="O314" s="194">
        <v>0.5</v>
      </c>
      <c r="P314" s="195"/>
      <c r="Q314" s="196" t="s">
        <v>38</v>
      </c>
      <c r="R314" s="197">
        <v>1</v>
      </c>
      <c r="S314" s="198" t="s">
        <v>33</v>
      </c>
      <c r="T314" s="199"/>
      <c r="U314" s="200"/>
      <c r="V314" s="200"/>
      <c r="W314" s="200"/>
      <c r="X314" s="200"/>
      <c r="Y314" s="200"/>
      <c r="Z314" s="200"/>
      <c r="AA314" s="200"/>
      <c r="AB314" s="200"/>
      <c r="AC314" s="208"/>
      <c r="AD314" s="11" t="str">
        <f t="shared" si="15"/>
        <v>3</v>
      </c>
      <c r="AF314" t="str">
        <f t="shared" si="16"/>
        <v>80.01.ZZ.03</v>
      </c>
      <c r="AH314" t="str">
        <f t="shared" si="17"/>
        <v>00 de 01</v>
      </c>
    </row>
    <row r="315" spans="1:34" ht="34.5" x14ac:dyDescent="0.25">
      <c r="A315" s="139" t="s">
        <v>116</v>
      </c>
      <c r="B315" s="105" t="s">
        <v>122</v>
      </c>
      <c r="C315" s="63">
        <v>303</v>
      </c>
      <c r="D315" s="197" t="s">
        <v>192</v>
      </c>
      <c r="E315" s="189" t="s">
        <v>543</v>
      </c>
      <c r="F315" s="190" t="s">
        <v>123</v>
      </c>
      <c r="G315" s="189" t="s">
        <v>134</v>
      </c>
      <c r="H315" s="191">
        <v>61792</v>
      </c>
      <c r="I315" s="189" t="s">
        <v>224</v>
      </c>
      <c r="J315" s="189">
        <v>0</v>
      </c>
      <c r="K315" s="189">
        <v>10201</v>
      </c>
      <c r="L315" s="191">
        <v>3</v>
      </c>
      <c r="M315" s="192">
        <v>46092</v>
      </c>
      <c r="N315" s="193">
        <v>1</v>
      </c>
      <c r="O315" s="194">
        <v>0.5</v>
      </c>
      <c r="P315" s="195"/>
      <c r="Q315" s="196" t="s">
        <v>38</v>
      </c>
      <c r="R315" s="197">
        <v>1</v>
      </c>
      <c r="S315" s="198" t="s">
        <v>33</v>
      </c>
      <c r="T315" s="199"/>
      <c r="U315" s="200"/>
      <c r="V315" s="200"/>
      <c r="W315" s="200"/>
      <c r="X315" s="200"/>
      <c r="Y315" s="200"/>
      <c r="Z315" s="200"/>
      <c r="AA315" s="200"/>
      <c r="AB315" s="200"/>
      <c r="AC315" s="208"/>
      <c r="AD315" s="11" t="str">
        <f t="shared" si="15"/>
        <v>3</v>
      </c>
      <c r="AF315" t="str">
        <f t="shared" si="16"/>
        <v>80.01.ZZ.03</v>
      </c>
      <c r="AH315" t="str">
        <f t="shared" si="17"/>
        <v>00 de 01</v>
      </c>
    </row>
    <row r="316" spans="1:34" ht="34.5" x14ac:dyDescent="0.25">
      <c r="A316" s="139" t="s">
        <v>116</v>
      </c>
      <c r="B316" s="105" t="s">
        <v>122</v>
      </c>
      <c r="C316" s="63">
        <v>304</v>
      </c>
      <c r="D316" s="197" t="s">
        <v>192</v>
      </c>
      <c r="E316" s="189" t="s">
        <v>544</v>
      </c>
      <c r="F316" s="190" t="s">
        <v>123</v>
      </c>
      <c r="G316" s="189" t="s">
        <v>134</v>
      </c>
      <c r="H316" s="191">
        <v>61792</v>
      </c>
      <c r="I316" s="189" t="s">
        <v>224</v>
      </c>
      <c r="J316" s="189">
        <v>0</v>
      </c>
      <c r="K316" s="189">
        <v>10201</v>
      </c>
      <c r="L316" s="191">
        <v>3</v>
      </c>
      <c r="M316" s="192">
        <v>46092</v>
      </c>
      <c r="N316" s="193">
        <v>1</v>
      </c>
      <c r="O316" s="194">
        <v>0.5</v>
      </c>
      <c r="P316" s="195"/>
      <c r="Q316" s="196" t="s">
        <v>38</v>
      </c>
      <c r="R316" s="197">
        <v>1</v>
      </c>
      <c r="S316" s="198" t="s">
        <v>33</v>
      </c>
      <c r="T316" s="199"/>
      <c r="U316" s="200"/>
      <c r="V316" s="200"/>
      <c r="W316" s="200"/>
      <c r="X316" s="200"/>
      <c r="Y316" s="200"/>
      <c r="Z316" s="200"/>
      <c r="AA316" s="200"/>
      <c r="AB316" s="200"/>
      <c r="AC316" s="208"/>
      <c r="AD316" s="11" t="str">
        <f t="shared" si="15"/>
        <v>3</v>
      </c>
      <c r="AF316" t="str">
        <f t="shared" si="16"/>
        <v>80.01.ZZ.03</v>
      </c>
      <c r="AH316" t="str">
        <f t="shared" si="17"/>
        <v>00 de 01</v>
      </c>
    </row>
    <row r="317" spans="1:34" ht="34.5" x14ac:dyDescent="0.25">
      <c r="A317" s="139" t="s">
        <v>116</v>
      </c>
      <c r="B317" s="105" t="s">
        <v>122</v>
      </c>
      <c r="C317" s="63">
        <v>305</v>
      </c>
      <c r="D317" s="197" t="s">
        <v>192</v>
      </c>
      <c r="E317" s="189" t="s">
        <v>243</v>
      </c>
      <c r="F317" s="190" t="s">
        <v>123</v>
      </c>
      <c r="G317" s="189" t="s">
        <v>134</v>
      </c>
      <c r="H317" s="191">
        <v>61792</v>
      </c>
      <c r="I317" s="189" t="s">
        <v>224</v>
      </c>
      <c r="J317" s="189">
        <v>0</v>
      </c>
      <c r="K317" s="189">
        <v>10301</v>
      </c>
      <c r="L317" s="191">
        <v>3</v>
      </c>
      <c r="M317" s="192">
        <v>46092</v>
      </c>
      <c r="N317" s="193">
        <v>1</v>
      </c>
      <c r="O317" s="194">
        <v>0.5</v>
      </c>
      <c r="P317" s="195"/>
      <c r="Q317" s="196" t="s">
        <v>38</v>
      </c>
      <c r="R317" s="197">
        <v>1</v>
      </c>
      <c r="S317" s="198" t="s">
        <v>33</v>
      </c>
      <c r="T317" s="199"/>
      <c r="U317" s="200"/>
      <c r="V317" s="200"/>
      <c r="W317" s="200"/>
      <c r="X317" s="200"/>
      <c r="Y317" s="200"/>
      <c r="Z317" s="200"/>
      <c r="AA317" s="200"/>
      <c r="AB317" s="200"/>
      <c r="AC317" s="208"/>
      <c r="AD317" s="11" t="str">
        <f t="shared" si="15"/>
        <v>3</v>
      </c>
      <c r="AF317" t="str">
        <f t="shared" si="16"/>
        <v>80.01.ZZ.03</v>
      </c>
      <c r="AH317" t="str">
        <f t="shared" si="17"/>
        <v>00 de 01</v>
      </c>
    </row>
    <row r="318" spans="1:34" ht="34.5" x14ac:dyDescent="0.25">
      <c r="A318" s="139" t="s">
        <v>116</v>
      </c>
      <c r="B318" s="105" t="s">
        <v>122</v>
      </c>
      <c r="C318" s="63">
        <v>306</v>
      </c>
      <c r="D318" s="197" t="s">
        <v>192</v>
      </c>
      <c r="E318" s="189" t="s">
        <v>545</v>
      </c>
      <c r="F318" s="190" t="s">
        <v>123</v>
      </c>
      <c r="G318" s="189" t="s">
        <v>134</v>
      </c>
      <c r="H318" s="191">
        <v>61792</v>
      </c>
      <c r="I318" s="189" t="s">
        <v>224</v>
      </c>
      <c r="J318" s="189">
        <v>0</v>
      </c>
      <c r="K318" s="189">
        <v>10301</v>
      </c>
      <c r="L318" s="191">
        <v>3</v>
      </c>
      <c r="M318" s="192">
        <v>46092</v>
      </c>
      <c r="N318" s="193">
        <v>1</v>
      </c>
      <c r="O318" s="194">
        <v>0.5</v>
      </c>
      <c r="P318" s="195"/>
      <c r="Q318" s="196" t="s">
        <v>38</v>
      </c>
      <c r="R318" s="197">
        <v>1</v>
      </c>
      <c r="S318" s="198" t="s">
        <v>33</v>
      </c>
      <c r="T318" s="199"/>
      <c r="U318" s="200"/>
      <c r="V318" s="200"/>
      <c r="W318" s="200"/>
      <c r="X318" s="200"/>
      <c r="Y318" s="200"/>
      <c r="Z318" s="200"/>
      <c r="AA318" s="200"/>
      <c r="AB318" s="200"/>
      <c r="AC318" s="208"/>
      <c r="AD318" s="11" t="str">
        <f t="shared" si="15"/>
        <v>3</v>
      </c>
      <c r="AF318" t="str">
        <f t="shared" si="16"/>
        <v>80.01.ZZ.03</v>
      </c>
      <c r="AH318" t="str">
        <f t="shared" si="17"/>
        <v>00 de 01</v>
      </c>
    </row>
    <row r="319" spans="1:34" ht="34.5" x14ac:dyDescent="0.25">
      <c r="A319" s="139" t="s">
        <v>116</v>
      </c>
      <c r="B319" s="105" t="s">
        <v>122</v>
      </c>
      <c r="C319" s="63">
        <v>307</v>
      </c>
      <c r="D319" s="197" t="s">
        <v>192</v>
      </c>
      <c r="E319" s="189" t="s">
        <v>546</v>
      </c>
      <c r="F319" s="190" t="s">
        <v>123</v>
      </c>
      <c r="G319" s="189" t="s">
        <v>134</v>
      </c>
      <c r="H319" s="191">
        <v>61792</v>
      </c>
      <c r="I319" s="189" t="s">
        <v>224</v>
      </c>
      <c r="J319" s="189">
        <v>0</v>
      </c>
      <c r="K319" s="189">
        <v>10301</v>
      </c>
      <c r="L319" s="191">
        <v>3</v>
      </c>
      <c r="M319" s="192">
        <v>46092</v>
      </c>
      <c r="N319" s="193">
        <v>1</v>
      </c>
      <c r="O319" s="194">
        <v>0.5</v>
      </c>
      <c r="P319" s="195"/>
      <c r="Q319" s="196" t="s">
        <v>38</v>
      </c>
      <c r="R319" s="197">
        <v>1</v>
      </c>
      <c r="S319" s="198" t="s">
        <v>33</v>
      </c>
      <c r="T319" s="199"/>
      <c r="U319" s="200"/>
      <c r="V319" s="200"/>
      <c r="W319" s="200"/>
      <c r="X319" s="200"/>
      <c r="Y319" s="200"/>
      <c r="Z319" s="200"/>
      <c r="AA319" s="200"/>
      <c r="AB319" s="200"/>
      <c r="AC319" s="208"/>
      <c r="AD319" s="11" t="str">
        <f t="shared" si="15"/>
        <v>3</v>
      </c>
      <c r="AF319" t="str">
        <f t="shared" si="16"/>
        <v>80.01.ZZ.03</v>
      </c>
      <c r="AH319" t="str">
        <f t="shared" si="17"/>
        <v>00 de 01</v>
      </c>
    </row>
    <row r="320" spans="1:34" ht="34.5" x14ac:dyDescent="0.25">
      <c r="A320" s="139" t="s">
        <v>116</v>
      </c>
      <c r="B320" s="105" t="s">
        <v>122</v>
      </c>
      <c r="C320" s="63">
        <v>308</v>
      </c>
      <c r="D320" s="197" t="s">
        <v>192</v>
      </c>
      <c r="E320" s="189" t="s">
        <v>547</v>
      </c>
      <c r="F320" s="190" t="s">
        <v>123</v>
      </c>
      <c r="G320" s="189" t="s">
        <v>134</v>
      </c>
      <c r="H320" s="191">
        <v>61792</v>
      </c>
      <c r="I320" s="189" t="s">
        <v>224</v>
      </c>
      <c r="J320" s="189">
        <v>0</v>
      </c>
      <c r="K320" s="189">
        <v>10301</v>
      </c>
      <c r="L320" s="191">
        <v>3</v>
      </c>
      <c r="M320" s="192">
        <v>46092</v>
      </c>
      <c r="N320" s="193">
        <v>1</v>
      </c>
      <c r="O320" s="194">
        <v>0.5</v>
      </c>
      <c r="P320" s="195"/>
      <c r="Q320" s="196" t="s">
        <v>38</v>
      </c>
      <c r="R320" s="197">
        <v>1</v>
      </c>
      <c r="S320" s="198" t="s">
        <v>33</v>
      </c>
      <c r="T320" s="199"/>
      <c r="U320" s="200"/>
      <c r="V320" s="200"/>
      <c r="W320" s="200"/>
      <c r="X320" s="200"/>
      <c r="Y320" s="200"/>
      <c r="Z320" s="200"/>
      <c r="AA320" s="200"/>
      <c r="AB320" s="200"/>
      <c r="AC320" s="208"/>
      <c r="AD320" s="11" t="str">
        <f t="shared" si="15"/>
        <v>3</v>
      </c>
      <c r="AF320" t="str">
        <f t="shared" si="16"/>
        <v>80.01.ZZ.03</v>
      </c>
      <c r="AH320" t="str">
        <f t="shared" si="17"/>
        <v>00 de 01</v>
      </c>
    </row>
    <row r="321" spans="1:34" ht="34.5" x14ac:dyDescent="0.25">
      <c r="A321" s="139" t="s">
        <v>116</v>
      </c>
      <c r="B321" s="105" t="s">
        <v>122</v>
      </c>
      <c r="C321" s="63">
        <v>309</v>
      </c>
      <c r="D321" s="197" t="s">
        <v>192</v>
      </c>
      <c r="E321" s="189" t="s">
        <v>548</v>
      </c>
      <c r="F321" s="190" t="s">
        <v>123</v>
      </c>
      <c r="G321" s="189" t="s">
        <v>134</v>
      </c>
      <c r="H321" s="191">
        <v>61792</v>
      </c>
      <c r="I321" s="189" t="s">
        <v>224</v>
      </c>
      <c r="J321" s="189">
        <v>0</v>
      </c>
      <c r="K321" s="189">
        <v>10301</v>
      </c>
      <c r="L321" s="191">
        <v>3</v>
      </c>
      <c r="M321" s="192">
        <v>46092</v>
      </c>
      <c r="N321" s="193">
        <v>1</v>
      </c>
      <c r="O321" s="194">
        <v>0.5</v>
      </c>
      <c r="P321" s="195"/>
      <c r="Q321" s="196" t="s">
        <v>38</v>
      </c>
      <c r="R321" s="197">
        <v>1</v>
      </c>
      <c r="S321" s="198" t="s">
        <v>33</v>
      </c>
      <c r="T321" s="199"/>
      <c r="U321" s="200"/>
      <c r="V321" s="200"/>
      <c r="W321" s="200"/>
      <c r="X321" s="200"/>
      <c r="Y321" s="200"/>
      <c r="Z321" s="200"/>
      <c r="AA321" s="200"/>
      <c r="AB321" s="200"/>
      <c r="AC321" s="208"/>
      <c r="AD321" s="11" t="str">
        <f t="shared" si="15"/>
        <v>3</v>
      </c>
      <c r="AF321" t="str">
        <f t="shared" si="16"/>
        <v>80.01.ZZ.03</v>
      </c>
      <c r="AH321" t="str">
        <f t="shared" si="17"/>
        <v>00 de 01</v>
      </c>
    </row>
    <row r="322" spans="1:34" ht="34.5" x14ac:dyDescent="0.25">
      <c r="A322" s="139" t="s">
        <v>116</v>
      </c>
      <c r="B322" s="105" t="s">
        <v>122</v>
      </c>
      <c r="C322" s="63">
        <v>310</v>
      </c>
      <c r="D322" s="197" t="s">
        <v>192</v>
      </c>
      <c r="E322" s="189" t="s">
        <v>549</v>
      </c>
      <c r="F322" s="190" t="s">
        <v>123</v>
      </c>
      <c r="G322" s="189" t="s">
        <v>134</v>
      </c>
      <c r="H322" s="191">
        <v>61792</v>
      </c>
      <c r="I322" s="189" t="s">
        <v>224</v>
      </c>
      <c r="J322" s="189">
        <v>0</v>
      </c>
      <c r="K322" s="189">
        <v>10301</v>
      </c>
      <c r="L322" s="191">
        <v>3</v>
      </c>
      <c r="M322" s="192">
        <v>46092</v>
      </c>
      <c r="N322" s="193">
        <v>1</v>
      </c>
      <c r="O322" s="194">
        <v>0.5</v>
      </c>
      <c r="P322" s="195"/>
      <c r="Q322" s="196" t="s">
        <v>38</v>
      </c>
      <c r="R322" s="197">
        <v>1</v>
      </c>
      <c r="S322" s="198" t="s">
        <v>33</v>
      </c>
      <c r="T322" s="199"/>
      <c r="U322" s="200"/>
      <c r="V322" s="200"/>
      <c r="W322" s="200"/>
      <c r="X322" s="200"/>
      <c r="Y322" s="200"/>
      <c r="Z322" s="200"/>
      <c r="AA322" s="200"/>
      <c r="AB322" s="200"/>
      <c r="AC322" s="208"/>
      <c r="AD322" s="11" t="str">
        <f t="shared" si="15"/>
        <v>3</v>
      </c>
      <c r="AF322" t="str">
        <f t="shared" si="16"/>
        <v>80.01.ZZ.03</v>
      </c>
      <c r="AH322" t="str">
        <f t="shared" si="17"/>
        <v>00 de 01</v>
      </c>
    </row>
    <row r="323" spans="1:34" ht="34.5" x14ac:dyDescent="0.25">
      <c r="A323" s="139" t="s">
        <v>116</v>
      </c>
      <c r="B323" s="105" t="s">
        <v>122</v>
      </c>
      <c r="C323" s="63">
        <v>311</v>
      </c>
      <c r="D323" s="197" t="s">
        <v>192</v>
      </c>
      <c r="E323" s="189" t="s">
        <v>550</v>
      </c>
      <c r="F323" s="190" t="s">
        <v>123</v>
      </c>
      <c r="G323" s="189" t="s">
        <v>134</v>
      </c>
      <c r="H323" s="191">
        <v>61792</v>
      </c>
      <c r="I323" s="189" t="s">
        <v>224</v>
      </c>
      <c r="J323" s="189">
        <v>0</v>
      </c>
      <c r="K323" s="189">
        <v>10301</v>
      </c>
      <c r="L323" s="191">
        <v>3</v>
      </c>
      <c r="M323" s="192">
        <v>46092</v>
      </c>
      <c r="N323" s="193">
        <v>1</v>
      </c>
      <c r="O323" s="194">
        <v>0.5</v>
      </c>
      <c r="P323" s="195"/>
      <c r="Q323" s="196" t="s">
        <v>38</v>
      </c>
      <c r="R323" s="197">
        <v>1</v>
      </c>
      <c r="S323" s="198" t="s">
        <v>33</v>
      </c>
      <c r="T323" s="199"/>
      <c r="U323" s="200"/>
      <c r="V323" s="200"/>
      <c r="W323" s="200"/>
      <c r="X323" s="200"/>
      <c r="Y323" s="200"/>
      <c r="Z323" s="200"/>
      <c r="AA323" s="200"/>
      <c r="AB323" s="200"/>
      <c r="AC323" s="208"/>
      <c r="AD323" s="11" t="str">
        <f t="shared" si="15"/>
        <v>3</v>
      </c>
      <c r="AF323" t="str">
        <f t="shared" si="16"/>
        <v>80.01.ZZ.03</v>
      </c>
      <c r="AH323" t="str">
        <f t="shared" si="17"/>
        <v>00 de 01</v>
      </c>
    </row>
    <row r="324" spans="1:34" ht="34.5" x14ac:dyDescent="0.25">
      <c r="A324" s="139" t="s">
        <v>116</v>
      </c>
      <c r="B324" s="105" t="s">
        <v>122</v>
      </c>
      <c r="C324" s="63">
        <v>312</v>
      </c>
      <c r="D324" s="197" t="s">
        <v>192</v>
      </c>
      <c r="E324" s="189" t="s">
        <v>551</v>
      </c>
      <c r="F324" s="190" t="s">
        <v>123</v>
      </c>
      <c r="G324" s="189" t="s">
        <v>134</v>
      </c>
      <c r="H324" s="191">
        <v>61792</v>
      </c>
      <c r="I324" s="189" t="s">
        <v>224</v>
      </c>
      <c r="J324" s="189">
        <v>0</v>
      </c>
      <c r="K324" s="189">
        <v>10301</v>
      </c>
      <c r="L324" s="191">
        <v>3</v>
      </c>
      <c r="M324" s="192">
        <v>46092</v>
      </c>
      <c r="N324" s="193">
        <v>1</v>
      </c>
      <c r="O324" s="194">
        <v>0.5</v>
      </c>
      <c r="P324" s="195"/>
      <c r="Q324" s="196" t="s">
        <v>38</v>
      </c>
      <c r="R324" s="197">
        <v>1</v>
      </c>
      <c r="S324" s="198" t="s">
        <v>33</v>
      </c>
      <c r="T324" s="199"/>
      <c r="U324" s="200"/>
      <c r="V324" s="200"/>
      <c r="W324" s="200"/>
      <c r="X324" s="200"/>
      <c r="Y324" s="200"/>
      <c r="Z324" s="200"/>
      <c r="AA324" s="200"/>
      <c r="AB324" s="200"/>
      <c r="AC324" s="208"/>
      <c r="AD324" s="11" t="str">
        <f t="shared" si="15"/>
        <v>3</v>
      </c>
      <c r="AF324" t="str">
        <f t="shared" si="16"/>
        <v>80.01.ZZ.03</v>
      </c>
      <c r="AH324" t="str">
        <f t="shared" si="17"/>
        <v>00 de 01</v>
      </c>
    </row>
    <row r="325" spans="1:34" ht="34.5" x14ac:dyDescent="0.25">
      <c r="A325" s="139" t="s">
        <v>116</v>
      </c>
      <c r="B325" s="105" t="s">
        <v>122</v>
      </c>
      <c r="C325" s="63">
        <v>313</v>
      </c>
      <c r="D325" s="197" t="s">
        <v>192</v>
      </c>
      <c r="E325" s="189" t="s">
        <v>552</v>
      </c>
      <c r="F325" s="190" t="s">
        <v>123</v>
      </c>
      <c r="G325" s="189" t="s">
        <v>134</v>
      </c>
      <c r="H325" s="191">
        <v>61792</v>
      </c>
      <c r="I325" s="189" t="s">
        <v>224</v>
      </c>
      <c r="J325" s="189">
        <v>0</v>
      </c>
      <c r="K325" s="189">
        <v>10301</v>
      </c>
      <c r="L325" s="191">
        <v>3</v>
      </c>
      <c r="M325" s="192">
        <v>46092</v>
      </c>
      <c r="N325" s="193">
        <v>1</v>
      </c>
      <c r="O325" s="194">
        <v>0.5</v>
      </c>
      <c r="P325" s="195"/>
      <c r="Q325" s="196" t="s">
        <v>38</v>
      </c>
      <c r="R325" s="197">
        <v>1</v>
      </c>
      <c r="S325" s="198" t="s">
        <v>33</v>
      </c>
      <c r="T325" s="199"/>
      <c r="U325" s="200"/>
      <c r="V325" s="200"/>
      <c r="W325" s="200"/>
      <c r="X325" s="200"/>
      <c r="Y325" s="200"/>
      <c r="Z325" s="200"/>
      <c r="AA325" s="200"/>
      <c r="AB325" s="200"/>
      <c r="AC325" s="208"/>
      <c r="AD325" s="11" t="str">
        <f t="shared" si="15"/>
        <v>3</v>
      </c>
      <c r="AF325" t="str">
        <f t="shared" si="16"/>
        <v>80.01.ZZ.03</v>
      </c>
      <c r="AH325" t="str">
        <f t="shared" si="17"/>
        <v>00 de 01</v>
      </c>
    </row>
    <row r="326" spans="1:34" ht="34.5" x14ac:dyDescent="0.25">
      <c r="A326" s="139" t="s">
        <v>116</v>
      </c>
      <c r="B326" s="105" t="s">
        <v>122</v>
      </c>
      <c r="C326" s="63">
        <v>314</v>
      </c>
      <c r="D326" s="197" t="s">
        <v>192</v>
      </c>
      <c r="E326" s="189" t="s">
        <v>553</v>
      </c>
      <c r="F326" s="190" t="s">
        <v>123</v>
      </c>
      <c r="G326" s="189" t="s">
        <v>134</v>
      </c>
      <c r="H326" s="191">
        <v>61792</v>
      </c>
      <c r="I326" s="189" t="s">
        <v>224</v>
      </c>
      <c r="J326" s="189">
        <v>0</v>
      </c>
      <c r="K326" s="189">
        <v>10301</v>
      </c>
      <c r="L326" s="191">
        <v>3</v>
      </c>
      <c r="M326" s="192">
        <v>46092</v>
      </c>
      <c r="N326" s="193">
        <v>1</v>
      </c>
      <c r="O326" s="194">
        <v>0.5</v>
      </c>
      <c r="P326" s="195"/>
      <c r="Q326" s="196" t="s">
        <v>38</v>
      </c>
      <c r="R326" s="197">
        <v>1</v>
      </c>
      <c r="S326" s="198" t="s">
        <v>33</v>
      </c>
      <c r="T326" s="199"/>
      <c r="U326" s="200"/>
      <c r="V326" s="200"/>
      <c r="W326" s="200"/>
      <c r="X326" s="200"/>
      <c r="Y326" s="200"/>
      <c r="Z326" s="200"/>
      <c r="AA326" s="200"/>
      <c r="AB326" s="200"/>
      <c r="AC326" s="208"/>
      <c r="AD326" s="11" t="str">
        <f t="shared" si="15"/>
        <v>3</v>
      </c>
      <c r="AF326" t="str">
        <f t="shared" si="16"/>
        <v>80.01.ZZ.03</v>
      </c>
      <c r="AH326" t="str">
        <f t="shared" si="17"/>
        <v>00 de 01</v>
      </c>
    </row>
    <row r="327" spans="1:34" ht="34.5" x14ac:dyDescent="0.25">
      <c r="A327" s="139" t="s">
        <v>116</v>
      </c>
      <c r="B327" s="105" t="s">
        <v>122</v>
      </c>
      <c r="C327" s="63">
        <v>315</v>
      </c>
      <c r="D327" s="197" t="s">
        <v>192</v>
      </c>
      <c r="E327" s="189" t="s">
        <v>554</v>
      </c>
      <c r="F327" s="190" t="s">
        <v>123</v>
      </c>
      <c r="G327" s="189" t="s">
        <v>134</v>
      </c>
      <c r="H327" s="191">
        <v>61792</v>
      </c>
      <c r="I327" s="189" t="s">
        <v>224</v>
      </c>
      <c r="J327" s="189">
        <v>0</v>
      </c>
      <c r="K327" s="189">
        <v>10301</v>
      </c>
      <c r="L327" s="191">
        <v>3</v>
      </c>
      <c r="M327" s="192">
        <v>46092</v>
      </c>
      <c r="N327" s="193">
        <v>1</v>
      </c>
      <c r="O327" s="194">
        <v>0.5</v>
      </c>
      <c r="P327" s="195"/>
      <c r="Q327" s="196" t="s">
        <v>38</v>
      </c>
      <c r="R327" s="197">
        <v>1</v>
      </c>
      <c r="S327" s="198" t="s">
        <v>33</v>
      </c>
      <c r="T327" s="199"/>
      <c r="U327" s="200"/>
      <c r="V327" s="200"/>
      <c r="W327" s="200"/>
      <c r="X327" s="200"/>
      <c r="Y327" s="200"/>
      <c r="Z327" s="200"/>
      <c r="AA327" s="200"/>
      <c r="AB327" s="200"/>
      <c r="AC327" s="208"/>
      <c r="AD327" s="11" t="str">
        <f t="shared" si="15"/>
        <v>3</v>
      </c>
      <c r="AF327" t="str">
        <f t="shared" si="16"/>
        <v>80.01.ZZ.03</v>
      </c>
      <c r="AH327" t="str">
        <f t="shared" si="17"/>
        <v>00 de 01</v>
      </c>
    </row>
    <row r="328" spans="1:34" ht="34.5" x14ac:dyDescent="0.25">
      <c r="A328" s="139" t="s">
        <v>116</v>
      </c>
      <c r="B328" s="105" t="s">
        <v>122</v>
      </c>
      <c r="C328" s="63">
        <v>316</v>
      </c>
      <c r="D328" s="197" t="s">
        <v>192</v>
      </c>
      <c r="E328" s="189" t="s">
        <v>555</v>
      </c>
      <c r="F328" s="190" t="s">
        <v>123</v>
      </c>
      <c r="G328" s="189" t="s">
        <v>134</v>
      </c>
      <c r="H328" s="191">
        <v>61792</v>
      </c>
      <c r="I328" s="189" t="s">
        <v>224</v>
      </c>
      <c r="J328" s="189">
        <v>0</v>
      </c>
      <c r="K328" s="189">
        <v>10301</v>
      </c>
      <c r="L328" s="191">
        <v>3</v>
      </c>
      <c r="M328" s="192">
        <v>46092</v>
      </c>
      <c r="N328" s="193">
        <v>1</v>
      </c>
      <c r="O328" s="194">
        <v>0.5</v>
      </c>
      <c r="P328" s="195"/>
      <c r="Q328" s="196" t="s">
        <v>38</v>
      </c>
      <c r="R328" s="197">
        <v>1</v>
      </c>
      <c r="S328" s="198" t="s">
        <v>33</v>
      </c>
      <c r="T328" s="199"/>
      <c r="U328" s="200"/>
      <c r="V328" s="200"/>
      <c r="W328" s="200"/>
      <c r="X328" s="200"/>
      <c r="Y328" s="200"/>
      <c r="Z328" s="200"/>
      <c r="AA328" s="200"/>
      <c r="AB328" s="200"/>
      <c r="AC328" s="208"/>
      <c r="AD328" s="11" t="str">
        <f t="shared" si="15"/>
        <v>3</v>
      </c>
      <c r="AF328" t="str">
        <f t="shared" si="16"/>
        <v>80.01.ZZ.03</v>
      </c>
      <c r="AH328" t="str">
        <f t="shared" si="17"/>
        <v>00 de 01</v>
      </c>
    </row>
    <row r="329" spans="1:34" ht="34.5" x14ac:dyDescent="0.25">
      <c r="A329" s="139" t="s">
        <v>116</v>
      </c>
      <c r="B329" s="105" t="s">
        <v>122</v>
      </c>
      <c r="C329" s="63">
        <v>317</v>
      </c>
      <c r="D329" s="197" t="s">
        <v>192</v>
      </c>
      <c r="E329" s="189" t="s">
        <v>556</v>
      </c>
      <c r="F329" s="190" t="s">
        <v>123</v>
      </c>
      <c r="G329" s="189" t="s">
        <v>134</v>
      </c>
      <c r="H329" s="191">
        <v>61792</v>
      </c>
      <c r="I329" s="189" t="s">
        <v>224</v>
      </c>
      <c r="J329" s="189">
        <v>0</v>
      </c>
      <c r="K329" s="189">
        <v>10301</v>
      </c>
      <c r="L329" s="191">
        <v>3</v>
      </c>
      <c r="M329" s="192">
        <v>46092</v>
      </c>
      <c r="N329" s="193">
        <v>1</v>
      </c>
      <c r="O329" s="194">
        <v>0.5</v>
      </c>
      <c r="P329" s="195"/>
      <c r="Q329" s="196" t="s">
        <v>38</v>
      </c>
      <c r="R329" s="197">
        <v>1</v>
      </c>
      <c r="S329" s="198" t="s">
        <v>33</v>
      </c>
      <c r="T329" s="199"/>
      <c r="U329" s="200"/>
      <c r="V329" s="200"/>
      <c r="W329" s="200"/>
      <c r="X329" s="200"/>
      <c r="Y329" s="200"/>
      <c r="Z329" s="200"/>
      <c r="AA329" s="200"/>
      <c r="AB329" s="200"/>
      <c r="AC329" s="208"/>
      <c r="AD329" s="11" t="str">
        <f t="shared" si="15"/>
        <v>3</v>
      </c>
      <c r="AF329" t="str">
        <f t="shared" si="16"/>
        <v>80.01.ZZ.03</v>
      </c>
      <c r="AH329" t="str">
        <f t="shared" si="17"/>
        <v>00 de 01</v>
      </c>
    </row>
    <row r="330" spans="1:34" ht="34.5" x14ac:dyDescent="0.25">
      <c r="A330" s="139" t="s">
        <v>116</v>
      </c>
      <c r="B330" s="105" t="s">
        <v>122</v>
      </c>
      <c r="C330" s="63">
        <v>318</v>
      </c>
      <c r="D330" s="197" t="s">
        <v>192</v>
      </c>
      <c r="E330" s="189" t="s">
        <v>557</v>
      </c>
      <c r="F330" s="190" t="s">
        <v>123</v>
      </c>
      <c r="G330" s="189" t="s">
        <v>134</v>
      </c>
      <c r="H330" s="191">
        <v>61792</v>
      </c>
      <c r="I330" s="189" t="s">
        <v>224</v>
      </c>
      <c r="J330" s="189">
        <v>0</v>
      </c>
      <c r="K330" s="189">
        <v>10301</v>
      </c>
      <c r="L330" s="191">
        <v>3</v>
      </c>
      <c r="M330" s="192">
        <v>46092</v>
      </c>
      <c r="N330" s="193">
        <v>1</v>
      </c>
      <c r="O330" s="194">
        <v>0.5</v>
      </c>
      <c r="P330" s="195"/>
      <c r="Q330" s="196" t="s">
        <v>38</v>
      </c>
      <c r="R330" s="197">
        <v>1</v>
      </c>
      <c r="S330" s="198" t="s">
        <v>33</v>
      </c>
      <c r="T330" s="199"/>
      <c r="U330" s="200"/>
      <c r="V330" s="200"/>
      <c r="W330" s="200"/>
      <c r="X330" s="200"/>
      <c r="Y330" s="200"/>
      <c r="Z330" s="200"/>
      <c r="AA330" s="200"/>
      <c r="AB330" s="200"/>
      <c r="AC330" s="208"/>
      <c r="AD330" s="11" t="str">
        <f t="shared" si="15"/>
        <v>3</v>
      </c>
      <c r="AF330" t="str">
        <f t="shared" si="16"/>
        <v>80.01.ZZ.03</v>
      </c>
      <c r="AH330" t="str">
        <f t="shared" si="17"/>
        <v>00 de 01</v>
      </c>
    </row>
    <row r="331" spans="1:34" ht="34.5" x14ac:dyDescent="0.25">
      <c r="A331" s="139" t="s">
        <v>116</v>
      </c>
      <c r="B331" s="105" t="s">
        <v>122</v>
      </c>
      <c r="C331" s="63">
        <v>319</v>
      </c>
      <c r="D331" s="197" t="s">
        <v>192</v>
      </c>
      <c r="E331" s="189" t="s">
        <v>558</v>
      </c>
      <c r="F331" s="190" t="s">
        <v>123</v>
      </c>
      <c r="G331" s="189" t="s">
        <v>134</v>
      </c>
      <c r="H331" s="191">
        <v>61792</v>
      </c>
      <c r="I331" s="189" t="s">
        <v>224</v>
      </c>
      <c r="J331" s="189">
        <v>0</v>
      </c>
      <c r="K331" s="189">
        <v>10301</v>
      </c>
      <c r="L331" s="191">
        <v>3</v>
      </c>
      <c r="M331" s="192">
        <v>46092</v>
      </c>
      <c r="N331" s="193">
        <v>1</v>
      </c>
      <c r="O331" s="194">
        <v>0.5</v>
      </c>
      <c r="P331" s="195"/>
      <c r="Q331" s="196" t="s">
        <v>38</v>
      </c>
      <c r="R331" s="197">
        <v>1</v>
      </c>
      <c r="S331" s="198" t="s">
        <v>33</v>
      </c>
      <c r="T331" s="199"/>
      <c r="U331" s="200"/>
      <c r="V331" s="200"/>
      <c r="W331" s="200"/>
      <c r="X331" s="200"/>
      <c r="Y331" s="200"/>
      <c r="Z331" s="200"/>
      <c r="AA331" s="200"/>
      <c r="AB331" s="200"/>
      <c r="AC331" s="208"/>
      <c r="AD331" s="11" t="str">
        <f t="shared" si="15"/>
        <v>3</v>
      </c>
      <c r="AF331" t="str">
        <f t="shared" si="16"/>
        <v>80.01.ZZ.03</v>
      </c>
      <c r="AH331" t="str">
        <f t="shared" si="17"/>
        <v>00 de 01</v>
      </c>
    </row>
    <row r="332" spans="1:34" ht="34.5" x14ac:dyDescent="0.25">
      <c r="A332" s="139" t="s">
        <v>116</v>
      </c>
      <c r="B332" s="105" t="s">
        <v>122</v>
      </c>
      <c r="C332" s="63">
        <v>320</v>
      </c>
      <c r="D332" s="197" t="s">
        <v>192</v>
      </c>
      <c r="E332" s="189" t="s">
        <v>559</v>
      </c>
      <c r="F332" s="190" t="s">
        <v>123</v>
      </c>
      <c r="G332" s="189" t="s">
        <v>134</v>
      </c>
      <c r="H332" s="191">
        <v>61792</v>
      </c>
      <c r="I332" s="189" t="s">
        <v>224</v>
      </c>
      <c r="J332" s="189">
        <v>0</v>
      </c>
      <c r="K332" s="189">
        <v>10301</v>
      </c>
      <c r="L332" s="191">
        <v>3</v>
      </c>
      <c r="M332" s="192">
        <v>46092</v>
      </c>
      <c r="N332" s="193">
        <v>1</v>
      </c>
      <c r="O332" s="194">
        <v>0.5</v>
      </c>
      <c r="P332" s="195"/>
      <c r="Q332" s="196" t="s">
        <v>38</v>
      </c>
      <c r="R332" s="197">
        <v>1</v>
      </c>
      <c r="S332" s="198" t="s">
        <v>33</v>
      </c>
      <c r="T332" s="199"/>
      <c r="U332" s="200"/>
      <c r="V332" s="200"/>
      <c r="W332" s="200"/>
      <c r="X332" s="200"/>
      <c r="Y332" s="200"/>
      <c r="Z332" s="200"/>
      <c r="AA332" s="200"/>
      <c r="AB332" s="200"/>
      <c r="AC332" s="208"/>
      <c r="AD332" s="11" t="str">
        <f t="shared" si="15"/>
        <v>3</v>
      </c>
      <c r="AF332" t="str">
        <f t="shared" si="16"/>
        <v>80.01.ZZ.03</v>
      </c>
      <c r="AH332" t="str">
        <f t="shared" si="17"/>
        <v>00 de 01</v>
      </c>
    </row>
    <row r="333" spans="1:34" ht="34.5" x14ac:dyDescent="0.25">
      <c r="A333" s="139" t="s">
        <v>116</v>
      </c>
      <c r="B333" s="105" t="s">
        <v>122</v>
      </c>
      <c r="C333" s="63">
        <v>321</v>
      </c>
      <c r="D333" s="197" t="s">
        <v>192</v>
      </c>
      <c r="E333" s="189" t="s">
        <v>560</v>
      </c>
      <c r="F333" s="190" t="s">
        <v>123</v>
      </c>
      <c r="G333" s="189" t="s">
        <v>134</v>
      </c>
      <c r="H333" s="191">
        <v>61792</v>
      </c>
      <c r="I333" s="189" t="s">
        <v>224</v>
      </c>
      <c r="J333" s="189">
        <v>0</v>
      </c>
      <c r="K333" s="189">
        <v>10301</v>
      </c>
      <c r="L333" s="191">
        <v>3</v>
      </c>
      <c r="M333" s="192">
        <v>46092</v>
      </c>
      <c r="N333" s="193">
        <v>1</v>
      </c>
      <c r="O333" s="194">
        <v>0.5</v>
      </c>
      <c r="P333" s="195"/>
      <c r="Q333" s="196" t="s">
        <v>38</v>
      </c>
      <c r="R333" s="197">
        <v>1</v>
      </c>
      <c r="S333" s="198" t="s">
        <v>33</v>
      </c>
      <c r="T333" s="199"/>
      <c r="U333" s="200"/>
      <c r="V333" s="200"/>
      <c r="W333" s="200"/>
      <c r="X333" s="200"/>
      <c r="Y333" s="200"/>
      <c r="Z333" s="200"/>
      <c r="AA333" s="200"/>
      <c r="AB333" s="200"/>
      <c r="AC333" s="208"/>
      <c r="AD333" s="11" t="str">
        <f t="shared" si="15"/>
        <v>3</v>
      </c>
      <c r="AF333" t="str">
        <f t="shared" si="16"/>
        <v>80.01.ZZ.03</v>
      </c>
      <c r="AH333" t="str">
        <f t="shared" si="17"/>
        <v>00 de 01</v>
      </c>
    </row>
    <row r="334" spans="1:34" ht="34.5" x14ac:dyDescent="0.25">
      <c r="A334" s="139" t="s">
        <v>116</v>
      </c>
      <c r="B334" s="105" t="s">
        <v>122</v>
      </c>
      <c r="C334" s="63">
        <v>322</v>
      </c>
      <c r="D334" s="197" t="s">
        <v>192</v>
      </c>
      <c r="E334" s="189" t="s">
        <v>561</v>
      </c>
      <c r="F334" s="190" t="s">
        <v>123</v>
      </c>
      <c r="G334" s="189" t="s">
        <v>134</v>
      </c>
      <c r="H334" s="191">
        <v>61792</v>
      </c>
      <c r="I334" s="189" t="s">
        <v>224</v>
      </c>
      <c r="J334" s="189">
        <v>0</v>
      </c>
      <c r="K334" s="189">
        <v>10301</v>
      </c>
      <c r="L334" s="191">
        <v>3</v>
      </c>
      <c r="M334" s="192">
        <v>46092</v>
      </c>
      <c r="N334" s="193">
        <v>1</v>
      </c>
      <c r="O334" s="194">
        <v>0.5</v>
      </c>
      <c r="P334" s="195"/>
      <c r="Q334" s="196" t="s">
        <v>38</v>
      </c>
      <c r="R334" s="197">
        <v>1</v>
      </c>
      <c r="S334" s="198" t="s">
        <v>33</v>
      </c>
      <c r="T334" s="199"/>
      <c r="U334" s="200"/>
      <c r="V334" s="200"/>
      <c r="W334" s="200"/>
      <c r="X334" s="200"/>
      <c r="Y334" s="200"/>
      <c r="Z334" s="200"/>
      <c r="AA334" s="200"/>
      <c r="AB334" s="200"/>
      <c r="AC334" s="208"/>
      <c r="AD334" s="11" t="str">
        <f t="shared" si="15"/>
        <v>3</v>
      </c>
      <c r="AF334" t="str">
        <f t="shared" si="16"/>
        <v>80.01.ZZ.03</v>
      </c>
      <c r="AH334" t="str">
        <f t="shared" si="17"/>
        <v>00 de 01</v>
      </c>
    </row>
    <row r="335" spans="1:34" ht="34.5" x14ac:dyDescent="0.25">
      <c r="A335" s="139" t="s">
        <v>116</v>
      </c>
      <c r="B335" s="105" t="s">
        <v>122</v>
      </c>
      <c r="C335" s="63">
        <v>323</v>
      </c>
      <c r="D335" s="197" t="s">
        <v>192</v>
      </c>
      <c r="E335" s="189" t="s">
        <v>562</v>
      </c>
      <c r="F335" s="190" t="s">
        <v>123</v>
      </c>
      <c r="G335" s="189" t="s">
        <v>134</v>
      </c>
      <c r="H335" s="191">
        <v>61792</v>
      </c>
      <c r="I335" s="189" t="s">
        <v>224</v>
      </c>
      <c r="J335" s="189">
        <v>0</v>
      </c>
      <c r="K335" s="189">
        <v>10301</v>
      </c>
      <c r="L335" s="191">
        <v>3</v>
      </c>
      <c r="M335" s="192">
        <v>46092</v>
      </c>
      <c r="N335" s="193">
        <v>1</v>
      </c>
      <c r="O335" s="194">
        <v>0.5</v>
      </c>
      <c r="P335" s="195"/>
      <c r="Q335" s="196" t="s">
        <v>38</v>
      </c>
      <c r="R335" s="197">
        <v>1</v>
      </c>
      <c r="S335" s="198" t="s">
        <v>33</v>
      </c>
      <c r="T335" s="199"/>
      <c r="U335" s="200"/>
      <c r="V335" s="200"/>
      <c r="W335" s="200"/>
      <c r="X335" s="200"/>
      <c r="Y335" s="200"/>
      <c r="Z335" s="200"/>
      <c r="AA335" s="200"/>
      <c r="AB335" s="200"/>
      <c r="AC335" s="208"/>
      <c r="AD335" s="11" t="str">
        <f t="shared" si="15"/>
        <v>3</v>
      </c>
      <c r="AF335" t="str">
        <f t="shared" si="16"/>
        <v>80.01.ZZ.03</v>
      </c>
      <c r="AH335" t="str">
        <f t="shared" si="17"/>
        <v>00 de 01</v>
      </c>
    </row>
    <row r="336" spans="1:34" ht="34.5" x14ac:dyDescent="0.25">
      <c r="A336" s="139" t="s">
        <v>116</v>
      </c>
      <c r="B336" s="105" t="s">
        <v>122</v>
      </c>
      <c r="C336" s="63">
        <v>324</v>
      </c>
      <c r="D336" s="197" t="s">
        <v>192</v>
      </c>
      <c r="E336" s="189" t="s">
        <v>563</v>
      </c>
      <c r="F336" s="190" t="s">
        <v>123</v>
      </c>
      <c r="G336" s="189" t="s">
        <v>134</v>
      </c>
      <c r="H336" s="191">
        <v>61792</v>
      </c>
      <c r="I336" s="189" t="s">
        <v>224</v>
      </c>
      <c r="J336" s="189">
        <v>0</v>
      </c>
      <c r="K336" s="189">
        <v>10301</v>
      </c>
      <c r="L336" s="191">
        <v>3</v>
      </c>
      <c r="M336" s="192">
        <v>46092</v>
      </c>
      <c r="N336" s="193">
        <v>1</v>
      </c>
      <c r="O336" s="194">
        <v>0.5</v>
      </c>
      <c r="P336" s="195"/>
      <c r="Q336" s="196" t="s">
        <v>38</v>
      </c>
      <c r="R336" s="197">
        <v>1</v>
      </c>
      <c r="S336" s="198" t="s">
        <v>33</v>
      </c>
      <c r="T336" s="199"/>
      <c r="U336" s="200"/>
      <c r="V336" s="200"/>
      <c r="W336" s="200"/>
      <c r="X336" s="200"/>
      <c r="Y336" s="200"/>
      <c r="Z336" s="200"/>
      <c r="AA336" s="200"/>
      <c r="AB336" s="200"/>
      <c r="AC336" s="208"/>
      <c r="AD336" s="11" t="str">
        <f t="shared" si="15"/>
        <v>3</v>
      </c>
      <c r="AF336" t="str">
        <f t="shared" si="16"/>
        <v>80.01.ZZ.03</v>
      </c>
      <c r="AH336" t="str">
        <f t="shared" si="17"/>
        <v>00 de 01</v>
      </c>
    </row>
    <row r="337" spans="1:34" ht="34.5" x14ac:dyDescent="0.25">
      <c r="A337" s="139" t="s">
        <v>116</v>
      </c>
      <c r="B337" s="105" t="s">
        <v>122</v>
      </c>
      <c r="C337" s="63">
        <v>325</v>
      </c>
      <c r="D337" s="197" t="s">
        <v>192</v>
      </c>
      <c r="E337" s="189" t="s">
        <v>564</v>
      </c>
      <c r="F337" s="190" t="s">
        <v>123</v>
      </c>
      <c r="G337" s="189" t="s">
        <v>134</v>
      </c>
      <c r="H337" s="191">
        <v>61792</v>
      </c>
      <c r="I337" s="189" t="s">
        <v>224</v>
      </c>
      <c r="J337" s="189">
        <v>0</v>
      </c>
      <c r="K337" s="189">
        <v>10301</v>
      </c>
      <c r="L337" s="191">
        <v>3</v>
      </c>
      <c r="M337" s="192">
        <v>46092</v>
      </c>
      <c r="N337" s="193">
        <v>1</v>
      </c>
      <c r="O337" s="194">
        <v>0.5</v>
      </c>
      <c r="P337" s="195"/>
      <c r="Q337" s="196" t="s">
        <v>38</v>
      </c>
      <c r="R337" s="197">
        <v>1</v>
      </c>
      <c r="S337" s="198" t="s">
        <v>33</v>
      </c>
      <c r="T337" s="199"/>
      <c r="U337" s="200"/>
      <c r="V337" s="200"/>
      <c r="W337" s="200"/>
      <c r="X337" s="200"/>
      <c r="Y337" s="200"/>
      <c r="Z337" s="200"/>
      <c r="AA337" s="200"/>
      <c r="AB337" s="200"/>
      <c r="AC337" s="208"/>
      <c r="AD337" s="11" t="str">
        <f t="shared" si="15"/>
        <v>3</v>
      </c>
      <c r="AF337" t="str">
        <f t="shared" si="16"/>
        <v>80.01.ZZ.03</v>
      </c>
      <c r="AH337" t="str">
        <f t="shared" si="17"/>
        <v>00 de 01</v>
      </c>
    </row>
    <row r="338" spans="1:34" ht="34.5" x14ac:dyDescent="0.25">
      <c r="A338" s="139" t="s">
        <v>116</v>
      </c>
      <c r="B338" s="105" t="s">
        <v>122</v>
      </c>
      <c r="C338" s="63">
        <v>326</v>
      </c>
      <c r="D338" s="197" t="s">
        <v>192</v>
      </c>
      <c r="E338" s="189" t="s">
        <v>565</v>
      </c>
      <c r="F338" s="190" t="s">
        <v>123</v>
      </c>
      <c r="G338" s="189" t="s">
        <v>134</v>
      </c>
      <c r="H338" s="191">
        <v>61792</v>
      </c>
      <c r="I338" s="189" t="s">
        <v>224</v>
      </c>
      <c r="J338" s="189">
        <v>0</v>
      </c>
      <c r="K338" s="189">
        <v>10301</v>
      </c>
      <c r="L338" s="191">
        <v>3</v>
      </c>
      <c r="M338" s="192">
        <v>46092</v>
      </c>
      <c r="N338" s="193">
        <v>1</v>
      </c>
      <c r="O338" s="194">
        <v>0.5</v>
      </c>
      <c r="P338" s="195"/>
      <c r="Q338" s="196" t="s">
        <v>38</v>
      </c>
      <c r="R338" s="197">
        <v>1</v>
      </c>
      <c r="S338" s="198" t="s">
        <v>33</v>
      </c>
      <c r="T338" s="199"/>
      <c r="U338" s="200"/>
      <c r="V338" s="200"/>
      <c r="W338" s="200"/>
      <c r="X338" s="200"/>
      <c r="Y338" s="200"/>
      <c r="Z338" s="200"/>
      <c r="AA338" s="200"/>
      <c r="AB338" s="200"/>
      <c r="AC338" s="208"/>
      <c r="AD338" s="11" t="str">
        <f t="shared" si="15"/>
        <v>3</v>
      </c>
      <c r="AF338" t="str">
        <f t="shared" si="16"/>
        <v>80.01.ZZ.03</v>
      </c>
      <c r="AH338" t="str">
        <f t="shared" si="17"/>
        <v>00 de 01</v>
      </c>
    </row>
    <row r="339" spans="1:34" ht="34.5" x14ac:dyDescent="0.25">
      <c r="A339" s="139" t="s">
        <v>116</v>
      </c>
      <c r="B339" s="105" t="s">
        <v>122</v>
      </c>
      <c r="C339" s="63">
        <v>327</v>
      </c>
      <c r="D339" s="197" t="s">
        <v>192</v>
      </c>
      <c r="E339" s="189" t="s">
        <v>566</v>
      </c>
      <c r="F339" s="190" t="s">
        <v>123</v>
      </c>
      <c r="G339" s="189" t="s">
        <v>134</v>
      </c>
      <c r="H339" s="191">
        <v>61792</v>
      </c>
      <c r="I339" s="189" t="s">
        <v>224</v>
      </c>
      <c r="J339" s="189">
        <v>0</v>
      </c>
      <c r="K339" s="189">
        <v>10301</v>
      </c>
      <c r="L339" s="191">
        <v>3</v>
      </c>
      <c r="M339" s="192">
        <v>46092</v>
      </c>
      <c r="N339" s="193">
        <v>1</v>
      </c>
      <c r="O339" s="194">
        <v>0.5</v>
      </c>
      <c r="P339" s="195"/>
      <c r="Q339" s="196" t="s">
        <v>38</v>
      </c>
      <c r="R339" s="197">
        <v>1</v>
      </c>
      <c r="S339" s="198" t="s">
        <v>33</v>
      </c>
      <c r="T339" s="199"/>
      <c r="U339" s="200"/>
      <c r="V339" s="200"/>
      <c r="W339" s="200"/>
      <c r="X339" s="200"/>
      <c r="Y339" s="200"/>
      <c r="Z339" s="200"/>
      <c r="AA339" s="200"/>
      <c r="AB339" s="200"/>
      <c r="AC339" s="208"/>
      <c r="AD339" s="11" t="str">
        <f t="shared" si="15"/>
        <v>3</v>
      </c>
      <c r="AF339" t="str">
        <f t="shared" si="16"/>
        <v>80.01.ZZ.03</v>
      </c>
      <c r="AH339" t="str">
        <f t="shared" si="17"/>
        <v>00 de 01</v>
      </c>
    </row>
    <row r="340" spans="1:34" ht="34.5" x14ac:dyDescent="0.25">
      <c r="A340" s="139" t="s">
        <v>116</v>
      </c>
      <c r="B340" s="105" t="s">
        <v>122</v>
      </c>
      <c r="C340" s="63">
        <v>328</v>
      </c>
      <c r="D340" s="197" t="s">
        <v>192</v>
      </c>
      <c r="E340" s="189" t="s">
        <v>567</v>
      </c>
      <c r="F340" s="190" t="s">
        <v>123</v>
      </c>
      <c r="G340" s="189" t="s">
        <v>134</v>
      </c>
      <c r="H340" s="191">
        <v>61792</v>
      </c>
      <c r="I340" s="189" t="s">
        <v>224</v>
      </c>
      <c r="J340" s="189">
        <v>0</v>
      </c>
      <c r="K340" s="189">
        <v>10301</v>
      </c>
      <c r="L340" s="191">
        <v>3</v>
      </c>
      <c r="M340" s="192">
        <v>46092</v>
      </c>
      <c r="N340" s="193">
        <v>1</v>
      </c>
      <c r="O340" s="194">
        <v>0.5</v>
      </c>
      <c r="P340" s="195"/>
      <c r="Q340" s="196" t="s">
        <v>38</v>
      </c>
      <c r="R340" s="197">
        <v>1</v>
      </c>
      <c r="S340" s="198" t="s">
        <v>33</v>
      </c>
      <c r="T340" s="199"/>
      <c r="U340" s="200"/>
      <c r="V340" s="200"/>
      <c r="W340" s="200"/>
      <c r="X340" s="200"/>
      <c r="Y340" s="200"/>
      <c r="Z340" s="200"/>
      <c r="AA340" s="200"/>
      <c r="AB340" s="200"/>
      <c r="AC340" s="208"/>
      <c r="AD340" s="11" t="str">
        <f t="shared" si="15"/>
        <v>3</v>
      </c>
      <c r="AF340" t="str">
        <f t="shared" si="16"/>
        <v>80.01.ZZ.03</v>
      </c>
      <c r="AH340" t="str">
        <f t="shared" si="17"/>
        <v>00 de 01</v>
      </c>
    </row>
    <row r="341" spans="1:34" ht="34.5" x14ac:dyDescent="0.25">
      <c r="A341" s="139" t="s">
        <v>116</v>
      </c>
      <c r="B341" s="105" t="s">
        <v>122</v>
      </c>
      <c r="C341" s="63">
        <v>329</v>
      </c>
      <c r="D341" s="197" t="s">
        <v>192</v>
      </c>
      <c r="E341" s="189" t="s">
        <v>568</v>
      </c>
      <c r="F341" s="190" t="s">
        <v>123</v>
      </c>
      <c r="G341" s="189" t="s">
        <v>134</v>
      </c>
      <c r="H341" s="191">
        <v>61792</v>
      </c>
      <c r="I341" s="189" t="s">
        <v>224</v>
      </c>
      <c r="J341" s="189">
        <v>0</v>
      </c>
      <c r="K341" s="189">
        <v>10301</v>
      </c>
      <c r="L341" s="191">
        <v>3</v>
      </c>
      <c r="M341" s="192">
        <v>46092</v>
      </c>
      <c r="N341" s="193">
        <v>1</v>
      </c>
      <c r="O341" s="194">
        <v>0.5</v>
      </c>
      <c r="P341" s="195"/>
      <c r="Q341" s="196" t="s">
        <v>38</v>
      </c>
      <c r="R341" s="197">
        <v>1</v>
      </c>
      <c r="S341" s="198" t="s">
        <v>33</v>
      </c>
      <c r="T341" s="199"/>
      <c r="U341" s="200"/>
      <c r="V341" s="200"/>
      <c r="W341" s="200"/>
      <c r="X341" s="200"/>
      <c r="Y341" s="200"/>
      <c r="Z341" s="200"/>
      <c r="AA341" s="200"/>
      <c r="AB341" s="200"/>
      <c r="AC341" s="208"/>
      <c r="AD341" s="11" t="str">
        <f t="shared" si="15"/>
        <v>3</v>
      </c>
      <c r="AF341" t="str">
        <f t="shared" si="16"/>
        <v>80.01.ZZ.03</v>
      </c>
      <c r="AH341" t="str">
        <f t="shared" si="17"/>
        <v>00 de 01</v>
      </c>
    </row>
    <row r="342" spans="1:34" ht="34.5" x14ac:dyDescent="0.25">
      <c r="A342" s="139" t="s">
        <v>116</v>
      </c>
      <c r="B342" s="105" t="s">
        <v>122</v>
      </c>
      <c r="C342" s="63">
        <v>330</v>
      </c>
      <c r="D342" s="197" t="s">
        <v>192</v>
      </c>
      <c r="E342" s="189" t="s">
        <v>569</v>
      </c>
      <c r="F342" s="190" t="s">
        <v>123</v>
      </c>
      <c r="G342" s="189" t="s">
        <v>134</v>
      </c>
      <c r="H342" s="191">
        <v>61792</v>
      </c>
      <c r="I342" s="189" t="s">
        <v>224</v>
      </c>
      <c r="J342" s="189">
        <v>0</v>
      </c>
      <c r="K342" s="189">
        <v>10301</v>
      </c>
      <c r="L342" s="191">
        <v>3</v>
      </c>
      <c r="M342" s="192">
        <v>46092</v>
      </c>
      <c r="N342" s="193">
        <v>1</v>
      </c>
      <c r="O342" s="194">
        <v>0.5</v>
      </c>
      <c r="P342" s="195"/>
      <c r="Q342" s="196" t="s">
        <v>38</v>
      </c>
      <c r="R342" s="197">
        <v>1</v>
      </c>
      <c r="S342" s="198" t="s">
        <v>33</v>
      </c>
      <c r="T342" s="199"/>
      <c r="U342" s="200"/>
      <c r="V342" s="200"/>
      <c r="W342" s="200"/>
      <c r="X342" s="200"/>
      <c r="Y342" s="200"/>
      <c r="Z342" s="200"/>
      <c r="AA342" s="200"/>
      <c r="AB342" s="200"/>
      <c r="AC342" s="208"/>
      <c r="AD342" s="11" t="str">
        <f t="shared" si="15"/>
        <v>3</v>
      </c>
      <c r="AF342" t="str">
        <f t="shared" si="16"/>
        <v>80.01.ZZ.03</v>
      </c>
      <c r="AH342" t="str">
        <f t="shared" si="17"/>
        <v>00 de 01</v>
      </c>
    </row>
    <row r="343" spans="1:34" ht="34.5" x14ac:dyDescent="0.25">
      <c r="A343" s="139" t="s">
        <v>116</v>
      </c>
      <c r="B343" s="105" t="s">
        <v>122</v>
      </c>
      <c r="C343" s="63">
        <v>331</v>
      </c>
      <c r="D343" s="197" t="s">
        <v>192</v>
      </c>
      <c r="E343" s="189" t="s">
        <v>244</v>
      </c>
      <c r="F343" s="190" t="s">
        <v>123</v>
      </c>
      <c r="G343" s="189" t="s">
        <v>134</v>
      </c>
      <c r="H343" s="191">
        <v>61792</v>
      </c>
      <c r="I343" s="189" t="s">
        <v>224</v>
      </c>
      <c r="J343" s="189">
        <v>0</v>
      </c>
      <c r="K343" s="189">
        <v>11601</v>
      </c>
      <c r="L343" s="191">
        <v>3</v>
      </c>
      <c r="M343" s="192">
        <v>46092</v>
      </c>
      <c r="N343" s="193">
        <v>1</v>
      </c>
      <c r="O343" s="194">
        <v>0.5</v>
      </c>
      <c r="P343" s="195"/>
      <c r="Q343" s="196" t="s">
        <v>38</v>
      </c>
      <c r="R343" s="197">
        <v>1</v>
      </c>
      <c r="S343" s="198" t="s">
        <v>33</v>
      </c>
      <c r="T343" s="199"/>
      <c r="U343" s="200"/>
      <c r="V343" s="200"/>
      <c r="W343" s="200"/>
      <c r="X343" s="200"/>
      <c r="Y343" s="200"/>
      <c r="Z343" s="200"/>
      <c r="AA343" s="200"/>
      <c r="AB343" s="200"/>
      <c r="AC343" s="208"/>
      <c r="AD343" s="11" t="str">
        <f t="shared" si="15"/>
        <v>3</v>
      </c>
      <c r="AF343" t="str">
        <f t="shared" si="16"/>
        <v>80.01.ZZ.03</v>
      </c>
      <c r="AH343" t="str">
        <f t="shared" si="17"/>
        <v>00 de 01</v>
      </c>
    </row>
    <row r="344" spans="1:34" ht="34.5" x14ac:dyDescent="0.25">
      <c r="A344" s="139" t="s">
        <v>116</v>
      </c>
      <c r="B344" s="105" t="s">
        <v>122</v>
      </c>
      <c r="C344" s="63">
        <v>332</v>
      </c>
      <c r="D344" s="197" t="s">
        <v>192</v>
      </c>
      <c r="E344" s="189" t="s">
        <v>570</v>
      </c>
      <c r="F344" s="190" t="s">
        <v>123</v>
      </c>
      <c r="G344" s="189" t="s">
        <v>134</v>
      </c>
      <c r="H344" s="191">
        <v>61792</v>
      </c>
      <c r="I344" s="189" t="s">
        <v>224</v>
      </c>
      <c r="J344" s="189">
        <v>0</v>
      </c>
      <c r="K344" s="189">
        <v>11601</v>
      </c>
      <c r="L344" s="191">
        <v>3</v>
      </c>
      <c r="M344" s="192">
        <v>46092</v>
      </c>
      <c r="N344" s="193">
        <v>1</v>
      </c>
      <c r="O344" s="194">
        <v>0.5</v>
      </c>
      <c r="P344" s="195"/>
      <c r="Q344" s="196" t="s">
        <v>38</v>
      </c>
      <c r="R344" s="197">
        <v>1</v>
      </c>
      <c r="S344" s="198" t="s">
        <v>33</v>
      </c>
      <c r="T344" s="199"/>
      <c r="U344" s="200"/>
      <c r="V344" s="200"/>
      <c r="W344" s="200"/>
      <c r="X344" s="200"/>
      <c r="Y344" s="200"/>
      <c r="Z344" s="200"/>
      <c r="AA344" s="200"/>
      <c r="AB344" s="200"/>
      <c r="AC344" s="208"/>
      <c r="AD344" s="11" t="str">
        <f t="shared" si="15"/>
        <v>3</v>
      </c>
      <c r="AF344" t="str">
        <f t="shared" si="16"/>
        <v>80.01.ZZ.03</v>
      </c>
      <c r="AH344" t="str">
        <f t="shared" si="17"/>
        <v>00 de 01</v>
      </c>
    </row>
    <row r="345" spans="1:34" ht="34.5" x14ac:dyDescent="0.25">
      <c r="A345" s="139" t="s">
        <v>116</v>
      </c>
      <c r="B345" s="105" t="s">
        <v>122</v>
      </c>
      <c r="C345" s="63">
        <v>333</v>
      </c>
      <c r="D345" s="197" t="s">
        <v>192</v>
      </c>
      <c r="E345" s="189" t="s">
        <v>571</v>
      </c>
      <c r="F345" s="190" t="s">
        <v>123</v>
      </c>
      <c r="G345" s="189" t="s">
        <v>134</v>
      </c>
      <c r="H345" s="191">
        <v>61792</v>
      </c>
      <c r="I345" s="189" t="s">
        <v>224</v>
      </c>
      <c r="J345" s="189">
        <v>0</v>
      </c>
      <c r="K345" s="189">
        <v>11601</v>
      </c>
      <c r="L345" s="191">
        <v>3</v>
      </c>
      <c r="M345" s="192">
        <v>46092</v>
      </c>
      <c r="N345" s="193">
        <v>1</v>
      </c>
      <c r="O345" s="194">
        <v>0.5</v>
      </c>
      <c r="P345" s="195"/>
      <c r="Q345" s="196" t="s">
        <v>38</v>
      </c>
      <c r="R345" s="197">
        <v>1</v>
      </c>
      <c r="S345" s="198" t="s">
        <v>33</v>
      </c>
      <c r="T345" s="199"/>
      <c r="U345" s="200"/>
      <c r="V345" s="200"/>
      <c r="W345" s="200"/>
      <c r="X345" s="200"/>
      <c r="Y345" s="200"/>
      <c r="Z345" s="200"/>
      <c r="AA345" s="200"/>
      <c r="AB345" s="200"/>
      <c r="AC345" s="208"/>
      <c r="AD345" s="11" t="str">
        <f t="shared" si="15"/>
        <v>3</v>
      </c>
      <c r="AF345" t="str">
        <f t="shared" si="16"/>
        <v>80.01.ZZ.03</v>
      </c>
      <c r="AH345" t="str">
        <f t="shared" si="17"/>
        <v>00 de 01</v>
      </c>
    </row>
    <row r="346" spans="1:34" ht="34.5" x14ac:dyDescent="0.25">
      <c r="A346" s="139" t="s">
        <v>116</v>
      </c>
      <c r="B346" s="105" t="s">
        <v>122</v>
      </c>
      <c r="C346" s="63">
        <v>334</v>
      </c>
      <c r="D346" s="197" t="s">
        <v>192</v>
      </c>
      <c r="E346" s="189" t="s">
        <v>572</v>
      </c>
      <c r="F346" s="190" t="s">
        <v>123</v>
      </c>
      <c r="G346" s="189" t="s">
        <v>134</v>
      </c>
      <c r="H346" s="191">
        <v>61792</v>
      </c>
      <c r="I346" s="189" t="s">
        <v>224</v>
      </c>
      <c r="J346" s="189">
        <v>0</v>
      </c>
      <c r="K346" s="189">
        <v>11601</v>
      </c>
      <c r="L346" s="191">
        <v>3</v>
      </c>
      <c r="M346" s="192">
        <v>46092</v>
      </c>
      <c r="N346" s="193">
        <v>1</v>
      </c>
      <c r="O346" s="194">
        <v>0.5</v>
      </c>
      <c r="P346" s="195"/>
      <c r="Q346" s="196" t="s">
        <v>38</v>
      </c>
      <c r="R346" s="197">
        <v>1</v>
      </c>
      <c r="S346" s="198" t="s">
        <v>33</v>
      </c>
      <c r="T346" s="199"/>
      <c r="U346" s="200"/>
      <c r="V346" s="200"/>
      <c r="W346" s="200"/>
      <c r="X346" s="200"/>
      <c r="Y346" s="200"/>
      <c r="Z346" s="200"/>
      <c r="AA346" s="200"/>
      <c r="AB346" s="200"/>
      <c r="AC346" s="208"/>
      <c r="AD346" s="11" t="str">
        <f t="shared" si="15"/>
        <v>3</v>
      </c>
      <c r="AF346" t="str">
        <f t="shared" si="16"/>
        <v>80.01.ZZ.03</v>
      </c>
      <c r="AH346" t="str">
        <f t="shared" si="17"/>
        <v>00 de 01</v>
      </c>
    </row>
    <row r="347" spans="1:34" ht="34.5" x14ac:dyDescent="0.25">
      <c r="A347" s="139" t="s">
        <v>116</v>
      </c>
      <c r="B347" s="105" t="s">
        <v>122</v>
      </c>
      <c r="C347" s="63">
        <v>335</v>
      </c>
      <c r="D347" s="197" t="s">
        <v>192</v>
      </c>
      <c r="E347" s="189" t="s">
        <v>573</v>
      </c>
      <c r="F347" s="190" t="s">
        <v>123</v>
      </c>
      <c r="G347" s="189" t="s">
        <v>134</v>
      </c>
      <c r="H347" s="191">
        <v>61792</v>
      </c>
      <c r="I347" s="189" t="s">
        <v>224</v>
      </c>
      <c r="J347" s="189">
        <v>0</v>
      </c>
      <c r="K347" s="189">
        <v>11601</v>
      </c>
      <c r="L347" s="191">
        <v>3</v>
      </c>
      <c r="M347" s="192">
        <v>46092</v>
      </c>
      <c r="N347" s="193">
        <v>1</v>
      </c>
      <c r="O347" s="194">
        <v>0.5</v>
      </c>
      <c r="P347" s="195"/>
      <c r="Q347" s="196" t="s">
        <v>38</v>
      </c>
      <c r="R347" s="197">
        <v>1</v>
      </c>
      <c r="S347" s="198" t="s">
        <v>33</v>
      </c>
      <c r="T347" s="199"/>
      <c r="U347" s="200"/>
      <c r="V347" s="200"/>
      <c r="W347" s="200"/>
      <c r="X347" s="200"/>
      <c r="Y347" s="200"/>
      <c r="Z347" s="200"/>
      <c r="AA347" s="200"/>
      <c r="AB347" s="200"/>
      <c r="AC347" s="208"/>
      <c r="AD347" s="11" t="str">
        <f t="shared" si="15"/>
        <v>3</v>
      </c>
      <c r="AF347" t="str">
        <f t="shared" si="16"/>
        <v>80.01.ZZ.03</v>
      </c>
      <c r="AH347" t="str">
        <f t="shared" si="17"/>
        <v>00 de 01</v>
      </c>
    </row>
    <row r="348" spans="1:34" ht="34.5" x14ac:dyDescent="0.25">
      <c r="A348" s="139" t="s">
        <v>116</v>
      </c>
      <c r="B348" s="105" t="s">
        <v>122</v>
      </c>
      <c r="C348" s="63">
        <v>336</v>
      </c>
      <c r="D348" s="197" t="s">
        <v>192</v>
      </c>
      <c r="E348" s="189" t="s">
        <v>574</v>
      </c>
      <c r="F348" s="190" t="s">
        <v>123</v>
      </c>
      <c r="G348" s="189" t="s">
        <v>134</v>
      </c>
      <c r="H348" s="191">
        <v>61792</v>
      </c>
      <c r="I348" s="189" t="s">
        <v>224</v>
      </c>
      <c r="J348" s="189">
        <v>0</v>
      </c>
      <c r="K348" s="189">
        <v>11601</v>
      </c>
      <c r="L348" s="191">
        <v>3</v>
      </c>
      <c r="M348" s="192">
        <v>46092</v>
      </c>
      <c r="N348" s="193">
        <v>1</v>
      </c>
      <c r="O348" s="194">
        <v>0.5</v>
      </c>
      <c r="P348" s="195"/>
      <c r="Q348" s="196" t="s">
        <v>38</v>
      </c>
      <c r="R348" s="197">
        <v>1</v>
      </c>
      <c r="S348" s="198" t="s">
        <v>33</v>
      </c>
      <c r="T348" s="199"/>
      <c r="U348" s="200"/>
      <c r="V348" s="200"/>
      <c r="W348" s="200"/>
      <c r="X348" s="200"/>
      <c r="Y348" s="200"/>
      <c r="Z348" s="200"/>
      <c r="AA348" s="200"/>
      <c r="AB348" s="200"/>
      <c r="AC348" s="208"/>
      <c r="AD348" s="11" t="str">
        <f t="shared" si="15"/>
        <v>3</v>
      </c>
      <c r="AF348" t="str">
        <f t="shared" si="16"/>
        <v>80.01.ZZ.03</v>
      </c>
      <c r="AH348" t="str">
        <f t="shared" si="17"/>
        <v>00 de 01</v>
      </c>
    </row>
    <row r="349" spans="1:34" ht="34.5" x14ac:dyDescent="0.25">
      <c r="A349" s="139" t="s">
        <v>116</v>
      </c>
      <c r="B349" s="105" t="s">
        <v>122</v>
      </c>
      <c r="C349" s="63">
        <v>337</v>
      </c>
      <c r="D349" s="197" t="s">
        <v>192</v>
      </c>
      <c r="E349" s="189" t="s">
        <v>575</v>
      </c>
      <c r="F349" s="190" t="s">
        <v>123</v>
      </c>
      <c r="G349" s="189" t="s">
        <v>134</v>
      </c>
      <c r="H349" s="191">
        <v>61792</v>
      </c>
      <c r="I349" s="189" t="s">
        <v>224</v>
      </c>
      <c r="J349" s="189">
        <v>0</v>
      </c>
      <c r="K349" s="189">
        <v>11601</v>
      </c>
      <c r="L349" s="191">
        <v>3</v>
      </c>
      <c r="M349" s="192">
        <v>46092</v>
      </c>
      <c r="N349" s="193">
        <v>1</v>
      </c>
      <c r="O349" s="194">
        <v>0.5</v>
      </c>
      <c r="P349" s="195"/>
      <c r="Q349" s="196" t="s">
        <v>38</v>
      </c>
      <c r="R349" s="197">
        <v>1</v>
      </c>
      <c r="S349" s="198" t="s">
        <v>33</v>
      </c>
      <c r="T349" s="199"/>
      <c r="U349" s="200"/>
      <c r="V349" s="200"/>
      <c r="W349" s="200"/>
      <c r="X349" s="200"/>
      <c r="Y349" s="200"/>
      <c r="Z349" s="200"/>
      <c r="AA349" s="200"/>
      <c r="AB349" s="200"/>
      <c r="AC349" s="208"/>
      <c r="AD349" s="11" t="str">
        <f t="shared" si="15"/>
        <v>3</v>
      </c>
      <c r="AF349" t="str">
        <f t="shared" si="16"/>
        <v>80.01.ZZ.03</v>
      </c>
      <c r="AH349" t="str">
        <f t="shared" si="17"/>
        <v>00 de 01</v>
      </c>
    </row>
    <row r="350" spans="1:34" ht="34.5" x14ac:dyDescent="0.25">
      <c r="A350" s="139" t="s">
        <v>116</v>
      </c>
      <c r="B350" s="105" t="s">
        <v>122</v>
      </c>
      <c r="C350" s="63">
        <v>338</v>
      </c>
      <c r="D350" s="197" t="s">
        <v>192</v>
      </c>
      <c r="E350" s="189" t="s">
        <v>576</v>
      </c>
      <c r="F350" s="190" t="s">
        <v>123</v>
      </c>
      <c r="G350" s="189" t="s">
        <v>134</v>
      </c>
      <c r="H350" s="191">
        <v>61792</v>
      </c>
      <c r="I350" s="189" t="s">
        <v>224</v>
      </c>
      <c r="J350" s="189">
        <v>0</v>
      </c>
      <c r="K350" s="189">
        <v>11601</v>
      </c>
      <c r="L350" s="191">
        <v>3</v>
      </c>
      <c r="M350" s="192">
        <v>46092</v>
      </c>
      <c r="N350" s="193">
        <v>1</v>
      </c>
      <c r="O350" s="194">
        <v>0.5</v>
      </c>
      <c r="P350" s="195"/>
      <c r="Q350" s="196" t="s">
        <v>38</v>
      </c>
      <c r="R350" s="197">
        <v>1</v>
      </c>
      <c r="S350" s="198" t="s">
        <v>33</v>
      </c>
      <c r="T350" s="199"/>
      <c r="U350" s="200"/>
      <c r="V350" s="200"/>
      <c r="W350" s="200"/>
      <c r="X350" s="200"/>
      <c r="Y350" s="200"/>
      <c r="Z350" s="200"/>
      <c r="AA350" s="200"/>
      <c r="AB350" s="200"/>
      <c r="AC350" s="208"/>
      <c r="AD350" s="11" t="str">
        <f t="shared" si="15"/>
        <v>3</v>
      </c>
      <c r="AF350" t="str">
        <f t="shared" si="16"/>
        <v>80.01.ZZ.03</v>
      </c>
      <c r="AH350" t="str">
        <f t="shared" si="17"/>
        <v>00 de 01</v>
      </c>
    </row>
    <row r="351" spans="1:34" ht="34.5" x14ac:dyDescent="0.25">
      <c r="A351" s="139" t="s">
        <v>116</v>
      </c>
      <c r="B351" s="105" t="s">
        <v>122</v>
      </c>
      <c r="C351" s="63">
        <v>339</v>
      </c>
      <c r="D351" s="197" t="s">
        <v>192</v>
      </c>
      <c r="E351" s="189" t="s">
        <v>577</v>
      </c>
      <c r="F351" s="190" t="s">
        <v>123</v>
      </c>
      <c r="G351" s="189" t="s">
        <v>134</v>
      </c>
      <c r="H351" s="191">
        <v>61792</v>
      </c>
      <c r="I351" s="189" t="s">
        <v>224</v>
      </c>
      <c r="J351" s="189">
        <v>0</v>
      </c>
      <c r="K351" s="189">
        <v>11601</v>
      </c>
      <c r="L351" s="191">
        <v>3</v>
      </c>
      <c r="M351" s="192">
        <v>46092</v>
      </c>
      <c r="N351" s="193">
        <v>1</v>
      </c>
      <c r="O351" s="194">
        <v>0.5</v>
      </c>
      <c r="P351" s="195"/>
      <c r="Q351" s="196" t="s">
        <v>38</v>
      </c>
      <c r="R351" s="197">
        <v>1</v>
      </c>
      <c r="S351" s="198" t="s">
        <v>33</v>
      </c>
      <c r="T351" s="199"/>
      <c r="U351" s="200"/>
      <c r="V351" s="200"/>
      <c r="W351" s="200"/>
      <c r="X351" s="200"/>
      <c r="Y351" s="200"/>
      <c r="Z351" s="200"/>
      <c r="AA351" s="200"/>
      <c r="AB351" s="200"/>
      <c r="AC351" s="208"/>
      <c r="AD351" s="11" t="str">
        <f t="shared" si="15"/>
        <v>3</v>
      </c>
      <c r="AF351" t="str">
        <f t="shared" si="16"/>
        <v>80.01.ZZ.03</v>
      </c>
      <c r="AH351" t="str">
        <f t="shared" si="17"/>
        <v>00 de 01</v>
      </c>
    </row>
    <row r="352" spans="1:34" ht="34.5" x14ac:dyDescent="0.25">
      <c r="A352" s="139" t="s">
        <v>116</v>
      </c>
      <c r="B352" s="105" t="s">
        <v>122</v>
      </c>
      <c r="C352" s="63">
        <v>340</v>
      </c>
      <c r="D352" s="197" t="s">
        <v>192</v>
      </c>
      <c r="E352" s="189" t="s">
        <v>578</v>
      </c>
      <c r="F352" s="190" t="s">
        <v>123</v>
      </c>
      <c r="G352" s="189" t="s">
        <v>134</v>
      </c>
      <c r="H352" s="191">
        <v>61792</v>
      </c>
      <c r="I352" s="189" t="s">
        <v>224</v>
      </c>
      <c r="J352" s="189">
        <v>0</v>
      </c>
      <c r="K352" s="189">
        <v>11601</v>
      </c>
      <c r="L352" s="191">
        <v>3</v>
      </c>
      <c r="M352" s="192">
        <v>46092</v>
      </c>
      <c r="N352" s="193">
        <v>1</v>
      </c>
      <c r="O352" s="194">
        <v>0.5</v>
      </c>
      <c r="P352" s="195"/>
      <c r="Q352" s="196" t="s">
        <v>38</v>
      </c>
      <c r="R352" s="197">
        <v>1</v>
      </c>
      <c r="S352" s="198" t="s">
        <v>33</v>
      </c>
      <c r="T352" s="199"/>
      <c r="U352" s="200"/>
      <c r="V352" s="200"/>
      <c r="W352" s="200"/>
      <c r="X352" s="200"/>
      <c r="Y352" s="200"/>
      <c r="Z352" s="200"/>
      <c r="AA352" s="200"/>
      <c r="AB352" s="200"/>
      <c r="AC352" s="208"/>
      <c r="AD352" s="11" t="str">
        <f t="shared" si="15"/>
        <v>3</v>
      </c>
      <c r="AF352" t="str">
        <f t="shared" si="16"/>
        <v>80.01.ZZ.03</v>
      </c>
      <c r="AH352" t="str">
        <f t="shared" si="17"/>
        <v>00 de 01</v>
      </c>
    </row>
    <row r="353" spans="1:34" ht="34.5" x14ac:dyDescent="0.25">
      <c r="A353" s="139" t="s">
        <v>116</v>
      </c>
      <c r="B353" s="105" t="s">
        <v>122</v>
      </c>
      <c r="C353" s="63">
        <v>341</v>
      </c>
      <c r="D353" s="197" t="s">
        <v>192</v>
      </c>
      <c r="E353" s="189" t="s">
        <v>579</v>
      </c>
      <c r="F353" s="190" t="s">
        <v>123</v>
      </c>
      <c r="G353" s="189" t="s">
        <v>134</v>
      </c>
      <c r="H353" s="191">
        <v>61792</v>
      </c>
      <c r="I353" s="189" t="s">
        <v>224</v>
      </c>
      <c r="J353" s="189">
        <v>0</v>
      </c>
      <c r="K353" s="189">
        <v>11601</v>
      </c>
      <c r="L353" s="191">
        <v>3</v>
      </c>
      <c r="M353" s="192">
        <v>46092</v>
      </c>
      <c r="N353" s="193">
        <v>1</v>
      </c>
      <c r="O353" s="194">
        <v>0.5</v>
      </c>
      <c r="P353" s="195"/>
      <c r="Q353" s="196" t="s">
        <v>38</v>
      </c>
      <c r="R353" s="197">
        <v>1</v>
      </c>
      <c r="S353" s="198" t="s">
        <v>33</v>
      </c>
      <c r="T353" s="199"/>
      <c r="U353" s="200"/>
      <c r="V353" s="200"/>
      <c r="W353" s="200"/>
      <c r="X353" s="200"/>
      <c r="Y353" s="200"/>
      <c r="Z353" s="200"/>
      <c r="AA353" s="200"/>
      <c r="AB353" s="200"/>
      <c r="AC353" s="208"/>
      <c r="AD353" s="11" t="str">
        <f t="shared" si="15"/>
        <v>3</v>
      </c>
      <c r="AF353" t="str">
        <f t="shared" si="16"/>
        <v>80.01.ZZ.03</v>
      </c>
      <c r="AH353" t="str">
        <f t="shared" si="17"/>
        <v>00 de 01</v>
      </c>
    </row>
    <row r="354" spans="1:34" ht="34.5" x14ac:dyDescent="0.25">
      <c r="A354" s="139" t="s">
        <v>116</v>
      </c>
      <c r="B354" s="105" t="s">
        <v>122</v>
      </c>
      <c r="C354" s="63">
        <v>342</v>
      </c>
      <c r="D354" s="197" t="s">
        <v>192</v>
      </c>
      <c r="E354" s="189" t="s">
        <v>580</v>
      </c>
      <c r="F354" s="190" t="s">
        <v>123</v>
      </c>
      <c r="G354" s="189" t="s">
        <v>134</v>
      </c>
      <c r="H354" s="191">
        <v>61792</v>
      </c>
      <c r="I354" s="189" t="s">
        <v>224</v>
      </c>
      <c r="J354" s="189">
        <v>0</v>
      </c>
      <c r="K354" s="189">
        <v>11601</v>
      </c>
      <c r="L354" s="191">
        <v>3</v>
      </c>
      <c r="M354" s="192">
        <v>46092</v>
      </c>
      <c r="N354" s="193">
        <v>1</v>
      </c>
      <c r="O354" s="194">
        <v>0.5</v>
      </c>
      <c r="P354" s="195"/>
      <c r="Q354" s="196" t="s">
        <v>38</v>
      </c>
      <c r="R354" s="197">
        <v>1</v>
      </c>
      <c r="S354" s="198" t="s">
        <v>33</v>
      </c>
      <c r="T354" s="199"/>
      <c r="U354" s="200"/>
      <c r="V354" s="200"/>
      <c r="W354" s="200"/>
      <c r="X354" s="200"/>
      <c r="Y354" s="200"/>
      <c r="Z354" s="200"/>
      <c r="AA354" s="200"/>
      <c r="AB354" s="200"/>
      <c r="AC354" s="208"/>
      <c r="AD354" s="11" t="str">
        <f t="shared" si="15"/>
        <v>3</v>
      </c>
      <c r="AF354" t="str">
        <f t="shared" si="16"/>
        <v>80.01.ZZ.03</v>
      </c>
      <c r="AH354" t="str">
        <f t="shared" si="17"/>
        <v>00 de 01</v>
      </c>
    </row>
    <row r="355" spans="1:34" ht="34.5" x14ac:dyDescent="0.25">
      <c r="A355" s="139" t="s">
        <v>116</v>
      </c>
      <c r="B355" s="105" t="s">
        <v>122</v>
      </c>
      <c r="C355" s="63">
        <v>343</v>
      </c>
      <c r="D355" s="197" t="s">
        <v>192</v>
      </c>
      <c r="E355" s="189" t="s">
        <v>581</v>
      </c>
      <c r="F355" s="190" t="s">
        <v>123</v>
      </c>
      <c r="G355" s="189" t="s">
        <v>134</v>
      </c>
      <c r="H355" s="191">
        <v>61792</v>
      </c>
      <c r="I355" s="189" t="s">
        <v>224</v>
      </c>
      <c r="J355" s="189">
        <v>0</v>
      </c>
      <c r="K355" s="189">
        <v>11601</v>
      </c>
      <c r="L355" s="191">
        <v>3</v>
      </c>
      <c r="M355" s="192">
        <v>46092</v>
      </c>
      <c r="N355" s="193">
        <v>1</v>
      </c>
      <c r="O355" s="194">
        <v>0.5</v>
      </c>
      <c r="P355" s="195"/>
      <c r="Q355" s="196" t="s">
        <v>38</v>
      </c>
      <c r="R355" s="197">
        <v>1</v>
      </c>
      <c r="S355" s="198" t="s">
        <v>33</v>
      </c>
      <c r="T355" s="199"/>
      <c r="U355" s="200"/>
      <c r="V355" s="200"/>
      <c r="W355" s="200"/>
      <c r="X355" s="200"/>
      <c r="Y355" s="200"/>
      <c r="Z355" s="200"/>
      <c r="AA355" s="200"/>
      <c r="AB355" s="200"/>
      <c r="AC355" s="208"/>
      <c r="AD355" s="11" t="str">
        <f t="shared" si="15"/>
        <v>3</v>
      </c>
      <c r="AF355" t="str">
        <f t="shared" si="16"/>
        <v>80.01.ZZ.03</v>
      </c>
      <c r="AH355" t="str">
        <f t="shared" si="17"/>
        <v>00 de 01</v>
      </c>
    </row>
    <row r="356" spans="1:34" ht="34.5" x14ac:dyDescent="0.25">
      <c r="A356" s="139" t="s">
        <v>116</v>
      </c>
      <c r="B356" s="105" t="s">
        <v>122</v>
      </c>
      <c r="C356" s="63">
        <v>344</v>
      </c>
      <c r="D356" s="197" t="s">
        <v>192</v>
      </c>
      <c r="E356" s="189" t="s">
        <v>582</v>
      </c>
      <c r="F356" s="190" t="s">
        <v>123</v>
      </c>
      <c r="G356" s="189" t="s">
        <v>134</v>
      </c>
      <c r="H356" s="191">
        <v>61792</v>
      </c>
      <c r="I356" s="189" t="s">
        <v>224</v>
      </c>
      <c r="J356" s="189">
        <v>0</v>
      </c>
      <c r="K356" s="189">
        <v>11601</v>
      </c>
      <c r="L356" s="191">
        <v>3</v>
      </c>
      <c r="M356" s="192">
        <v>46092</v>
      </c>
      <c r="N356" s="193">
        <v>1</v>
      </c>
      <c r="O356" s="194">
        <v>0.5</v>
      </c>
      <c r="P356" s="195"/>
      <c r="Q356" s="196" t="s">
        <v>38</v>
      </c>
      <c r="R356" s="197">
        <v>1</v>
      </c>
      <c r="S356" s="198" t="s">
        <v>33</v>
      </c>
      <c r="T356" s="199"/>
      <c r="U356" s="200"/>
      <c r="V356" s="200"/>
      <c r="W356" s="200"/>
      <c r="X356" s="200"/>
      <c r="Y356" s="200"/>
      <c r="Z356" s="200"/>
      <c r="AA356" s="200"/>
      <c r="AB356" s="200"/>
      <c r="AC356" s="208"/>
      <c r="AD356" s="11" t="str">
        <f t="shared" si="15"/>
        <v>3</v>
      </c>
      <c r="AF356" t="str">
        <f t="shared" si="16"/>
        <v>80.01.ZZ.03</v>
      </c>
      <c r="AH356" t="str">
        <f t="shared" si="17"/>
        <v>00 de 01</v>
      </c>
    </row>
    <row r="357" spans="1:34" ht="34.5" x14ac:dyDescent="0.25">
      <c r="A357" s="139" t="s">
        <v>116</v>
      </c>
      <c r="B357" s="105" t="s">
        <v>122</v>
      </c>
      <c r="C357" s="63">
        <v>345</v>
      </c>
      <c r="D357" s="197" t="s">
        <v>192</v>
      </c>
      <c r="E357" s="189" t="s">
        <v>583</v>
      </c>
      <c r="F357" s="190" t="s">
        <v>123</v>
      </c>
      <c r="G357" s="189" t="s">
        <v>134</v>
      </c>
      <c r="H357" s="191">
        <v>61792</v>
      </c>
      <c r="I357" s="189" t="s">
        <v>224</v>
      </c>
      <c r="J357" s="189">
        <v>0</v>
      </c>
      <c r="K357" s="189">
        <v>11601</v>
      </c>
      <c r="L357" s="191">
        <v>3</v>
      </c>
      <c r="M357" s="192">
        <v>46092</v>
      </c>
      <c r="N357" s="193">
        <v>1</v>
      </c>
      <c r="O357" s="194">
        <v>0.5</v>
      </c>
      <c r="P357" s="195"/>
      <c r="Q357" s="196" t="s">
        <v>38</v>
      </c>
      <c r="R357" s="197">
        <v>1</v>
      </c>
      <c r="S357" s="198" t="s">
        <v>33</v>
      </c>
      <c r="T357" s="199"/>
      <c r="U357" s="200"/>
      <c r="V357" s="200"/>
      <c r="W357" s="200"/>
      <c r="X357" s="200"/>
      <c r="Y357" s="200"/>
      <c r="Z357" s="200"/>
      <c r="AA357" s="200"/>
      <c r="AB357" s="200"/>
      <c r="AC357" s="208"/>
      <c r="AD357" s="11" t="str">
        <f t="shared" si="15"/>
        <v>3</v>
      </c>
      <c r="AF357" t="str">
        <f t="shared" si="16"/>
        <v>80.01.ZZ.03</v>
      </c>
      <c r="AH357" t="str">
        <f t="shared" si="17"/>
        <v>00 de 01</v>
      </c>
    </row>
    <row r="358" spans="1:34" ht="34.5" x14ac:dyDescent="0.25">
      <c r="A358" s="139" t="s">
        <v>116</v>
      </c>
      <c r="B358" s="105" t="s">
        <v>122</v>
      </c>
      <c r="C358" s="63">
        <v>346</v>
      </c>
      <c r="D358" s="197" t="s">
        <v>192</v>
      </c>
      <c r="E358" s="189" t="s">
        <v>584</v>
      </c>
      <c r="F358" s="190" t="s">
        <v>123</v>
      </c>
      <c r="G358" s="189" t="s">
        <v>134</v>
      </c>
      <c r="H358" s="191">
        <v>61792</v>
      </c>
      <c r="I358" s="189" t="s">
        <v>224</v>
      </c>
      <c r="J358" s="189">
        <v>0</v>
      </c>
      <c r="K358" s="189">
        <v>11601</v>
      </c>
      <c r="L358" s="191">
        <v>3</v>
      </c>
      <c r="M358" s="192">
        <v>46092</v>
      </c>
      <c r="N358" s="193">
        <v>1</v>
      </c>
      <c r="O358" s="194">
        <v>0.5</v>
      </c>
      <c r="P358" s="195"/>
      <c r="Q358" s="196" t="s">
        <v>38</v>
      </c>
      <c r="R358" s="197">
        <v>1</v>
      </c>
      <c r="S358" s="198" t="s">
        <v>33</v>
      </c>
      <c r="T358" s="199"/>
      <c r="U358" s="200"/>
      <c r="V358" s="200"/>
      <c r="W358" s="200"/>
      <c r="X358" s="200"/>
      <c r="Y358" s="200"/>
      <c r="Z358" s="200"/>
      <c r="AA358" s="200"/>
      <c r="AB358" s="200"/>
      <c r="AC358" s="208"/>
      <c r="AD358" s="11" t="str">
        <f t="shared" si="15"/>
        <v>3</v>
      </c>
      <c r="AF358" t="str">
        <f t="shared" si="16"/>
        <v>80.01.ZZ.03</v>
      </c>
      <c r="AH358" t="str">
        <f t="shared" si="17"/>
        <v>00 de 01</v>
      </c>
    </row>
    <row r="359" spans="1:34" ht="34.5" x14ac:dyDescent="0.25">
      <c r="A359" s="139" t="s">
        <v>116</v>
      </c>
      <c r="B359" s="105" t="s">
        <v>122</v>
      </c>
      <c r="C359" s="63">
        <v>347</v>
      </c>
      <c r="D359" s="197" t="s">
        <v>192</v>
      </c>
      <c r="E359" s="189" t="s">
        <v>585</v>
      </c>
      <c r="F359" s="190" t="s">
        <v>123</v>
      </c>
      <c r="G359" s="189" t="s">
        <v>134</v>
      </c>
      <c r="H359" s="191">
        <v>61792</v>
      </c>
      <c r="I359" s="189" t="s">
        <v>224</v>
      </c>
      <c r="J359" s="189">
        <v>0</v>
      </c>
      <c r="K359" s="189">
        <v>11601</v>
      </c>
      <c r="L359" s="191">
        <v>3</v>
      </c>
      <c r="M359" s="192">
        <v>46092</v>
      </c>
      <c r="N359" s="193">
        <v>1</v>
      </c>
      <c r="O359" s="194">
        <v>0.5</v>
      </c>
      <c r="P359" s="195"/>
      <c r="Q359" s="196" t="s">
        <v>38</v>
      </c>
      <c r="R359" s="197">
        <v>1</v>
      </c>
      <c r="S359" s="198" t="s">
        <v>33</v>
      </c>
      <c r="T359" s="199"/>
      <c r="U359" s="200"/>
      <c r="V359" s="200"/>
      <c r="W359" s="200"/>
      <c r="X359" s="200"/>
      <c r="Y359" s="200"/>
      <c r="Z359" s="200"/>
      <c r="AA359" s="200"/>
      <c r="AB359" s="200"/>
      <c r="AC359" s="208"/>
      <c r="AD359" s="11" t="str">
        <f t="shared" si="15"/>
        <v>3</v>
      </c>
      <c r="AF359" t="str">
        <f t="shared" si="16"/>
        <v>80.01.ZZ.03</v>
      </c>
      <c r="AH359" t="str">
        <f t="shared" si="17"/>
        <v>00 de 01</v>
      </c>
    </row>
    <row r="360" spans="1:34" ht="34.5" x14ac:dyDescent="0.25">
      <c r="A360" s="139" t="s">
        <v>116</v>
      </c>
      <c r="B360" s="105" t="s">
        <v>122</v>
      </c>
      <c r="C360" s="63">
        <v>348</v>
      </c>
      <c r="D360" s="197" t="s">
        <v>192</v>
      </c>
      <c r="E360" s="189" t="s">
        <v>586</v>
      </c>
      <c r="F360" s="190" t="s">
        <v>123</v>
      </c>
      <c r="G360" s="189" t="s">
        <v>134</v>
      </c>
      <c r="H360" s="191">
        <v>61792</v>
      </c>
      <c r="I360" s="189" t="s">
        <v>224</v>
      </c>
      <c r="J360" s="189">
        <v>0</v>
      </c>
      <c r="K360" s="189">
        <v>11601</v>
      </c>
      <c r="L360" s="191">
        <v>3</v>
      </c>
      <c r="M360" s="192">
        <v>46092</v>
      </c>
      <c r="N360" s="193">
        <v>1</v>
      </c>
      <c r="O360" s="194">
        <v>0.5</v>
      </c>
      <c r="P360" s="195"/>
      <c r="Q360" s="196" t="s">
        <v>38</v>
      </c>
      <c r="R360" s="197">
        <v>1</v>
      </c>
      <c r="S360" s="198" t="s">
        <v>33</v>
      </c>
      <c r="T360" s="199"/>
      <c r="U360" s="200"/>
      <c r="V360" s="200"/>
      <c r="W360" s="200"/>
      <c r="X360" s="200"/>
      <c r="Y360" s="200"/>
      <c r="Z360" s="200"/>
      <c r="AA360" s="200"/>
      <c r="AB360" s="200"/>
      <c r="AC360" s="208"/>
      <c r="AD360" s="11" t="str">
        <f t="shared" si="15"/>
        <v>3</v>
      </c>
      <c r="AF360" t="str">
        <f t="shared" si="16"/>
        <v>80.01.ZZ.03</v>
      </c>
      <c r="AH360" t="str">
        <f t="shared" si="17"/>
        <v>00 de 01</v>
      </c>
    </row>
    <row r="361" spans="1:34" ht="34.5" x14ac:dyDescent="0.25">
      <c r="A361" s="139" t="s">
        <v>116</v>
      </c>
      <c r="B361" s="105" t="s">
        <v>122</v>
      </c>
      <c r="C361" s="63">
        <v>349</v>
      </c>
      <c r="D361" s="197" t="s">
        <v>192</v>
      </c>
      <c r="E361" s="189" t="s">
        <v>587</v>
      </c>
      <c r="F361" s="190" t="s">
        <v>123</v>
      </c>
      <c r="G361" s="189" t="s">
        <v>134</v>
      </c>
      <c r="H361" s="191">
        <v>61792</v>
      </c>
      <c r="I361" s="189" t="s">
        <v>224</v>
      </c>
      <c r="J361" s="189">
        <v>0</v>
      </c>
      <c r="K361" s="189">
        <v>11601</v>
      </c>
      <c r="L361" s="191">
        <v>3</v>
      </c>
      <c r="M361" s="192">
        <v>46092</v>
      </c>
      <c r="N361" s="193">
        <v>1</v>
      </c>
      <c r="O361" s="194">
        <v>0.5</v>
      </c>
      <c r="P361" s="195"/>
      <c r="Q361" s="196" t="s">
        <v>38</v>
      </c>
      <c r="R361" s="197">
        <v>1</v>
      </c>
      <c r="S361" s="198" t="s">
        <v>33</v>
      </c>
      <c r="T361" s="199"/>
      <c r="U361" s="200"/>
      <c r="V361" s="200"/>
      <c r="W361" s="200"/>
      <c r="X361" s="200"/>
      <c r="Y361" s="200"/>
      <c r="Z361" s="200"/>
      <c r="AA361" s="200"/>
      <c r="AB361" s="200"/>
      <c r="AC361" s="208"/>
      <c r="AD361" s="11" t="str">
        <f t="shared" si="15"/>
        <v>3</v>
      </c>
      <c r="AF361" t="str">
        <f t="shared" si="16"/>
        <v>80.01.ZZ.03</v>
      </c>
      <c r="AH361" t="str">
        <f t="shared" si="17"/>
        <v>00 de 01</v>
      </c>
    </row>
    <row r="362" spans="1:34" ht="34.5" x14ac:dyDescent="0.25">
      <c r="A362" s="139" t="s">
        <v>116</v>
      </c>
      <c r="B362" s="105" t="s">
        <v>122</v>
      </c>
      <c r="C362" s="63">
        <v>350</v>
      </c>
      <c r="D362" s="197" t="s">
        <v>192</v>
      </c>
      <c r="E362" s="189" t="s">
        <v>588</v>
      </c>
      <c r="F362" s="190" t="s">
        <v>123</v>
      </c>
      <c r="G362" s="189" t="s">
        <v>134</v>
      </c>
      <c r="H362" s="191">
        <v>61792</v>
      </c>
      <c r="I362" s="189" t="s">
        <v>224</v>
      </c>
      <c r="J362" s="189">
        <v>0</v>
      </c>
      <c r="K362" s="189">
        <v>11601</v>
      </c>
      <c r="L362" s="191">
        <v>3</v>
      </c>
      <c r="M362" s="192">
        <v>46092</v>
      </c>
      <c r="N362" s="193">
        <v>1</v>
      </c>
      <c r="O362" s="194">
        <v>0.5</v>
      </c>
      <c r="P362" s="195"/>
      <c r="Q362" s="196" t="s">
        <v>38</v>
      </c>
      <c r="R362" s="197">
        <v>1</v>
      </c>
      <c r="S362" s="198" t="s">
        <v>33</v>
      </c>
      <c r="T362" s="199"/>
      <c r="U362" s="200"/>
      <c r="V362" s="200"/>
      <c r="W362" s="200"/>
      <c r="X362" s="200"/>
      <c r="Y362" s="200"/>
      <c r="Z362" s="200"/>
      <c r="AA362" s="200"/>
      <c r="AB362" s="200"/>
      <c r="AC362" s="208"/>
      <c r="AD362" s="11" t="str">
        <f t="shared" si="15"/>
        <v>3</v>
      </c>
      <c r="AF362" t="str">
        <f t="shared" si="16"/>
        <v>80.01.ZZ.03</v>
      </c>
      <c r="AH362" t="str">
        <f t="shared" si="17"/>
        <v>00 de 01</v>
      </c>
    </row>
    <row r="363" spans="1:34" ht="34.5" x14ac:dyDescent="0.25">
      <c r="A363" s="139" t="s">
        <v>116</v>
      </c>
      <c r="B363" s="105" t="s">
        <v>122</v>
      </c>
      <c r="C363" s="63">
        <v>351</v>
      </c>
      <c r="D363" s="197" t="s">
        <v>192</v>
      </c>
      <c r="E363" s="189" t="s">
        <v>589</v>
      </c>
      <c r="F363" s="190" t="s">
        <v>123</v>
      </c>
      <c r="G363" s="189" t="s">
        <v>134</v>
      </c>
      <c r="H363" s="191">
        <v>61792</v>
      </c>
      <c r="I363" s="189" t="s">
        <v>224</v>
      </c>
      <c r="J363" s="189">
        <v>0</v>
      </c>
      <c r="K363" s="189">
        <v>11601</v>
      </c>
      <c r="L363" s="191">
        <v>3</v>
      </c>
      <c r="M363" s="192">
        <v>46092</v>
      </c>
      <c r="N363" s="193">
        <v>1</v>
      </c>
      <c r="O363" s="194">
        <v>0.5</v>
      </c>
      <c r="P363" s="195"/>
      <c r="Q363" s="196" t="s">
        <v>38</v>
      </c>
      <c r="R363" s="197">
        <v>1</v>
      </c>
      <c r="S363" s="198" t="s">
        <v>33</v>
      </c>
      <c r="T363" s="199"/>
      <c r="U363" s="200"/>
      <c r="V363" s="200"/>
      <c r="W363" s="200"/>
      <c r="X363" s="200"/>
      <c r="Y363" s="200"/>
      <c r="Z363" s="200"/>
      <c r="AA363" s="200"/>
      <c r="AB363" s="200"/>
      <c r="AC363" s="208"/>
      <c r="AD363" s="11" t="str">
        <f t="shared" si="15"/>
        <v>3</v>
      </c>
      <c r="AF363" t="str">
        <f t="shared" si="16"/>
        <v>80.01.ZZ.03</v>
      </c>
      <c r="AH363" t="str">
        <f t="shared" si="17"/>
        <v>00 de 01</v>
      </c>
    </row>
    <row r="364" spans="1:34" ht="34.5" x14ac:dyDescent="0.25">
      <c r="A364" s="139" t="s">
        <v>116</v>
      </c>
      <c r="B364" s="105" t="s">
        <v>122</v>
      </c>
      <c r="C364" s="63">
        <v>352</v>
      </c>
      <c r="D364" s="197" t="s">
        <v>192</v>
      </c>
      <c r="E364" s="189" t="s">
        <v>590</v>
      </c>
      <c r="F364" s="190" t="s">
        <v>123</v>
      </c>
      <c r="G364" s="189" t="s">
        <v>134</v>
      </c>
      <c r="H364" s="191">
        <v>61792</v>
      </c>
      <c r="I364" s="189" t="s">
        <v>224</v>
      </c>
      <c r="J364" s="189">
        <v>0</v>
      </c>
      <c r="K364" s="189">
        <v>11601</v>
      </c>
      <c r="L364" s="191">
        <v>3</v>
      </c>
      <c r="M364" s="192">
        <v>46092</v>
      </c>
      <c r="N364" s="193">
        <v>1</v>
      </c>
      <c r="O364" s="194">
        <v>0.5</v>
      </c>
      <c r="P364" s="195"/>
      <c r="Q364" s="196" t="s">
        <v>38</v>
      </c>
      <c r="R364" s="197">
        <v>1</v>
      </c>
      <c r="S364" s="198" t="s">
        <v>33</v>
      </c>
      <c r="T364" s="199"/>
      <c r="U364" s="200"/>
      <c r="V364" s="200"/>
      <c r="W364" s="200"/>
      <c r="X364" s="200"/>
      <c r="Y364" s="200"/>
      <c r="Z364" s="200"/>
      <c r="AA364" s="200"/>
      <c r="AB364" s="200"/>
      <c r="AC364" s="208"/>
      <c r="AD364" s="11" t="str">
        <f t="shared" si="15"/>
        <v>3</v>
      </c>
      <c r="AF364" t="str">
        <f t="shared" si="16"/>
        <v>80.01.ZZ.03</v>
      </c>
      <c r="AH364" t="str">
        <f t="shared" si="17"/>
        <v>00 de 01</v>
      </c>
    </row>
    <row r="365" spans="1:34" ht="34.5" x14ac:dyDescent="0.25">
      <c r="A365" s="139" t="s">
        <v>116</v>
      </c>
      <c r="B365" s="105" t="s">
        <v>122</v>
      </c>
      <c r="C365" s="63">
        <v>353</v>
      </c>
      <c r="D365" s="197" t="s">
        <v>192</v>
      </c>
      <c r="E365" s="189" t="s">
        <v>591</v>
      </c>
      <c r="F365" s="190" t="s">
        <v>123</v>
      </c>
      <c r="G365" s="189" t="s">
        <v>134</v>
      </c>
      <c r="H365" s="191">
        <v>61792</v>
      </c>
      <c r="I365" s="189" t="s">
        <v>224</v>
      </c>
      <c r="J365" s="189">
        <v>0</v>
      </c>
      <c r="K365" s="189">
        <v>11601</v>
      </c>
      <c r="L365" s="191">
        <v>3</v>
      </c>
      <c r="M365" s="192">
        <v>46092</v>
      </c>
      <c r="N365" s="193">
        <v>1</v>
      </c>
      <c r="O365" s="194">
        <v>0.5</v>
      </c>
      <c r="P365" s="195"/>
      <c r="Q365" s="196" t="s">
        <v>38</v>
      </c>
      <c r="R365" s="197">
        <v>1</v>
      </c>
      <c r="S365" s="198" t="s">
        <v>33</v>
      </c>
      <c r="T365" s="199"/>
      <c r="U365" s="200"/>
      <c r="V365" s="200"/>
      <c r="W365" s="200"/>
      <c r="X365" s="200"/>
      <c r="Y365" s="200"/>
      <c r="Z365" s="200"/>
      <c r="AA365" s="200"/>
      <c r="AB365" s="200"/>
      <c r="AC365" s="208"/>
      <c r="AD365" s="11" t="str">
        <f t="shared" si="15"/>
        <v>3</v>
      </c>
      <c r="AF365" t="str">
        <f t="shared" si="16"/>
        <v>80.01.ZZ.03</v>
      </c>
      <c r="AH365" t="str">
        <f t="shared" si="17"/>
        <v>00 de 01</v>
      </c>
    </row>
    <row r="366" spans="1:34" ht="34.5" x14ac:dyDescent="0.25">
      <c r="A366" s="139" t="s">
        <v>116</v>
      </c>
      <c r="B366" s="105" t="s">
        <v>122</v>
      </c>
      <c r="C366" s="63">
        <v>354</v>
      </c>
      <c r="D366" s="197" t="s">
        <v>192</v>
      </c>
      <c r="E366" s="189" t="s">
        <v>592</v>
      </c>
      <c r="F366" s="190" t="s">
        <v>123</v>
      </c>
      <c r="G366" s="189" t="s">
        <v>134</v>
      </c>
      <c r="H366" s="191">
        <v>61792</v>
      </c>
      <c r="I366" s="189" t="s">
        <v>224</v>
      </c>
      <c r="J366" s="189">
        <v>0</v>
      </c>
      <c r="K366" s="189">
        <v>11601</v>
      </c>
      <c r="L366" s="191">
        <v>3</v>
      </c>
      <c r="M366" s="192">
        <v>46092</v>
      </c>
      <c r="N366" s="193">
        <v>1</v>
      </c>
      <c r="O366" s="194">
        <v>0.5</v>
      </c>
      <c r="P366" s="195"/>
      <c r="Q366" s="196" t="s">
        <v>38</v>
      </c>
      <c r="R366" s="197">
        <v>1</v>
      </c>
      <c r="S366" s="198" t="s">
        <v>33</v>
      </c>
      <c r="T366" s="199"/>
      <c r="U366" s="200"/>
      <c r="V366" s="200"/>
      <c r="W366" s="200"/>
      <c r="X366" s="200"/>
      <c r="Y366" s="200"/>
      <c r="Z366" s="200"/>
      <c r="AA366" s="200"/>
      <c r="AB366" s="200"/>
      <c r="AC366" s="208"/>
      <c r="AD366" s="11" t="str">
        <f t="shared" si="15"/>
        <v>3</v>
      </c>
      <c r="AF366" t="str">
        <f t="shared" si="16"/>
        <v>80.01.ZZ.03</v>
      </c>
      <c r="AH366" t="str">
        <f t="shared" si="17"/>
        <v>00 de 01</v>
      </c>
    </row>
    <row r="367" spans="1:34" ht="34.5" x14ac:dyDescent="0.25">
      <c r="A367" s="139" t="s">
        <v>116</v>
      </c>
      <c r="B367" s="105" t="s">
        <v>122</v>
      </c>
      <c r="C367" s="63">
        <v>355</v>
      </c>
      <c r="D367" s="197" t="s">
        <v>192</v>
      </c>
      <c r="E367" s="189" t="s">
        <v>593</v>
      </c>
      <c r="F367" s="190" t="s">
        <v>123</v>
      </c>
      <c r="G367" s="189" t="s">
        <v>134</v>
      </c>
      <c r="H367" s="191">
        <v>61792</v>
      </c>
      <c r="I367" s="189" t="s">
        <v>224</v>
      </c>
      <c r="J367" s="189">
        <v>0</v>
      </c>
      <c r="K367" s="189">
        <v>11601</v>
      </c>
      <c r="L367" s="191">
        <v>3</v>
      </c>
      <c r="M367" s="192">
        <v>46092</v>
      </c>
      <c r="N367" s="193">
        <v>1</v>
      </c>
      <c r="O367" s="194">
        <v>0.5</v>
      </c>
      <c r="P367" s="195"/>
      <c r="Q367" s="196" t="s">
        <v>38</v>
      </c>
      <c r="R367" s="197">
        <v>1</v>
      </c>
      <c r="S367" s="198" t="s">
        <v>33</v>
      </c>
      <c r="T367" s="199"/>
      <c r="U367" s="200"/>
      <c r="V367" s="200"/>
      <c r="W367" s="200"/>
      <c r="X367" s="200"/>
      <c r="Y367" s="200"/>
      <c r="Z367" s="200"/>
      <c r="AA367" s="200"/>
      <c r="AB367" s="200"/>
      <c r="AC367" s="208"/>
      <c r="AD367" s="11" t="str">
        <f t="shared" ref="AD367:AD398" si="18">RIGHT(L367,2)</f>
        <v>3</v>
      </c>
      <c r="AF367" t="str">
        <f t="shared" ref="AF367:AF398" si="19">CONCATENATE("80.01.ZZ.0",L367)</f>
        <v>80.01.ZZ.03</v>
      </c>
      <c r="AH367" t="str">
        <f t="shared" ref="AH367:AH398" si="20">CONCATENATE("00 de 0",R367)</f>
        <v>00 de 01</v>
      </c>
    </row>
    <row r="368" spans="1:34" ht="34.5" x14ac:dyDescent="0.25">
      <c r="A368" s="139" t="s">
        <v>116</v>
      </c>
      <c r="B368" s="105" t="s">
        <v>122</v>
      </c>
      <c r="C368" s="63">
        <v>356</v>
      </c>
      <c r="D368" s="197" t="s">
        <v>192</v>
      </c>
      <c r="E368" s="189" t="s">
        <v>594</v>
      </c>
      <c r="F368" s="190" t="s">
        <v>123</v>
      </c>
      <c r="G368" s="189" t="s">
        <v>134</v>
      </c>
      <c r="H368" s="191">
        <v>61792</v>
      </c>
      <c r="I368" s="189" t="s">
        <v>224</v>
      </c>
      <c r="J368" s="189">
        <v>0</v>
      </c>
      <c r="K368" s="189">
        <v>11601</v>
      </c>
      <c r="L368" s="191">
        <v>3</v>
      </c>
      <c r="M368" s="192">
        <v>46092</v>
      </c>
      <c r="N368" s="193">
        <v>1</v>
      </c>
      <c r="O368" s="194">
        <v>0.5</v>
      </c>
      <c r="P368" s="195"/>
      <c r="Q368" s="196" t="s">
        <v>38</v>
      </c>
      <c r="R368" s="197">
        <v>1</v>
      </c>
      <c r="S368" s="198" t="s">
        <v>33</v>
      </c>
      <c r="T368" s="199"/>
      <c r="U368" s="200"/>
      <c r="V368" s="200"/>
      <c r="W368" s="200"/>
      <c r="X368" s="200"/>
      <c r="Y368" s="200"/>
      <c r="Z368" s="200"/>
      <c r="AA368" s="200"/>
      <c r="AB368" s="200"/>
      <c r="AC368" s="208"/>
      <c r="AD368" s="11" t="str">
        <f t="shared" si="18"/>
        <v>3</v>
      </c>
      <c r="AF368" t="str">
        <f t="shared" si="19"/>
        <v>80.01.ZZ.03</v>
      </c>
      <c r="AH368" t="str">
        <f t="shared" si="20"/>
        <v>00 de 01</v>
      </c>
    </row>
    <row r="369" spans="1:34" ht="34.5" x14ac:dyDescent="0.25">
      <c r="A369" s="139" t="s">
        <v>116</v>
      </c>
      <c r="B369" s="105" t="s">
        <v>122</v>
      </c>
      <c r="C369" s="63">
        <v>357</v>
      </c>
      <c r="D369" s="197" t="s">
        <v>192</v>
      </c>
      <c r="E369" s="189" t="s">
        <v>245</v>
      </c>
      <c r="F369" s="190" t="s">
        <v>123</v>
      </c>
      <c r="G369" s="189" t="s">
        <v>134</v>
      </c>
      <c r="H369" s="191">
        <v>61792</v>
      </c>
      <c r="I369" s="189" t="s">
        <v>224</v>
      </c>
      <c r="J369" s="189">
        <v>0</v>
      </c>
      <c r="K369" s="189">
        <v>11701</v>
      </c>
      <c r="L369" s="191">
        <v>3</v>
      </c>
      <c r="M369" s="192">
        <v>46092</v>
      </c>
      <c r="N369" s="193">
        <v>1</v>
      </c>
      <c r="O369" s="194">
        <v>0.5</v>
      </c>
      <c r="P369" s="195"/>
      <c r="Q369" s="196" t="s">
        <v>38</v>
      </c>
      <c r="R369" s="197">
        <v>1</v>
      </c>
      <c r="S369" s="198" t="s">
        <v>33</v>
      </c>
      <c r="T369" s="199"/>
      <c r="U369" s="200"/>
      <c r="V369" s="200"/>
      <c r="W369" s="200"/>
      <c r="X369" s="200"/>
      <c r="Y369" s="200"/>
      <c r="Z369" s="200"/>
      <c r="AA369" s="200"/>
      <c r="AB369" s="200"/>
      <c r="AC369" s="208"/>
      <c r="AD369" s="11" t="str">
        <f t="shared" si="18"/>
        <v>3</v>
      </c>
      <c r="AF369" t="str">
        <f t="shared" si="19"/>
        <v>80.01.ZZ.03</v>
      </c>
      <c r="AH369" t="str">
        <f t="shared" si="20"/>
        <v>00 de 01</v>
      </c>
    </row>
    <row r="370" spans="1:34" ht="34.5" x14ac:dyDescent="0.25">
      <c r="A370" s="139" t="s">
        <v>116</v>
      </c>
      <c r="B370" s="105" t="s">
        <v>122</v>
      </c>
      <c r="C370" s="63">
        <v>358</v>
      </c>
      <c r="D370" s="197" t="s">
        <v>192</v>
      </c>
      <c r="E370" s="189" t="s">
        <v>595</v>
      </c>
      <c r="F370" s="190" t="s">
        <v>123</v>
      </c>
      <c r="G370" s="189" t="s">
        <v>134</v>
      </c>
      <c r="H370" s="191">
        <v>61792</v>
      </c>
      <c r="I370" s="189" t="s">
        <v>224</v>
      </c>
      <c r="J370" s="189">
        <v>0</v>
      </c>
      <c r="K370" s="189">
        <v>11701</v>
      </c>
      <c r="L370" s="191">
        <v>3</v>
      </c>
      <c r="M370" s="192">
        <v>46092</v>
      </c>
      <c r="N370" s="193">
        <v>1</v>
      </c>
      <c r="O370" s="194">
        <v>0.5</v>
      </c>
      <c r="P370" s="195"/>
      <c r="Q370" s="196" t="s">
        <v>38</v>
      </c>
      <c r="R370" s="197">
        <v>1</v>
      </c>
      <c r="S370" s="198" t="s">
        <v>33</v>
      </c>
      <c r="T370" s="199"/>
      <c r="U370" s="200"/>
      <c r="V370" s="200"/>
      <c r="W370" s="200"/>
      <c r="X370" s="200"/>
      <c r="Y370" s="200"/>
      <c r="Z370" s="200"/>
      <c r="AA370" s="200"/>
      <c r="AB370" s="200"/>
      <c r="AC370" s="208"/>
      <c r="AD370" s="11" t="str">
        <f t="shared" si="18"/>
        <v>3</v>
      </c>
      <c r="AF370" t="str">
        <f t="shared" si="19"/>
        <v>80.01.ZZ.03</v>
      </c>
      <c r="AH370" t="str">
        <f t="shared" si="20"/>
        <v>00 de 01</v>
      </c>
    </row>
    <row r="371" spans="1:34" ht="34.5" x14ac:dyDescent="0.25">
      <c r="A371" s="139" t="s">
        <v>116</v>
      </c>
      <c r="B371" s="105" t="s">
        <v>122</v>
      </c>
      <c r="C371" s="63">
        <v>359</v>
      </c>
      <c r="D371" s="197" t="s">
        <v>192</v>
      </c>
      <c r="E371" s="189" t="s">
        <v>596</v>
      </c>
      <c r="F371" s="190" t="s">
        <v>123</v>
      </c>
      <c r="G371" s="189" t="s">
        <v>134</v>
      </c>
      <c r="H371" s="191">
        <v>61792</v>
      </c>
      <c r="I371" s="189" t="s">
        <v>224</v>
      </c>
      <c r="J371" s="189">
        <v>0</v>
      </c>
      <c r="K371" s="189">
        <v>11701</v>
      </c>
      <c r="L371" s="191">
        <v>3</v>
      </c>
      <c r="M371" s="192">
        <v>46092</v>
      </c>
      <c r="N371" s="193">
        <v>1</v>
      </c>
      <c r="O371" s="194">
        <v>0.5</v>
      </c>
      <c r="P371" s="195"/>
      <c r="Q371" s="196" t="s">
        <v>38</v>
      </c>
      <c r="R371" s="197">
        <v>1</v>
      </c>
      <c r="S371" s="198" t="s">
        <v>33</v>
      </c>
      <c r="T371" s="199"/>
      <c r="U371" s="200"/>
      <c r="V371" s="200"/>
      <c r="W371" s="200"/>
      <c r="X371" s="200"/>
      <c r="Y371" s="200"/>
      <c r="Z371" s="200"/>
      <c r="AA371" s="200"/>
      <c r="AB371" s="200"/>
      <c r="AC371" s="208"/>
      <c r="AD371" s="11" t="str">
        <f t="shared" si="18"/>
        <v>3</v>
      </c>
      <c r="AF371" t="str">
        <f t="shared" si="19"/>
        <v>80.01.ZZ.03</v>
      </c>
      <c r="AH371" t="str">
        <f t="shared" si="20"/>
        <v>00 de 01</v>
      </c>
    </row>
    <row r="372" spans="1:34" ht="34.5" x14ac:dyDescent="0.25">
      <c r="A372" s="139" t="s">
        <v>116</v>
      </c>
      <c r="B372" s="105" t="s">
        <v>122</v>
      </c>
      <c r="C372" s="63">
        <v>360</v>
      </c>
      <c r="D372" s="197" t="s">
        <v>192</v>
      </c>
      <c r="E372" s="189" t="s">
        <v>597</v>
      </c>
      <c r="F372" s="190" t="s">
        <v>123</v>
      </c>
      <c r="G372" s="189" t="s">
        <v>134</v>
      </c>
      <c r="H372" s="191">
        <v>61792</v>
      </c>
      <c r="I372" s="189" t="s">
        <v>224</v>
      </c>
      <c r="J372" s="189">
        <v>0</v>
      </c>
      <c r="K372" s="189">
        <v>11701</v>
      </c>
      <c r="L372" s="191">
        <v>3</v>
      </c>
      <c r="M372" s="192">
        <v>46092</v>
      </c>
      <c r="N372" s="193">
        <v>1</v>
      </c>
      <c r="O372" s="194">
        <v>0.5</v>
      </c>
      <c r="P372" s="195"/>
      <c r="Q372" s="196" t="s">
        <v>38</v>
      </c>
      <c r="R372" s="197">
        <v>1</v>
      </c>
      <c r="S372" s="198" t="s">
        <v>33</v>
      </c>
      <c r="T372" s="199"/>
      <c r="U372" s="200"/>
      <c r="V372" s="200"/>
      <c r="W372" s="200"/>
      <c r="X372" s="200"/>
      <c r="Y372" s="200"/>
      <c r="Z372" s="200"/>
      <c r="AA372" s="200"/>
      <c r="AB372" s="200"/>
      <c r="AC372" s="208"/>
      <c r="AD372" s="11" t="str">
        <f t="shared" si="18"/>
        <v>3</v>
      </c>
      <c r="AF372" t="str">
        <f t="shared" si="19"/>
        <v>80.01.ZZ.03</v>
      </c>
      <c r="AH372" t="str">
        <f t="shared" si="20"/>
        <v>00 de 01</v>
      </c>
    </row>
    <row r="373" spans="1:34" ht="34.5" x14ac:dyDescent="0.25">
      <c r="A373" s="139" t="s">
        <v>116</v>
      </c>
      <c r="B373" s="105" t="s">
        <v>122</v>
      </c>
      <c r="C373" s="63">
        <v>361</v>
      </c>
      <c r="D373" s="197" t="s">
        <v>192</v>
      </c>
      <c r="E373" s="189" t="s">
        <v>598</v>
      </c>
      <c r="F373" s="190" t="s">
        <v>123</v>
      </c>
      <c r="G373" s="189" t="s">
        <v>134</v>
      </c>
      <c r="H373" s="191">
        <v>61792</v>
      </c>
      <c r="I373" s="189" t="s">
        <v>224</v>
      </c>
      <c r="J373" s="189">
        <v>0</v>
      </c>
      <c r="K373" s="189">
        <v>11701</v>
      </c>
      <c r="L373" s="191">
        <v>3</v>
      </c>
      <c r="M373" s="192">
        <v>46092</v>
      </c>
      <c r="N373" s="193">
        <v>1</v>
      </c>
      <c r="O373" s="194">
        <v>0.5</v>
      </c>
      <c r="P373" s="195"/>
      <c r="Q373" s="196" t="s">
        <v>38</v>
      </c>
      <c r="R373" s="197">
        <v>1</v>
      </c>
      <c r="S373" s="198" t="s">
        <v>33</v>
      </c>
      <c r="T373" s="199"/>
      <c r="U373" s="200"/>
      <c r="V373" s="200"/>
      <c r="W373" s="200"/>
      <c r="X373" s="200"/>
      <c r="Y373" s="200"/>
      <c r="Z373" s="200"/>
      <c r="AA373" s="200"/>
      <c r="AB373" s="200"/>
      <c r="AC373" s="208"/>
      <c r="AD373" s="11" t="str">
        <f t="shared" si="18"/>
        <v>3</v>
      </c>
      <c r="AF373" t="str">
        <f t="shared" si="19"/>
        <v>80.01.ZZ.03</v>
      </c>
      <c r="AH373" t="str">
        <f t="shared" si="20"/>
        <v>00 de 01</v>
      </c>
    </row>
    <row r="374" spans="1:34" ht="34.5" x14ac:dyDescent="0.25">
      <c r="A374" s="139" t="s">
        <v>116</v>
      </c>
      <c r="B374" s="105" t="s">
        <v>122</v>
      </c>
      <c r="C374" s="63">
        <v>362</v>
      </c>
      <c r="D374" s="197" t="s">
        <v>192</v>
      </c>
      <c r="E374" s="189" t="s">
        <v>599</v>
      </c>
      <c r="F374" s="190" t="s">
        <v>123</v>
      </c>
      <c r="G374" s="189" t="s">
        <v>134</v>
      </c>
      <c r="H374" s="191">
        <v>61792</v>
      </c>
      <c r="I374" s="189" t="s">
        <v>224</v>
      </c>
      <c r="J374" s="189">
        <v>0</v>
      </c>
      <c r="K374" s="189">
        <v>11701</v>
      </c>
      <c r="L374" s="191">
        <v>3</v>
      </c>
      <c r="M374" s="192">
        <v>46092</v>
      </c>
      <c r="N374" s="193">
        <v>1</v>
      </c>
      <c r="O374" s="194">
        <v>0.5</v>
      </c>
      <c r="P374" s="195"/>
      <c r="Q374" s="196" t="s">
        <v>38</v>
      </c>
      <c r="R374" s="197">
        <v>1</v>
      </c>
      <c r="S374" s="198" t="s">
        <v>33</v>
      </c>
      <c r="T374" s="199"/>
      <c r="U374" s="200"/>
      <c r="V374" s="200"/>
      <c r="W374" s="200"/>
      <c r="X374" s="200"/>
      <c r="Y374" s="200"/>
      <c r="Z374" s="200"/>
      <c r="AA374" s="200"/>
      <c r="AB374" s="200"/>
      <c r="AC374" s="208"/>
      <c r="AD374" s="11" t="str">
        <f t="shared" si="18"/>
        <v>3</v>
      </c>
      <c r="AF374" t="str">
        <f t="shared" si="19"/>
        <v>80.01.ZZ.03</v>
      </c>
      <c r="AH374" t="str">
        <f t="shared" si="20"/>
        <v>00 de 01</v>
      </c>
    </row>
    <row r="375" spans="1:34" ht="34.5" x14ac:dyDescent="0.25">
      <c r="A375" s="139" t="s">
        <v>116</v>
      </c>
      <c r="B375" s="105" t="s">
        <v>122</v>
      </c>
      <c r="C375" s="63">
        <v>363</v>
      </c>
      <c r="D375" s="197" t="s">
        <v>192</v>
      </c>
      <c r="E375" s="189" t="s">
        <v>600</v>
      </c>
      <c r="F375" s="190" t="s">
        <v>123</v>
      </c>
      <c r="G375" s="189" t="s">
        <v>134</v>
      </c>
      <c r="H375" s="191">
        <v>61792</v>
      </c>
      <c r="I375" s="189" t="s">
        <v>224</v>
      </c>
      <c r="J375" s="189">
        <v>0</v>
      </c>
      <c r="K375" s="189">
        <v>11701</v>
      </c>
      <c r="L375" s="191">
        <v>3</v>
      </c>
      <c r="M375" s="192">
        <v>46092</v>
      </c>
      <c r="N375" s="193">
        <v>1</v>
      </c>
      <c r="O375" s="194">
        <v>0.5</v>
      </c>
      <c r="P375" s="195"/>
      <c r="Q375" s="196" t="s">
        <v>38</v>
      </c>
      <c r="R375" s="197">
        <v>1</v>
      </c>
      <c r="S375" s="198" t="s">
        <v>33</v>
      </c>
      <c r="T375" s="199"/>
      <c r="U375" s="200"/>
      <c r="V375" s="200"/>
      <c r="W375" s="200"/>
      <c r="X375" s="200"/>
      <c r="Y375" s="200"/>
      <c r="Z375" s="200"/>
      <c r="AA375" s="200"/>
      <c r="AB375" s="200"/>
      <c r="AC375" s="208"/>
      <c r="AD375" s="11" t="str">
        <f t="shared" si="18"/>
        <v>3</v>
      </c>
      <c r="AF375" t="str">
        <f t="shared" si="19"/>
        <v>80.01.ZZ.03</v>
      </c>
      <c r="AH375" t="str">
        <f t="shared" si="20"/>
        <v>00 de 01</v>
      </c>
    </row>
    <row r="376" spans="1:34" ht="34.5" x14ac:dyDescent="0.25">
      <c r="A376" s="139" t="s">
        <v>116</v>
      </c>
      <c r="B376" s="105" t="s">
        <v>122</v>
      </c>
      <c r="C376" s="63">
        <v>364</v>
      </c>
      <c r="D376" s="197" t="s">
        <v>192</v>
      </c>
      <c r="E376" s="189" t="s">
        <v>601</v>
      </c>
      <c r="F376" s="190" t="s">
        <v>123</v>
      </c>
      <c r="G376" s="189" t="s">
        <v>134</v>
      </c>
      <c r="H376" s="191">
        <v>61792</v>
      </c>
      <c r="I376" s="189" t="s">
        <v>224</v>
      </c>
      <c r="J376" s="189">
        <v>0</v>
      </c>
      <c r="K376" s="189">
        <v>11701</v>
      </c>
      <c r="L376" s="191">
        <v>3</v>
      </c>
      <c r="M376" s="192">
        <v>46092</v>
      </c>
      <c r="N376" s="193">
        <v>1</v>
      </c>
      <c r="O376" s="194">
        <v>0.5</v>
      </c>
      <c r="P376" s="195"/>
      <c r="Q376" s="196" t="s">
        <v>38</v>
      </c>
      <c r="R376" s="197">
        <v>1</v>
      </c>
      <c r="S376" s="198" t="s">
        <v>33</v>
      </c>
      <c r="T376" s="199"/>
      <c r="U376" s="200"/>
      <c r="V376" s="200"/>
      <c r="W376" s="200"/>
      <c r="X376" s="200"/>
      <c r="Y376" s="200"/>
      <c r="Z376" s="200"/>
      <c r="AA376" s="200"/>
      <c r="AB376" s="200"/>
      <c r="AC376" s="208"/>
      <c r="AD376" s="11" t="str">
        <f t="shared" si="18"/>
        <v>3</v>
      </c>
      <c r="AF376" t="str">
        <f t="shared" si="19"/>
        <v>80.01.ZZ.03</v>
      </c>
      <c r="AH376" t="str">
        <f t="shared" si="20"/>
        <v>00 de 01</v>
      </c>
    </row>
    <row r="377" spans="1:34" ht="34.5" x14ac:dyDescent="0.25">
      <c r="A377" s="139" t="s">
        <v>116</v>
      </c>
      <c r="B377" s="105" t="s">
        <v>122</v>
      </c>
      <c r="C377" s="63">
        <v>365</v>
      </c>
      <c r="D377" s="197" t="s">
        <v>192</v>
      </c>
      <c r="E377" s="189" t="s">
        <v>602</v>
      </c>
      <c r="F377" s="190" t="s">
        <v>123</v>
      </c>
      <c r="G377" s="189" t="s">
        <v>134</v>
      </c>
      <c r="H377" s="191">
        <v>61792</v>
      </c>
      <c r="I377" s="189" t="s">
        <v>224</v>
      </c>
      <c r="J377" s="189">
        <v>0</v>
      </c>
      <c r="K377" s="189">
        <v>11701</v>
      </c>
      <c r="L377" s="191">
        <v>3</v>
      </c>
      <c r="M377" s="192">
        <v>46092</v>
      </c>
      <c r="N377" s="193">
        <v>1</v>
      </c>
      <c r="O377" s="194">
        <v>0.5</v>
      </c>
      <c r="P377" s="195"/>
      <c r="Q377" s="196" t="s">
        <v>38</v>
      </c>
      <c r="R377" s="197">
        <v>1</v>
      </c>
      <c r="S377" s="198" t="s">
        <v>33</v>
      </c>
      <c r="T377" s="199"/>
      <c r="U377" s="200"/>
      <c r="V377" s="200"/>
      <c r="W377" s="200"/>
      <c r="X377" s="200"/>
      <c r="Y377" s="200"/>
      <c r="Z377" s="200"/>
      <c r="AA377" s="200"/>
      <c r="AB377" s="200"/>
      <c r="AC377" s="208"/>
      <c r="AD377" s="11" t="str">
        <f t="shared" si="18"/>
        <v>3</v>
      </c>
      <c r="AF377" t="str">
        <f t="shared" si="19"/>
        <v>80.01.ZZ.03</v>
      </c>
      <c r="AH377" t="str">
        <f t="shared" si="20"/>
        <v>00 de 01</v>
      </c>
    </row>
    <row r="378" spans="1:34" ht="34.5" x14ac:dyDescent="0.25">
      <c r="A378" s="139" t="s">
        <v>116</v>
      </c>
      <c r="B378" s="105" t="s">
        <v>122</v>
      </c>
      <c r="C378" s="63">
        <v>366</v>
      </c>
      <c r="D378" s="197" t="s">
        <v>192</v>
      </c>
      <c r="E378" s="189" t="s">
        <v>603</v>
      </c>
      <c r="F378" s="190" t="s">
        <v>123</v>
      </c>
      <c r="G378" s="189" t="s">
        <v>134</v>
      </c>
      <c r="H378" s="191">
        <v>61792</v>
      </c>
      <c r="I378" s="189" t="s">
        <v>224</v>
      </c>
      <c r="J378" s="189">
        <v>0</v>
      </c>
      <c r="K378" s="189">
        <v>11701</v>
      </c>
      <c r="L378" s="191">
        <v>3</v>
      </c>
      <c r="M378" s="192">
        <v>46092</v>
      </c>
      <c r="N378" s="193">
        <v>1</v>
      </c>
      <c r="O378" s="194">
        <v>0.5</v>
      </c>
      <c r="P378" s="195"/>
      <c r="Q378" s="196" t="s">
        <v>38</v>
      </c>
      <c r="R378" s="197">
        <v>1</v>
      </c>
      <c r="S378" s="198" t="s">
        <v>33</v>
      </c>
      <c r="T378" s="199"/>
      <c r="U378" s="200"/>
      <c r="V378" s="200"/>
      <c r="W378" s="200"/>
      <c r="X378" s="200"/>
      <c r="Y378" s="200"/>
      <c r="Z378" s="200"/>
      <c r="AA378" s="200"/>
      <c r="AB378" s="200"/>
      <c r="AC378" s="208"/>
      <c r="AD378" s="11" t="str">
        <f t="shared" si="18"/>
        <v>3</v>
      </c>
      <c r="AF378" t="str">
        <f t="shared" si="19"/>
        <v>80.01.ZZ.03</v>
      </c>
      <c r="AH378" t="str">
        <f t="shared" si="20"/>
        <v>00 de 01</v>
      </c>
    </row>
    <row r="379" spans="1:34" ht="34.5" x14ac:dyDescent="0.25">
      <c r="A379" s="139" t="s">
        <v>116</v>
      </c>
      <c r="B379" s="105" t="s">
        <v>122</v>
      </c>
      <c r="C379" s="63">
        <v>367</v>
      </c>
      <c r="D379" s="197" t="s">
        <v>192</v>
      </c>
      <c r="E379" s="189" t="s">
        <v>604</v>
      </c>
      <c r="F379" s="190" t="s">
        <v>123</v>
      </c>
      <c r="G379" s="189" t="s">
        <v>134</v>
      </c>
      <c r="H379" s="191">
        <v>61792</v>
      </c>
      <c r="I379" s="189" t="s">
        <v>224</v>
      </c>
      <c r="J379" s="189">
        <v>0</v>
      </c>
      <c r="K379" s="189">
        <v>11701</v>
      </c>
      <c r="L379" s="191">
        <v>3</v>
      </c>
      <c r="M379" s="192">
        <v>46092</v>
      </c>
      <c r="N379" s="193">
        <v>1</v>
      </c>
      <c r="O379" s="194">
        <v>0.5</v>
      </c>
      <c r="P379" s="195"/>
      <c r="Q379" s="196" t="s">
        <v>38</v>
      </c>
      <c r="R379" s="197">
        <v>1</v>
      </c>
      <c r="S379" s="198" t="s">
        <v>33</v>
      </c>
      <c r="T379" s="199"/>
      <c r="U379" s="200"/>
      <c r="V379" s="200"/>
      <c r="W379" s="200"/>
      <c r="X379" s="200"/>
      <c r="Y379" s="200"/>
      <c r="Z379" s="200"/>
      <c r="AA379" s="200"/>
      <c r="AB379" s="200"/>
      <c r="AC379" s="208"/>
      <c r="AD379" s="11" t="str">
        <f t="shared" si="18"/>
        <v>3</v>
      </c>
      <c r="AF379" t="str">
        <f t="shared" si="19"/>
        <v>80.01.ZZ.03</v>
      </c>
      <c r="AH379" t="str">
        <f t="shared" si="20"/>
        <v>00 de 01</v>
      </c>
    </row>
    <row r="380" spans="1:34" ht="34.5" x14ac:dyDescent="0.25">
      <c r="A380" s="139" t="s">
        <v>116</v>
      </c>
      <c r="B380" s="105" t="s">
        <v>122</v>
      </c>
      <c r="C380" s="63">
        <v>368</v>
      </c>
      <c r="D380" s="197" t="s">
        <v>192</v>
      </c>
      <c r="E380" s="189" t="s">
        <v>605</v>
      </c>
      <c r="F380" s="190" t="s">
        <v>123</v>
      </c>
      <c r="G380" s="189" t="s">
        <v>134</v>
      </c>
      <c r="H380" s="191">
        <v>61792</v>
      </c>
      <c r="I380" s="189" t="s">
        <v>224</v>
      </c>
      <c r="J380" s="189">
        <v>0</v>
      </c>
      <c r="K380" s="189">
        <v>11701</v>
      </c>
      <c r="L380" s="191">
        <v>3</v>
      </c>
      <c r="M380" s="192">
        <v>46092</v>
      </c>
      <c r="N380" s="193">
        <v>1</v>
      </c>
      <c r="O380" s="194">
        <v>0.5</v>
      </c>
      <c r="P380" s="195"/>
      <c r="Q380" s="196" t="s">
        <v>38</v>
      </c>
      <c r="R380" s="197">
        <v>1</v>
      </c>
      <c r="S380" s="198" t="s">
        <v>33</v>
      </c>
      <c r="T380" s="199"/>
      <c r="U380" s="200"/>
      <c r="V380" s="200"/>
      <c r="W380" s="200"/>
      <c r="X380" s="200"/>
      <c r="Y380" s="200"/>
      <c r="Z380" s="200"/>
      <c r="AA380" s="200"/>
      <c r="AB380" s="200"/>
      <c r="AC380" s="208"/>
      <c r="AD380" s="11" t="str">
        <f t="shared" si="18"/>
        <v>3</v>
      </c>
      <c r="AF380" t="str">
        <f t="shared" si="19"/>
        <v>80.01.ZZ.03</v>
      </c>
      <c r="AH380" t="str">
        <f t="shared" si="20"/>
        <v>00 de 01</v>
      </c>
    </row>
    <row r="381" spans="1:34" ht="34.5" x14ac:dyDescent="0.25">
      <c r="A381" s="139" t="s">
        <v>116</v>
      </c>
      <c r="B381" s="105" t="s">
        <v>122</v>
      </c>
      <c r="C381" s="63">
        <v>369</v>
      </c>
      <c r="D381" s="197" t="s">
        <v>192</v>
      </c>
      <c r="E381" s="189" t="s">
        <v>606</v>
      </c>
      <c r="F381" s="190" t="s">
        <v>123</v>
      </c>
      <c r="G381" s="189" t="s">
        <v>134</v>
      </c>
      <c r="H381" s="191">
        <v>61792</v>
      </c>
      <c r="I381" s="189" t="s">
        <v>224</v>
      </c>
      <c r="J381" s="189">
        <v>0</v>
      </c>
      <c r="K381" s="189">
        <v>11701</v>
      </c>
      <c r="L381" s="191">
        <v>3</v>
      </c>
      <c r="M381" s="192">
        <v>46092</v>
      </c>
      <c r="N381" s="193">
        <v>1</v>
      </c>
      <c r="O381" s="194">
        <v>0.5</v>
      </c>
      <c r="P381" s="195"/>
      <c r="Q381" s="196" t="s">
        <v>38</v>
      </c>
      <c r="R381" s="197">
        <v>1</v>
      </c>
      <c r="S381" s="198" t="s">
        <v>33</v>
      </c>
      <c r="T381" s="199"/>
      <c r="U381" s="200"/>
      <c r="V381" s="200"/>
      <c r="W381" s="200"/>
      <c r="X381" s="200"/>
      <c r="Y381" s="200"/>
      <c r="Z381" s="200"/>
      <c r="AA381" s="200"/>
      <c r="AB381" s="200"/>
      <c r="AC381" s="208"/>
      <c r="AD381" s="11" t="str">
        <f t="shared" si="18"/>
        <v>3</v>
      </c>
      <c r="AF381" t="str">
        <f t="shared" si="19"/>
        <v>80.01.ZZ.03</v>
      </c>
      <c r="AH381" t="str">
        <f t="shared" si="20"/>
        <v>00 de 01</v>
      </c>
    </row>
    <row r="382" spans="1:34" ht="34.5" x14ac:dyDescent="0.25">
      <c r="A382" s="139" t="s">
        <v>116</v>
      </c>
      <c r="B382" s="105" t="s">
        <v>122</v>
      </c>
      <c r="C382" s="63">
        <v>370</v>
      </c>
      <c r="D382" s="197" t="s">
        <v>192</v>
      </c>
      <c r="E382" s="189" t="s">
        <v>607</v>
      </c>
      <c r="F382" s="190" t="s">
        <v>123</v>
      </c>
      <c r="G382" s="189" t="s">
        <v>134</v>
      </c>
      <c r="H382" s="191">
        <v>61792</v>
      </c>
      <c r="I382" s="189" t="s">
        <v>224</v>
      </c>
      <c r="J382" s="189">
        <v>0</v>
      </c>
      <c r="K382" s="189">
        <v>11701</v>
      </c>
      <c r="L382" s="191">
        <v>3</v>
      </c>
      <c r="M382" s="192">
        <v>46092</v>
      </c>
      <c r="N382" s="193">
        <v>1</v>
      </c>
      <c r="O382" s="194">
        <v>0.5</v>
      </c>
      <c r="P382" s="195"/>
      <c r="Q382" s="196" t="s">
        <v>38</v>
      </c>
      <c r="R382" s="197">
        <v>1</v>
      </c>
      <c r="S382" s="198" t="s">
        <v>33</v>
      </c>
      <c r="T382" s="199"/>
      <c r="U382" s="200"/>
      <c r="V382" s="200"/>
      <c r="W382" s="200"/>
      <c r="X382" s="200"/>
      <c r="Y382" s="200"/>
      <c r="Z382" s="200"/>
      <c r="AA382" s="200"/>
      <c r="AB382" s="200"/>
      <c r="AC382" s="208"/>
      <c r="AD382" s="11" t="str">
        <f t="shared" si="18"/>
        <v>3</v>
      </c>
      <c r="AF382" t="str">
        <f t="shared" si="19"/>
        <v>80.01.ZZ.03</v>
      </c>
      <c r="AH382" t="str">
        <f t="shared" si="20"/>
        <v>00 de 01</v>
      </c>
    </row>
    <row r="383" spans="1:34" ht="34.5" x14ac:dyDescent="0.25">
      <c r="A383" s="139" t="s">
        <v>116</v>
      </c>
      <c r="B383" s="105" t="s">
        <v>122</v>
      </c>
      <c r="C383" s="63">
        <v>371</v>
      </c>
      <c r="D383" s="197" t="s">
        <v>192</v>
      </c>
      <c r="E383" s="189" t="s">
        <v>608</v>
      </c>
      <c r="F383" s="190" t="s">
        <v>123</v>
      </c>
      <c r="G383" s="189" t="s">
        <v>134</v>
      </c>
      <c r="H383" s="191">
        <v>61792</v>
      </c>
      <c r="I383" s="189" t="s">
        <v>224</v>
      </c>
      <c r="J383" s="189">
        <v>0</v>
      </c>
      <c r="K383" s="189">
        <v>11701</v>
      </c>
      <c r="L383" s="191">
        <v>3</v>
      </c>
      <c r="M383" s="192">
        <v>46092</v>
      </c>
      <c r="N383" s="193">
        <v>1</v>
      </c>
      <c r="O383" s="194">
        <v>0.5</v>
      </c>
      <c r="P383" s="195"/>
      <c r="Q383" s="196" t="s">
        <v>38</v>
      </c>
      <c r="R383" s="197">
        <v>1</v>
      </c>
      <c r="S383" s="198" t="s">
        <v>33</v>
      </c>
      <c r="T383" s="199"/>
      <c r="U383" s="200"/>
      <c r="V383" s="200"/>
      <c r="W383" s="200"/>
      <c r="X383" s="200"/>
      <c r="Y383" s="200"/>
      <c r="Z383" s="200"/>
      <c r="AA383" s="200"/>
      <c r="AB383" s="200"/>
      <c r="AC383" s="208"/>
      <c r="AD383" s="11" t="str">
        <f t="shared" si="18"/>
        <v>3</v>
      </c>
      <c r="AF383" t="str">
        <f t="shared" si="19"/>
        <v>80.01.ZZ.03</v>
      </c>
      <c r="AH383" t="str">
        <f t="shared" si="20"/>
        <v>00 de 01</v>
      </c>
    </row>
    <row r="384" spans="1:34" ht="34.5" x14ac:dyDescent="0.25">
      <c r="A384" s="139" t="s">
        <v>116</v>
      </c>
      <c r="B384" s="105" t="s">
        <v>122</v>
      </c>
      <c r="C384" s="63">
        <v>372</v>
      </c>
      <c r="D384" s="197" t="s">
        <v>192</v>
      </c>
      <c r="E384" s="189" t="s">
        <v>609</v>
      </c>
      <c r="F384" s="190" t="s">
        <v>123</v>
      </c>
      <c r="G384" s="189" t="s">
        <v>134</v>
      </c>
      <c r="H384" s="191">
        <v>61792</v>
      </c>
      <c r="I384" s="189" t="s">
        <v>224</v>
      </c>
      <c r="J384" s="189">
        <v>0</v>
      </c>
      <c r="K384" s="189">
        <v>11701</v>
      </c>
      <c r="L384" s="191">
        <v>3</v>
      </c>
      <c r="M384" s="192">
        <v>46092</v>
      </c>
      <c r="N384" s="193">
        <v>1</v>
      </c>
      <c r="O384" s="194">
        <v>0.5</v>
      </c>
      <c r="P384" s="195"/>
      <c r="Q384" s="196" t="s">
        <v>38</v>
      </c>
      <c r="R384" s="197">
        <v>1</v>
      </c>
      <c r="S384" s="198" t="s">
        <v>33</v>
      </c>
      <c r="T384" s="199"/>
      <c r="U384" s="200"/>
      <c r="V384" s="200"/>
      <c r="W384" s="200"/>
      <c r="X384" s="200"/>
      <c r="Y384" s="200"/>
      <c r="Z384" s="200"/>
      <c r="AA384" s="200"/>
      <c r="AB384" s="200"/>
      <c r="AC384" s="208"/>
      <c r="AD384" s="11" t="str">
        <f t="shared" si="18"/>
        <v>3</v>
      </c>
      <c r="AF384" t="str">
        <f t="shared" si="19"/>
        <v>80.01.ZZ.03</v>
      </c>
      <c r="AH384" t="str">
        <f t="shared" si="20"/>
        <v>00 de 01</v>
      </c>
    </row>
    <row r="385" spans="1:34" ht="34.5" x14ac:dyDescent="0.25">
      <c r="A385" s="139" t="s">
        <v>116</v>
      </c>
      <c r="B385" s="105" t="s">
        <v>122</v>
      </c>
      <c r="C385" s="63">
        <v>373</v>
      </c>
      <c r="D385" s="197" t="s">
        <v>192</v>
      </c>
      <c r="E385" s="189" t="s">
        <v>610</v>
      </c>
      <c r="F385" s="190" t="s">
        <v>123</v>
      </c>
      <c r="G385" s="189" t="s">
        <v>134</v>
      </c>
      <c r="H385" s="191">
        <v>61792</v>
      </c>
      <c r="I385" s="189" t="s">
        <v>224</v>
      </c>
      <c r="J385" s="189">
        <v>0</v>
      </c>
      <c r="K385" s="189">
        <v>11701</v>
      </c>
      <c r="L385" s="191">
        <v>3</v>
      </c>
      <c r="M385" s="192">
        <v>46092</v>
      </c>
      <c r="N385" s="193">
        <v>1</v>
      </c>
      <c r="O385" s="194">
        <v>0.5</v>
      </c>
      <c r="P385" s="195"/>
      <c r="Q385" s="196" t="s">
        <v>38</v>
      </c>
      <c r="R385" s="197">
        <v>1</v>
      </c>
      <c r="S385" s="198" t="s">
        <v>33</v>
      </c>
      <c r="T385" s="199"/>
      <c r="U385" s="200"/>
      <c r="V385" s="200"/>
      <c r="W385" s="200"/>
      <c r="X385" s="200"/>
      <c r="Y385" s="200"/>
      <c r="Z385" s="200"/>
      <c r="AA385" s="200"/>
      <c r="AB385" s="200"/>
      <c r="AC385" s="208"/>
      <c r="AD385" s="11" t="str">
        <f t="shared" si="18"/>
        <v>3</v>
      </c>
      <c r="AF385" t="str">
        <f t="shared" si="19"/>
        <v>80.01.ZZ.03</v>
      </c>
      <c r="AH385" t="str">
        <f t="shared" si="20"/>
        <v>00 de 01</v>
      </c>
    </row>
    <row r="386" spans="1:34" ht="34.5" x14ac:dyDescent="0.25">
      <c r="A386" s="139" t="s">
        <v>116</v>
      </c>
      <c r="B386" s="105" t="s">
        <v>122</v>
      </c>
      <c r="C386" s="63">
        <v>374</v>
      </c>
      <c r="D386" s="197" t="s">
        <v>192</v>
      </c>
      <c r="E386" s="189" t="s">
        <v>611</v>
      </c>
      <c r="F386" s="190" t="s">
        <v>123</v>
      </c>
      <c r="G386" s="189" t="s">
        <v>134</v>
      </c>
      <c r="H386" s="191">
        <v>61792</v>
      </c>
      <c r="I386" s="189" t="s">
        <v>224</v>
      </c>
      <c r="J386" s="189">
        <v>0</v>
      </c>
      <c r="K386" s="189">
        <v>11701</v>
      </c>
      <c r="L386" s="191">
        <v>3</v>
      </c>
      <c r="M386" s="192">
        <v>46092</v>
      </c>
      <c r="N386" s="193">
        <v>1</v>
      </c>
      <c r="O386" s="194">
        <v>0.5</v>
      </c>
      <c r="P386" s="195"/>
      <c r="Q386" s="196" t="s">
        <v>38</v>
      </c>
      <c r="R386" s="197">
        <v>1</v>
      </c>
      <c r="S386" s="198" t="s">
        <v>33</v>
      </c>
      <c r="T386" s="199"/>
      <c r="U386" s="200"/>
      <c r="V386" s="200"/>
      <c r="W386" s="200"/>
      <c r="X386" s="200"/>
      <c r="Y386" s="200"/>
      <c r="Z386" s="200"/>
      <c r="AA386" s="200"/>
      <c r="AB386" s="200"/>
      <c r="AC386" s="208"/>
      <c r="AD386" s="11" t="str">
        <f t="shared" si="18"/>
        <v>3</v>
      </c>
      <c r="AF386" t="str">
        <f t="shared" si="19"/>
        <v>80.01.ZZ.03</v>
      </c>
      <c r="AH386" t="str">
        <f t="shared" si="20"/>
        <v>00 de 01</v>
      </c>
    </row>
    <row r="387" spans="1:34" ht="34.5" x14ac:dyDescent="0.25">
      <c r="A387" s="139" t="s">
        <v>116</v>
      </c>
      <c r="B387" s="105" t="s">
        <v>122</v>
      </c>
      <c r="C387" s="63">
        <v>375</v>
      </c>
      <c r="D387" s="197" t="s">
        <v>192</v>
      </c>
      <c r="E387" s="189" t="s">
        <v>612</v>
      </c>
      <c r="F387" s="190" t="s">
        <v>123</v>
      </c>
      <c r="G387" s="189" t="s">
        <v>134</v>
      </c>
      <c r="H387" s="191">
        <v>61792</v>
      </c>
      <c r="I387" s="189" t="s">
        <v>224</v>
      </c>
      <c r="J387" s="189">
        <v>0</v>
      </c>
      <c r="K387" s="189">
        <v>11701</v>
      </c>
      <c r="L387" s="191">
        <v>3</v>
      </c>
      <c r="M387" s="192">
        <v>46092</v>
      </c>
      <c r="N387" s="193">
        <v>1</v>
      </c>
      <c r="O387" s="194">
        <v>0.5</v>
      </c>
      <c r="P387" s="195"/>
      <c r="Q387" s="196" t="s">
        <v>38</v>
      </c>
      <c r="R387" s="197">
        <v>1</v>
      </c>
      <c r="S387" s="198" t="s">
        <v>33</v>
      </c>
      <c r="T387" s="199"/>
      <c r="U387" s="200"/>
      <c r="V387" s="200"/>
      <c r="W387" s="200"/>
      <c r="X387" s="200"/>
      <c r="Y387" s="200"/>
      <c r="Z387" s="200"/>
      <c r="AA387" s="200"/>
      <c r="AB387" s="200"/>
      <c r="AC387" s="208"/>
      <c r="AD387" s="11" t="str">
        <f t="shared" si="18"/>
        <v>3</v>
      </c>
      <c r="AF387" t="str">
        <f t="shared" si="19"/>
        <v>80.01.ZZ.03</v>
      </c>
      <c r="AH387" t="str">
        <f t="shared" si="20"/>
        <v>00 de 01</v>
      </c>
    </row>
    <row r="388" spans="1:34" ht="34.5" x14ac:dyDescent="0.25">
      <c r="A388" s="139" t="s">
        <v>116</v>
      </c>
      <c r="B388" s="105" t="s">
        <v>122</v>
      </c>
      <c r="C388" s="63">
        <v>376</v>
      </c>
      <c r="D388" s="197" t="s">
        <v>192</v>
      </c>
      <c r="E388" s="189" t="s">
        <v>613</v>
      </c>
      <c r="F388" s="190" t="s">
        <v>123</v>
      </c>
      <c r="G388" s="189" t="s">
        <v>134</v>
      </c>
      <c r="H388" s="191">
        <v>61792</v>
      </c>
      <c r="I388" s="189" t="s">
        <v>224</v>
      </c>
      <c r="J388" s="189">
        <v>0</v>
      </c>
      <c r="K388" s="189">
        <v>11701</v>
      </c>
      <c r="L388" s="191">
        <v>3</v>
      </c>
      <c r="M388" s="192">
        <v>46092</v>
      </c>
      <c r="N388" s="193">
        <v>1</v>
      </c>
      <c r="O388" s="194">
        <v>0.5</v>
      </c>
      <c r="P388" s="195"/>
      <c r="Q388" s="196" t="s">
        <v>38</v>
      </c>
      <c r="R388" s="197">
        <v>1</v>
      </c>
      <c r="S388" s="198" t="s">
        <v>33</v>
      </c>
      <c r="T388" s="199"/>
      <c r="U388" s="200"/>
      <c r="V388" s="200"/>
      <c r="W388" s="200"/>
      <c r="X388" s="200"/>
      <c r="Y388" s="200"/>
      <c r="Z388" s="200"/>
      <c r="AA388" s="200"/>
      <c r="AB388" s="200"/>
      <c r="AC388" s="208"/>
      <c r="AD388" s="11" t="str">
        <f t="shared" si="18"/>
        <v>3</v>
      </c>
      <c r="AF388" t="str">
        <f t="shared" si="19"/>
        <v>80.01.ZZ.03</v>
      </c>
      <c r="AH388" t="str">
        <f t="shared" si="20"/>
        <v>00 de 01</v>
      </c>
    </row>
    <row r="389" spans="1:34" ht="34.5" x14ac:dyDescent="0.25">
      <c r="A389" s="139" t="s">
        <v>116</v>
      </c>
      <c r="B389" s="105" t="s">
        <v>122</v>
      </c>
      <c r="C389" s="63">
        <v>377</v>
      </c>
      <c r="D389" s="197" t="s">
        <v>192</v>
      </c>
      <c r="E389" s="189" t="s">
        <v>614</v>
      </c>
      <c r="F389" s="190" t="s">
        <v>123</v>
      </c>
      <c r="G389" s="189" t="s">
        <v>134</v>
      </c>
      <c r="H389" s="191">
        <v>61792</v>
      </c>
      <c r="I389" s="189" t="s">
        <v>224</v>
      </c>
      <c r="J389" s="189">
        <v>0</v>
      </c>
      <c r="K389" s="189">
        <v>11701</v>
      </c>
      <c r="L389" s="191">
        <v>3</v>
      </c>
      <c r="M389" s="192">
        <v>46092</v>
      </c>
      <c r="N389" s="193">
        <v>1</v>
      </c>
      <c r="O389" s="194">
        <v>0.5</v>
      </c>
      <c r="P389" s="195"/>
      <c r="Q389" s="196" t="s">
        <v>38</v>
      </c>
      <c r="R389" s="197">
        <v>1</v>
      </c>
      <c r="S389" s="198" t="s">
        <v>33</v>
      </c>
      <c r="T389" s="199"/>
      <c r="U389" s="200"/>
      <c r="V389" s="200"/>
      <c r="W389" s="200"/>
      <c r="X389" s="200"/>
      <c r="Y389" s="200"/>
      <c r="Z389" s="200"/>
      <c r="AA389" s="200"/>
      <c r="AB389" s="200"/>
      <c r="AC389" s="208"/>
      <c r="AD389" s="11" t="str">
        <f t="shared" si="18"/>
        <v>3</v>
      </c>
      <c r="AF389" t="str">
        <f t="shared" si="19"/>
        <v>80.01.ZZ.03</v>
      </c>
      <c r="AH389" t="str">
        <f t="shared" si="20"/>
        <v>00 de 01</v>
      </c>
    </row>
    <row r="390" spans="1:34" ht="34.5" x14ac:dyDescent="0.25">
      <c r="A390" s="139" t="s">
        <v>116</v>
      </c>
      <c r="B390" s="105" t="s">
        <v>122</v>
      </c>
      <c r="C390" s="63">
        <v>378</v>
      </c>
      <c r="D390" s="197" t="s">
        <v>192</v>
      </c>
      <c r="E390" s="189" t="s">
        <v>615</v>
      </c>
      <c r="F390" s="190" t="s">
        <v>123</v>
      </c>
      <c r="G390" s="189" t="s">
        <v>134</v>
      </c>
      <c r="H390" s="191">
        <v>61792</v>
      </c>
      <c r="I390" s="189" t="s">
        <v>224</v>
      </c>
      <c r="J390" s="189">
        <v>0</v>
      </c>
      <c r="K390" s="189">
        <v>11701</v>
      </c>
      <c r="L390" s="191">
        <v>3</v>
      </c>
      <c r="M390" s="192">
        <v>46092</v>
      </c>
      <c r="N390" s="193">
        <v>1</v>
      </c>
      <c r="O390" s="194">
        <v>0.5</v>
      </c>
      <c r="P390" s="195"/>
      <c r="Q390" s="196" t="s">
        <v>38</v>
      </c>
      <c r="R390" s="197">
        <v>1</v>
      </c>
      <c r="S390" s="198" t="s">
        <v>33</v>
      </c>
      <c r="T390" s="199"/>
      <c r="U390" s="200"/>
      <c r="V390" s="200"/>
      <c r="W390" s="200"/>
      <c r="X390" s="200"/>
      <c r="Y390" s="200"/>
      <c r="Z390" s="200"/>
      <c r="AA390" s="200"/>
      <c r="AB390" s="200"/>
      <c r="AC390" s="208"/>
      <c r="AD390" s="11" t="str">
        <f t="shared" si="18"/>
        <v>3</v>
      </c>
      <c r="AF390" t="str">
        <f t="shared" si="19"/>
        <v>80.01.ZZ.03</v>
      </c>
      <c r="AH390" t="str">
        <f t="shared" si="20"/>
        <v>00 de 01</v>
      </c>
    </row>
    <row r="391" spans="1:34" ht="34.5" x14ac:dyDescent="0.25">
      <c r="A391" s="139" t="s">
        <v>116</v>
      </c>
      <c r="B391" s="105" t="s">
        <v>122</v>
      </c>
      <c r="C391" s="63">
        <v>379</v>
      </c>
      <c r="D391" s="197" t="s">
        <v>192</v>
      </c>
      <c r="E391" s="189" t="s">
        <v>616</v>
      </c>
      <c r="F391" s="190" t="s">
        <v>123</v>
      </c>
      <c r="G391" s="189" t="s">
        <v>134</v>
      </c>
      <c r="H391" s="191">
        <v>61792</v>
      </c>
      <c r="I391" s="189" t="s">
        <v>224</v>
      </c>
      <c r="J391" s="189">
        <v>0</v>
      </c>
      <c r="K391" s="189">
        <v>11701</v>
      </c>
      <c r="L391" s="191">
        <v>3</v>
      </c>
      <c r="M391" s="192">
        <v>46092</v>
      </c>
      <c r="N391" s="193">
        <v>1</v>
      </c>
      <c r="O391" s="194">
        <v>0.5</v>
      </c>
      <c r="P391" s="195"/>
      <c r="Q391" s="196" t="s">
        <v>38</v>
      </c>
      <c r="R391" s="197">
        <v>1</v>
      </c>
      <c r="S391" s="198" t="s">
        <v>33</v>
      </c>
      <c r="T391" s="199"/>
      <c r="U391" s="200"/>
      <c r="V391" s="200"/>
      <c r="W391" s="200"/>
      <c r="X391" s="200"/>
      <c r="Y391" s="200"/>
      <c r="Z391" s="200"/>
      <c r="AA391" s="200"/>
      <c r="AB391" s="200"/>
      <c r="AC391" s="208"/>
      <c r="AD391" s="11" t="str">
        <f t="shared" si="18"/>
        <v>3</v>
      </c>
      <c r="AF391" t="str">
        <f t="shared" si="19"/>
        <v>80.01.ZZ.03</v>
      </c>
      <c r="AH391" t="str">
        <f t="shared" si="20"/>
        <v>00 de 01</v>
      </c>
    </row>
    <row r="392" spans="1:34" ht="34.5" x14ac:dyDescent="0.25">
      <c r="A392" s="139" t="s">
        <v>116</v>
      </c>
      <c r="B392" s="105" t="s">
        <v>122</v>
      </c>
      <c r="C392" s="63">
        <v>380</v>
      </c>
      <c r="D392" s="197" t="s">
        <v>192</v>
      </c>
      <c r="E392" s="189" t="s">
        <v>617</v>
      </c>
      <c r="F392" s="190" t="s">
        <v>123</v>
      </c>
      <c r="G392" s="189" t="s">
        <v>134</v>
      </c>
      <c r="H392" s="191">
        <v>61792</v>
      </c>
      <c r="I392" s="189" t="s">
        <v>224</v>
      </c>
      <c r="J392" s="189">
        <v>0</v>
      </c>
      <c r="K392" s="189">
        <v>11701</v>
      </c>
      <c r="L392" s="191">
        <v>3</v>
      </c>
      <c r="M392" s="192">
        <v>46092</v>
      </c>
      <c r="N392" s="193">
        <v>1</v>
      </c>
      <c r="O392" s="194">
        <v>0.5</v>
      </c>
      <c r="P392" s="195"/>
      <c r="Q392" s="196" t="s">
        <v>38</v>
      </c>
      <c r="R392" s="197">
        <v>1</v>
      </c>
      <c r="S392" s="198" t="s">
        <v>33</v>
      </c>
      <c r="T392" s="199"/>
      <c r="U392" s="200"/>
      <c r="V392" s="200"/>
      <c r="W392" s="200"/>
      <c r="X392" s="200"/>
      <c r="Y392" s="200"/>
      <c r="Z392" s="200"/>
      <c r="AA392" s="200"/>
      <c r="AB392" s="200"/>
      <c r="AC392" s="208"/>
      <c r="AD392" s="11" t="str">
        <f t="shared" si="18"/>
        <v>3</v>
      </c>
      <c r="AF392" t="str">
        <f t="shared" si="19"/>
        <v>80.01.ZZ.03</v>
      </c>
      <c r="AH392" t="str">
        <f t="shared" si="20"/>
        <v>00 de 01</v>
      </c>
    </row>
    <row r="393" spans="1:34" ht="34.5" x14ac:dyDescent="0.25">
      <c r="A393" s="139" t="s">
        <v>116</v>
      </c>
      <c r="B393" s="105" t="s">
        <v>122</v>
      </c>
      <c r="C393" s="63">
        <v>381</v>
      </c>
      <c r="D393" s="197" t="s">
        <v>192</v>
      </c>
      <c r="E393" s="189" t="s">
        <v>618</v>
      </c>
      <c r="F393" s="190" t="s">
        <v>123</v>
      </c>
      <c r="G393" s="189" t="s">
        <v>134</v>
      </c>
      <c r="H393" s="191">
        <v>61792</v>
      </c>
      <c r="I393" s="189" t="s">
        <v>224</v>
      </c>
      <c r="J393" s="189">
        <v>0</v>
      </c>
      <c r="K393" s="189">
        <v>11701</v>
      </c>
      <c r="L393" s="191">
        <v>3</v>
      </c>
      <c r="M393" s="192">
        <v>46092</v>
      </c>
      <c r="N393" s="193">
        <v>1</v>
      </c>
      <c r="O393" s="194">
        <v>0.5</v>
      </c>
      <c r="P393" s="195"/>
      <c r="Q393" s="196" t="s">
        <v>38</v>
      </c>
      <c r="R393" s="197">
        <v>1</v>
      </c>
      <c r="S393" s="198" t="s">
        <v>33</v>
      </c>
      <c r="T393" s="199"/>
      <c r="U393" s="200"/>
      <c r="V393" s="200"/>
      <c r="W393" s="200"/>
      <c r="X393" s="200"/>
      <c r="Y393" s="200"/>
      <c r="Z393" s="200"/>
      <c r="AA393" s="200"/>
      <c r="AB393" s="200"/>
      <c r="AC393" s="208"/>
      <c r="AD393" s="11" t="str">
        <f t="shared" si="18"/>
        <v>3</v>
      </c>
      <c r="AF393" t="str">
        <f t="shared" si="19"/>
        <v>80.01.ZZ.03</v>
      </c>
      <c r="AH393" t="str">
        <f t="shared" si="20"/>
        <v>00 de 01</v>
      </c>
    </row>
    <row r="394" spans="1:34" ht="34.5" x14ac:dyDescent="0.25">
      <c r="A394" s="139" t="s">
        <v>116</v>
      </c>
      <c r="B394" s="105" t="s">
        <v>122</v>
      </c>
      <c r="C394" s="63">
        <v>382</v>
      </c>
      <c r="D394" s="197" t="s">
        <v>192</v>
      </c>
      <c r="E394" s="189" t="s">
        <v>619</v>
      </c>
      <c r="F394" s="190" t="s">
        <v>123</v>
      </c>
      <c r="G394" s="189" t="s">
        <v>134</v>
      </c>
      <c r="H394" s="191">
        <v>61792</v>
      </c>
      <c r="I394" s="189" t="s">
        <v>224</v>
      </c>
      <c r="J394" s="189">
        <v>0</v>
      </c>
      <c r="K394" s="189">
        <v>11701</v>
      </c>
      <c r="L394" s="191">
        <v>3</v>
      </c>
      <c r="M394" s="192">
        <v>46092</v>
      </c>
      <c r="N394" s="193">
        <v>1</v>
      </c>
      <c r="O394" s="194">
        <v>0.5</v>
      </c>
      <c r="P394" s="195"/>
      <c r="Q394" s="196" t="s">
        <v>38</v>
      </c>
      <c r="R394" s="197">
        <v>1</v>
      </c>
      <c r="S394" s="198" t="s">
        <v>33</v>
      </c>
      <c r="T394" s="199"/>
      <c r="U394" s="200"/>
      <c r="V394" s="200"/>
      <c r="W394" s="200"/>
      <c r="X394" s="200"/>
      <c r="Y394" s="200"/>
      <c r="Z394" s="200"/>
      <c r="AA394" s="200"/>
      <c r="AB394" s="200"/>
      <c r="AC394" s="208"/>
      <c r="AD394" s="11" t="str">
        <f t="shared" si="18"/>
        <v>3</v>
      </c>
      <c r="AF394" t="str">
        <f t="shared" si="19"/>
        <v>80.01.ZZ.03</v>
      </c>
      <c r="AH394" t="str">
        <f t="shared" si="20"/>
        <v>00 de 01</v>
      </c>
    </row>
    <row r="395" spans="1:34" ht="34.5" x14ac:dyDescent="0.25">
      <c r="A395" s="139" t="s">
        <v>116</v>
      </c>
      <c r="B395" s="105" t="s">
        <v>122</v>
      </c>
      <c r="C395" s="63">
        <v>383</v>
      </c>
      <c r="D395" s="197" t="s">
        <v>192</v>
      </c>
      <c r="E395" s="189" t="s">
        <v>246</v>
      </c>
      <c r="F395" s="190" t="s">
        <v>123</v>
      </c>
      <c r="G395" s="189" t="s">
        <v>134</v>
      </c>
      <c r="H395" s="191">
        <v>61792</v>
      </c>
      <c r="I395" s="189" t="s">
        <v>224</v>
      </c>
      <c r="J395" s="189">
        <v>0</v>
      </c>
      <c r="K395" s="189">
        <v>10101</v>
      </c>
      <c r="L395" s="191">
        <v>3</v>
      </c>
      <c r="M395" s="192">
        <v>46092</v>
      </c>
      <c r="N395" s="193">
        <v>1</v>
      </c>
      <c r="O395" s="194">
        <v>0.5</v>
      </c>
      <c r="P395" s="195"/>
      <c r="Q395" s="196" t="s">
        <v>38</v>
      </c>
      <c r="R395" s="197">
        <v>1</v>
      </c>
      <c r="S395" s="198" t="s">
        <v>33</v>
      </c>
      <c r="T395" s="199"/>
      <c r="U395" s="200"/>
      <c r="V395" s="200"/>
      <c r="W395" s="200"/>
      <c r="X395" s="200"/>
      <c r="Y395" s="200"/>
      <c r="Z395" s="200"/>
      <c r="AA395" s="200"/>
      <c r="AB395" s="200"/>
      <c r="AC395" s="208"/>
      <c r="AD395" s="11" t="str">
        <f t="shared" si="18"/>
        <v>3</v>
      </c>
      <c r="AF395" t="str">
        <f t="shared" si="19"/>
        <v>80.01.ZZ.03</v>
      </c>
      <c r="AH395" t="str">
        <f t="shared" si="20"/>
        <v>00 de 01</v>
      </c>
    </row>
    <row r="396" spans="1:34" ht="34.5" x14ac:dyDescent="0.25">
      <c r="A396" s="139" t="s">
        <v>116</v>
      </c>
      <c r="B396" s="105" t="s">
        <v>122</v>
      </c>
      <c r="C396" s="63">
        <v>384</v>
      </c>
      <c r="D396" s="197" t="s">
        <v>192</v>
      </c>
      <c r="E396" s="189" t="s">
        <v>620</v>
      </c>
      <c r="F396" s="190" t="s">
        <v>123</v>
      </c>
      <c r="G396" s="189" t="s">
        <v>134</v>
      </c>
      <c r="H396" s="191">
        <v>61792</v>
      </c>
      <c r="I396" s="189" t="s">
        <v>224</v>
      </c>
      <c r="J396" s="189">
        <v>0</v>
      </c>
      <c r="K396" s="189">
        <v>10101</v>
      </c>
      <c r="L396" s="191">
        <v>3</v>
      </c>
      <c r="M396" s="192">
        <v>46092</v>
      </c>
      <c r="N396" s="193">
        <v>1</v>
      </c>
      <c r="O396" s="194">
        <v>0.5</v>
      </c>
      <c r="P396" s="195"/>
      <c r="Q396" s="196" t="s">
        <v>38</v>
      </c>
      <c r="R396" s="197">
        <v>1</v>
      </c>
      <c r="S396" s="198" t="s">
        <v>33</v>
      </c>
      <c r="T396" s="199"/>
      <c r="U396" s="200"/>
      <c r="V396" s="200"/>
      <c r="W396" s="200"/>
      <c r="X396" s="200"/>
      <c r="Y396" s="200"/>
      <c r="Z396" s="200"/>
      <c r="AA396" s="200"/>
      <c r="AB396" s="200"/>
      <c r="AC396" s="208"/>
      <c r="AD396" s="11" t="str">
        <f t="shared" si="18"/>
        <v>3</v>
      </c>
      <c r="AF396" t="str">
        <f t="shared" si="19"/>
        <v>80.01.ZZ.03</v>
      </c>
      <c r="AH396" t="str">
        <f t="shared" si="20"/>
        <v>00 de 01</v>
      </c>
    </row>
    <row r="397" spans="1:34" ht="34.5" x14ac:dyDescent="0.25">
      <c r="A397" s="139" t="s">
        <v>116</v>
      </c>
      <c r="B397" s="105" t="s">
        <v>122</v>
      </c>
      <c r="C397" s="63">
        <v>385</v>
      </c>
      <c r="D397" s="197" t="s">
        <v>192</v>
      </c>
      <c r="E397" s="189" t="s">
        <v>621</v>
      </c>
      <c r="F397" s="190" t="s">
        <v>123</v>
      </c>
      <c r="G397" s="189" t="s">
        <v>134</v>
      </c>
      <c r="H397" s="191">
        <v>61792</v>
      </c>
      <c r="I397" s="189" t="s">
        <v>224</v>
      </c>
      <c r="J397" s="189">
        <v>0</v>
      </c>
      <c r="K397" s="189">
        <v>10101</v>
      </c>
      <c r="L397" s="191">
        <v>3</v>
      </c>
      <c r="M397" s="192">
        <v>46092</v>
      </c>
      <c r="N397" s="193">
        <v>1</v>
      </c>
      <c r="O397" s="194">
        <v>0.5</v>
      </c>
      <c r="P397" s="195"/>
      <c r="Q397" s="196" t="s">
        <v>38</v>
      </c>
      <c r="R397" s="197">
        <v>1</v>
      </c>
      <c r="S397" s="198" t="s">
        <v>33</v>
      </c>
      <c r="T397" s="199"/>
      <c r="U397" s="200"/>
      <c r="V397" s="200"/>
      <c r="W397" s="200"/>
      <c r="X397" s="200"/>
      <c r="Y397" s="200"/>
      <c r="Z397" s="200"/>
      <c r="AA397" s="200"/>
      <c r="AB397" s="200"/>
      <c r="AC397" s="208"/>
      <c r="AD397" s="11" t="str">
        <f t="shared" si="18"/>
        <v>3</v>
      </c>
      <c r="AF397" t="str">
        <f t="shared" si="19"/>
        <v>80.01.ZZ.03</v>
      </c>
      <c r="AH397" t="str">
        <f t="shared" si="20"/>
        <v>00 de 01</v>
      </c>
    </row>
    <row r="398" spans="1:34" ht="34.5" x14ac:dyDescent="0.25">
      <c r="A398" s="139" t="s">
        <v>116</v>
      </c>
      <c r="B398" s="105" t="s">
        <v>122</v>
      </c>
      <c r="C398" s="63">
        <v>386</v>
      </c>
      <c r="D398" s="197" t="s">
        <v>192</v>
      </c>
      <c r="E398" s="189" t="s">
        <v>622</v>
      </c>
      <c r="F398" s="190" t="s">
        <v>123</v>
      </c>
      <c r="G398" s="189" t="s">
        <v>134</v>
      </c>
      <c r="H398" s="191">
        <v>61792</v>
      </c>
      <c r="I398" s="189" t="s">
        <v>224</v>
      </c>
      <c r="J398" s="189">
        <v>0</v>
      </c>
      <c r="K398" s="189">
        <v>10101</v>
      </c>
      <c r="L398" s="191">
        <v>3</v>
      </c>
      <c r="M398" s="192">
        <v>46092</v>
      </c>
      <c r="N398" s="193">
        <v>1</v>
      </c>
      <c r="O398" s="194">
        <v>0.5</v>
      </c>
      <c r="P398" s="195"/>
      <c r="Q398" s="196" t="s">
        <v>38</v>
      </c>
      <c r="R398" s="197">
        <v>1</v>
      </c>
      <c r="S398" s="198" t="s">
        <v>33</v>
      </c>
      <c r="T398" s="199"/>
      <c r="U398" s="200"/>
      <c r="V398" s="200"/>
      <c r="W398" s="200"/>
      <c r="X398" s="200"/>
      <c r="Y398" s="200"/>
      <c r="Z398" s="200"/>
      <c r="AA398" s="200"/>
      <c r="AB398" s="200"/>
      <c r="AC398" s="208"/>
      <c r="AD398" s="11" t="str">
        <f t="shared" si="18"/>
        <v>3</v>
      </c>
      <c r="AF398" t="str">
        <f t="shared" si="19"/>
        <v>80.01.ZZ.03</v>
      </c>
      <c r="AH398" t="str">
        <f t="shared" si="20"/>
        <v>00 de 01</v>
      </c>
    </row>
    <row r="399" spans="1:34" ht="34.5" x14ac:dyDescent="0.25">
      <c r="A399" s="139" t="s">
        <v>116</v>
      </c>
      <c r="B399" s="105" t="s">
        <v>122</v>
      </c>
      <c r="C399" s="63">
        <v>387</v>
      </c>
      <c r="D399" s="197" t="s">
        <v>192</v>
      </c>
      <c r="E399" s="189" t="s">
        <v>623</v>
      </c>
      <c r="F399" s="190" t="s">
        <v>123</v>
      </c>
      <c r="G399" s="189" t="s">
        <v>134</v>
      </c>
      <c r="H399" s="191">
        <v>61792</v>
      </c>
      <c r="I399" s="189" t="s">
        <v>224</v>
      </c>
      <c r="J399" s="189">
        <v>0</v>
      </c>
      <c r="K399" s="189">
        <v>10101</v>
      </c>
      <c r="L399" s="191">
        <v>3</v>
      </c>
      <c r="M399" s="192">
        <v>46092</v>
      </c>
      <c r="N399" s="193">
        <v>1</v>
      </c>
      <c r="O399" s="194">
        <v>0.5</v>
      </c>
      <c r="P399" s="195"/>
      <c r="Q399" s="196" t="s">
        <v>38</v>
      </c>
      <c r="R399" s="197">
        <v>1</v>
      </c>
      <c r="S399" s="198" t="s">
        <v>33</v>
      </c>
      <c r="T399" s="199"/>
      <c r="U399" s="200"/>
      <c r="V399" s="200"/>
      <c r="W399" s="200"/>
      <c r="X399" s="200"/>
      <c r="Y399" s="200"/>
      <c r="Z399" s="200"/>
      <c r="AA399" s="200"/>
      <c r="AB399" s="200"/>
      <c r="AC399" s="208"/>
      <c r="AD399" s="11" t="str">
        <f t="shared" ref="AD399:AD430" si="21">RIGHT(L399,2)</f>
        <v>3</v>
      </c>
      <c r="AF399" t="str">
        <f t="shared" ref="AF399:AF430" si="22">CONCATENATE("80.01.ZZ.0",L399)</f>
        <v>80.01.ZZ.03</v>
      </c>
      <c r="AH399" t="str">
        <f t="shared" ref="AH399:AH430" si="23">CONCATENATE("00 de 0",R399)</f>
        <v>00 de 01</v>
      </c>
    </row>
    <row r="400" spans="1:34" ht="34.5" x14ac:dyDescent="0.25">
      <c r="A400" s="139" t="s">
        <v>116</v>
      </c>
      <c r="B400" s="105" t="s">
        <v>122</v>
      </c>
      <c r="C400" s="63">
        <v>388</v>
      </c>
      <c r="D400" s="197" t="s">
        <v>192</v>
      </c>
      <c r="E400" s="189" t="s">
        <v>624</v>
      </c>
      <c r="F400" s="190" t="s">
        <v>123</v>
      </c>
      <c r="G400" s="189" t="s">
        <v>134</v>
      </c>
      <c r="H400" s="191">
        <v>61792</v>
      </c>
      <c r="I400" s="189" t="s">
        <v>224</v>
      </c>
      <c r="J400" s="189">
        <v>0</v>
      </c>
      <c r="K400" s="189">
        <v>10101</v>
      </c>
      <c r="L400" s="191">
        <v>3</v>
      </c>
      <c r="M400" s="192">
        <v>46092</v>
      </c>
      <c r="N400" s="193">
        <v>1</v>
      </c>
      <c r="O400" s="194">
        <v>0.5</v>
      </c>
      <c r="P400" s="195"/>
      <c r="Q400" s="196" t="s">
        <v>38</v>
      </c>
      <c r="R400" s="197">
        <v>1</v>
      </c>
      <c r="S400" s="198" t="s">
        <v>33</v>
      </c>
      <c r="T400" s="199"/>
      <c r="U400" s="200"/>
      <c r="V400" s="200"/>
      <c r="W400" s="200"/>
      <c r="X400" s="200"/>
      <c r="Y400" s="200"/>
      <c r="Z400" s="200"/>
      <c r="AA400" s="200"/>
      <c r="AB400" s="200"/>
      <c r="AC400" s="208"/>
      <c r="AD400" s="11" t="str">
        <f t="shared" si="21"/>
        <v>3</v>
      </c>
      <c r="AF400" t="str">
        <f t="shared" si="22"/>
        <v>80.01.ZZ.03</v>
      </c>
      <c r="AH400" t="str">
        <f t="shared" si="23"/>
        <v>00 de 01</v>
      </c>
    </row>
    <row r="401" spans="1:34" ht="34.5" x14ac:dyDescent="0.25">
      <c r="A401" s="139" t="s">
        <v>116</v>
      </c>
      <c r="B401" s="105" t="s">
        <v>122</v>
      </c>
      <c r="C401" s="63">
        <v>389</v>
      </c>
      <c r="D401" s="197" t="s">
        <v>192</v>
      </c>
      <c r="E401" s="189" t="s">
        <v>625</v>
      </c>
      <c r="F401" s="190" t="s">
        <v>123</v>
      </c>
      <c r="G401" s="189" t="s">
        <v>134</v>
      </c>
      <c r="H401" s="191">
        <v>61792</v>
      </c>
      <c r="I401" s="189" t="s">
        <v>224</v>
      </c>
      <c r="J401" s="189">
        <v>0</v>
      </c>
      <c r="K401" s="189">
        <v>10101</v>
      </c>
      <c r="L401" s="191">
        <v>3</v>
      </c>
      <c r="M401" s="192">
        <v>46092</v>
      </c>
      <c r="N401" s="193">
        <v>1</v>
      </c>
      <c r="O401" s="194">
        <v>0.5</v>
      </c>
      <c r="P401" s="195"/>
      <c r="Q401" s="196" t="s">
        <v>38</v>
      </c>
      <c r="R401" s="197">
        <v>1</v>
      </c>
      <c r="S401" s="198" t="s">
        <v>33</v>
      </c>
      <c r="T401" s="199"/>
      <c r="U401" s="200"/>
      <c r="V401" s="200"/>
      <c r="W401" s="200"/>
      <c r="X401" s="200"/>
      <c r="Y401" s="200"/>
      <c r="Z401" s="200"/>
      <c r="AA401" s="200"/>
      <c r="AB401" s="200"/>
      <c r="AC401" s="208"/>
      <c r="AD401" s="11" t="str">
        <f t="shared" si="21"/>
        <v>3</v>
      </c>
      <c r="AF401" t="str">
        <f t="shared" si="22"/>
        <v>80.01.ZZ.03</v>
      </c>
      <c r="AH401" t="str">
        <f t="shared" si="23"/>
        <v>00 de 01</v>
      </c>
    </row>
    <row r="402" spans="1:34" ht="34.5" x14ac:dyDescent="0.25">
      <c r="A402" s="139" t="s">
        <v>116</v>
      </c>
      <c r="B402" s="105" t="s">
        <v>122</v>
      </c>
      <c r="C402" s="63">
        <v>390</v>
      </c>
      <c r="D402" s="197" t="s">
        <v>192</v>
      </c>
      <c r="E402" s="189" t="s">
        <v>626</v>
      </c>
      <c r="F402" s="190" t="s">
        <v>123</v>
      </c>
      <c r="G402" s="189" t="s">
        <v>134</v>
      </c>
      <c r="H402" s="191">
        <v>61792</v>
      </c>
      <c r="I402" s="189" t="s">
        <v>224</v>
      </c>
      <c r="J402" s="189">
        <v>0</v>
      </c>
      <c r="K402" s="189">
        <v>10101</v>
      </c>
      <c r="L402" s="191">
        <v>3</v>
      </c>
      <c r="M402" s="192">
        <v>46092</v>
      </c>
      <c r="N402" s="193">
        <v>1</v>
      </c>
      <c r="O402" s="194">
        <v>0.5</v>
      </c>
      <c r="P402" s="195"/>
      <c r="Q402" s="196" t="s">
        <v>38</v>
      </c>
      <c r="R402" s="197">
        <v>1</v>
      </c>
      <c r="S402" s="198" t="s">
        <v>33</v>
      </c>
      <c r="T402" s="199"/>
      <c r="U402" s="200"/>
      <c r="V402" s="200"/>
      <c r="W402" s="200"/>
      <c r="X402" s="200"/>
      <c r="Y402" s="200"/>
      <c r="Z402" s="200"/>
      <c r="AA402" s="200"/>
      <c r="AB402" s="200"/>
      <c r="AC402" s="208"/>
      <c r="AD402" s="11" t="str">
        <f t="shared" si="21"/>
        <v>3</v>
      </c>
      <c r="AF402" t="str">
        <f t="shared" si="22"/>
        <v>80.01.ZZ.03</v>
      </c>
      <c r="AH402" t="str">
        <f t="shared" si="23"/>
        <v>00 de 01</v>
      </c>
    </row>
    <row r="403" spans="1:34" ht="34.5" x14ac:dyDescent="0.25">
      <c r="A403" s="139" t="s">
        <v>116</v>
      </c>
      <c r="B403" s="105" t="s">
        <v>122</v>
      </c>
      <c r="C403" s="63">
        <v>391</v>
      </c>
      <c r="D403" s="197" t="s">
        <v>192</v>
      </c>
      <c r="E403" s="189" t="s">
        <v>627</v>
      </c>
      <c r="F403" s="190" t="s">
        <v>123</v>
      </c>
      <c r="G403" s="189" t="s">
        <v>134</v>
      </c>
      <c r="H403" s="191">
        <v>61792</v>
      </c>
      <c r="I403" s="189" t="s">
        <v>224</v>
      </c>
      <c r="J403" s="189">
        <v>0</v>
      </c>
      <c r="K403" s="189">
        <v>10101</v>
      </c>
      <c r="L403" s="191">
        <v>3</v>
      </c>
      <c r="M403" s="192">
        <v>46092</v>
      </c>
      <c r="N403" s="193">
        <v>1</v>
      </c>
      <c r="O403" s="194">
        <v>0.5</v>
      </c>
      <c r="P403" s="195"/>
      <c r="Q403" s="196" t="s">
        <v>38</v>
      </c>
      <c r="R403" s="197">
        <v>1</v>
      </c>
      <c r="S403" s="198" t="s">
        <v>33</v>
      </c>
      <c r="T403" s="199"/>
      <c r="U403" s="200"/>
      <c r="V403" s="200"/>
      <c r="W403" s="200"/>
      <c r="X403" s="200"/>
      <c r="Y403" s="200"/>
      <c r="Z403" s="200"/>
      <c r="AA403" s="200"/>
      <c r="AB403" s="200"/>
      <c r="AC403" s="208"/>
      <c r="AD403" s="11" t="str">
        <f t="shared" si="21"/>
        <v>3</v>
      </c>
      <c r="AF403" t="str">
        <f t="shared" si="22"/>
        <v>80.01.ZZ.03</v>
      </c>
      <c r="AH403" t="str">
        <f t="shared" si="23"/>
        <v>00 de 01</v>
      </c>
    </row>
    <row r="404" spans="1:34" ht="34.5" x14ac:dyDescent="0.25">
      <c r="A404" s="139" t="s">
        <v>116</v>
      </c>
      <c r="B404" s="105" t="s">
        <v>122</v>
      </c>
      <c r="C404" s="63">
        <v>392</v>
      </c>
      <c r="D404" s="197" t="s">
        <v>192</v>
      </c>
      <c r="E404" s="189" t="s">
        <v>628</v>
      </c>
      <c r="F404" s="190" t="s">
        <v>123</v>
      </c>
      <c r="G404" s="189" t="s">
        <v>134</v>
      </c>
      <c r="H404" s="191">
        <v>61792</v>
      </c>
      <c r="I404" s="189" t="s">
        <v>224</v>
      </c>
      <c r="J404" s="189">
        <v>0</v>
      </c>
      <c r="K404" s="189">
        <v>10101</v>
      </c>
      <c r="L404" s="191">
        <v>3</v>
      </c>
      <c r="M404" s="192">
        <v>46092</v>
      </c>
      <c r="N404" s="193">
        <v>1</v>
      </c>
      <c r="O404" s="194">
        <v>0.5</v>
      </c>
      <c r="P404" s="195"/>
      <c r="Q404" s="196" t="s">
        <v>38</v>
      </c>
      <c r="R404" s="197">
        <v>1</v>
      </c>
      <c r="S404" s="198" t="s">
        <v>33</v>
      </c>
      <c r="T404" s="199"/>
      <c r="U404" s="200"/>
      <c r="V404" s="200"/>
      <c r="W404" s="200"/>
      <c r="X404" s="200"/>
      <c r="Y404" s="200"/>
      <c r="Z404" s="200"/>
      <c r="AA404" s="200"/>
      <c r="AB404" s="200"/>
      <c r="AC404" s="208"/>
      <c r="AD404" s="11" t="str">
        <f t="shared" si="21"/>
        <v>3</v>
      </c>
      <c r="AF404" t="str">
        <f t="shared" si="22"/>
        <v>80.01.ZZ.03</v>
      </c>
      <c r="AH404" t="str">
        <f t="shared" si="23"/>
        <v>00 de 01</v>
      </c>
    </row>
    <row r="405" spans="1:34" ht="34.5" x14ac:dyDescent="0.25">
      <c r="A405" s="139" t="s">
        <v>116</v>
      </c>
      <c r="B405" s="105" t="s">
        <v>122</v>
      </c>
      <c r="C405" s="63">
        <v>393</v>
      </c>
      <c r="D405" s="197" t="s">
        <v>192</v>
      </c>
      <c r="E405" s="189" t="s">
        <v>629</v>
      </c>
      <c r="F405" s="190" t="s">
        <v>123</v>
      </c>
      <c r="G405" s="189" t="s">
        <v>134</v>
      </c>
      <c r="H405" s="191">
        <v>61792</v>
      </c>
      <c r="I405" s="189" t="s">
        <v>224</v>
      </c>
      <c r="J405" s="189">
        <v>0</v>
      </c>
      <c r="K405" s="189">
        <v>10101</v>
      </c>
      <c r="L405" s="191">
        <v>3</v>
      </c>
      <c r="M405" s="192">
        <v>46092</v>
      </c>
      <c r="N405" s="193">
        <v>1</v>
      </c>
      <c r="O405" s="194">
        <v>0.5</v>
      </c>
      <c r="P405" s="195"/>
      <c r="Q405" s="196" t="s">
        <v>38</v>
      </c>
      <c r="R405" s="197">
        <v>1</v>
      </c>
      <c r="S405" s="198" t="s">
        <v>33</v>
      </c>
      <c r="T405" s="199"/>
      <c r="U405" s="200"/>
      <c r="V405" s="200"/>
      <c r="W405" s="200"/>
      <c r="X405" s="200"/>
      <c r="Y405" s="200"/>
      <c r="Z405" s="200"/>
      <c r="AA405" s="200"/>
      <c r="AB405" s="200"/>
      <c r="AC405" s="208"/>
      <c r="AD405" s="11" t="str">
        <f t="shared" si="21"/>
        <v>3</v>
      </c>
      <c r="AF405" t="str">
        <f t="shared" si="22"/>
        <v>80.01.ZZ.03</v>
      </c>
      <c r="AH405" t="str">
        <f t="shared" si="23"/>
        <v>00 de 01</v>
      </c>
    </row>
    <row r="406" spans="1:34" ht="34.5" x14ac:dyDescent="0.25">
      <c r="A406" s="139" t="s">
        <v>116</v>
      </c>
      <c r="B406" s="105" t="s">
        <v>122</v>
      </c>
      <c r="C406" s="63">
        <v>394</v>
      </c>
      <c r="D406" s="197" t="s">
        <v>192</v>
      </c>
      <c r="E406" s="189" t="s">
        <v>630</v>
      </c>
      <c r="F406" s="190" t="s">
        <v>123</v>
      </c>
      <c r="G406" s="189" t="s">
        <v>134</v>
      </c>
      <c r="H406" s="191">
        <v>61792</v>
      </c>
      <c r="I406" s="189" t="s">
        <v>224</v>
      </c>
      <c r="J406" s="189">
        <v>0</v>
      </c>
      <c r="K406" s="189">
        <v>10101</v>
      </c>
      <c r="L406" s="191">
        <v>3</v>
      </c>
      <c r="M406" s="192">
        <v>46092</v>
      </c>
      <c r="N406" s="193">
        <v>1</v>
      </c>
      <c r="O406" s="194">
        <v>0.5</v>
      </c>
      <c r="P406" s="195"/>
      <c r="Q406" s="196" t="s">
        <v>38</v>
      </c>
      <c r="R406" s="197">
        <v>1</v>
      </c>
      <c r="S406" s="198" t="s">
        <v>33</v>
      </c>
      <c r="T406" s="199"/>
      <c r="U406" s="200"/>
      <c r="V406" s="200"/>
      <c r="W406" s="200"/>
      <c r="X406" s="200"/>
      <c r="Y406" s="200"/>
      <c r="Z406" s="200"/>
      <c r="AA406" s="200"/>
      <c r="AB406" s="200"/>
      <c r="AC406" s="208"/>
      <c r="AD406" s="11" t="str">
        <f t="shared" si="21"/>
        <v>3</v>
      </c>
      <c r="AF406" t="str">
        <f t="shared" si="22"/>
        <v>80.01.ZZ.03</v>
      </c>
      <c r="AH406" t="str">
        <f t="shared" si="23"/>
        <v>00 de 01</v>
      </c>
    </row>
    <row r="407" spans="1:34" ht="34.5" x14ac:dyDescent="0.25">
      <c r="A407" s="139" t="s">
        <v>116</v>
      </c>
      <c r="B407" s="105" t="s">
        <v>122</v>
      </c>
      <c r="C407" s="63">
        <v>395</v>
      </c>
      <c r="D407" s="197" t="s">
        <v>192</v>
      </c>
      <c r="E407" s="189" t="s">
        <v>631</v>
      </c>
      <c r="F407" s="190" t="s">
        <v>123</v>
      </c>
      <c r="G407" s="189" t="s">
        <v>134</v>
      </c>
      <c r="H407" s="191">
        <v>61792</v>
      </c>
      <c r="I407" s="189" t="s">
        <v>224</v>
      </c>
      <c r="J407" s="189">
        <v>0</v>
      </c>
      <c r="K407" s="189">
        <v>10101</v>
      </c>
      <c r="L407" s="191">
        <v>3</v>
      </c>
      <c r="M407" s="192">
        <v>46092</v>
      </c>
      <c r="N407" s="193">
        <v>1</v>
      </c>
      <c r="O407" s="194">
        <v>0.5</v>
      </c>
      <c r="P407" s="195"/>
      <c r="Q407" s="196" t="s">
        <v>38</v>
      </c>
      <c r="R407" s="197">
        <v>1</v>
      </c>
      <c r="S407" s="198" t="s">
        <v>33</v>
      </c>
      <c r="T407" s="199"/>
      <c r="U407" s="200"/>
      <c r="V407" s="200"/>
      <c r="W407" s="200"/>
      <c r="X407" s="200"/>
      <c r="Y407" s="200"/>
      <c r="Z407" s="200"/>
      <c r="AA407" s="200"/>
      <c r="AB407" s="200"/>
      <c r="AC407" s="208"/>
      <c r="AD407" s="11" t="str">
        <f t="shared" si="21"/>
        <v>3</v>
      </c>
      <c r="AF407" t="str">
        <f t="shared" si="22"/>
        <v>80.01.ZZ.03</v>
      </c>
      <c r="AH407" t="str">
        <f t="shared" si="23"/>
        <v>00 de 01</v>
      </c>
    </row>
    <row r="408" spans="1:34" ht="34.5" x14ac:dyDescent="0.25">
      <c r="A408" s="139" t="s">
        <v>116</v>
      </c>
      <c r="B408" s="105" t="s">
        <v>122</v>
      </c>
      <c r="C408" s="63">
        <v>396</v>
      </c>
      <c r="D408" s="197" t="s">
        <v>192</v>
      </c>
      <c r="E408" s="189" t="s">
        <v>632</v>
      </c>
      <c r="F408" s="190" t="s">
        <v>123</v>
      </c>
      <c r="G408" s="189" t="s">
        <v>134</v>
      </c>
      <c r="H408" s="191">
        <v>61792</v>
      </c>
      <c r="I408" s="189" t="s">
        <v>224</v>
      </c>
      <c r="J408" s="189">
        <v>0</v>
      </c>
      <c r="K408" s="189">
        <v>10101</v>
      </c>
      <c r="L408" s="191">
        <v>3</v>
      </c>
      <c r="M408" s="192">
        <v>46092</v>
      </c>
      <c r="N408" s="193">
        <v>1</v>
      </c>
      <c r="O408" s="194">
        <v>0.5</v>
      </c>
      <c r="P408" s="195"/>
      <c r="Q408" s="196" t="s">
        <v>38</v>
      </c>
      <c r="R408" s="197">
        <v>1</v>
      </c>
      <c r="S408" s="198" t="s">
        <v>33</v>
      </c>
      <c r="T408" s="199"/>
      <c r="U408" s="200"/>
      <c r="V408" s="200"/>
      <c r="W408" s="200"/>
      <c r="X408" s="200"/>
      <c r="Y408" s="200"/>
      <c r="Z408" s="200"/>
      <c r="AA408" s="200"/>
      <c r="AB408" s="200"/>
      <c r="AC408" s="208"/>
      <c r="AD408" s="11" t="str">
        <f t="shared" si="21"/>
        <v>3</v>
      </c>
      <c r="AF408" t="str">
        <f t="shared" si="22"/>
        <v>80.01.ZZ.03</v>
      </c>
      <c r="AH408" t="str">
        <f t="shared" si="23"/>
        <v>00 de 01</v>
      </c>
    </row>
    <row r="409" spans="1:34" ht="34.5" x14ac:dyDescent="0.25">
      <c r="A409" s="139" t="s">
        <v>116</v>
      </c>
      <c r="B409" s="105" t="s">
        <v>122</v>
      </c>
      <c r="C409" s="63">
        <v>397</v>
      </c>
      <c r="D409" s="197" t="s">
        <v>192</v>
      </c>
      <c r="E409" s="189" t="s">
        <v>633</v>
      </c>
      <c r="F409" s="190" t="s">
        <v>123</v>
      </c>
      <c r="G409" s="189" t="s">
        <v>134</v>
      </c>
      <c r="H409" s="191">
        <v>61792</v>
      </c>
      <c r="I409" s="189" t="s">
        <v>224</v>
      </c>
      <c r="J409" s="189">
        <v>0</v>
      </c>
      <c r="K409" s="189">
        <v>10101</v>
      </c>
      <c r="L409" s="191">
        <v>3</v>
      </c>
      <c r="M409" s="192">
        <v>46092</v>
      </c>
      <c r="N409" s="193">
        <v>1</v>
      </c>
      <c r="O409" s="194">
        <v>0.5</v>
      </c>
      <c r="P409" s="195"/>
      <c r="Q409" s="196" t="s">
        <v>38</v>
      </c>
      <c r="R409" s="197">
        <v>1</v>
      </c>
      <c r="S409" s="198" t="s">
        <v>33</v>
      </c>
      <c r="T409" s="199"/>
      <c r="U409" s="200"/>
      <c r="V409" s="200"/>
      <c r="W409" s="200"/>
      <c r="X409" s="200"/>
      <c r="Y409" s="200"/>
      <c r="Z409" s="200"/>
      <c r="AA409" s="200"/>
      <c r="AB409" s="200"/>
      <c r="AC409" s="208"/>
      <c r="AD409" s="11" t="str">
        <f t="shared" si="21"/>
        <v>3</v>
      </c>
      <c r="AF409" t="str">
        <f t="shared" si="22"/>
        <v>80.01.ZZ.03</v>
      </c>
      <c r="AH409" t="str">
        <f t="shared" si="23"/>
        <v>00 de 01</v>
      </c>
    </row>
    <row r="410" spans="1:34" ht="34.5" x14ac:dyDescent="0.25">
      <c r="A410" s="139" t="s">
        <v>116</v>
      </c>
      <c r="B410" s="105" t="s">
        <v>122</v>
      </c>
      <c r="C410" s="63">
        <v>398</v>
      </c>
      <c r="D410" s="197" t="s">
        <v>192</v>
      </c>
      <c r="E410" s="189" t="s">
        <v>634</v>
      </c>
      <c r="F410" s="190" t="s">
        <v>123</v>
      </c>
      <c r="G410" s="189" t="s">
        <v>134</v>
      </c>
      <c r="H410" s="191">
        <v>61792</v>
      </c>
      <c r="I410" s="189" t="s">
        <v>224</v>
      </c>
      <c r="J410" s="189">
        <v>0</v>
      </c>
      <c r="K410" s="189">
        <v>10101</v>
      </c>
      <c r="L410" s="191">
        <v>3</v>
      </c>
      <c r="M410" s="192">
        <v>46092</v>
      </c>
      <c r="N410" s="193">
        <v>1</v>
      </c>
      <c r="O410" s="194">
        <v>0.5</v>
      </c>
      <c r="P410" s="195"/>
      <c r="Q410" s="196" t="s">
        <v>38</v>
      </c>
      <c r="R410" s="197">
        <v>1</v>
      </c>
      <c r="S410" s="198" t="s">
        <v>33</v>
      </c>
      <c r="T410" s="199"/>
      <c r="U410" s="200"/>
      <c r="V410" s="200"/>
      <c r="W410" s="200"/>
      <c r="X410" s="200"/>
      <c r="Y410" s="200"/>
      <c r="Z410" s="200"/>
      <c r="AA410" s="200"/>
      <c r="AB410" s="200"/>
      <c r="AC410" s="208"/>
      <c r="AD410" s="11" t="str">
        <f t="shared" si="21"/>
        <v>3</v>
      </c>
      <c r="AF410" t="str">
        <f t="shared" si="22"/>
        <v>80.01.ZZ.03</v>
      </c>
      <c r="AH410" t="str">
        <f t="shared" si="23"/>
        <v>00 de 01</v>
      </c>
    </row>
    <row r="411" spans="1:34" ht="34.5" x14ac:dyDescent="0.25">
      <c r="A411" s="139" t="s">
        <v>116</v>
      </c>
      <c r="B411" s="105" t="s">
        <v>122</v>
      </c>
      <c r="C411" s="63">
        <v>399</v>
      </c>
      <c r="D411" s="197" t="s">
        <v>192</v>
      </c>
      <c r="E411" s="189" t="s">
        <v>635</v>
      </c>
      <c r="F411" s="190" t="s">
        <v>123</v>
      </c>
      <c r="G411" s="189" t="s">
        <v>134</v>
      </c>
      <c r="H411" s="191">
        <v>61792</v>
      </c>
      <c r="I411" s="189" t="s">
        <v>224</v>
      </c>
      <c r="J411" s="189">
        <v>0</v>
      </c>
      <c r="K411" s="189">
        <v>10101</v>
      </c>
      <c r="L411" s="191">
        <v>3</v>
      </c>
      <c r="M411" s="192">
        <v>46092</v>
      </c>
      <c r="N411" s="193">
        <v>1</v>
      </c>
      <c r="O411" s="194">
        <v>0.5</v>
      </c>
      <c r="P411" s="195"/>
      <c r="Q411" s="196" t="s">
        <v>38</v>
      </c>
      <c r="R411" s="197">
        <v>1</v>
      </c>
      <c r="S411" s="198" t="s">
        <v>33</v>
      </c>
      <c r="T411" s="199"/>
      <c r="U411" s="200"/>
      <c r="V411" s="200"/>
      <c r="W411" s="200"/>
      <c r="X411" s="200"/>
      <c r="Y411" s="200"/>
      <c r="Z411" s="200"/>
      <c r="AA411" s="200"/>
      <c r="AB411" s="200"/>
      <c r="AC411" s="208"/>
      <c r="AD411" s="11" t="str">
        <f t="shared" si="21"/>
        <v>3</v>
      </c>
      <c r="AF411" t="str">
        <f t="shared" si="22"/>
        <v>80.01.ZZ.03</v>
      </c>
      <c r="AH411" t="str">
        <f t="shared" si="23"/>
        <v>00 de 01</v>
      </c>
    </row>
    <row r="412" spans="1:34" ht="34.5" x14ac:dyDescent="0.25">
      <c r="A412" s="139" t="s">
        <v>116</v>
      </c>
      <c r="B412" s="105" t="s">
        <v>122</v>
      </c>
      <c r="C412" s="63">
        <v>400</v>
      </c>
      <c r="D412" s="197" t="s">
        <v>192</v>
      </c>
      <c r="E412" s="189" t="s">
        <v>636</v>
      </c>
      <c r="F412" s="190" t="s">
        <v>123</v>
      </c>
      <c r="G412" s="189" t="s">
        <v>134</v>
      </c>
      <c r="H412" s="191">
        <v>61792</v>
      </c>
      <c r="I412" s="189" t="s">
        <v>224</v>
      </c>
      <c r="J412" s="189">
        <v>0</v>
      </c>
      <c r="K412" s="189">
        <v>10101</v>
      </c>
      <c r="L412" s="191">
        <v>3</v>
      </c>
      <c r="M412" s="192">
        <v>46092</v>
      </c>
      <c r="N412" s="193">
        <v>1</v>
      </c>
      <c r="O412" s="194">
        <v>0.5</v>
      </c>
      <c r="P412" s="195"/>
      <c r="Q412" s="196" t="s">
        <v>38</v>
      </c>
      <c r="R412" s="197">
        <v>1</v>
      </c>
      <c r="S412" s="198" t="s">
        <v>33</v>
      </c>
      <c r="T412" s="199"/>
      <c r="U412" s="200"/>
      <c r="V412" s="200"/>
      <c r="W412" s="200"/>
      <c r="X412" s="200"/>
      <c r="Y412" s="200"/>
      <c r="Z412" s="200"/>
      <c r="AA412" s="200"/>
      <c r="AB412" s="200"/>
      <c r="AC412" s="208"/>
      <c r="AD412" s="11" t="str">
        <f t="shared" si="21"/>
        <v>3</v>
      </c>
      <c r="AF412" t="str">
        <f t="shared" si="22"/>
        <v>80.01.ZZ.03</v>
      </c>
      <c r="AH412" t="str">
        <f t="shared" si="23"/>
        <v>00 de 01</v>
      </c>
    </row>
    <row r="413" spans="1:34" ht="34.5" x14ac:dyDescent="0.25">
      <c r="A413" s="139" t="s">
        <v>116</v>
      </c>
      <c r="B413" s="105" t="s">
        <v>122</v>
      </c>
      <c r="C413" s="63">
        <v>401</v>
      </c>
      <c r="D413" s="197" t="s">
        <v>192</v>
      </c>
      <c r="E413" s="189" t="s">
        <v>637</v>
      </c>
      <c r="F413" s="190" t="s">
        <v>123</v>
      </c>
      <c r="G413" s="189" t="s">
        <v>134</v>
      </c>
      <c r="H413" s="191">
        <v>61792</v>
      </c>
      <c r="I413" s="189" t="s">
        <v>224</v>
      </c>
      <c r="J413" s="189">
        <v>0</v>
      </c>
      <c r="K413" s="189">
        <v>10101</v>
      </c>
      <c r="L413" s="191">
        <v>3</v>
      </c>
      <c r="M413" s="192">
        <v>46092</v>
      </c>
      <c r="N413" s="193">
        <v>1</v>
      </c>
      <c r="O413" s="194">
        <v>0.5</v>
      </c>
      <c r="P413" s="195"/>
      <c r="Q413" s="196" t="s">
        <v>38</v>
      </c>
      <c r="R413" s="197">
        <v>1</v>
      </c>
      <c r="S413" s="198" t="s">
        <v>33</v>
      </c>
      <c r="T413" s="199"/>
      <c r="U413" s="200"/>
      <c r="V413" s="200"/>
      <c r="W413" s="200"/>
      <c r="X413" s="200"/>
      <c r="Y413" s="200"/>
      <c r="Z413" s="200"/>
      <c r="AA413" s="200"/>
      <c r="AB413" s="200"/>
      <c r="AC413" s="208"/>
      <c r="AD413" s="11" t="str">
        <f t="shared" si="21"/>
        <v>3</v>
      </c>
      <c r="AF413" t="str">
        <f t="shared" si="22"/>
        <v>80.01.ZZ.03</v>
      </c>
      <c r="AH413" t="str">
        <f t="shared" si="23"/>
        <v>00 de 01</v>
      </c>
    </row>
    <row r="414" spans="1:34" ht="34.5" x14ac:dyDescent="0.25">
      <c r="A414" s="139" t="s">
        <v>116</v>
      </c>
      <c r="B414" s="105" t="s">
        <v>122</v>
      </c>
      <c r="C414" s="63">
        <v>402</v>
      </c>
      <c r="D414" s="197" t="s">
        <v>192</v>
      </c>
      <c r="E414" s="189" t="s">
        <v>638</v>
      </c>
      <c r="F414" s="190" t="s">
        <v>123</v>
      </c>
      <c r="G414" s="189" t="s">
        <v>134</v>
      </c>
      <c r="H414" s="191">
        <v>61792</v>
      </c>
      <c r="I414" s="189" t="s">
        <v>224</v>
      </c>
      <c r="J414" s="189">
        <v>0</v>
      </c>
      <c r="K414" s="189">
        <v>10101</v>
      </c>
      <c r="L414" s="191">
        <v>3</v>
      </c>
      <c r="M414" s="192">
        <v>46092</v>
      </c>
      <c r="N414" s="193">
        <v>1</v>
      </c>
      <c r="O414" s="194">
        <v>0.5</v>
      </c>
      <c r="P414" s="195"/>
      <c r="Q414" s="196" t="s">
        <v>38</v>
      </c>
      <c r="R414" s="197">
        <v>1</v>
      </c>
      <c r="S414" s="198" t="s">
        <v>33</v>
      </c>
      <c r="T414" s="199"/>
      <c r="U414" s="200"/>
      <c r="V414" s="200"/>
      <c r="W414" s="200"/>
      <c r="X414" s="200"/>
      <c r="Y414" s="200"/>
      <c r="Z414" s="200"/>
      <c r="AA414" s="200"/>
      <c r="AB414" s="200"/>
      <c r="AC414" s="208"/>
      <c r="AD414" s="11" t="str">
        <f t="shared" si="21"/>
        <v>3</v>
      </c>
      <c r="AF414" t="str">
        <f t="shared" si="22"/>
        <v>80.01.ZZ.03</v>
      </c>
      <c r="AH414" t="str">
        <f t="shared" si="23"/>
        <v>00 de 01</v>
      </c>
    </row>
    <row r="415" spans="1:34" ht="34.5" x14ac:dyDescent="0.25">
      <c r="A415" s="139" t="s">
        <v>116</v>
      </c>
      <c r="B415" s="105" t="s">
        <v>122</v>
      </c>
      <c r="C415" s="63">
        <v>403</v>
      </c>
      <c r="D415" s="197" t="s">
        <v>192</v>
      </c>
      <c r="E415" s="189" t="s">
        <v>639</v>
      </c>
      <c r="F415" s="190" t="s">
        <v>123</v>
      </c>
      <c r="G415" s="189" t="s">
        <v>134</v>
      </c>
      <c r="H415" s="191">
        <v>61792</v>
      </c>
      <c r="I415" s="189" t="s">
        <v>224</v>
      </c>
      <c r="J415" s="189">
        <v>0</v>
      </c>
      <c r="K415" s="189">
        <v>10101</v>
      </c>
      <c r="L415" s="191">
        <v>3</v>
      </c>
      <c r="M415" s="192">
        <v>46092</v>
      </c>
      <c r="N415" s="193">
        <v>1</v>
      </c>
      <c r="O415" s="194">
        <v>0.5</v>
      </c>
      <c r="P415" s="195"/>
      <c r="Q415" s="196" t="s">
        <v>38</v>
      </c>
      <c r="R415" s="197">
        <v>1</v>
      </c>
      <c r="S415" s="198" t="s">
        <v>33</v>
      </c>
      <c r="T415" s="199"/>
      <c r="U415" s="200"/>
      <c r="V415" s="200"/>
      <c r="W415" s="200"/>
      <c r="X415" s="200"/>
      <c r="Y415" s="200"/>
      <c r="Z415" s="200"/>
      <c r="AA415" s="200"/>
      <c r="AB415" s="200"/>
      <c r="AC415" s="208"/>
      <c r="AD415" s="11" t="str">
        <f t="shared" si="21"/>
        <v>3</v>
      </c>
      <c r="AF415" t="str">
        <f t="shared" si="22"/>
        <v>80.01.ZZ.03</v>
      </c>
      <c r="AH415" t="str">
        <f t="shared" si="23"/>
        <v>00 de 01</v>
      </c>
    </row>
    <row r="416" spans="1:34" ht="34.5" x14ac:dyDescent="0.25">
      <c r="A416" s="139" t="s">
        <v>116</v>
      </c>
      <c r="B416" s="105" t="s">
        <v>122</v>
      </c>
      <c r="C416" s="63">
        <v>404</v>
      </c>
      <c r="D416" s="197" t="s">
        <v>192</v>
      </c>
      <c r="E416" s="189" t="s">
        <v>640</v>
      </c>
      <c r="F416" s="190" t="s">
        <v>123</v>
      </c>
      <c r="G416" s="189" t="s">
        <v>134</v>
      </c>
      <c r="H416" s="191">
        <v>61792</v>
      </c>
      <c r="I416" s="189" t="s">
        <v>224</v>
      </c>
      <c r="J416" s="189">
        <v>0</v>
      </c>
      <c r="K416" s="189">
        <v>10101</v>
      </c>
      <c r="L416" s="191">
        <v>3</v>
      </c>
      <c r="M416" s="192">
        <v>46092</v>
      </c>
      <c r="N416" s="193">
        <v>1</v>
      </c>
      <c r="O416" s="194">
        <v>0.5</v>
      </c>
      <c r="P416" s="195"/>
      <c r="Q416" s="196" t="s">
        <v>38</v>
      </c>
      <c r="R416" s="197">
        <v>1</v>
      </c>
      <c r="S416" s="198" t="s">
        <v>33</v>
      </c>
      <c r="T416" s="199"/>
      <c r="U416" s="200"/>
      <c r="V416" s="200"/>
      <c r="W416" s="200"/>
      <c r="X416" s="200"/>
      <c r="Y416" s="200"/>
      <c r="Z416" s="200"/>
      <c r="AA416" s="200"/>
      <c r="AB416" s="200"/>
      <c r="AC416" s="208"/>
      <c r="AD416" s="11" t="str">
        <f t="shared" si="21"/>
        <v>3</v>
      </c>
      <c r="AF416" t="str">
        <f t="shared" si="22"/>
        <v>80.01.ZZ.03</v>
      </c>
      <c r="AH416" t="str">
        <f t="shared" si="23"/>
        <v>00 de 01</v>
      </c>
    </row>
    <row r="417" spans="1:34" ht="34.5" x14ac:dyDescent="0.25">
      <c r="A417" s="139" t="s">
        <v>116</v>
      </c>
      <c r="B417" s="105" t="s">
        <v>122</v>
      </c>
      <c r="C417" s="63">
        <v>405</v>
      </c>
      <c r="D417" s="197" t="s">
        <v>192</v>
      </c>
      <c r="E417" s="189" t="s">
        <v>641</v>
      </c>
      <c r="F417" s="190" t="s">
        <v>123</v>
      </c>
      <c r="G417" s="189" t="s">
        <v>134</v>
      </c>
      <c r="H417" s="191">
        <v>61792</v>
      </c>
      <c r="I417" s="189" t="s">
        <v>224</v>
      </c>
      <c r="J417" s="189">
        <v>0</v>
      </c>
      <c r="K417" s="189">
        <v>10101</v>
      </c>
      <c r="L417" s="191">
        <v>3</v>
      </c>
      <c r="M417" s="192">
        <v>46092</v>
      </c>
      <c r="N417" s="193">
        <v>1</v>
      </c>
      <c r="O417" s="194">
        <v>0.5</v>
      </c>
      <c r="P417" s="195"/>
      <c r="Q417" s="196" t="s">
        <v>38</v>
      </c>
      <c r="R417" s="197">
        <v>1</v>
      </c>
      <c r="S417" s="198" t="s">
        <v>33</v>
      </c>
      <c r="T417" s="199"/>
      <c r="U417" s="200"/>
      <c r="V417" s="200"/>
      <c r="W417" s="200"/>
      <c r="X417" s="200"/>
      <c r="Y417" s="200"/>
      <c r="Z417" s="200"/>
      <c r="AA417" s="200"/>
      <c r="AB417" s="200"/>
      <c r="AC417" s="208"/>
      <c r="AD417" s="11" t="str">
        <f t="shared" si="21"/>
        <v>3</v>
      </c>
      <c r="AF417" t="str">
        <f t="shared" si="22"/>
        <v>80.01.ZZ.03</v>
      </c>
      <c r="AH417" t="str">
        <f t="shared" si="23"/>
        <v>00 de 01</v>
      </c>
    </row>
    <row r="418" spans="1:34" ht="34.5" x14ac:dyDescent="0.25">
      <c r="A418" s="139" t="s">
        <v>116</v>
      </c>
      <c r="B418" s="105" t="s">
        <v>122</v>
      </c>
      <c r="C418" s="63">
        <v>406</v>
      </c>
      <c r="D418" s="197" t="s">
        <v>192</v>
      </c>
      <c r="E418" s="189" t="s">
        <v>642</v>
      </c>
      <c r="F418" s="190" t="s">
        <v>123</v>
      </c>
      <c r="G418" s="189" t="s">
        <v>134</v>
      </c>
      <c r="H418" s="191">
        <v>61792</v>
      </c>
      <c r="I418" s="189" t="s">
        <v>224</v>
      </c>
      <c r="J418" s="189">
        <v>0</v>
      </c>
      <c r="K418" s="189">
        <v>10101</v>
      </c>
      <c r="L418" s="191">
        <v>3</v>
      </c>
      <c r="M418" s="192">
        <v>46092</v>
      </c>
      <c r="N418" s="193">
        <v>1</v>
      </c>
      <c r="O418" s="194">
        <v>0.5</v>
      </c>
      <c r="P418" s="195"/>
      <c r="Q418" s="196" t="s">
        <v>38</v>
      </c>
      <c r="R418" s="197">
        <v>1</v>
      </c>
      <c r="S418" s="198" t="s">
        <v>33</v>
      </c>
      <c r="T418" s="199"/>
      <c r="U418" s="200"/>
      <c r="V418" s="200"/>
      <c r="W418" s="200"/>
      <c r="X418" s="200"/>
      <c r="Y418" s="200"/>
      <c r="Z418" s="200"/>
      <c r="AA418" s="200"/>
      <c r="AB418" s="200"/>
      <c r="AC418" s="208"/>
      <c r="AD418" s="11" t="str">
        <f t="shared" si="21"/>
        <v>3</v>
      </c>
      <c r="AF418" t="str">
        <f t="shared" si="22"/>
        <v>80.01.ZZ.03</v>
      </c>
      <c r="AH418" t="str">
        <f t="shared" si="23"/>
        <v>00 de 01</v>
      </c>
    </row>
    <row r="419" spans="1:34" ht="34.5" x14ac:dyDescent="0.25">
      <c r="A419" s="139" t="s">
        <v>116</v>
      </c>
      <c r="B419" s="105" t="s">
        <v>122</v>
      </c>
      <c r="C419" s="63">
        <v>407</v>
      </c>
      <c r="D419" s="197" t="s">
        <v>192</v>
      </c>
      <c r="E419" s="189" t="s">
        <v>643</v>
      </c>
      <c r="F419" s="190" t="s">
        <v>123</v>
      </c>
      <c r="G419" s="189" t="s">
        <v>134</v>
      </c>
      <c r="H419" s="191">
        <v>61792</v>
      </c>
      <c r="I419" s="189" t="s">
        <v>224</v>
      </c>
      <c r="J419" s="189">
        <v>0</v>
      </c>
      <c r="K419" s="189">
        <v>10101</v>
      </c>
      <c r="L419" s="191">
        <v>3</v>
      </c>
      <c r="M419" s="192">
        <v>46092</v>
      </c>
      <c r="N419" s="193">
        <v>1</v>
      </c>
      <c r="O419" s="194">
        <v>0.5</v>
      </c>
      <c r="P419" s="195"/>
      <c r="Q419" s="196" t="s">
        <v>38</v>
      </c>
      <c r="R419" s="197">
        <v>1</v>
      </c>
      <c r="S419" s="198" t="s">
        <v>33</v>
      </c>
      <c r="T419" s="199"/>
      <c r="U419" s="200"/>
      <c r="V419" s="200"/>
      <c r="W419" s="200"/>
      <c r="X419" s="200"/>
      <c r="Y419" s="200"/>
      <c r="Z419" s="200"/>
      <c r="AA419" s="200"/>
      <c r="AB419" s="200"/>
      <c r="AC419" s="208"/>
      <c r="AD419" s="11" t="str">
        <f t="shared" si="21"/>
        <v>3</v>
      </c>
      <c r="AF419" t="str">
        <f t="shared" si="22"/>
        <v>80.01.ZZ.03</v>
      </c>
      <c r="AH419" t="str">
        <f t="shared" si="23"/>
        <v>00 de 01</v>
      </c>
    </row>
    <row r="420" spans="1:34" ht="34.5" x14ac:dyDescent="0.25">
      <c r="A420" s="139" t="s">
        <v>116</v>
      </c>
      <c r="B420" s="105" t="s">
        <v>122</v>
      </c>
      <c r="C420" s="63">
        <v>408</v>
      </c>
      <c r="D420" s="197" t="s">
        <v>192</v>
      </c>
      <c r="E420" s="189" t="s">
        <v>644</v>
      </c>
      <c r="F420" s="190" t="s">
        <v>123</v>
      </c>
      <c r="G420" s="189" t="s">
        <v>134</v>
      </c>
      <c r="H420" s="191">
        <v>61792</v>
      </c>
      <c r="I420" s="189" t="s">
        <v>224</v>
      </c>
      <c r="J420" s="189">
        <v>0</v>
      </c>
      <c r="K420" s="189">
        <v>10101</v>
      </c>
      <c r="L420" s="191">
        <v>3</v>
      </c>
      <c r="M420" s="192">
        <v>46092</v>
      </c>
      <c r="N420" s="193">
        <v>1</v>
      </c>
      <c r="O420" s="194">
        <v>0.5</v>
      </c>
      <c r="P420" s="195"/>
      <c r="Q420" s="196" t="s">
        <v>38</v>
      </c>
      <c r="R420" s="197">
        <v>1</v>
      </c>
      <c r="S420" s="198" t="s">
        <v>33</v>
      </c>
      <c r="T420" s="199"/>
      <c r="U420" s="200"/>
      <c r="V420" s="200"/>
      <c r="W420" s="200"/>
      <c r="X420" s="200"/>
      <c r="Y420" s="200"/>
      <c r="Z420" s="200"/>
      <c r="AA420" s="200"/>
      <c r="AB420" s="200"/>
      <c r="AC420" s="208"/>
      <c r="AD420" s="11" t="str">
        <f t="shared" si="21"/>
        <v>3</v>
      </c>
      <c r="AF420" t="str">
        <f t="shared" si="22"/>
        <v>80.01.ZZ.03</v>
      </c>
      <c r="AH420" t="str">
        <f t="shared" si="23"/>
        <v>00 de 01</v>
      </c>
    </row>
    <row r="421" spans="1:34" ht="34.5" x14ac:dyDescent="0.25">
      <c r="A421" s="139" t="s">
        <v>116</v>
      </c>
      <c r="B421" s="105" t="s">
        <v>122</v>
      </c>
      <c r="C421" s="63">
        <v>409</v>
      </c>
      <c r="D421" s="197" t="s">
        <v>192</v>
      </c>
      <c r="E421" s="189" t="s">
        <v>247</v>
      </c>
      <c r="F421" s="190" t="s">
        <v>123</v>
      </c>
      <c r="G421" s="189" t="s">
        <v>134</v>
      </c>
      <c r="H421" s="191">
        <v>61792</v>
      </c>
      <c r="I421" s="189" t="s">
        <v>224</v>
      </c>
      <c r="J421" s="189">
        <v>0</v>
      </c>
      <c r="K421" s="189">
        <v>10401</v>
      </c>
      <c r="L421" s="191">
        <v>3</v>
      </c>
      <c r="M421" s="192">
        <v>46092</v>
      </c>
      <c r="N421" s="193">
        <v>1</v>
      </c>
      <c r="O421" s="194">
        <v>0.5</v>
      </c>
      <c r="P421" s="195"/>
      <c r="Q421" s="196" t="s">
        <v>38</v>
      </c>
      <c r="R421" s="197">
        <v>1</v>
      </c>
      <c r="S421" s="198" t="s">
        <v>33</v>
      </c>
      <c r="T421" s="199"/>
      <c r="U421" s="200"/>
      <c r="V421" s="200"/>
      <c r="W421" s="200"/>
      <c r="X421" s="200"/>
      <c r="Y421" s="200"/>
      <c r="Z421" s="200"/>
      <c r="AA421" s="200"/>
      <c r="AB421" s="200"/>
      <c r="AC421" s="208"/>
      <c r="AD421" s="11" t="str">
        <f t="shared" si="21"/>
        <v>3</v>
      </c>
      <c r="AF421" t="str">
        <f t="shared" si="22"/>
        <v>80.01.ZZ.03</v>
      </c>
      <c r="AH421" t="str">
        <f t="shared" si="23"/>
        <v>00 de 01</v>
      </c>
    </row>
    <row r="422" spans="1:34" ht="34.5" x14ac:dyDescent="0.25">
      <c r="A422" s="139" t="s">
        <v>116</v>
      </c>
      <c r="B422" s="105" t="s">
        <v>122</v>
      </c>
      <c r="C422" s="63">
        <v>410</v>
      </c>
      <c r="D422" s="197" t="s">
        <v>192</v>
      </c>
      <c r="E422" s="189" t="s">
        <v>645</v>
      </c>
      <c r="F422" s="190" t="s">
        <v>123</v>
      </c>
      <c r="G422" s="189" t="s">
        <v>134</v>
      </c>
      <c r="H422" s="191">
        <v>61792</v>
      </c>
      <c r="I422" s="189" t="s">
        <v>224</v>
      </c>
      <c r="J422" s="189">
        <v>0</v>
      </c>
      <c r="K422" s="189">
        <v>10401</v>
      </c>
      <c r="L422" s="191">
        <v>3</v>
      </c>
      <c r="M422" s="192">
        <v>46092</v>
      </c>
      <c r="N422" s="193">
        <v>1</v>
      </c>
      <c r="O422" s="194">
        <v>0.5</v>
      </c>
      <c r="P422" s="195"/>
      <c r="Q422" s="196" t="s">
        <v>38</v>
      </c>
      <c r="R422" s="197">
        <v>1</v>
      </c>
      <c r="S422" s="198" t="s">
        <v>33</v>
      </c>
      <c r="T422" s="199"/>
      <c r="U422" s="200"/>
      <c r="V422" s="200"/>
      <c r="W422" s="200"/>
      <c r="X422" s="200"/>
      <c r="Y422" s="200"/>
      <c r="Z422" s="200"/>
      <c r="AA422" s="200"/>
      <c r="AB422" s="200"/>
      <c r="AC422" s="208"/>
      <c r="AD422" s="11" t="str">
        <f t="shared" si="21"/>
        <v>3</v>
      </c>
      <c r="AF422" t="str">
        <f t="shared" si="22"/>
        <v>80.01.ZZ.03</v>
      </c>
      <c r="AH422" t="str">
        <f t="shared" si="23"/>
        <v>00 de 01</v>
      </c>
    </row>
    <row r="423" spans="1:34" ht="34.5" x14ac:dyDescent="0.25">
      <c r="A423" s="139" t="s">
        <v>116</v>
      </c>
      <c r="B423" s="105" t="s">
        <v>122</v>
      </c>
      <c r="C423" s="63">
        <v>411</v>
      </c>
      <c r="D423" s="197" t="s">
        <v>192</v>
      </c>
      <c r="E423" s="189" t="s">
        <v>646</v>
      </c>
      <c r="F423" s="190" t="s">
        <v>123</v>
      </c>
      <c r="G423" s="189" t="s">
        <v>134</v>
      </c>
      <c r="H423" s="191">
        <v>61792</v>
      </c>
      <c r="I423" s="189" t="s">
        <v>224</v>
      </c>
      <c r="J423" s="189">
        <v>0</v>
      </c>
      <c r="K423" s="189">
        <v>10401</v>
      </c>
      <c r="L423" s="191">
        <v>3</v>
      </c>
      <c r="M423" s="192">
        <v>46092</v>
      </c>
      <c r="N423" s="193">
        <v>1</v>
      </c>
      <c r="O423" s="194">
        <v>0.5</v>
      </c>
      <c r="P423" s="195"/>
      <c r="Q423" s="196" t="s">
        <v>38</v>
      </c>
      <c r="R423" s="197">
        <v>1</v>
      </c>
      <c r="S423" s="198" t="s">
        <v>33</v>
      </c>
      <c r="T423" s="199"/>
      <c r="U423" s="200"/>
      <c r="V423" s="200"/>
      <c r="W423" s="200"/>
      <c r="X423" s="200"/>
      <c r="Y423" s="200"/>
      <c r="Z423" s="200"/>
      <c r="AA423" s="200"/>
      <c r="AB423" s="200"/>
      <c r="AC423" s="208"/>
      <c r="AD423" s="11" t="str">
        <f t="shared" si="21"/>
        <v>3</v>
      </c>
      <c r="AF423" t="str">
        <f t="shared" si="22"/>
        <v>80.01.ZZ.03</v>
      </c>
      <c r="AH423" t="str">
        <f t="shared" si="23"/>
        <v>00 de 01</v>
      </c>
    </row>
    <row r="424" spans="1:34" ht="34.5" x14ac:dyDescent="0.25">
      <c r="A424" s="139" t="s">
        <v>116</v>
      </c>
      <c r="B424" s="105" t="s">
        <v>122</v>
      </c>
      <c r="C424" s="63">
        <v>412</v>
      </c>
      <c r="D424" s="197" t="s">
        <v>192</v>
      </c>
      <c r="E424" s="189" t="s">
        <v>647</v>
      </c>
      <c r="F424" s="190" t="s">
        <v>123</v>
      </c>
      <c r="G424" s="189" t="s">
        <v>134</v>
      </c>
      <c r="H424" s="191">
        <v>61792</v>
      </c>
      <c r="I424" s="189" t="s">
        <v>224</v>
      </c>
      <c r="J424" s="189">
        <v>0</v>
      </c>
      <c r="K424" s="189">
        <v>10401</v>
      </c>
      <c r="L424" s="191">
        <v>3</v>
      </c>
      <c r="M424" s="192">
        <v>46092</v>
      </c>
      <c r="N424" s="193">
        <v>1</v>
      </c>
      <c r="O424" s="194">
        <v>0.5</v>
      </c>
      <c r="P424" s="195"/>
      <c r="Q424" s="196" t="s">
        <v>38</v>
      </c>
      <c r="R424" s="197">
        <v>1</v>
      </c>
      <c r="S424" s="198" t="s">
        <v>33</v>
      </c>
      <c r="T424" s="199"/>
      <c r="U424" s="200"/>
      <c r="V424" s="200"/>
      <c r="W424" s="200"/>
      <c r="X424" s="200"/>
      <c r="Y424" s="200"/>
      <c r="Z424" s="200"/>
      <c r="AA424" s="200"/>
      <c r="AB424" s="200"/>
      <c r="AC424" s="208"/>
      <c r="AD424" s="11" t="str">
        <f t="shared" si="21"/>
        <v>3</v>
      </c>
      <c r="AF424" t="str">
        <f t="shared" si="22"/>
        <v>80.01.ZZ.03</v>
      </c>
      <c r="AH424" t="str">
        <f t="shared" si="23"/>
        <v>00 de 01</v>
      </c>
    </row>
    <row r="425" spans="1:34" ht="34.5" x14ac:dyDescent="0.25">
      <c r="A425" s="139" t="s">
        <v>116</v>
      </c>
      <c r="B425" s="105" t="s">
        <v>122</v>
      </c>
      <c r="C425" s="63">
        <v>413</v>
      </c>
      <c r="D425" s="197" t="s">
        <v>192</v>
      </c>
      <c r="E425" s="189" t="s">
        <v>648</v>
      </c>
      <c r="F425" s="190" t="s">
        <v>123</v>
      </c>
      <c r="G425" s="189" t="s">
        <v>134</v>
      </c>
      <c r="H425" s="191">
        <v>61792</v>
      </c>
      <c r="I425" s="189" t="s">
        <v>224</v>
      </c>
      <c r="J425" s="189">
        <v>0</v>
      </c>
      <c r="K425" s="189">
        <v>10401</v>
      </c>
      <c r="L425" s="191">
        <v>3</v>
      </c>
      <c r="M425" s="192">
        <v>46092</v>
      </c>
      <c r="N425" s="193">
        <v>1</v>
      </c>
      <c r="O425" s="194">
        <v>0.5</v>
      </c>
      <c r="P425" s="195"/>
      <c r="Q425" s="196" t="s">
        <v>38</v>
      </c>
      <c r="R425" s="197">
        <v>1</v>
      </c>
      <c r="S425" s="198" t="s">
        <v>33</v>
      </c>
      <c r="T425" s="199"/>
      <c r="U425" s="200"/>
      <c r="V425" s="200"/>
      <c r="W425" s="200"/>
      <c r="X425" s="200"/>
      <c r="Y425" s="200"/>
      <c r="Z425" s="200"/>
      <c r="AA425" s="200"/>
      <c r="AB425" s="200"/>
      <c r="AC425" s="208"/>
      <c r="AD425" s="11" t="str">
        <f t="shared" si="21"/>
        <v>3</v>
      </c>
      <c r="AF425" t="str">
        <f t="shared" si="22"/>
        <v>80.01.ZZ.03</v>
      </c>
      <c r="AH425" t="str">
        <f t="shared" si="23"/>
        <v>00 de 01</v>
      </c>
    </row>
    <row r="426" spans="1:34" ht="34.5" x14ac:dyDescent="0.25">
      <c r="A426" s="139" t="s">
        <v>116</v>
      </c>
      <c r="B426" s="105" t="s">
        <v>122</v>
      </c>
      <c r="C426" s="63">
        <v>414</v>
      </c>
      <c r="D426" s="197" t="s">
        <v>192</v>
      </c>
      <c r="E426" s="189" t="s">
        <v>649</v>
      </c>
      <c r="F426" s="190" t="s">
        <v>123</v>
      </c>
      <c r="G426" s="189" t="s">
        <v>134</v>
      </c>
      <c r="H426" s="191">
        <v>61792</v>
      </c>
      <c r="I426" s="189" t="s">
        <v>224</v>
      </c>
      <c r="J426" s="189">
        <v>0</v>
      </c>
      <c r="K426" s="189">
        <v>10401</v>
      </c>
      <c r="L426" s="191">
        <v>3</v>
      </c>
      <c r="M426" s="192">
        <v>46092</v>
      </c>
      <c r="N426" s="193">
        <v>1</v>
      </c>
      <c r="O426" s="194">
        <v>0.5</v>
      </c>
      <c r="P426" s="195"/>
      <c r="Q426" s="196" t="s">
        <v>38</v>
      </c>
      <c r="R426" s="197">
        <v>1</v>
      </c>
      <c r="S426" s="198" t="s">
        <v>33</v>
      </c>
      <c r="T426" s="199"/>
      <c r="U426" s="200"/>
      <c r="V426" s="200"/>
      <c r="W426" s="200"/>
      <c r="X426" s="200"/>
      <c r="Y426" s="200"/>
      <c r="Z426" s="200"/>
      <c r="AA426" s="200"/>
      <c r="AB426" s="200"/>
      <c r="AC426" s="208"/>
      <c r="AD426" s="11" t="str">
        <f t="shared" si="21"/>
        <v>3</v>
      </c>
      <c r="AF426" t="str">
        <f t="shared" si="22"/>
        <v>80.01.ZZ.03</v>
      </c>
      <c r="AH426" t="str">
        <f t="shared" si="23"/>
        <v>00 de 01</v>
      </c>
    </row>
    <row r="427" spans="1:34" ht="34.5" x14ac:dyDescent="0.25">
      <c r="A427" s="139" t="s">
        <v>116</v>
      </c>
      <c r="B427" s="105" t="s">
        <v>122</v>
      </c>
      <c r="C427" s="63">
        <v>415</v>
      </c>
      <c r="D427" s="197" t="s">
        <v>192</v>
      </c>
      <c r="E427" s="189" t="s">
        <v>650</v>
      </c>
      <c r="F427" s="190" t="s">
        <v>123</v>
      </c>
      <c r="G427" s="189" t="s">
        <v>134</v>
      </c>
      <c r="H427" s="191">
        <v>61792</v>
      </c>
      <c r="I427" s="189" t="s">
        <v>224</v>
      </c>
      <c r="J427" s="189">
        <v>0</v>
      </c>
      <c r="K427" s="189">
        <v>10401</v>
      </c>
      <c r="L427" s="191">
        <v>3</v>
      </c>
      <c r="M427" s="192">
        <v>46092</v>
      </c>
      <c r="N427" s="193">
        <v>1</v>
      </c>
      <c r="O427" s="194">
        <v>0.5</v>
      </c>
      <c r="P427" s="195"/>
      <c r="Q427" s="196" t="s">
        <v>38</v>
      </c>
      <c r="R427" s="197">
        <v>1</v>
      </c>
      <c r="S427" s="198" t="s">
        <v>33</v>
      </c>
      <c r="T427" s="199"/>
      <c r="U427" s="200"/>
      <c r="V427" s="200"/>
      <c r="W427" s="200"/>
      <c r="X427" s="200"/>
      <c r="Y427" s="200"/>
      <c r="Z427" s="200"/>
      <c r="AA427" s="200"/>
      <c r="AB427" s="200"/>
      <c r="AC427" s="208"/>
      <c r="AD427" s="11" t="str">
        <f t="shared" si="21"/>
        <v>3</v>
      </c>
      <c r="AF427" t="str">
        <f t="shared" si="22"/>
        <v>80.01.ZZ.03</v>
      </c>
      <c r="AH427" t="str">
        <f t="shared" si="23"/>
        <v>00 de 01</v>
      </c>
    </row>
    <row r="428" spans="1:34" ht="34.5" x14ac:dyDescent="0.25">
      <c r="A428" s="139" t="s">
        <v>116</v>
      </c>
      <c r="B428" s="105" t="s">
        <v>122</v>
      </c>
      <c r="C428" s="63">
        <v>416</v>
      </c>
      <c r="D428" s="197" t="s">
        <v>192</v>
      </c>
      <c r="E428" s="189" t="s">
        <v>651</v>
      </c>
      <c r="F428" s="190" t="s">
        <v>123</v>
      </c>
      <c r="G428" s="189" t="s">
        <v>134</v>
      </c>
      <c r="H428" s="191">
        <v>61792</v>
      </c>
      <c r="I428" s="189" t="s">
        <v>224</v>
      </c>
      <c r="J428" s="189">
        <v>0</v>
      </c>
      <c r="K428" s="189">
        <v>10401</v>
      </c>
      <c r="L428" s="191">
        <v>3</v>
      </c>
      <c r="M428" s="192">
        <v>46092</v>
      </c>
      <c r="N428" s="193">
        <v>1</v>
      </c>
      <c r="O428" s="194">
        <v>0.5</v>
      </c>
      <c r="P428" s="195"/>
      <c r="Q428" s="196" t="s">
        <v>38</v>
      </c>
      <c r="R428" s="197">
        <v>1</v>
      </c>
      <c r="S428" s="198" t="s">
        <v>33</v>
      </c>
      <c r="T428" s="199"/>
      <c r="U428" s="200"/>
      <c r="V428" s="200"/>
      <c r="W428" s="200"/>
      <c r="X428" s="200"/>
      <c r="Y428" s="200"/>
      <c r="Z428" s="200"/>
      <c r="AA428" s="200"/>
      <c r="AB428" s="200"/>
      <c r="AC428" s="208"/>
      <c r="AD428" s="11" t="str">
        <f t="shared" si="21"/>
        <v>3</v>
      </c>
      <c r="AF428" t="str">
        <f t="shared" si="22"/>
        <v>80.01.ZZ.03</v>
      </c>
      <c r="AH428" t="str">
        <f t="shared" si="23"/>
        <v>00 de 01</v>
      </c>
    </row>
    <row r="429" spans="1:34" ht="34.5" x14ac:dyDescent="0.25">
      <c r="A429" s="139" t="s">
        <v>116</v>
      </c>
      <c r="B429" s="105" t="s">
        <v>122</v>
      </c>
      <c r="C429" s="63">
        <v>417</v>
      </c>
      <c r="D429" s="197" t="s">
        <v>192</v>
      </c>
      <c r="E429" s="189" t="s">
        <v>652</v>
      </c>
      <c r="F429" s="190" t="s">
        <v>123</v>
      </c>
      <c r="G429" s="189" t="s">
        <v>134</v>
      </c>
      <c r="H429" s="191">
        <v>61792</v>
      </c>
      <c r="I429" s="189" t="s">
        <v>224</v>
      </c>
      <c r="J429" s="189">
        <v>0</v>
      </c>
      <c r="K429" s="189">
        <v>10401</v>
      </c>
      <c r="L429" s="191">
        <v>3</v>
      </c>
      <c r="M429" s="192">
        <v>46092</v>
      </c>
      <c r="N429" s="193">
        <v>1</v>
      </c>
      <c r="O429" s="194">
        <v>0.5</v>
      </c>
      <c r="P429" s="195"/>
      <c r="Q429" s="196" t="s">
        <v>38</v>
      </c>
      <c r="R429" s="197">
        <v>1</v>
      </c>
      <c r="S429" s="198" t="s">
        <v>33</v>
      </c>
      <c r="T429" s="199"/>
      <c r="U429" s="200"/>
      <c r="V429" s="200"/>
      <c r="W429" s="200"/>
      <c r="X429" s="200"/>
      <c r="Y429" s="200"/>
      <c r="Z429" s="200"/>
      <c r="AA429" s="200"/>
      <c r="AB429" s="200"/>
      <c r="AC429" s="208"/>
      <c r="AD429" s="11" t="str">
        <f t="shared" si="21"/>
        <v>3</v>
      </c>
      <c r="AF429" t="str">
        <f t="shared" si="22"/>
        <v>80.01.ZZ.03</v>
      </c>
      <c r="AH429" t="str">
        <f t="shared" si="23"/>
        <v>00 de 01</v>
      </c>
    </row>
    <row r="430" spans="1:34" ht="34.5" x14ac:dyDescent="0.25">
      <c r="A430" s="139" t="s">
        <v>116</v>
      </c>
      <c r="B430" s="105" t="s">
        <v>122</v>
      </c>
      <c r="C430" s="63">
        <v>418</v>
      </c>
      <c r="D430" s="197" t="s">
        <v>192</v>
      </c>
      <c r="E430" s="189" t="s">
        <v>653</v>
      </c>
      <c r="F430" s="190" t="s">
        <v>123</v>
      </c>
      <c r="G430" s="189" t="s">
        <v>134</v>
      </c>
      <c r="H430" s="191">
        <v>61792</v>
      </c>
      <c r="I430" s="189" t="s">
        <v>224</v>
      </c>
      <c r="J430" s="189">
        <v>0</v>
      </c>
      <c r="K430" s="189">
        <v>10401</v>
      </c>
      <c r="L430" s="191">
        <v>3</v>
      </c>
      <c r="M430" s="192">
        <v>46092</v>
      </c>
      <c r="N430" s="193">
        <v>1</v>
      </c>
      <c r="O430" s="194">
        <v>0.5</v>
      </c>
      <c r="P430" s="195"/>
      <c r="Q430" s="196" t="s">
        <v>38</v>
      </c>
      <c r="R430" s="197">
        <v>1</v>
      </c>
      <c r="S430" s="198" t="s">
        <v>33</v>
      </c>
      <c r="T430" s="199"/>
      <c r="U430" s="200"/>
      <c r="V430" s="200"/>
      <c r="W430" s="200"/>
      <c r="X430" s="200"/>
      <c r="Y430" s="200"/>
      <c r="Z430" s="200"/>
      <c r="AA430" s="200"/>
      <c r="AB430" s="200"/>
      <c r="AC430" s="208"/>
      <c r="AD430" s="11" t="str">
        <f t="shared" si="21"/>
        <v>3</v>
      </c>
      <c r="AF430" t="str">
        <f t="shared" si="22"/>
        <v>80.01.ZZ.03</v>
      </c>
      <c r="AH430" t="str">
        <f t="shared" si="23"/>
        <v>00 de 01</v>
      </c>
    </row>
    <row r="431" spans="1:34" ht="34.5" x14ac:dyDescent="0.25">
      <c r="A431" s="139" t="s">
        <v>116</v>
      </c>
      <c r="B431" s="105" t="s">
        <v>122</v>
      </c>
      <c r="C431" s="63">
        <v>419</v>
      </c>
      <c r="D431" s="197" t="s">
        <v>192</v>
      </c>
      <c r="E431" s="189" t="s">
        <v>654</v>
      </c>
      <c r="F431" s="190" t="s">
        <v>123</v>
      </c>
      <c r="G431" s="189" t="s">
        <v>134</v>
      </c>
      <c r="H431" s="191">
        <v>61792</v>
      </c>
      <c r="I431" s="189" t="s">
        <v>224</v>
      </c>
      <c r="J431" s="189">
        <v>0</v>
      </c>
      <c r="K431" s="189">
        <v>10401</v>
      </c>
      <c r="L431" s="191">
        <v>3</v>
      </c>
      <c r="M431" s="192">
        <v>46092</v>
      </c>
      <c r="N431" s="193">
        <v>1</v>
      </c>
      <c r="O431" s="194">
        <v>0.5</v>
      </c>
      <c r="P431" s="195"/>
      <c r="Q431" s="196" t="s">
        <v>38</v>
      </c>
      <c r="R431" s="197">
        <v>1</v>
      </c>
      <c r="S431" s="198" t="s">
        <v>33</v>
      </c>
      <c r="T431" s="199"/>
      <c r="U431" s="200"/>
      <c r="V431" s="200"/>
      <c r="W431" s="200"/>
      <c r="X431" s="200"/>
      <c r="Y431" s="200"/>
      <c r="Z431" s="200"/>
      <c r="AA431" s="200"/>
      <c r="AB431" s="200"/>
      <c r="AC431" s="208"/>
      <c r="AD431" s="11" t="str">
        <f t="shared" ref="AD431:AD462" si="24">RIGHT(L431,2)</f>
        <v>3</v>
      </c>
      <c r="AF431" t="str">
        <f t="shared" ref="AF431:AF462" si="25">CONCATENATE("80.01.ZZ.0",L431)</f>
        <v>80.01.ZZ.03</v>
      </c>
      <c r="AH431" t="str">
        <f t="shared" ref="AH431:AH462" si="26">CONCATENATE("00 de 0",R431)</f>
        <v>00 de 01</v>
      </c>
    </row>
    <row r="432" spans="1:34" ht="34.5" x14ac:dyDescent="0.25">
      <c r="A432" s="139" t="s">
        <v>116</v>
      </c>
      <c r="B432" s="105" t="s">
        <v>122</v>
      </c>
      <c r="C432" s="63">
        <v>420</v>
      </c>
      <c r="D432" s="197" t="s">
        <v>192</v>
      </c>
      <c r="E432" s="189" t="s">
        <v>655</v>
      </c>
      <c r="F432" s="190" t="s">
        <v>123</v>
      </c>
      <c r="G432" s="189" t="s">
        <v>134</v>
      </c>
      <c r="H432" s="191">
        <v>61792</v>
      </c>
      <c r="I432" s="189" t="s">
        <v>224</v>
      </c>
      <c r="J432" s="189">
        <v>0</v>
      </c>
      <c r="K432" s="189">
        <v>10401</v>
      </c>
      <c r="L432" s="191">
        <v>3</v>
      </c>
      <c r="M432" s="192">
        <v>46092</v>
      </c>
      <c r="N432" s="193">
        <v>1</v>
      </c>
      <c r="O432" s="194">
        <v>0.5</v>
      </c>
      <c r="P432" s="195"/>
      <c r="Q432" s="196" t="s">
        <v>38</v>
      </c>
      <c r="R432" s="197">
        <v>1</v>
      </c>
      <c r="S432" s="198" t="s">
        <v>33</v>
      </c>
      <c r="T432" s="199"/>
      <c r="U432" s="200"/>
      <c r="V432" s="200"/>
      <c r="W432" s="200"/>
      <c r="X432" s="200"/>
      <c r="Y432" s="200"/>
      <c r="Z432" s="200"/>
      <c r="AA432" s="200"/>
      <c r="AB432" s="200"/>
      <c r="AC432" s="208"/>
      <c r="AD432" s="11" t="str">
        <f t="shared" si="24"/>
        <v>3</v>
      </c>
      <c r="AF432" t="str">
        <f t="shared" si="25"/>
        <v>80.01.ZZ.03</v>
      </c>
      <c r="AH432" t="str">
        <f t="shared" si="26"/>
        <v>00 de 01</v>
      </c>
    </row>
    <row r="433" spans="1:34" ht="34.5" x14ac:dyDescent="0.25">
      <c r="A433" s="139" t="s">
        <v>116</v>
      </c>
      <c r="B433" s="105" t="s">
        <v>122</v>
      </c>
      <c r="C433" s="63">
        <v>421</v>
      </c>
      <c r="D433" s="197" t="s">
        <v>192</v>
      </c>
      <c r="E433" s="189" t="s">
        <v>656</v>
      </c>
      <c r="F433" s="190" t="s">
        <v>123</v>
      </c>
      <c r="G433" s="189" t="s">
        <v>134</v>
      </c>
      <c r="H433" s="191">
        <v>61792</v>
      </c>
      <c r="I433" s="189" t="s">
        <v>224</v>
      </c>
      <c r="J433" s="189">
        <v>0</v>
      </c>
      <c r="K433" s="189">
        <v>10401</v>
      </c>
      <c r="L433" s="191">
        <v>3</v>
      </c>
      <c r="M433" s="192">
        <v>46092</v>
      </c>
      <c r="N433" s="193">
        <v>1</v>
      </c>
      <c r="O433" s="194">
        <v>0.5</v>
      </c>
      <c r="P433" s="195"/>
      <c r="Q433" s="196" t="s">
        <v>38</v>
      </c>
      <c r="R433" s="197">
        <v>1</v>
      </c>
      <c r="S433" s="198" t="s">
        <v>33</v>
      </c>
      <c r="T433" s="199"/>
      <c r="U433" s="200"/>
      <c r="V433" s="200"/>
      <c r="W433" s="200"/>
      <c r="X433" s="200"/>
      <c r="Y433" s="200"/>
      <c r="Z433" s="200"/>
      <c r="AA433" s="200"/>
      <c r="AB433" s="200"/>
      <c r="AC433" s="208"/>
      <c r="AD433" s="11" t="str">
        <f t="shared" si="24"/>
        <v>3</v>
      </c>
      <c r="AF433" t="str">
        <f t="shared" si="25"/>
        <v>80.01.ZZ.03</v>
      </c>
      <c r="AH433" t="str">
        <f t="shared" si="26"/>
        <v>00 de 01</v>
      </c>
    </row>
    <row r="434" spans="1:34" ht="34.5" x14ac:dyDescent="0.25">
      <c r="A434" s="139" t="s">
        <v>116</v>
      </c>
      <c r="B434" s="105" t="s">
        <v>122</v>
      </c>
      <c r="C434" s="63">
        <v>422</v>
      </c>
      <c r="D434" s="197" t="s">
        <v>192</v>
      </c>
      <c r="E434" s="189" t="s">
        <v>657</v>
      </c>
      <c r="F434" s="190" t="s">
        <v>123</v>
      </c>
      <c r="G434" s="189" t="s">
        <v>134</v>
      </c>
      <c r="H434" s="191">
        <v>61792</v>
      </c>
      <c r="I434" s="189" t="s">
        <v>224</v>
      </c>
      <c r="J434" s="189">
        <v>0</v>
      </c>
      <c r="K434" s="189">
        <v>10401</v>
      </c>
      <c r="L434" s="191">
        <v>3</v>
      </c>
      <c r="M434" s="192">
        <v>46092</v>
      </c>
      <c r="N434" s="193">
        <v>1</v>
      </c>
      <c r="O434" s="194">
        <v>0.5</v>
      </c>
      <c r="P434" s="195"/>
      <c r="Q434" s="196" t="s">
        <v>38</v>
      </c>
      <c r="R434" s="197">
        <v>1</v>
      </c>
      <c r="S434" s="198" t="s">
        <v>33</v>
      </c>
      <c r="T434" s="199"/>
      <c r="U434" s="200"/>
      <c r="V434" s="200"/>
      <c r="W434" s="200"/>
      <c r="X434" s="200"/>
      <c r="Y434" s="200"/>
      <c r="Z434" s="200"/>
      <c r="AA434" s="200"/>
      <c r="AB434" s="200"/>
      <c r="AC434" s="208"/>
      <c r="AD434" s="11" t="str">
        <f t="shared" si="24"/>
        <v>3</v>
      </c>
      <c r="AF434" t="str">
        <f t="shared" si="25"/>
        <v>80.01.ZZ.03</v>
      </c>
      <c r="AH434" t="str">
        <f t="shared" si="26"/>
        <v>00 de 01</v>
      </c>
    </row>
    <row r="435" spans="1:34" ht="34.5" x14ac:dyDescent="0.25">
      <c r="A435" s="139" t="s">
        <v>116</v>
      </c>
      <c r="B435" s="105" t="s">
        <v>122</v>
      </c>
      <c r="C435" s="63">
        <v>423</v>
      </c>
      <c r="D435" s="197" t="s">
        <v>192</v>
      </c>
      <c r="E435" s="189" t="s">
        <v>248</v>
      </c>
      <c r="F435" s="190" t="s">
        <v>123</v>
      </c>
      <c r="G435" s="189" t="s">
        <v>134</v>
      </c>
      <c r="H435" s="191">
        <v>61792</v>
      </c>
      <c r="I435" s="189" t="s">
        <v>224</v>
      </c>
      <c r="J435" s="189">
        <v>0</v>
      </c>
      <c r="K435" s="189">
        <v>11901</v>
      </c>
      <c r="L435" s="191">
        <v>3</v>
      </c>
      <c r="M435" s="192">
        <v>46092</v>
      </c>
      <c r="N435" s="193">
        <v>1</v>
      </c>
      <c r="O435" s="194">
        <v>0.5</v>
      </c>
      <c r="P435" s="195"/>
      <c r="Q435" s="196" t="s">
        <v>38</v>
      </c>
      <c r="R435" s="197">
        <v>1</v>
      </c>
      <c r="S435" s="198" t="s">
        <v>33</v>
      </c>
      <c r="T435" s="199"/>
      <c r="U435" s="200"/>
      <c r="V435" s="200"/>
      <c r="W435" s="200"/>
      <c r="X435" s="200"/>
      <c r="Y435" s="200"/>
      <c r="Z435" s="200"/>
      <c r="AA435" s="200"/>
      <c r="AB435" s="200"/>
      <c r="AC435" s="208"/>
      <c r="AD435" s="11" t="str">
        <f t="shared" si="24"/>
        <v>3</v>
      </c>
      <c r="AF435" t="str">
        <f t="shared" si="25"/>
        <v>80.01.ZZ.03</v>
      </c>
      <c r="AH435" t="str">
        <f t="shared" si="26"/>
        <v>00 de 01</v>
      </c>
    </row>
    <row r="436" spans="1:34" ht="34.5" x14ac:dyDescent="0.25">
      <c r="A436" s="139" t="s">
        <v>116</v>
      </c>
      <c r="B436" s="105" t="s">
        <v>122</v>
      </c>
      <c r="C436" s="63">
        <v>424</v>
      </c>
      <c r="D436" s="197" t="s">
        <v>192</v>
      </c>
      <c r="E436" s="189" t="s">
        <v>658</v>
      </c>
      <c r="F436" s="190" t="s">
        <v>123</v>
      </c>
      <c r="G436" s="189" t="s">
        <v>134</v>
      </c>
      <c r="H436" s="191">
        <v>61792</v>
      </c>
      <c r="I436" s="189" t="s">
        <v>224</v>
      </c>
      <c r="J436" s="189">
        <v>0</v>
      </c>
      <c r="K436" s="189">
        <v>11901</v>
      </c>
      <c r="L436" s="191">
        <v>3</v>
      </c>
      <c r="M436" s="192">
        <v>46092</v>
      </c>
      <c r="N436" s="193">
        <v>1</v>
      </c>
      <c r="O436" s="194">
        <v>0.5</v>
      </c>
      <c r="P436" s="195"/>
      <c r="Q436" s="196" t="s">
        <v>38</v>
      </c>
      <c r="R436" s="197">
        <v>1</v>
      </c>
      <c r="S436" s="198" t="s">
        <v>33</v>
      </c>
      <c r="T436" s="199"/>
      <c r="U436" s="200"/>
      <c r="V436" s="200"/>
      <c r="W436" s="200"/>
      <c r="X436" s="200"/>
      <c r="Y436" s="200"/>
      <c r="Z436" s="200"/>
      <c r="AA436" s="200"/>
      <c r="AB436" s="200"/>
      <c r="AC436" s="208"/>
      <c r="AD436" s="11" t="str">
        <f t="shared" si="24"/>
        <v>3</v>
      </c>
      <c r="AF436" t="str">
        <f t="shared" si="25"/>
        <v>80.01.ZZ.03</v>
      </c>
      <c r="AH436" t="str">
        <f t="shared" si="26"/>
        <v>00 de 01</v>
      </c>
    </row>
    <row r="437" spans="1:34" ht="34.5" x14ac:dyDescent="0.25">
      <c r="A437" s="139" t="s">
        <v>116</v>
      </c>
      <c r="B437" s="105" t="s">
        <v>122</v>
      </c>
      <c r="C437" s="63">
        <v>425</v>
      </c>
      <c r="D437" s="197" t="s">
        <v>192</v>
      </c>
      <c r="E437" s="189" t="s">
        <v>659</v>
      </c>
      <c r="F437" s="190" t="s">
        <v>123</v>
      </c>
      <c r="G437" s="189" t="s">
        <v>134</v>
      </c>
      <c r="H437" s="191">
        <v>61792</v>
      </c>
      <c r="I437" s="189" t="s">
        <v>224</v>
      </c>
      <c r="J437" s="189">
        <v>0</v>
      </c>
      <c r="K437" s="189">
        <v>11901</v>
      </c>
      <c r="L437" s="191">
        <v>3</v>
      </c>
      <c r="M437" s="192">
        <v>46092</v>
      </c>
      <c r="N437" s="193">
        <v>1</v>
      </c>
      <c r="O437" s="194">
        <v>0.5</v>
      </c>
      <c r="P437" s="195"/>
      <c r="Q437" s="196" t="s">
        <v>38</v>
      </c>
      <c r="R437" s="197">
        <v>1</v>
      </c>
      <c r="S437" s="198" t="s">
        <v>33</v>
      </c>
      <c r="T437" s="199"/>
      <c r="U437" s="200"/>
      <c r="V437" s="200"/>
      <c r="W437" s="200"/>
      <c r="X437" s="200"/>
      <c r="Y437" s="200"/>
      <c r="Z437" s="200"/>
      <c r="AA437" s="200"/>
      <c r="AB437" s="200"/>
      <c r="AC437" s="208"/>
      <c r="AD437" s="11" t="str">
        <f t="shared" si="24"/>
        <v>3</v>
      </c>
      <c r="AF437" t="str">
        <f t="shared" si="25"/>
        <v>80.01.ZZ.03</v>
      </c>
      <c r="AH437" t="str">
        <f t="shared" si="26"/>
        <v>00 de 01</v>
      </c>
    </row>
    <row r="438" spans="1:34" ht="34.5" x14ac:dyDescent="0.25">
      <c r="A438" s="139" t="s">
        <v>116</v>
      </c>
      <c r="B438" s="105" t="s">
        <v>122</v>
      </c>
      <c r="C438" s="63">
        <v>426</v>
      </c>
      <c r="D438" s="197" t="s">
        <v>192</v>
      </c>
      <c r="E438" s="189" t="s">
        <v>660</v>
      </c>
      <c r="F438" s="190" t="s">
        <v>123</v>
      </c>
      <c r="G438" s="189" t="s">
        <v>134</v>
      </c>
      <c r="H438" s="191">
        <v>61792</v>
      </c>
      <c r="I438" s="189" t="s">
        <v>224</v>
      </c>
      <c r="J438" s="189">
        <v>0</v>
      </c>
      <c r="K438" s="189">
        <v>11901</v>
      </c>
      <c r="L438" s="191">
        <v>3</v>
      </c>
      <c r="M438" s="192">
        <v>46092</v>
      </c>
      <c r="N438" s="193">
        <v>1</v>
      </c>
      <c r="O438" s="194">
        <v>0.5</v>
      </c>
      <c r="P438" s="195"/>
      <c r="Q438" s="196" t="s">
        <v>38</v>
      </c>
      <c r="R438" s="197">
        <v>1</v>
      </c>
      <c r="S438" s="198" t="s">
        <v>33</v>
      </c>
      <c r="T438" s="199"/>
      <c r="U438" s="200"/>
      <c r="V438" s="200"/>
      <c r="W438" s="200"/>
      <c r="X438" s="200"/>
      <c r="Y438" s="200"/>
      <c r="Z438" s="200"/>
      <c r="AA438" s="200"/>
      <c r="AB438" s="200"/>
      <c r="AC438" s="208"/>
      <c r="AD438" s="11" t="str">
        <f t="shared" si="24"/>
        <v>3</v>
      </c>
      <c r="AF438" t="str">
        <f t="shared" si="25"/>
        <v>80.01.ZZ.03</v>
      </c>
      <c r="AH438" t="str">
        <f t="shared" si="26"/>
        <v>00 de 01</v>
      </c>
    </row>
    <row r="439" spans="1:34" ht="34.5" x14ac:dyDescent="0.25">
      <c r="A439" s="139" t="s">
        <v>116</v>
      </c>
      <c r="B439" s="105" t="s">
        <v>122</v>
      </c>
      <c r="C439" s="63">
        <v>427</v>
      </c>
      <c r="D439" s="197" t="s">
        <v>192</v>
      </c>
      <c r="E439" s="189" t="s">
        <v>661</v>
      </c>
      <c r="F439" s="190" t="s">
        <v>123</v>
      </c>
      <c r="G439" s="189" t="s">
        <v>134</v>
      </c>
      <c r="H439" s="191">
        <v>61792</v>
      </c>
      <c r="I439" s="189" t="s">
        <v>224</v>
      </c>
      <c r="J439" s="189">
        <v>0</v>
      </c>
      <c r="K439" s="189">
        <v>11901</v>
      </c>
      <c r="L439" s="191">
        <v>3</v>
      </c>
      <c r="M439" s="192">
        <v>46092</v>
      </c>
      <c r="N439" s="193">
        <v>1</v>
      </c>
      <c r="O439" s="194">
        <v>0.5</v>
      </c>
      <c r="P439" s="195"/>
      <c r="Q439" s="196" t="s">
        <v>38</v>
      </c>
      <c r="R439" s="197">
        <v>1</v>
      </c>
      <c r="S439" s="198" t="s">
        <v>33</v>
      </c>
      <c r="T439" s="199"/>
      <c r="U439" s="200"/>
      <c r="V439" s="200"/>
      <c r="W439" s="200"/>
      <c r="X439" s="200"/>
      <c r="Y439" s="200"/>
      <c r="Z439" s="200"/>
      <c r="AA439" s="200"/>
      <c r="AB439" s="200"/>
      <c r="AC439" s="208"/>
      <c r="AD439" s="11" t="str">
        <f t="shared" si="24"/>
        <v>3</v>
      </c>
      <c r="AF439" t="str">
        <f t="shared" si="25"/>
        <v>80.01.ZZ.03</v>
      </c>
      <c r="AH439" t="str">
        <f t="shared" si="26"/>
        <v>00 de 01</v>
      </c>
    </row>
    <row r="440" spans="1:34" ht="34.5" x14ac:dyDescent="0.25">
      <c r="A440" s="139" t="s">
        <v>116</v>
      </c>
      <c r="B440" s="105" t="s">
        <v>122</v>
      </c>
      <c r="C440" s="63">
        <v>428</v>
      </c>
      <c r="D440" s="197" t="s">
        <v>192</v>
      </c>
      <c r="E440" s="189" t="s">
        <v>662</v>
      </c>
      <c r="F440" s="190" t="s">
        <v>123</v>
      </c>
      <c r="G440" s="189" t="s">
        <v>134</v>
      </c>
      <c r="H440" s="191">
        <v>61792</v>
      </c>
      <c r="I440" s="189" t="s">
        <v>224</v>
      </c>
      <c r="J440" s="189">
        <v>0</v>
      </c>
      <c r="K440" s="189">
        <v>11901</v>
      </c>
      <c r="L440" s="191">
        <v>3</v>
      </c>
      <c r="M440" s="192">
        <v>46092</v>
      </c>
      <c r="N440" s="193">
        <v>1</v>
      </c>
      <c r="O440" s="194">
        <v>0.5</v>
      </c>
      <c r="P440" s="195"/>
      <c r="Q440" s="196" t="s">
        <v>38</v>
      </c>
      <c r="R440" s="197">
        <v>1</v>
      </c>
      <c r="S440" s="198" t="s">
        <v>33</v>
      </c>
      <c r="T440" s="199"/>
      <c r="U440" s="200"/>
      <c r="V440" s="200"/>
      <c r="W440" s="200"/>
      <c r="X440" s="200"/>
      <c r="Y440" s="200"/>
      <c r="Z440" s="200"/>
      <c r="AA440" s="200"/>
      <c r="AB440" s="200"/>
      <c r="AC440" s="208"/>
      <c r="AD440" s="11" t="str">
        <f t="shared" si="24"/>
        <v>3</v>
      </c>
      <c r="AF440" t="str">
        <f t="shared" si="25"/>
        <v>80.01.ZZ.03</v>
      </c>
      <c r="AH440" t="str">
        <f t="shared" si="26"/>
        <v>00 de 01</v>
      </c>
    </row>
    <row r="441" spans="1:34" ht="34.5" x14ac:dyDescent="0.25">
      <c r="A441" s="139" t="s">
        <v>116</v>
      </c>
      <c r="B441" s="105" t="s">
        <v>122</v>
      </c>
      <c r="C441" s="63">
        <v>429</v>
      </c>
      <c r="D441" s="197" t="s">
        <v>192</v>
      </c>
      <c r="E441" s="189" t="s">
        <v>663</v>
      </c>
      <c r="F441" s="190" t="s">
        <v>123</v>
      </c>
      <c r="G441" s="189" t="s">
        <v>134</v>
      </c>
      <c r="H441" s="191">
        <v>61792</v>
      </c>
      <c r="I441" s="189" t="s">
        <v>224</v>
      </c>
      <c r="J441" s="189">
        <v>0</v>
      </c>
      <c r="K441" s="189">
        <v>11901</v>
      </c>
      <c r="L441" s="191">
        <v>3</v>
      </c>
      <c r="M441" s="192">
        <v>46092</v>
      </c>
      <c r="N441" s="193">
        <v>1</v>
      </c>
      <c r="O441" s="194">
        <v>0.5</v>
      </c>
      <c r="P441" s="195"/>
      <c r="Q441" s="196" t="s">
        <v>38</v>
      </c>
      <c r="R441" s="197">
        <v>1</v>
      </c>
      <c r="S441" s="198" t="s">
        <v>33</v>
      </c>
      <c r="T441" s="199"/>
      <c r="U441" s="200"/>
      <c r="V441" s="200"/>
      <c r="W441" s="200"/>
      <c r="X441" s="200"/>
      <c r="Y441" s="200"/>
      <c r="Z441" s="200"/>
      <c r="AA441" s="200"/>
      <c r="AB441" s="200"/>
      <c r="AC441" s="208"/>
      <c r="AD441" s="11" t="str">
        <f t="shared" si="24"/>
        <v>3</v>
      </c>
      <c r="AF441" t="str">
        <f t="shared" si="25"/>
        <v>80.01.ZZ.03</v>
      </c>
      <c r="AH441" t="str">
        <f t="shared" si="26"/>
        <v>00 de 01</v>
      </c>
    </row>
    <row r="442" spans="1:34" ht="34.5" x14ac:dyDescent="0.25">
      <c r="A442" s="139" t="s">
        <v>116</v>
      </c>
      <c r="B442" s="105" t="s">
        <v>122</v>
      </c>
      <c r="C442" s="63">
        <v>430</v>
      </c>
      <c r="D442" s="197" t="s">
        <v>192</v>
      </c>
      <c r="E442" s="189" t="s">
        <v>664</v>
      </c>
      <c r="F442" s="190" t="s">
        <v>123</v>
      </c>
      <c r="G442" s="189" t="s">
        <v>134</v>
      </c>
      <c r="H442" s="191">
        <v>61792</v>
      </c>
      <c r="I442" s="189" t="s">
        <v>224</v>
      </c>
      <c r="J442" s="189">
        <v>0</v>
      </c>
      <c r="K442" s="189">
        <v>11901</v>
      </c>
      <c r="L442" s="191">
        <v>3</v>
      </c>
      <c r="M442" s="192">
        <v>46092</v>
      </c>
      <c r="N442" s="193">
        <v>1</v>
      </c>
      <c r="O442" s="194">
        <v>0.5</v>
      </c>
      <c r="P442" s="195"/>
      <c r="Q442" s="196" t="s">
        <v>38</v>
      </c>
      <c r="R442" s="197">
        <v>1</v>
      </c>
      <c r="S442" s="198" t="s">
        <v>33</v>
      </c>
      <c r="T442" s="199"/>
      <c r="U442" s="200"/>
      <c r="V442" s="200"/>
      <c r="W442" s="200"/>
      <c r="X442" s="200"/>
      <c r="Y442" s="200"/>
      <c r="Z442" s="200"/>
      <c r="AA442" s="200"/>
      <c r="AB442" s="200"/>
      <c r="AC442" s="208"/>
      <c r="AD442" s="11" t="str">
        <f t="shared" si="24"/>
        <v>3</v>
      </c>
      <c r="AF442" t="str">
        <f t="shared" si="25"/>
        <v>80.01.ZZ.03</v>
      </c>
      <c r="AH442" t="str">
        <f t="shared" si="26"/>
        <v>00 de 01</v>
      </c>
    </row>
    <row r="443" spans="1:34" ht="34.5" x14ac:dyDescent="0.25">
      <c r="A443" s="139" t="s">
        <v>116</v>
      </c>
      <c r="B443" s="105" t="s">
        <v>122</v>
      </c>
      <c r="C443" s="63">
        <v>431</v>
      </c>
      <c r="D443" s="197" t="s">
        <v>192</v>
      </c>
      <c r="E443" s="189" t="s">
        <v>665</v>
      </c>
      <c r="F443" s="190" t="s">
        <v>123</v>
      </c>
      <c r="G443" s="189" t="s">
        <v>134</v>
      </c>
      <c r="H443" s="191">
        <v>61792</v>
      </c>
      <c r="I443" s="189" t="s">
        <v>224</v>
      </c>
      <c r="J443" s="189">
        <v>0</v>
      </c>
      <c r="K443" s="189">
        <v>11901</v>
      </c>
      <c r="L443" s="191">
        <v>3</v>
      </c>
      <c r="M443" s="192">
        <v>46092</v>
      </c>
      <c r="N443" s="193">
        <v>1</v>
      </c>
      <c r="O443" s="194">
        <v>0.5</v>
      </c>
      <c r="P443" s="195"/>
      <c r="Q443" s="196" t="s">
        <v>38</v>
      </c>
      <c r="R443" s="197">
        <v>1</v>
      </c>
      <c r="S443" s="198" t="s">
        <v>33</v>
      </c>
      <c r="T443" s="199"/>
      <c r="U443" s="200"/>
      <c r="V443" s="200"/>
      <c r="W443" s="200"/>
      <c r="X443" s="200"/>
      <c r="Y443" s="200"/>
      <c r="Z443" s="200"/>
      <c r="AA443" s="200"/>
      <c r="AB443" s="200"/>
      <c r="AC443" s="208"/>
      <c r="AD443" s="11" t="str">
        <f t="shared" si="24"/>
        <v>3</v>
      </c>
      <c r="AF443" t="str">
        <f t="shared" si="25"/>
        <v>80.01.ZZ.03</v>
      </c>
      <c r="AH443" t="str">
        <f t="shared" si="26"/>
        <v>00 de 01</v>
      </c>
    </row>
    <row r="444" spans="1:34" ht="34.5" x14ac:dyDescent="0.25">
      <c r="A444" s="139" t="s">
        <v>116</v>
      </c>
      <c r="B444" s="105" t="s">
        <v>122</v>
      </c>
      <c r="C444" s="63">
        <v>432</v>
      </c>
      <c r="D444" s="197" t="s">
        <v>192</v>
      </c>
      <c r="E444" s="189" t="s">
        <v>666</v>
      </c>
      <c r="F444" s="190" t="s">
        <v>123</v>
      </c>
      <c r="G444" s="189" t="s">
        <v>134</v>
      </c>
      <c r="H444" s="191">
        <v>61792</v>
      </c>
      <c r="I444" s="189" t="s">
        <v>224</v>
      </c>
      <c r="J444" s="189">
        <v>0</v>
      </c>
      <c r="K444" s="189">
        <v>11901</v>
      </c>
      <c r="L444" s="191">
        <v>3</v>
      </c>
      <c r="M444" s="192">
        <v>46092</v>
      </c>
      <c r="N444" s="193">
        <v>1</v>
      </c>
      <c r="O444" s="194">
        <v>0.5</v>
      </c>
      <c r="P444" s="195"/>
      <c r="Q444" s="196" t="s">
        <v>38</v>
      </c>
      <c r="R444" s="197">
        <v>1</v>
      </c>
      <c r="S444" s="198" t="s">
        <v>33</v>
      </c>
      <c r="T444" s="199"/>
      <c r="U444" s="200"/>
      <c r="V444" s="200"/>
      <c r="W444" s="200"/>
      <c r="X444" s="200"/>
      <c r="Y444" s="200"/>
      <c r="Z444" s="200"/>
      <c r="AA444" s="200"/>
      <c r="AB444" s="200"/>
      <c r="AC444" s="208"/>
      <c r="AD444" s="11" t="str">
        <f t="shared" si="24"/>
        <v>3</v>
      </c>
      <c r="AF444" t="str">
        <f t="shared" si="25"/>
        <v>80.01.ZZ.03</v>
      </c>
      <c r="AH444" t="str">
        <f t="shared" si="26"/>
        <v>00 de 01</v>
      </c>
    </row>
    <row r="445" spans="1:34" ht="34.5" x14ac:dyDescent="0.25">
      <c r="A445" s="139" t="s">
        <v>116</v>
      </c>
      <c r="B445" s="105" t="s">
        <v>122</v>
      </c>
      <c r="C445" s="63">
        <v>433</v>
      </c>
      <c r="D445" s="197" t="s">
        <v>192</v>
      </c>
      <c r="E445" s="189" t="s">
        <v>667</v>
      </c>
      <c r="F445" s="190" t="s">
        <v>123</v>
      </c>
      <c r="G445" s="189" t="s">
        <v>134</v>
      </c>
      <c r="H445" s="191">
        <v>61792</v>
      </c>
      <c r="I445" s="189" t="s">
        <v>224</v>
      </c>
      <c r="J445" s="189">
        <v>0</v>
      </c>
      <c r="K445" s="189">
        <v>11901</v>
      </c>
      <c r="L445" s="191">
        <v>3</v>
      </c>
      <c r="M445" s="192">
        <v>46092</v>
      </c>
      <c r="N445" s="193">
        <v>1</v>
      </c>
      <c r="O445" s="194">
        <v>0.5</v>
      </c>
      <c r="P445" s="195"/>
      <c r="Q445" s="196" t="s">
        <v>38</v>
      </c>
      <c r="R445" s="197">
        <v>1</v>
      </c>
      <c r="S445" s="198" t="s">
        <v>33</v>
      </c>
      <c r="T445" s="199"/>
      <c r="U445" s="200"/>
      <c r="V445" s="200"/>
      <c r="W445" s="200"/>
      <c r="X445" s="200"/>
      <c r="Y445" s="200"/>
      <c r="Z445" s="200"/>
      <c r="AA445" s="200"/>
      <c r="AB445" s="200"/>
      <c r="AC445" s="208"/>
      <c r="AD445" s="11" t="str">
        <f t="shared" si="24"/>
        <v>3</v>
      </c>
      <c r="AF445" t="str">
        <f t="shared" si="25"/>
        <v>80.01.ZZ.03</v>
      </c>
      <c r="AH445" t="str">
        <f t="shared" si="26"/>
        <v>00 de 01</v>
      </c>
    </row>
    <row r="446" spans="1:34" ht="34.5" x14ac:dyDescent="0.25">
      <c r="A446" s="139" t="s">
        <v>116</v>
      </c>
      <c r="B446" s="105" t="s">
        <v>122</v>
      </c>
      <c r="C446" s="63">
        <v>434</v>
      </c>
      <c r="D446" s="197" t="s">
        <v>192</v>
      </c>
      <c r="E446" s="189" t="s">
        <v>668</v>
      </c>
      <c r="F446" s="190" t="s">
        <v>123</v>
      </c>
      <c r="G446" s="189" t="s">
        <v>134</v>
      </c>
      <c r="H446" s="191">
        <v>61792</v>
      </c>
      <c r="I446" s="189" t="s">
        <v>224</v>
      </c>
      <c r="J446" s="189">
        <v>0</v>
      </c>
      <c r="K446" s="189">
        <v>11901</v>
      </c>
      <c r="L446" s="191">
        <v>3</v>
      </c>
      <c r="M446" s="192">
        <v>46092</v>
      </c>
      <c r="N446" s="193">
        <v>1</v>
      </c>
      <c r="O446" s="194">
        <v>0.5</v>
      </c>
      <c r="P446" s="195"/>
      <c r="Q446" s="196" t="s">
        <v>38</v>
      </c>
      <c r="R446" s="197">
        <v>1</v>
      </c>
      <c r="S446" s="198" t="s">
        <v>33</v>
      </c>
      <c r="T446" s="199"/>
      <c r="U446" s="200"/>
      <c r="V446" s="200"/>
      <c r="W446" s="200"/>
      <c r="X446" s="200"/>
      <c r="Y446" s="200"/>
      <c r="Z446" s="200"/>
      <c r="AA446" s="200"/>
      <c r="AB446" s="200"/>
      <c r="AC446" s="208"/>
      <c r="AD446" s="11" t="str">
        <f t="shared" si="24"/>
        <v>3</v>
      </c>
      <c r="AF446" t="str">
        <f t="shared" si="25"/>
        <v>80.01.ZZ.03</v>
      </c>
      <c r="AH446" t="str">
        <f t="shared" si="26"/>
        <v>00 de 01</v>
      </c>
    </row>
    <row r="447" spans="1:34" ht="34.5" x14ac:dyDescent="0.25">
      <c r="A447" s="139" t="s">
        <v>116</v>
      </c>
      <c r="B447" s="105" t="s">
        <v>122</v>
      </c>
      <c r="C447" s="63">
        <v>435</v>
      </c>
      <c r="D447" s="197" t="s">
        <v>192</v>
      </c>
      <c r="E447" s="189" t="s">
        <v>669</v>
      </c>
      <c r="F447" s="190" t="s">
        <v>123</v>
      </c>
      <c r="G447" s="189" t="s">
        <v>134</v>
      </c>
      <c r="H447" s="191">
        <v>61792</v>
      </c>
      <c r="I447" s="189" t="s">
        <v>224</v>
      </c>
      <c r="J447" s="189">
        <v>0</v>
      </c>
      <c r="K447" s="189">
        <v>11901</v>
      </c>
      <c r="L447" s="191">
        <v>3</v>
      </c>
      <c r="M447" s="192">
        <v>46092</v>
      </c>
      <c r="N447" s="193">
        <v>1</v>
      </c>
      <c r="O447" s="194">
        <v>0.5</v>
      </c>
      <c r="P447" s="195"/>
      <c r="Q447" s="196" t="s">
        <v>38</v>
      </c>
      <c r="R447" s="197">
        <v>1</v>
      </c>
      <c r="S447" s="198" t="s">
        <v>33</v>
      </c>
      <c r="T447" s="199"/>
      <c r="U447" s="200"/>
      <c r="V447" s="200"/>
      <c r="W447" s="200"/>
      <c r="X447" s="200"/>
      <c r="Y447" s="200"/>
      <c r="Z447" s="200"/>
      <c r="AA447" s="200"/>
      <c r="AB447" s="200"/>
      <c r="AC447" s="208"/>
      <c r="AD447" s="11" t="str">
        <f t="shared" si="24"/>
        <v>3</v>
      </c>
      <c r="AF447" t="str">
        <f t="shared" si="25"/>
        <v>80.01.ZZ.03</v>
      </c>
      <c r="AH447" t="str">
        <f t="shared" si="26"/>
        <v>00 de 01</v>
      </c>
    </row>
    <row r="448" spans="1:34" ht="34.5" x14ac:dyDescent="0.25">
      <c r="A448" s="139" t="s">
        <v>116</v>
      </c>
      <c r="B448" s="105" t="s">
        <v>122</v>
      </c>
      <c r="C448" s="63">
        <v>436</v>
      </c>
      <c r="D448" s="197" t="s">
        <v>192</v>
      </c>
      <c r="E448" s="189" t="s">
        <v>670</v>
      </c>
      <c r="F448" s="190" t="s">
        <v>123</v>
      </c>
      <c r="G448" s="189" t="s">
        <v>134</v>
      </c>
      <c r="H448" s="191">
        <v>61792</v>
      </c>
      <c r="I448" s="189" t="s">
        <v>224</v>
      </c>
      <c r="J448" s="189">
        <v>0</v>
      </c>
      <c r="K448" s="189">
        <v>11901</v>
      </c>
      <c r="L448" s="191">
        <v>3</v>
      </c>
      <c r="M448" s="192">
        <v>46092</v>
      </c>
      <c r="N448" s="193">
        <v>1</v>
      </c>
      <c r="O448" s="194">
        <v>0.5</v>
      </c>
      <c r="P448" s="195"/>
      <c r="Q448" s="196" t="s">
        <v>38</v>
      </c>
      <c r="R448" s="197">
        <v>1</v>
      </c>
      <c r="S448" s="198" t="s">
        <v>33</v>
      </c>
      <c r="T448" s="199"/>
      <c r="U448" s="200"/>
      <c r="V448" s="200"/>
      <c r="W448" s="200"/>
      <c r="X448" s="200"/>
      <c r="Y448" s="200"/>
      <c r="Z448" s="200"/>
      <c r="AA448" s="200"/>
      <c r="AB448" s="200"/>
      <c r="AC448" s="208"/>
      <c r="AD448" s="11" t="str">
        <f t="shared" si="24"/>
        <v>3</v>
      </c>
      <c r="AF448" t="str">
        <f t="shared" si="25"/>
        <v>80.01.ZZ.03</v>
      </c>
      <c r="AH448" t="str">
        <f t="shared" si="26"/>
        <v>00 de 01</v>
      </c>
    </row>
    <row r="449" spans="1:34" ht="34.5" x14ac:dyDescent="0.25">
      <c r="A449" s="139" t="s">
        <v>116</v>
      </c>
      <c r="B449" s="105" t="s">
        <v>122</v>
      </c>
      <c r="C449" s="63">
        <v>437</v>
      </c>
      <c r="D449" s="197" t="s">
        <v>206</v>
      </c>
      <c r="E449" s="189" t="s">
        <v>249</v>
      </c>
      <c r="F449" s="190" t="s">
        <v>123</v>
      </c>
      <c r="G449" s="189" t="s">
        <v>134</v>
      </c>
      <c r="H449" s="191">
        <v>61792</v>
      </c>
      <c r="I449" s="189" t="s">
        <v>224</v>
      </c>
      <c r="J449" s="189">
        <v>0</v>
      </c>
      <c r="K449" s="189">
        <v>10901</v>
      </c>
      <c r="L449" s="191">
        <v>3</v>
      </c>
      <c r="M449" s="192">
        <v>46092</v>
      </c>
      <c r="N449" s="193">
        <v>1</v>
      </c>
      <c r="O449" s="194">
        <v>0.5</v>
      </c>
      <c r="P449" s="195"/>
      <c r="Q449" s="196" t="s">
        <v>38</v>
      </c>
      <c r="R449" s="197">
        <v>1</v>
      </c>
      <c r="S449" s="198" t="s">
        <v>33</v>
      </c>
      <c r="T449" s="199"/>
      <c r="U449" s="200"/>
      <c r="V449" s="200"/>
      <c r="W449" s="200"/>
      <c r="X449" s="200"/>
      <c r="Y449" s="200"/>
      <c r="Z449" s="200"/>
      <c r="AA449" s="200"/>
      <c r="AB449" s="200"/>
      <c r="AC449" s="208"/>
      <c r="AD449" s="11" t="str">
        <f t="shared" si="24"/>
        <v>3</v>
      </c>
      <c r="AF449" t="str">
        <f t="shared" si="25"/>
        <v>80.01.ZZ.03</v>
      </c>
      <c r="AH449" t="str">
        <f t="shared" si="26"/>
        <v>00 de 01</v>
      </c>
    </row>
    <row r="450" spans="1:34" ht="34.5" x14ac:dyDescent="0.25">
      <c r="A450" s="139" t="s">
        <v>116</v>
      </c>
      <c r="B450" s="105" t="s">
        <v>122</v>
      </c>
      <c r="C450" s="63">
        <v>438</v>
      </c>
      <c r="D450" s="197" t="s">
        <v>206</v>
      </c>
      <c r="E450" s="189" t="s">
        <v>671</v>
      </c>
      <c r="F450" s="190" t="s">
        <v>123</v>
      </c>
      <c r="G450" s="189" t="s">
        <v>134</v>
      </c>
      <c r="H450" s="191">
        <v>61792</v>
      </c>
      <c r="I450" s="189" t="s">
        <v>224</v>
      </c>
      <c r="J450" s="189">
        <v>0</v>
      </c>
      <c r="K450" s="189">
        <v>10901</v>
      </c>
      <c r="L450" s="191">
        <v>3</v>
      </c>
      <c r="M450" s="192">
        <v>46092</v>
      </c>
      <c r="N450" s="193">
        <v>1</v>
      </c>
      <c r="O450" s="194">
        <v>0.5</v>
      </c>
      <c r="P450" s="195"/>
      <c r="Q450" s="196" t="s">
        <v>38</v>
      </c>
      <c r="R450" s="197">
        <v>1</v>
      </c>
      <c r="S450" s="198" t="s">
        <v>33</v>
      </c>
      <c r="T450" s="199"/>
      <c r="U450" s="200"/>
      <c r="V450" s="200"/>
      <c r="W450" s="200"/>
      <c r="X450" s="200"/>
      <c r="Y450" s="200"/>
      <c r="Z450" s="200"/>
      <c r="AA450" s="200"/>
      <c r="AB450" s="200"/>
      <c r="AC450" s="208"/>
      <c r="AD450" s="11" t="str">
        <f t="shared" si="24"/>
        <v>3</v>
      </c>
      <c r="AF450" t="str">
        <f t="shared" si="25"/>
        <v>80.01.ZZ.03</v>
      </c>
      <c r="AH450" t="str">
        <f t="shared" si="26"/>
        <v>00 de 01</v>
      </c>
    </row>
    <row r="451" spans="1:34" ht="34.5" x14ac:dyDescent="0.25">
      <c r="A451" s="139" t="s">
        <v>116</v>
      </c>
      <c r="B451" s="105" t="s">
        <v>122</v>
      </c>
      <c r="C451" s="63">
        <v>439</v>
      </c>
      <c r="D451" s="197" t="s">
        <v>206</v>
      </c>
      <c r="E451" s="189" t="s">
        <v>672</v>
      </c>
      <c r="F451" s="190" t="s">
        <v>123</v>
      </c>
      <c r="G451" s="189" t="s">
        <v>134</v>
      </c>
      <c r="H451" s="191">
        <v>61792</v>
      </c>
      <c r="I451" s="189" t="s">
        <v>224</v>
      </c>
      <c r="J451" s="189">
        <v>0</v>
      </c>
      <c r="K451" s="189">
        <v>10901</v>
      </c>
      <c r="L451" s="191">
        <v>3</v>
      </c>
      <c r="M451" s="192">
        <v>46092</v>
      </c>
      <c r="N451" s="193">
        <v>1</v>
      </c>
      <c r="O451" s="194">
        <v>0.5</v>
      </c>
      <c r="P451" s="195"/>
      <c r="Q451" s="196" t="s">
        <v>38</v>
      </c>
      <c r="R451" s="197">
        <v>1</v>
      </c>
      <c r="S451" s="198" t="s">
        <v>33</v>
      </c>
      <c r="T451" s="199"/>
      <c r="U451" s="200"/>
      <c r="V451" s="200"/>
      <c r="W451" s="200"/>
      <c r="X451" s="200"/>
      <c r="Y451" s="200"/>
      <c r="Z451" s="200"/>
      <c r="AA451" s="200"/>
      <c r="AB451" s="200"/>
      <c r="AC451" s="208"/>
      <c r="AD451" s="11" t="str">
        <f t="shared" si="24"/>
        <v>3</v>
      </c>
      <c r="AF451" t="str">
        <f t="shared" si="25"/>
        <v>80.01.ZZ.03</v>
      </c>
      <c r="AH451" t="str">
        <f t="shared" si="26"/>
        <v>00 de 01</v>
      </c>
    </row>
    <row r="452" spans="1:34" ht="34.5" x14ac:dyDescent="0.25">
      <c r="A452" s="139" t="s">
        <v>116</v>
      </c>
      <c r="B452" s="105" t="s">
        <v>122</v>
      </c>
      <c r="C452" s="63">
        <v>440</v>
      </c>
      <c r="D452" s="197" t="s">
        <v>206</v>
      </c>
      <c r="E452" s="189" t="s">
        <v>673</v>
      </c>
      <c r="F452" s="190" t="s">
        <v>123</v>
      </c>
      <c r="G452" s="189" t="s">
        <v>134</v>
      </c>
      <c r="H452" s="191">
        <v>61792</v>
      </c>
      <c r="I452" s="189" t="s">
        <v>224</v>
      </c>
      <c r="J452" s="189">
        <v>0</v>
      </c>
      <c r="K452" s="189">
        <v>10901</v>
      </c>
      <c r="L452" s="191">
        <v>3</v>
      </c>
      <c r="M452" s="192">
        <v>46092</v>
      </c>
      <c r="N452" s="193">
        <v>1</v>
      </c>
      <c r="O452" s="194">
        <v>0.5</v>
      </c>
      <c r="P452" s="195"/>
      <c r="Q452" s="196" t="s">
        <v>38</v>
      </c>
      <c r="R452" s="197">
        <v>1</v>
      </c>
      <c r="S452" s="198" t="s">
        <v>33</v>
      </c>
      <c r="T452" s="199"/>
      <c r="U452" s="200"/>
      <c r="V452" s="200"/>
      <c r="W452" s="200"/>
      <c r="X452" s="200"/>
      <c r="Y452" s="200"/>
      <c r="Z452" s="200"/>
      <c r="AA452" s="200"/>
      <c r="AB452" s="200"/>
      <c r="AC452" s="208"/>
      <c r="AD452" s="11" t="str">
        <f t="shared" si="24"/>
        <v>3</v>
      </c>
      <c r="AF452" t="str">
        <f t="shared" si="25"/>
        <v>80.01.ZZ.03</v>
      </c>
      <c r="AH452" t="str">
        <f t="shared" si="26"/>
        <v>00 de 01</v>
      </c>
    </row>
    <row r="453" spans="1:34" ht="34.5" x14ac:dyDescent="0.25">
      <c r="A453" s="139" t="s">
        <v>116</v>
      </c>
      <c r="B453" s="105" t="s">
        <v>122</v>
      </c>
      <c r="C453" s="63">
        <v>441</v>
      </c>
      <c r="D453" s="197" t="s">
        <v>206</v>
      </c>
      <c r="E453" s="189" t="s">
        <v>674</v>
      </c>
      <c r="F453" s="190" t="s">
        <v>123</v>
      </c>
      <c r="G453" s="189" t="s">
        <v>134</v>
      </c>
      <c r="H453" s="191">
        <v>61792</v>
      </c>
      <c r="I453" s="189" t="s">
        <v>224</v>
      </c>
      <c r="J453" s="189">
        <v>0</v>
      </c>
      <c r="K453" s="189">
        <v>10901</v>
      </c>
      <c r="L453" s="191">
        <v>3</v>
      </c>
      <c r="M453" s="192">
        <v>46092</v>
      </c>
      <c r="N453" s="193">
        <v>1</v>
      </c>
      <c r="O453" s="194">
        <v>0.5</v>
      </c>
      <c r="P453" s="195"/>
      <c r="Q453" s="196" t="s">
        <v>38</v>
      </c>
      <c r="R453" s="197">
        <v>1</v>
      </c>
      <c r="S453" s="198" t="s">
        <v>33</v>
      </c>
      <c r="T453" s="199"/>
      <c r="U453" s="200"/>
      <c r="V453" s="200"/>
      <c r="W453" s="200"/>
      <c r="X453" s="200"/>
      <c r="Y453" s="200"/>
      <c r="Z453" s="200"/>
      <c r="AA453" s="200"/>
      <c r="AB453" s="200"/>
      <c r="AC453" s="208"/>
      <c r="AD453" s="11" t="str">
        <f t="shared" si="24"/>
        <v>3</v>
      </c>
      <c r="AF453" t="str">
        <f t="shared" si="25"/>
        <v>80.01.ZZ.03</v>
      </c>
      <c r="AH453" t="str">
        <f t="shared" si="26"/>
        <v>00 de 01</v>
      </c>
    </row>
    <row r="454" spans="1:34" ht="34.5" x14ac:dyDescent="0.25">
      <c r="A454" s="139" t="s">
        <v>116</v>
      </c>
      <c r="B454" s="105" t="s">
        <v>122</v>
      </c>
      <c r="C454" s="63">
        <v>442</v>
      </c>
      <c r="D454" s="197" t="s">
        <v>206</v>
      </c>
      <c r="E454" s="189" t="s">
        <v>675</v>
      </c>
      <c r="F454" s="190" t="s">
        <v>123</v>
      </c>
      <c r="G454" s="189" t="s">
        <v>134</v>
      </c>
      <c r="H454" s="191">
        <v>61792</v>
      </c>
      <c r="I454" s="189" t="s">
        <v>224</v>
      </c>
      <c r="J454" s="189">
        <v>0</v>
      </c>
      <c r="K454" s="189">
        <v>10901</v>
      </c>
      <c r="L454" s="191">
        <v>3</v>
      </c>
      <c r="M454" s="192">
        <v>46092</v>
      </c>
      <c r="N454" s="193">
        <v>1</v>
      </c>
      <c r="O454" s="194">
        <v>0.5</v>
      </c>
      <c r="P454" s="195"/>
      <c r="Q454" s="196" t="s">
        <v>38</v>
      </c>
      <c r="R454" s="197">
        <v>1</v>
      </c>
      <c r="S454" s="198" t="s">
        <v>33</v>
      </c>
      <c r="T454" s="199"/>
      <c r="U454" s="200"/>
      <c r="V454" s="200"/>
      <c r="W454" s="200"/>
      <c r="X454" s="200"/>
      <c r="Y454" s="200"/>
      <c r="Z454" s="200"/>
      <c r="AA454" s="200"/>
      <c r="AB454" s="200"/>
      <c r="AC454" s="208"/>
      <c r="AD454" s="11" t="str">
        <f t="shared" si="24"/>
        <v>3</v>
      </c>
      <c r="AF454" t="str">
        <f t="shared" si="25"/>
        <v>80.01.ZZ.03</v>
      </c>
      <c r="AH454" t="str">
        <f t="shared" si="26"/>
        <v>00 de 01</v>
      </c>
    </row>
    <row r="455" spans="1:34" ht="34.5" x14ac:dyDescent="0.25">
      <c r="A455" s="139" t="s">
        <v>116</v>
      </c>
      <c r="B455" s="105" t="s">
        <v>122</v>
      </c>
      <c r="C455" s="63">
        <v>443</v>
      </c>
      <c r="D455" s="197" t="s">
        <v>206</v>
      </c>
      <c r="E455" s="189" t="s">
        <v>676</v>
      </c>
      <c r="F455" s="190" t="s">
        <v>123</v>
      </c>
      <c r="G455" s="189" t="s">
        <v>134</v>
      </c>
      <c r="H455" s="191">
        <v>61792</v>
      </c>
      <c r="I455" s="189" t="s">
        <v>224</v>
      </c>
      <c r="J455" s="189">
        <v>0</v>
      </c>
      <c r="K455" s="189">
        <v>10901</v>
      </c>
      <c r="L455" s="191">
        <v>3</v>
      </c>
      <c r="M455" s="192">
        <v>46092</v>
      </c>
      <c r="N455" s="193">
        <v>1</v>
      </c>
      <c r="O455" s="194">
        <v>0.5</v>
      </c>
      <c r="P455" s="195"/>
      <c r="Q455" s="196" t="s">
        <v>38</v>
      </c>
      <c r="R455" s="197">
        <v>1</v>
      </c>
      <c r="S455" s="198" t="s">
        <v>33</v>
      </c>
      <c r="T455" s="199"/>
      <c r="U455" s="200"/>
      <c r="V455" s="200"/>
      <c r="W455" s="200"/>
      <c r="X455" s="200"/>
      <c r="Y455" s="200"/>
      <c r="Z455" s="200"/>
      <c r="AA455" s="200"/>
      <c r="AB455" s="200"/>
      <c r="AC455" s="208"/>
      <c r="AD455" s="11" t="str">
        <f t="shared" si="24"/>
        <v>3</v>
      </c>
      <c r="AF455" t="str">
        <f t="shared" si="25"/>
        <v>80.01.ZZ.03</v>
      </c>
      <c r="AH455" t="str">
        <f t="shared" si="26"/>
        <v>00 de 01</v>
      </c>
    </row>
    <row r="456" spans="1:34" ht="34.5" x14ac:dyDescent="0.25">
      <c r="A456" s="139" t="s">
        <v>116</v>
      </c>
      <c r="B456" s="105" t="s">
        <v>122</v>
      </c>
      <c r="C456" s="63">
        <v>444</v>
      </c>
      <c r="D456" s="197" t="s">
        <v>206</v>
      </c>
      <c r="E456" s="189" t="s">
        <v>677</v>
      </c>
      <c r="F456" s="190" t="s">
        <v>123</v>
      </c>
      <c r="G456" s="189" t="s">
        <v>134</v>
      </c>
      <c r="H456" s="191">
        <v>61792</v>
      </c>
      <c r="I456" s="189" t="s">
        <v>224</v>
      </c>
      <c r="J456" s="189">
        <v>0</v>
      </c>
      <c r="K456" s="189">
        <v>10901</v>
      </c>
      <c r="L456" s="191">
        <v>3</v>
      </c>
      <c r="M456" s="192">
        <v>46092</v>
      </c>
      <c r="N456" s="193">
        <v>1</v>
      </c>
      <c r="O456" s="194">
        <v>0.5</v>
      </c>
      <c r="P456" s="195"/>
      <c r="Q456" s="196" t="s">
        <v>38</v>
      </c>
      <c r="R456" s="197">
        <v>1</v>
      </c>
      <c r="S456" s="198" t="s">
        <v>33</v>
      </c>
      <c r="T456" s="199"/>
      <c r="U456" s="200"/>
      <c r="V456" s="200"/>
      <c r="W456" s="200"/>
      <c r="X456" s="200"/>
      <c r="Y456" s="200"/>
      <c r="Z456" s="200"/>
      <c r="AA456" s="200"/>
      <c r="AB456" s="200"/>
      <c r="AC456" s="208"/>
      <c r="AD456" s="11" t="str">
        <f t="shared" si="24"/>
        <v>3</v>
      </c>
      <c r="AF456" t="str">
        <f t="shared" si="25"/>
        <v>80.01.ZZ.03</v>
      </c>
      <c r="AH456" t="str">
        <f t="shared" si="26"/>
        <v>00 de 01</v>
      </c>
    </row>
    <row r="457" spans="1:34" ht="34.5" x14ac:dyDescent="0.25">
      <c r="A457" s="139" t="s">
        <v>116</v>
      </c>
      <c r="B457" s="105" t="s">
        <v>122</v>
      </c>
      <c r="C457" s="63">
        <v>445</v>
      </c>
      <c r="D457" s="197" t="s">
        <v>206</v>
      </c>
      <c r="E457" s="189" t="s">
        <v>678</v>
      </c>
      <c r="F457" s="190" t="s">
        <v>123</v>
      </c>
      <c r="G457" s="189" t="s">
        <v>134</v>
      </c>
      <c r="H457" s="191">
        <v>61792</v>
      </c>
      <c r="I457" s="189" t="s">
        <v>224</v>
      </c>
      <c r="J457" s="189">
        <v>0</v>
      </c>
      <c r="K457" s="189">
        <v>10901</v>
      </c>
      <c r="L457" s="191">
        <v>3</v>
      </c>
      <c r="M457" s="192">
        <v>46092</v>
      </c>
      <c r="N457" s="193">
        <v>1</v>
      </c>
      <c r="O457" s="194">
        <v>0.5</v>
      </c>
      <c r="P457" s="195"/>
      <c r="Q457" s="196" t="s">
        <v>38</v>
      </c>
      <c r="R457" s="197">
        <v>1</v>
      </c>
      <c r="S457" s="198" t="s">
        <v>33</v>
      </c>
      <c r="T457" s="199"/>
      <c r="U457" s="200"/>
      <c r="V457" s="200"/>
      <c r="W457" s="200"/>
      <c r="X457" s="200"/>
      <c r="Y457" s="200"/>
      <c r="Z457" s="200"/>
      <c r="AA457" s="200"/>
      <c r="AB457" s="200"/>
      <c r="AC457" s="208"/>
      <c r="AD457" s="11" t="str">
        <f t="shared" si="24"/>
        <v>3</v>
      </c>
      <c r="AF457" t="str">
        <f t="shared" si="25"/>
        <v>80.01.ZZ.03</v>
      </c>
      <c r="AH457" t="str">
        <f t="shared" si="26"/>
        <v>00 de 01</v>
      </c>
    </row>
    <row r="458" spans="1:34" ht="34.5" x14ac:dyDescent="0.25">
      <c r="A458" s="139" t="s">
        <v>116</v>
      </c>
      <c r="B458" s="105" t="s">
        <v>122</v>
      </c>
      <c r="C458" s="63">
        <v>446</v>
      </c>
      <c r="D458" s="197" t="s">
        <v>206</v>
      </c>
      <c r="E458" s="189" t="s">
        <v>679</v>
      </c>
      <c r="F458" s="190" t="s">
        <v>123</v>
      </c>
      <c r="G458" s="189" t="s">
        <v>134</v>
      </c>
      <c r="H458" s="191">
        <v>61792</v>
      </c>
      <c r="I458" s="189" t="s">
        <v>224</v>
      </c>
      <c r="J458" s="189">
        <v>0</v>
      </c>
      <c r="K458" s="189">
        <v>10901</v>
      </c>
      <c r="L458" s="191">
        <v>3</v>
      </c>
      <c r="M458" s="192">
        <v>46092</v>
      </c>
      <c r="N458" s="193">
        <v>1</v>
      </c>
      <c r="O458" s="194">
        <v>0.5</v>
      </c>
      <c r="P458" s="195"/>
      <c r="Q458" s="196" t="s">
        <v>38</v>
      </c>
      <c r="R458" s="197">
        <v>1</v>
      </c>
      <c r="S458" s="198" t="s">
        <v>33</v>
      </c>
      <c r="T458" s="199"/>
      <c r="U458" s="200"/>
      <c r="V458" s="200"/>
      <c r="W458" s="200"/>
      <c r="X458" s="200"/>
      <c r="Y458" s="200"/>
      <c r="Z458" s="200"/>
      <c r="AA458" s="200"/>
      <c r="AB458" s="200"/>
      <c r="AC458" s="208"/>
      <c r="AD458" s="11" t="str">
        <f t="shared" si="24"/>
        <v>3</v>
      </c>
      <c r="AF458" t="str">
        <f t="shared" si="25"/>
        <v>80.01.ZZ.03</v>
      </c>
      <c r="AH458" t="str">
        <f t="shared" si="26"/>
        <v>00 de 01</v>
      </c>
    </row>
    <row r="459" spans="1:34" ht="34.5" x14ac:dyDescent="0.25">
      <c r="A459" s="139" t="s">
        <v>116</v>
      </c>
      <c r="B459" s="105" t="s">
        <v>122</v>
      </c>
      <c r="C459" s="63">
        <v>447</v>
      </c>
      <c r="D459" s="197" t="s">
        <v>206</v>
      </c>
      <c r="E459" s="189" t="s">
        <v>680</v>
      </c>
      <c r="F459" s="190" t="s">
        <v>123</v>
      </c>
      <c r="G459" s="189" t="s">
        <v>134</v>
      </c>
      <c r="H459" s="191">
        <v>61792</v>
      </c>
      <c r="I459" s="189" t="s">
        <v>224</v>
      </c>
      <c r="J459" s="189">
        <v>0</v>
      </c>
      <c r="K459" s="189">
        <v>10901</v>
      </c>
      <c r="L459" s="191">
        <v>3</v>
      </c>
      <c r="M459" s="192">
        <v>46092</v>
      </c>
      <c r="N459" s="193">
        <v>1</v>
      </c>
      <c r="O459" s="194">
        <v>0.5</v>
      </c>
      <c r="P459" s="195"/>
      <c r="Q459" s="196" t="s">
        <v>38</v>
      </c>
      <c r="R459" s="197">
        <v>1</v>
      </c>
      <c r="S459" s="198" t="s">
        <v>33</v>
      </c>
      <c r="T459" s="199"/>
      <c r="U459" s="200"/>
      <c r="V459" s="200"/>
      <c r="W459" s="200"/>
      <c r="X459" s="200"/>
      <c r="Y459" s="200"/>
      <c r="Z459" s="200"/>
      <c r="AA459" s="200"/>
      <c r="AB459" s="200"/>
      <c r="AC459" s="208"/>
      <c r="AD459" s="11" t="str">
        <f t="shared" si="24"/>
        <v>3</v>
      </c>
      <c r="AF459" t="str">
        <f t="shared" si="25"/>
        <v>80.01.ZZ.03</v>
      </c>
      <c r="AH459" t="str">
        <f t="shared" si="26"/>
        <v>00 de 01</v>
      </c>
    </row>
    <row r="460" spans="1:34" ht="34.5" x14ac:dyDescent="0.25">
      <c r="A460" s="139" t="s">
        <v>116</v>
      </c>
      <c r="B460" s="105" t="s">
        <v>122</v>
      </c>
      <c r="C460" s="63">
        <v>448</v>
      </c>
      <c r="D460" s="197" t="s">
        <v>206</v>
      </c>
      <c r="E460" s="189" t="s">
        <v>681</v>
      </c>
      <c r="F460" s="190" t="s">
        <v>123</v>
      </c>
      <c r="G460" s="189" t="s">
        <v>134</v>
      </c>
      <c r="H460" s="191">
        <v>61792</v>
      </c>
      <c r="I460" s="189" t="s">
        <v>224</v>
      </c>
      <c r="J460" s="189">
        <v>0</v>
      </c>
      <c r="K460" s="189">
        <v>10901</v>
      </c>
      <c r="L460" s="191">
        <v>3</v>
      </c>
      <c r="M460" s="192">
        <v>46092</v>
      </c>
      <c r="N460" s="193">
        <v>1</v>
      </c>
      <c r="O460" s="194">
        <v>0.5</v>
      </c>
      <c r="P460" s="195"/>
      <c r="Q460" s="196" t="s">
        <v>38</v>
      </c>
      <c r="R460" s="197">
        <v>1</v>
      </c>
      <c r="S460" s="198" t="s">
        <v>33</v>
      </c>
      <c r="T460" s="199"/>
      <c r="U460" s="200"/>
      <c r="V460" s="200"/>
      <c r="W460" s="200"/>
      <c r="X460" s="200"/>
      <c r="Y460" s="200"/>
      <c r="Z460" s="200"/>
      <c r="AA460" s="200"/>
      <c r="AB460" s="200"/>
      <c r="AC460" s="208"/>
      <c r="AD460" s="11" t="str">
        <f t="shared" si="24"/>
        <v>3</v>
      </c>
      <c r="AF460" t="str">
        <f t="shared" si="25"/>
        <v>80.01.ZZ.03</v>
      </c>
      <c r="AH460" t="str">
        <f t="shared" si="26"/>
        <v>00 de 01</v>
      </c>
    </row>
    <row r="461" spans="1:34" ht="34.5" x14ac:dyDescent="0.25">
      <c r="A461" s="139" t="s">
        <v>116</v>
      </c>
      <c r="B461" s="105" t="s">
        <v>122</v>
      </c>
      <c r="C461" s="63">
        <v>449</v>
      </c>
      <c r="D461" s="197" t="s">
        <v>206</v>
      </c>
      <c r="E461" s="189" t="s">
        <v>682</v>
      </c>
      <c r="F461" s="190" t="s">
        <v>123</v>
      </c>
      <c r="G461" s="189" t="s">
        <v>134</v>
      </c>
      <c r="H461" s="191">
        <v>61792</v>
      </c>
      <c r="I461" s="189" t="s">
        <v>224</v>
      </c>
      <c r="J461" s="189">
        <v>0</v>
      </c>
      <c r="K461" s="189">
        <v>10901</v>
      </c>
      <c r="L461" s="191">
        <v>3</v>
      </c>
      <c r="M461" s="192">
        <v>46092</v>
      </c>
      <c r="N461" s="193">
        <v>1</v>
      </c>
      <c r="O461" s="194">
        <v>0.5</v>
      </c>
      <c r="P461" s="195"/>
      <c r="Q461" s="196" t="s">
        <v>38</v>
      </c>
      <c r="R461" s="197">
        <v>1</v>
      </c>
      <c r="S461" s="198" t="s">
        <v>33</v>
      </c>
      <c r="T461" s="199"/>
      <c r="U461" s="200"/>
      <c r="V461" s="200"/>
      <c r="W461" s="200"/>
      <c r="X461" s="200"/>
      <c r="Y461" s="200"/>
      <c r="Z461" s="200"/>
      <c r="AA461" s="200"/>
      <c r="AB461" s="200"/>
      <c r="AC461" s="208"/>
      <c r="AD461" s="11" t="str">
        <f t="shared" si="24"/>
        <v>3</v>
      </c>
      <c r="AF461" t="str">
        <f t="shared" si="25"/>
        <v>80.01.ZZ.03</v>
      </c>
      <c r="AH461" t="str">
        <f t="shared" si="26"/>
        <v>00 de 01</v>
      </c>
    </row>
    <row r="462" spans="1:34" ht="34.5" x14ac:dyDescent="0.25">
      <c r="A462" s="139" t="s">
        <v>116</v>
      </c>
      <c r="B462" s="105" t="s">
        <v>122</v>
      </c>
      <c r="C462" s="63">
        <v>450</v>
      </c>
      <c r="D462" s="197" t="s">
        <v>206</v>
      </c>
      <c r="E462" s="189" t="s">
        <v>683</v>
      </c>
      <c r="F462" s="190" t="s">
        <v>123</v>
      </c>
      <c r="G462" s="189" t="s">
        <v>134</v>
      </c>
      <c r="H462" s="191">
        <v>61792</v>
      </c>
      <c r="I462" s="189" t="s">
        <v>224</v>
      </c>
      <c r="J462" s="189">
        <v>0</v>
      </c>
      <c r="K462" s="189">
        <v>10901</v>
      </c>
      <c r="L462" s="191">
        <v>3</v>
      </c>
      <c r="M462" s="192">
        <v>46092</v>
      </c>
      <c r="N462" s="193">
        <v>1</v>
      </c>
      <c r="O462" s="194">
        <v>0.5</v>
      </c>
      <c r="P462" s="195"/>
      <c r="Q462" s="196" t="s">
        <v>38</v>
      </c>
      <c r="R462" s="197">
        <v>1</v>
      </c>
      <c r="S462" s="198" t="s">
        <v>33</v>
      </c>
      <c r="T462" s="199"/>
      <c r="U462" s="200"/>
      <c r="V462" s="200"/>
      <c r="W462" s="200"/>
      <c r="X462" s="200"/>
      <c r="Y462" s="200"/>
      <c r="Z462" s="200"/>
      <c r="AA462" s="200"/>
      <c r="AB462" s="200"/>
      <c r="AC462" s="208"/>
      <c r="AD462" s="11" t="str">
        <f t="shared" si="24"/>
        <v>3</v>
      </c>
      <c r="AF462" t="str">
        <f t="shared" si="25"/>
        <v>80.01.ZZ.03</v>
      </c>
      <c r="AH462" t="str">
        <f t="shared" si="26"/>
        <v>00 de 01</v>
      </c>
    </row>
    <row r="463" spans="1:34" ht="34.5" x14ac:dyDescent="0.25">
      <c r="A463" s="139" t="s">
        <v>116</v>
      </c>
      <c r="B463" s="105" t="s">
        <v>122</v>
      </c>
      <c r="C463" s="63">
        <v>451</v>
      </c>
      <c r="D463" s="197" t="s">
        <v>206</v>
      </c>
      <c r="E463" s="189" t="s">
        <v>684</v>
      </c>
      <c r="F463" s="190" t="s">
        <v>123</v>
      </c>
      <c r="G463" s="189" t="s">
        <v>134</v>
      </c>
      <c r="H463" s="191">
        <v>61792</v>
      </c>
      <c r="I463" s="189" t="s">
        <v>224</v>
      </c>
      <c r="J463" s="189">
        <v>0</v>
      </c>
      <c r="K463" s="189">
        <v>10901</v>
      </c>
      <c r="L463" s="191">
        <v>3</v>
      </c>
      <c r="M463" s="192">
        <v>46092</v>
      </c>
      <c r="N463" s="193">
        <v>1</v>
      </c>
      <c r="O463" s="194">
        <v>0.5</v>
      </c>
      <c r="P463" s="195"/>
      <c r="Q463" s="196" t="s">
        <v>38</v>
      </c>
      <c r="R463" s="197">
        <v>1</v>
      </c>
      <c r="S463" s="198" t="s">
        <v>33</v>
      </c>
      <c r="T463" s="199"/>
      <c r="U463" s="200"/>
      <c r="V463" s="200"/>
      <c r="W463" s="200"/>
      <c r="X463" s="200"/>
      <c r="Y463" s="200"/>
      <c r="Z463" s="200"/>
      <c r="AA463" s="200"/>
      <c r="AB463" s="200"/>
      <c r="AC463" s="208"/>
      <c r="AD463" s="11" t="str">
        <f t="shared" ref="AD463:AD494" si="27">RIGHT(L463,2)</f>
        <v>3</v>
      </c>
      <c r="AF463" t="str">
        <f t="shared" ref="AF463:AF494" si="28">CONCATENATE("80.01.ZZ.0",L463)</f>
        <v>80.01.ZZ.03</v>
      </c>
      <c r="AH463" t="str">
        <f t="shared" ref="AH463:AH494" si="29">CONCATENATE("00 de 0",R463)</f>
        <v>00 de 01</v>
      </c>
    </row>
    <row r="464" spans="1:34" ht="34.5" x14ac:dyDescent="0.25">
      <c r="A464" s="139" t="s">
        <v>116</v>
      </c>
      <c r="B464" s="105" t="s">
        <v>122</v>
      </c>
      <c r="C464" s="63">
        <v>452</v>
      </c>
      <c r="D464" s="197" t="s">
        <v>206</v>
      </c>
      <c r="E464" s="189" t="s">
        <v>685</v>
      </c>
      <c r="F464" s="190" t="s">
        <v>123</v>
      </c>
      <c r="G464" s="189" t="s">
        <v>134</v>
      </c>
      <c r="H464" s="191">
        <v>61792</v>
      </c>
      <c r="I464" s="189" t="s">
        <v>224</v>
      </c>
      <c r="J464" s="189">
        <v>0</v>
      </c>
      <c r="K464" s="189">
        <v>10901</v>
      </c>
      <c r="L464" s="191">
        <v>3</v>
      </c>
      <c r="M464" s="192">
        <v>46092</v>
      </c>
      <c r="N464" s="193">
        <v>1</v>
      </c>
      <c r="O464" s="194">
        <v>0.5</v>
      </c>
      <c r="P464" s="195"/>
      <c r="Q464" s="196" t="s">
        <v>38</v>
      </c>
      <c r="R464" s="197">
        <v>1</v>
      </c>
      <c r="S464" s="198" t="s">
        <v>33</v>
      </c>
      <c r="T464" s="199"/>
      <c r="U464" s="200"/>
      <c r="V464" s="200"/>
      <c r="W464" s="200"/>
      <c r="X464" s="200"/>
      <c r="Y464" s="200"/>
      <c r="Z464" s="200"/>
      <c r="AA464" s="200"/>
      <c r="AB464" s="200"/>
      <c r="AC464" s="208"/>
      <c r="AD464" s="11" t="str">
        <f t="shared" si="27"/>
        <v>3</v>
      </c>
      <c r="AF464" t="str">
        <f t="shared" si="28"/>
        <v>80.01.ZZ.03</v>
      </c>
      <c r="AH464" t="str">
        <f t="shared" si="29"/>
        <v>00 de 01</v>
      </c>
    </row>
    <row r="465" spans="1:34" ht="34.5" x14ac:dyDescent="0.25">
      <c r="A465" s="139" t="s">
        <v>116</v>
      </c>
      <c r="B465" s="105" t="s">
        <v>122</v>
      </c>
      <c r="C465" s="63">
        <v>453</v>
      </c>
      <c r="D465" s="197" t="s">
        <v>206</v>
      </c>
      <c r="E465" s="189" t="s">
        <v>686</v>
      </c>
      <c r="F465" s="190" t="s">
        <v>123</v>
      </c>
      <c r="G465" s="189" t="s">
        <v>134</v>
      </c>
      <c r="H465" s="191">
        <v>61792</v>
      </c>
      <c r="I465" s="189" t="s">
        <v>224</v>
      </c>
      <c r="J465" s="189">
        <v>0</v>
      </c>
      <c r="K465" s="189">
        <v>10901</v>
      </c>
      <c r="L465" s="191">
        <v>3</v>
      </c>
      <c r="M465" s="192">
        <v>46092</v>
      </c>
      <c r="N465" s="193">
        <v>1</v>
      </c>
      <c r="O465" s="194">
        <v>0.5</v>
      </c>
      <c r="P465" s="195"/>
      <c r="Q465" s="196" t="s">
        <v>38</v>
      </c>
      <c r="R465" s="197">
        <v>1</v>
      </c>
      <c r="S465" s="198" t="s">
        <v>33</v>
      </c>
      <c r="T465" s="199"/>
      <c r="U465" s="200"/>
      <c r="V465" s="200"/>
      <c r="W465" s="200"/>
      <c r="X465" s="200"/>
      <c r="Y465" s="200"/>
      <c r="Z465" s="200"/>
      <c r="AA465" s="200"/>
      <c r="AB465" s="200"/>
      <c r="AC465" s="208"/>
      <c r="AD465" s="11" t="str">
        <f t="shared" si="27"/>
        <v>3</v>
      </c>
      <c r="AF465" t="str">
        <f t="shared" si="28"/>
        <v>80.01.ZZ.03</v>
      </c>
      <c r="AH465" t="str">
        <f t="shared" si="29"/>
        <v>00 de 01</v>
      </c>
    </row>
    <row r="466" spans="1:34" ht="34.5" x14ac:dyDescent="0.25">
      <c r="A466" s="139" t="s">
        <v>116</v>
      </c>
      <c r="B466" s="105" t="s">
        <v>122</v>
      </c>
      <c r="C466" s="63">
        <v>454</v>
      </c>
      <c r="D466" s="197" t="s">
        <v>206</v>
      </c>
      <c r="E466" s="189" t="s">
        <v>687</v>
      </c>
      <c r="F466" s="190" t="s">
        <v>123</v>
      </c>
      <c r="G466" s="189" t="s">
        <v>134</v>
      </c>
      <c r="H466" s="191">
        <v>61792</v>
      </c>
      <c r="I466" s="189" t="s">
        <v>224</v>
      </c>
      <c r="J466" s="189">
        <v>0</v>
      </c>
      <c r="K466" s="189">
        <v>10901</v>
      </c>
      <c r="L466" s="191">
        <v>3</v>
      </c>
      <c r="M466" s="192">
        <v>46092</v>
      </c>
      <c r="N466" s="193">
        <v>1</v>
      </c>
      <c r="O466" s="194">
        <v>0.5</v>
      </c>
      <c r="P466" s="195"/>
      <c r="Q466" s="196" t="s">
        <v>38</v>
      </c>
      <c r="R466" s="197">
        <v>1</v>
      </c>
      <c r="S466" s="198" t="s">
        <v>33</v>
      </c>
      <c r="T466" s="199"/>
      <c r="U466" s="200"/>
      <c r="V466" s="200"/>
      <c r="W466" s="200"/>
      <c r="X466" s="200"/>
      <c r="Y466" s="200"/>
      <c r="Z466" s="200"/>
      <c r="AA466" s="200"/>
      <c r="AB466" s="200"/>
      <c r="AC466" s="208"/>
      <c r="AD466" s="11" t="str">
        <f t="shared" si="27"/>
        <v>3</v>
      </c>
      <c r="AF466" t="str">
        <f t="shared" si="28"/>
        <v>80.01.ZZ.03</v>
      </c>
      <c r="AH466" t="str">
        <f t="shared" si="29"/>
        <v>00 de 01</v>
      </c>
    </row>
    <row r="467" spans="1:34" ht="34.5" x14ac:dyDescent="0.25">
      <c r="A467" s="139" t="s">
        <v>116</v>
      </c>
      <c r="B467" s="105" t="s">
        <v>122</v>
      </c>
      <c r="C467" s="63">
        <v>455</v>
      </c>
      <c r="D467" s="197" t="s">
        <v>206</v>
      </c>
      <c r="E467" s="189" t="s">
        <v>688</v>
      </c>
      <c r="F467" s="190" t="s">
        <v>123</v>
      </c>
      <c r="G467" s="189" t="s">
        <v>134</v>
      </c>
      <c r="H467" s="191">
        <v>61792</v>
      </c>
      <c r="I467" s="189" t="s">
        <v>224</v>
      </c>
      <c r="J467" s="189">
        <v>0</v>
      </c>
      <c r="K467" s="189">
        <v>10901</v>
      </c>
      <c r="L467" s="191">
        <v>3</v>
      </c>
      <c r="M467" s="192">
        <v>46092</v>
      </c>
      <c r="N467" s="193">
        <v>1</v>
      </c>
      <c r="O467" s="194">
        <v>0.5</v>
      </c>
      <c r="P467" s="195"/>
      <c r="Q467" s="196" t="s">
        <v>38</v>
      </c>
      <c r="R467" s="197">
        <v>1</v>
      </c>
      <c r="S467" s="198" t="s">
        <v>33</v>
      </c>
      <c r="T467" s="199"/>
      <c r="U467" s="200"/>
      <c r="V467" s="200"/>
      <c r="W467" s="200"/>
      <c r="X467" s="200"/>
      <c r="Y467" s="200"/>
      <c r="Z467" s="200"/>
      <c r="AA467" s="200"/>
      <c r="AB467" s="200"/>
      <c r="AC467" s="208"/>
      <c r="AD467" s="11" t="str">
        <f t="shared" si="27"/>
        <v>3</v>
      </c>
      <c r="AF467" t="str">
        <f t="shared" si="28"/>
        <v>80.01.ZZ.03</v>
      </c>
      <c r="AH467" t="str">
        <f t="shared" si="29"/>
        <v>00 de 01</v>
      </c>
    </row>
    <row r="468" spans="1:34" ht="34.5" x14ac:dyDescent="0.25">
      <c r="A468" s="139" t="s">
        <v>116</v>
      </c>
      <c r="B468" s="105" t="s">
        <v>122</v>
      </c>
      <c r="C468" s="63">
        <v>456</v>
      </c>
      <c r="D468" s="197" t="s">
        <v>206</v>
      </c>
      <c r="E468" s="189" t="s">
        <v>689</v>
      </c>
      <c r="F468" s="190" t="s">
        <v>123</v>
      </c>
      <c r="G468" s="189" t="s">
        <v>134</v>
      </c>
      <c r="H468" s="191">
        <v>61792</v>
      </c>
      <c r="I468" s="189" t="s">
        <v>224</v>
      </c>
      <c r="J468" s="189">
        <v>0</v>
      </c>
      <c r="K468" s="189">
        <v>10901</v>
      </c>
      <c r="L468" s="191">
        <v>3</v>
      </c>
      <c r="M468" s="192">
        <v>46092</v>
      </c>
      <c r="N468" s="193">
        <v>1</v>
      </c>
      <c r="O468" s="194">
        <v>0.5</v>
      </c>
      <c r="P468" s="195"/>
      <c r="Q468" s="196" t="s">
        <v>38</v>
      </c>
      <c r="R468" s="197">
        <v>1</v>
      </c>
      <c r="S468" s="198" t="s">
        <v>33</v>
      </c>
      <c r="T468" s="199"/>
      <c r="U468" s="200"/>
      <c r="V468" s="200"/>
      <c r="W468" s="200"/>
      <c r="X468" s="200"/>
      <c r="Y468" s="200"/>
      <c r="Z468" s="200"/>
      <c r="AA468" s="200"/>
      <c r="AB468" s="200"/>
      <c r="AC468" s="208"/>
      <c r="AD468" s="11" t="str">
        <f t="shared" si="27"/>
        <v>3</v>
      </c>
      <c r="AF468" t="str">
        <f t="shared" si="28"/>
        <v>80.01.ZZ.03</v>
      </c>
      <c r="AH468" t="str">
        <f t="shared" si="29"/>
        <v>00 de 01</v>
      </c>
    </row>
    <row r="469" spans="1:34" ht="34.5" x14ac:dyDescent="0.25">
      <c r="A469" s="139" t="s">
        <v>116</v>
      </c>
      <c r="B469" s="105" t="s">
        <v>122</v>
      </c>
      <c r="C469" s="63">
        <v>457</v>
      </c>
      <c r="D469" s="197" t="s">
        <v>206</v>
      </c>
      <c r="E469" s="189" t="s">
        <v>690</v>
      </c>
      <c r="F469" s="190" t="s">
        <v>123</v>
      </c>
      <c r="G469" s="189" t="s">
        <v>134</v>
      </c>
      <c r="H469" s="191">
        <v>61792</v>
      </c>
      <c r="I469" s="189" t="s">
        <v>224</v>
      </c>
      <c r="J469" s="189">
        <v>0</v>
      </c>
      <c r="K469" s="189">
        <v>10901</v>
      </c>
      <c r="L469" s="191">
        <v>3</v>
      </c>
      <c r="M469" s="192">
        <v>46092</v>
      </c>
      <c r="N469" s="193">
        <v>1</v>
      </c>
      <c r="O469" s="194">
        <v>0.5</v>
      </c>
      <c r="P469" s="195"/>
      <c r="Q469" s="196" t="s">
        <v>38</v>
      </c>
      <c r="R469" s="197">
        <v>1</v>
      </c>
      <c r="S469" s="198" t="s">
        <v>33</v>
      </c>
      <c r="T469" s="199"/>
      <c r="U469" s="200"/>
      <c r="V469" s="200"/>
      <c r="W469" s="200"/>
      <c r="X469" s="200"/>
      <c r="Y469" s="200"/>
      <c r="Z469" s="200"/>
      <c r="AA469" s="200"/>
      <c r="AB469" s="200"/>
      <c r="AC469" s="208"/>
      <c r="AD469" s="11" t="str">
        <f t="shared" si="27"/>
        <v>3</v>
      </c>
      <c r="AF469" t="str">
        <f t="shared" si="28"/>
        <v>80.01.ZZ.03</v>
      </c>
      <c r="AH469" t="str">
        <f t="shared" si="29"/>
        <v>00 de 01</v>
      </c>
    </row>
    <row r="470" spans="1:34" ht="34.5" x14ac:dyDescent="0.25">
      <c r="A470" s="139" t="s">
        <v>116</v>
      </c>
      <c r="B470" s="105" t="s">
        <v>122</v>
      </c>
      <c r="C470" s="63">
        <v>458</v>
      </c>
      <c r="D470" s="197" t="s">
        <v>206</v>
      </c>
      <c r="E470" s="189" t="s">
        <v>691</v>
      </c>
      <c r="F470" s="190" t="s">
        <v>123</v>
      </c>
      <c r="G470" s="189" t="s">
        <v>134</v>
      </c>
      <c r="H470" s="191">
        <v>61792</v>
      </c>
      <c r="I470" s="189" t="s">
        <v>224</v>
      </c>
      <c r="J470" s="189">
        <v>0</v>
      </c>
      <c r="K470" s="189">
        <v>10901</v>
      </c>
      <c r="L470" s="191">
        <v>3</v>
      </c>
      <c r="M470" s="192">
        <v>46092</v>
      </c>
      <c r="N470" s="193">
        <v>1</v>
      </c>
      <c r="O470" s="194">
        <v>0.5</v>
      </c>
      <c r="P470" s="195"/>
      <c r="Q470" s="196" t="s">
        <v>38</v>
      </c>
      <c r="R470" s="197">
        <v>1</v>
      </c>
      <c r="S470" s="198" t="s">
        <v>33</v>
      </c>
      <c r="T470" s="199"/>
      <c r="U470" s="200"/>
      <c r="V470" s="200"/>
      <c r="W470" s="200"/>
      <c r="X470" s="200"/>
      <c r="Y470" s="200"/>
      <c r="Z470" s="200"/>
      <c r="AA470" s="200"/>
      <c r="AB470" s="200"/>
      <c r="AC470" s="208"/>
      <c r="AD470" s="11" t="str">
        <f t="shared" si="27"/>
        <v>3</v>
      </c>
      <c r="AF470" t="str">
        <f t="shared" si="28"/>
        <v>80.01.ZZ.03</v>
      </c>
      <c r="AH470" t="str">
        <f t="shared" si="29"/>
        <v>00 de 01</v>
      </c>
    </row>
    <row r="471" spans="1:34" ht="34.5" x14ac:dyDescent="0.25">
      <c r="A471" s="139" t="s">
        <v>116</v>
      </c>
      <c r="B471" s="105" t="s">
        <v>122</v>
      </c>
      <c r="C471" s="63">
        <v>459</v>
      </c>
      <c r="D471" s="197" t="s">
        <v>206</v>
      </c>
      <c r="E471" s="189" t="s">
        <v>692</v>
      </c>
      <c r="F471" s="190" t="s">
        <v>123</v>
      </c>
      <c r="G471" s="189" t="s">
        <v>134</v>
      </c>
      <c r="H471" s="191">
        <v>61792</v>
      </c>
      <c r="I471" s="189" t="s">
        <v>224</v>
      </c>
      <c r="J471" s="189">
        <v>0</v>
      </c>
      <c r="K471" s="189">
        <v>10901</v>
      </c>
      <c r="L471" s="191">
        <v>3</v>
      </c>
      <c r="M471" s="192">
        <v>46092</v>
      </c>
      <c r="N471" s="193">
        <v>1</v>
      </c>
      <c r="O471" s="194">
        <v>0.5</v>
      </c>
      <c r="P471" s="195"/>
      <c r="Q471" s="196" t="s">
        <v>38</v>
      </c>
      <c r="R471" s="197">
        <v>1</v>
      </c>
      <c r="S471" s="198" t="s">
        <v>33</v>
      </c>
      <c r="T471" s="199"/>
      <c r="U471" s="200"/>
      <c r="V471" s="200"/>
      <c r="W471" s="200"/>
      <c r="X471" s="200"/>
      <c r="Y471" s="200"/>
      <c r="Z471" s="200"/>
      <c r="AA471" s="200"/>
      <c r="AB471" s="200"/>
      <c r="AC471" s="208"/>
      <c r="AD471" s="11" t="str">
        <f t="shared" si="27"/>
        <v>3</v>
      </c>
      <c r="AF471" t="str">
        <f t="shared" si="28"/>
        <v>80.01.ZZ.03</v>
      </c>
      <c r="AH471" t="str">
        <f t="shared" si="29"/>
        <v>00 de 01</v>
      </c>
    </row>
    <row r="472" spans="1:34" ht="34.5" x14ac:dyDescent="0.25">
      <c r="A472" s="139" t="s">
        <v>116</v>
      </c>
      <c r="B472" s="105" t="s">
        <v>122</v>
      </c>
      <c r="C472" s="63">
        <v>460</v>
      </c>
      <c r="D472" s="197" t="s">
        <v>206</v>
      </c>
      <c r="E472" s="189" t="s">
        <v>693</v>
      </c>
      <c r="F472" s="190" t="s">
        <v>123</v>
      </c>
      <c r="G472" s="189" t="s">
        <v>134</v>
      </c>
      <c r="H472" s="191">
        <v>61792</v>
      </c>
      <c r="I472" s="189" t="s">
        <v>224</v>
      </c>
      <c r="J472" s="189">
        <v>0</v>
      </c>
      <c r="K472" s="189">
        <v>10901</v>
      </c>
      <c r="L472" s="191">
        <v>3</v>
      </c>
      <c r="M472" s="192">
        <v>46092</v>
      </c>
      <c r="N472" s="193">
        <v>1</v>
      </c>
      <c r="O472" s="194">
        <v>0.5</v>
      </c>
      <c r="P472" s="195"/>
      <c r="Q472" s="196" t="s">
        <v>38</v>
      </c>
      <c r="R472" s="197">
        <v>1</v>
      </c>
      <c r="S472" s="198" t="s">
        <v>33</v>
      </c>
      <c r="T472" s="199"/>
      <c r="U472" s="200"/>
      <c r="V472" s="200"/>
      <c r="W472" s="200"/>
      <c r="X472" s="200"/>
      <c r="Y472" s="200"/>
      <c r="Z472" s="200"/>
      <c r="AA472" s="200"/>
      <c r="AB472" s="200"/>
      <c r="AC472" s="208"/>
      <c r="AD472" s="11" t="str">
        <f t="shared" si="27"/>
        <v>3</v>
      </c>
      <c r="AF472" t="str">
        <f t="shared" si="28"/>
        <v>80.01.ZZ.03</v>
      </c>
      <c r="AH472" t="str">
        <f t="shared" si="29"/>
        <v>00 de 01</v>
      </c>
    </row>
    <row r="473" spans="1:34" ht="34.5" x14ac:dyDescent="0.25">
      <c r="A473" s="139" t="s">
        <v>116</v>
      </c>
      <c r="B473" s="105" t="s">
        <v>122</v>
      </c>
      <c r="C473" s="63">
        <v>461</v>
      </c>
      <c r="D473" s="197" t="s">
        <v>206</v>
      </c>
      <c r="E473" s="189" t="s">
        <v>694</v>
      </c>
      <c r="F473" s="190" t="s">
        <v>123</v>
      </c>
      <c r="G473" s="189" t="s">
        <v>134</v>
      </c>
      <c r="H473" s="191">
        <v>61792</v>
      </c>
      <c r="I473" s="189" t="s">
        <v>224</v>
      </c>
      <c r="J473" s="189">
        <v>0</v>
      </c>
      <c r="K473" s="189">
        <v>10901</v>
      </c>
      <c r="L473" s="191">
        <v>3</v>
      </c>
      <c r="M473" s="192">
        <v>46092</v>
      </c>
      <c r="N473" s="193">
        <v>1</v>
      </c>
      <c r="O473" s="194">
        <v>0.5</v>
      </c>
      <c r="P473" s="195"/>
      <c r="Q473" s="196" t="s">
        <v>38</v>
      </c>
      <c r="R473" s="197">
        <v>1</v>
      </c>
      <c r="S473" s="198" t="s">
        <v>33</v>
      </c>
      <c r="T473" s="199"/>
      <c r="U473" s="200"/>
      <c r="V473" s="200"/>
      <c r="W473" s="200"/>
      <c r="X473" s="200"/>
      <c r="Y473" s="200"/>
      <c r="Z473" s="200"/>
      <c r="AA473" s="200"/>
      <c r="AB473" s="200"/>
      <c r="AC473" s="208"/>
      <c r="AD473" s="11" t="str">
        <f t="shared" si="27"/>
        <v>3</v>
      </c>
      <c r="AF473" t="str">
        <f t="shared" si="28"/>
        <v>80.01.ZZ.03</v>
      </c>
      <c r="AH473" t="str">
        <f t="shared" si="29"/>
        <v>00 de 01</v>
      </c>
    </row>
    <row r="474" spans="1:34" ht="34.5" x14ac:dyDescent="0.25">
      <c r="A474" s="139" t="s">
        <v>116</v>
      </c>
      <c r="B474" s="105" t="s">
        <v>122</v>
      </c>
      <c r="C474" s="63">
        <v>462</v>
      </c>
      <c r="D474" s="197" t="s">
        <v>206</v>
      </c>
      <c r="E474" s="189" t="s">
        <v>250</v>
      </c>
      <c r="F474" s="190" t="s">
        <v>123</v>
      </c>
      <c r="G474" s="189" t="s">
        <v>134</v>
      </c>
      <c r="H474" s="191">
        <v>61792</v>
      </c>
      <c r="I474" s="189" t="s">
        <v>224</v>
      </c>
      <c r="J474" s="189">
        <v>0</v>
      </c>
      <c r="K474" s="189">
        <v>11001</v>
      </c>
      <c r="L474" s="191">
        <v>3</v>
      </c>
      <c r="M474" s="192">
        <v>46092</v>
      </c>
      <c r="N474" s="193">
        <v>1</v>
      </c>
      <c r="O474" s="194">
        <v>0.5</v>
      </c>
      <c r="P474" s="195"/>
      <c r="Q474" s="196" t="s">
        <v>38</v>
      </c>
      <c r="R474" s="197">
        <v>1</v>
      </c>
      <c r="S474" s="198" t="s">
        <v>33</v>
      </c>
      <c r="T474" s="199"/>
      <c r="U474" s="200"/>
      <c r="V474" s="200"/>
      <c r="W474" s="200"/>
      <c r="X474" s="200"/>
      <c r="Y474" s="200"/>
      <c r="Z474" s="200"/>
      <c r="AA474" s="200"/>
      <c r="AB474" s="200"/>
      <c r="AC474" s="208"/>
      <c r="AD474" s="11" t="str">
        <f t="shared" si="27"/>
        <v>3</v>
      </c>
      <c r="AF474" t="str">
        <f t="shared" si="28"/>
        <v>80.01.ZZ.03</v>
      </c>
      <c r="AH474" t="str">
        <f t="shared" si="29"/>
        <v>00 de 01</v>
      </c>
    </row>
    <row r="475" spans="1:34" ht="34.5" x14ac:dyDescent="0.25">
      <c r="A475" s="139" t="s">
        <v>116</v>
      </c>
      <c r="B475" s="105" t="s">
        <v>122</v>
      </c>
      <c r="C475" s="63">
        <v>463</v>
      </c>
      <c r="D475" s="197" t="s">
        <v>206</v>
      </c>
      <c r="E475" s="189" t="s">
        <v>695</v>
      </c>
      <c r="F475" s="190" t="s">
        <v>123</v>
      </c>
      <c r="G475" s="189" t="s">
        <v>134</v>
      </c>
      <c r="H475" s="191">
        <v>61792</v>
      </c>
      <c r="I475" s="189" t="s">
        <v>224</v>
      </c>
      <c r="J475" s="189">
        <v>0</v>
      </c>
      <c r="K475" s="189">
        <v>11001</v>
      </c>
      <c r="L475" s="191">
        <v>3</v>
      </c>
      <c r="M475" s="192">
        <v>46092</v>
      </c>
      <c r="N475" s="193">
        <v>1</v>
      </c>
      <c r="O475" s="194">
        <v>0.5</v>
      </c>
      <c r="P475" s="195"/>
      <c r="Q475" s="196" t="s">
        <v>38</v>
      </c>
      <c r="R475" s="197">
        <v>1</v>
      </c>
      <c r="S475" s="198" t="s">
        <v>33</v>
      </c>
      <c r="T475" s="199"/>
      <c r="U475" s="200"/>
      <c r="V475" s="200"/>
      <c r="W475" s="200"/>
      <c r="X475" s="200"/>
      <c r="Y475" s="200"/>
      <c r="Z475" s="200"/>
      <c r="AA475" s="200"/>
      <c r="AB475" s="200"/>
      <c r="AC475" s="208"/>
      <c r="AD475" s="11" t="str">
        <f t="shared" si="27"/>
        <v>3</v>
      </c>
      <c r="AF475" t="str">
        <f t="shared" si="28"/>
        <v>80.01.ZZ.03</v>
      </c>
      <c r="AH475" t="str">
        <f t="shared" si="29"/>
        <v>00 de 01</v>
      </c>
    </row>
    <row r="476" spans="1:34" ht="34.5" x14ac:dyDescent="0.25">
      <c r="A476" s="139" t="s">
        <v>116</v>
      </c>
      <c r="B476" s="105" t="s">
        <v>122</v>
      </c>
      <c r="C476" s="63">
        <v>464</v>
      </c>
      <c r="D476" s="197" t="s">
        <v>206</v>
      </c>
      <c r="E476" s="189" t="s">
        <v>696</v>
      </c>
      <c r="F476" s="190" t="s">
        <v>123</v>
      </c>
      <c r="G476" s="189" t="s">
        <v>134</v>
      </c>
      <c r="H476" s="191">
        <v>61792</v>
      </c>
      <c r="I476" s="189" t="s">
        <v>224</v>
      </c>
      <c r="J476" s="189">
        <v>0</v>
      </c>
      <c r="K476" s="189">
        <v>11001</v>
      </c>
      <c r="L476" s="191">
        <v>3</v>
      </c>
      <c r="M476" s="192">
        <v>46092</v>
      </c>
      <c r="N476" s="193">
        <v>1</v>
      </c>
      <c r="O476" s="194">
        <v>0.5</v>
      </c>
      <c r="P476" s="195"/>
      <c r="Q476" s="196" t="s">
        <v>38</v>
      </c>
      <c r="R476" s="197">
        <v>1</v>
      </c>
      <c r="S476" s="198" t="s">
        <v>33</v>
      </c>
      <c r="T476" s="199"/>
      <c r="U476" s="200"/>
      <c r="V476" s="200"/>
      <c r="W476" s="200"/>
      <c r="X476" s="200"/>
      <c r="Y476" s="200"/>
      <c r="Z476" s="200"/>
      <c r="AA476" s="200"/>
      <c r="AB476" s="200"/>
      <c r="AC476" s="208"/>
      <c r="AD476" s="11" t="str">
        <f t="shared" si="27"/>
        <v>3</v>
      </c>
      <c r="AF476" t="str">
        <f t="shared" si="28"/>
        <v>80.01.ZZ.03</v>
      </c>
      <c r="AH476" t="str">
        <f t="shared" si="29"/>
        <v>00 de 01</v>
      </c>
    </row>
    <row r="477" spans="1:34" ht="34.5" x14ac:dyDescent="0.25">
      <c r="A477" s="139" t="s">
        <v>116</v>
      </c>
      <c r="B477" s="105" t="s">
        <v>122</v>
      </c>
      <c r="C477" s="63">
        <v>465</v>
      </c>
      <c r="D477" s="197" t="s">
        <v>206</v>
      </c>
      <c r="E477" s="189" t="s">
        <v>697</v>
      </c>
      <c r="F477" s="190" t="s">
        <v>123</v>
      </c>
      <c r="G477" s="189" t="s">
        <v>134</v>
      </c>
      <c r="H477" s="191">
        <v>61792</v>
      </c>
      <c r="I477" s="189" t="s">
        <v>224</v>
      </c>
      <c r="J477" s="189">
        <v>0</v>
      </c>
      <c r="K477" s="189">
        <v>11001</v>
      </c>
      <c r="L477" s="191">
        <v>3</v>
      </c>
      <c r="M477" s="192">
        <v>46092</v>
      </c>
      <c r="N477" s="193">
        <v>1</v>
      </c>
      <c r="O477" s="194">
        <v>0.5</v>
      </c>
      <c r="P477" s="195"/>
      <c r="Q477" s="196" t="s">
        <v>38</v>
      </c>
      <c r="R477" s="197">
        <v>1</v>
      </c>
      <c r="S477" s="198" t="s">
        <v>33</v>
      </c>
      <c r="T477" s="199"/>
      <c r="U477" s="200"/>
      <c r="V477" s="200"/>
      <c r="W477" s="200"/>
      <c r="X477" s="200"/>
      <c r="Y477" s="200"/>
      <c r="Z477" s="200"/>
      <c r="AA477" s="200"/>
      <c r="AB477" s="200"/>
      <c r="AC477" s="208"/>
      <c r="AD477" s="11" t="str">
        <f t="shared" si="27"/>
        <v>3</v>
      </c>
      <c r="AF477" t="str">
        <f t="shared" si="28"/>
        <v>80.01.ZZ.03</v>
      </c>
      <c r="AH477" t="str">
        <f t="shared" si="29"/>
        <v>00 de 01</v>
      </c>
    </row>
    <row r="478" spans="1:34" ht="34.5" x14ac:dyDescent="0.25">
      <c r="A478" s="139" t="s">
        <v>116</v>
      </c>
      <c r="B478" s="105" t="s">
        <v>122</v>
      </c>
      <c r="C478" s="63">
        <v>466</v>
      </c>
      <c r="D478" s="197" t="s">
        <v>206</v>
      </c>
      <c r="E478" s="189" t="s">
        <v>698</v>
      </c>
      <c r="F478" s="190" t="s">
        <v>123</v>
      </c>
      <c r="G478" s="189" t="s">
        <v>134</v>
      </c>
      <c r="H478" s="191">
        <v>61792</v>
      </c>
      <c r="I478" s="189" t="s">
        <v>224</v>
      </c>
      <c r="J478" s="189">
        <v>0</v>
      </c>
      <c r="K478" s="189">
        <v>11001</v>
      </c>
      <c r="L478" s="191">
        <v>3</v>
      </c>
      <c r="M478" s="192">
        <v>46092</v>
      </c>
      <c r="N478" s="193">
        <v>1</v>
      </c>
      <c r="O478" s="194">
        <v>0.5</v>
      </c>
      <c r="P478" s="195"/>
      <c r="Q478" s="196" t="s">
        <v>38</v>
      </c>
      <c r="R478" s="197">
        <v>1</v>
      </c>
      <c r="S478" s="198" t="s">
        <v>33</v>
      </c>
      <c r="T478" s="199"/>
      <c r="U478" s="200"/>
      <c r="V478" s="200"/>
      <c r="W478" s="200"/>
      <c r="X478" s="200"/>
      <c r="Y478" s="200"/>
      <c r="Z478" s="200"/>
      <c r="AA478" s="200"/>
      <c r="AB478" s="200"/>
      <c r="AC478" s="208"/>
      <c r="AD478" s="11" t="str">
        <f t="shared" si="27"/>
        <v>3</v>
      </c>
      <c r="AF478" t="str">
        <f t="shared" si="28"/>
        <v>80.01.ZZ.03</v>
      </c>
      <c r="AH478" t="str">
        <f t="shared" si="29"/>
        <v>00 de 01</v>
      </c>
    </row>
    <row r="479" spans="1:34" ht="34.5" x14ac:dyDescent="0.25">
      <c r="A479" s="139" t="s">
        <v>116</v>
      </c>
      <c r="B479" s="105" t="s">
        <v>122</v>
      </c>
      <c r="C479" s="63">
        <v>467</v>
      </c>
      <c r="D479" s="197" t="s">
        <v>206</v>
      </c>
      <c r="E479" s="189" t="s">
        <v>699</v>
      </c>
      <c r="F479" s="190" t="s">
        <v>123</v>
      </c>
      <c r="G479" s="189" t="s">
        <v>134</v>
      </c>
      <c r="H479" s="191">
        <v>61792</v>
      </c>
      <c r="I479" s="189" t="s">
        <v>224</v>
      </c>
      <c r="J479" s="189">
        <v>0</v>
      </c>
      <c r="K479" s="189">
        <v>11001</v>
      </c>
      <c r="L479" s="191">
        <v>3</v>
      </c>
      <c r="M479" s="192">
        <v>46092</v>
      </c>
      <c r="N479" s="193">
        <v>1</v>
      </c>
      <c r="O479" s="194">
        <v>0.5</v>
      </c>
      <c r="P479" s="195"/>
      <c r="Q479" s="196" t="s">
        <v>38</v>
      </c>
      <c r="R479" s="197">
        <v>1</v>
      </c>
      <c r="S479" s="198" t="s">
        <v>33</v>
      </c>
      <c r="T479" s="199"/>
      <c r="U479" s="200"/>
      <c r="V479" s="200"/>
      <c r="W479" s="200"/>
      <c r="X479" s="200"/>
      <c r="Y479" s="200"/>
      <c r="Z479" s="200"/>
      <c r="AA479" s="200"/>
      <c r="AB479" s="200"/>
      <c r="AC479" s="208"/>
      <c r="AD479" s="11" t="str">
        <f t="shared" si="27"/>
        <v>3</v>
      </c>
      <c r="AF479" t="str">
        <f t="shared" si="28"/>
        <v>80.01.ZZ.03</v>
      </c>
      <c r="AH479" t="str">
        <f t="shared" si="29"/>
        <v>00 de 01</v>
      </c>
    </row>
    <row r="480" spans="1:34" ht="34.5" x14ac:dyDescent="0.25">
      <c r="A480" s="139" t="s">
        <v>116</v>
      </c>
      <c r="B480" s="105" t="s">
        <v>122</v>
      </c>
      <c r="C480" s="63">
        <v>468</v>
      </c>
      <c r="D480" s="197" t="s">
        <v>206</v>
      </c>
      <c r="E480" s="189" t="s">
        <v>700</v>
      </c>
      <c r="F480" s="190" t="s">
        <v>123</v>
      </c>
      <c r="G480" s="189" t="s">
        <v>134</v>
      </c>
      <c r="H480" s="191">
        <v>61792</v>
      </c>
      <c r="I480" s="189" t="s">
        <v>224</v>
      </c>
      <c r="J480" s="189">
        <v>0</v>
      </c>
      <c r="K480" s="189">
        <v>11001</v>
      </c>
      <c r="L480" s="191">
        <v>3</v>
      </c>
      <c r="M480" s="192">
        <v>46092</v>
      </c>
      <c r="N480" s="193">
        <v>1</v>
      </c>
      <c r="O480" s="194">
        <v>0.5</v>
      </c>
      <c r="P480" s="195"/>
      <c r="Q480" s="196" t="s">
        <v>38</v>
      </c>
      <c r="R480" s="197">
        <v>1</v>
      </c>
      <c r="S480" s="198" t="s">
        <v>33</v>
      </c>
      <c r="T480" s="199"/>
      <c r="U480" s="200"/>
      <c r="V480" s="200"/>
      <c r="W480" s="200"/>
      <c r="X480" s="200"/>
      <c r="Y480" s="200"/>
      <c r="Z480" s="200"/>
      <c r="AA480" s="200"/>
      <c r="AB480" s="200"/>
      <c r="AC480" s="208"/>
      <c r="AD480" s="11" t="str">
        <f t="shared" si="27"/>
        <v>3</v>
      </c>
      <c r="AF480" t="str">
        <f t="shared" si="28"/>
        <v>80.01.ZZ.03</v>
      </c>
      <c r="AH480" t="str">
        <f t="shared" si="29"/>
        <v>00 de 01</v>
      </c>
    </row>
    <row r="481" spans="1:34" ht="34.5" x14ac:dyDescent="0.25">
      <c r="A481" s="139" t="s">
        <v>116</v>
      </c>
      <c r="B481" s="105" t="s">
        <v>122</v>
      </c>
      <c r="C481" s="63">
        <v>469</v>
      </c>
      <c r="D481" s="197" t="s">
        <v>206</v>
      </c>
      <c r="E481" s="189" t="s">
        <v>701</v>
      </c>
      <c r="F481" s="190" t="s">
        <v>123</v>
      </c>
      <c r="G481" s="189" t="s">
        <v>134</v>
      </c>
      <c r="H481" s="191">
        <v>61792</v>
      </c>
      <c r="I481" s="189" t="s">
        <v>224</v>
      </c>
      <c r="J481" s="189">
        <v>0</v>
      </c>
      <c r="K481" s="189">
        <v>11001</v>
      </c>
      <c r="L481" s="191">
        <v>3</v>
      </c>
      <c r="M481" s="192">
        <v>46092</v>
      </c>
      <c r="N481" s="193">
        <v>1</v>
      </c>
      <c r="O481" s="194">
        <v>0.5</v>
      </c>
      <c r="P481" s="195"/>
      <c r="Q481" s="196" t="s">
        <v>38</v>
      </c>
      <c r="R481" s="197">
        <v>1</v>
      </c>
      <c r="S481" s="198" t="s">
        <v>33</v>
      </c>
      <c r="T481" s="199"/>
      <c r="U481" s="200"/>
      <c r="V481" s="200"/>
      <c r="W481" s="200"/>
      <c r="X481" s="200"/>
      <c r="Y481" s="200"/>
      <c r="Z481" s="200"/>
      <c r="AA481" s="200"/>
      <c r="AB481" s="200"/>
      <c r="AC481" s="208"/>
      <c r="AD481" s="11" t="str">
        <f t="shared" si="27"/>
        <v>3</v>
      </c>
      <c r="AF481" t="str">
        <f t="shared" si="28"/>
        <v>80.01.ZZ.03</v>
      </c>
      <c r="AH481" t="str">
        <f t="shared" si="29"/>
        <v>00 de 01</v>
      </c>
    </row>
    <row r="482" spans="1:34" ht="34.5" x14ac:dyDescent="0.25">
      <c r="A482" s="139" t="s">
        <v>116</v>
      </c>
      <c r="B482" s="105" t="s">
        <v>122</v>
      </c>
      <c r="C482" s="63">
        <v>470</v>
      </c>
      <c r="D482" s="197" t="s">
        <v>206</v>
      </c>
      <c r="E482" s="189" t="s">
        <v>702</v>
      </c>
      <c r="F482" s="190" t="s">
        <v>123</v>
      </c>
      <c r="G482" s="189" t="s">
        <v>134</v>
      </c>
      <c r="H482" s="191">
        <v>61792</v>
      </c>
      <c r="I482" s="189" t="s">
        <v>224</v>
      </c>
      <c r="J482" s="189">
        <v>0</v>
      </c>
      <c r="K482" s="189">
        <v>11001</v>
      </c>
      <c r="L482" s="191">
        <v>3</v>
      </c>
      <c r="M482" s="192">
        <v>46092</v>
      </c>
      <c r="N482" s="193">
        <v>1</v>
      </c>
      <c r="O482" s="194">
        <v>0.5</v>
      </c>
      <c r="P482" s="195"/>
      <c r="Q482" s="196" t="s">
        <v>38</v>
      </c>
      <c r="R482" s="197">
        <v>1</v>
      </c>
      <c r="S482" s="198" t="s">
        <v>33</v>
      </c>
      <c r="T482" s="199"/>
      <c r="U482" s="200"/>
      <c r="V482" s="200"/>
      <c r="W482" s="200"/>
      <c r="X482" s="200"/>
      <c r="Y482" s="200"/>
      <c r="Z482" s="200"/>
      <c r="AA482" s="200"/>
      <c r="AB482" s="200"/>
      <c r="AC482" s="208"/>
      <c r="AD482" s="11" t="str">
        <f t="shared" si="27"/>
        <v>3</v>
      </c>
      <c r="AF482" t="str">
        <f t="shared" si="28"/>
        <v>80.01.ZZ.03</v>
      </c>
      <c r="AH482" t="str">
        <f t="shared" si="29"/>
        <v>00 de 01</v>
      </c>
    </row>
    <row r="483" spans="1:34" ht="34.5" x14ac:dyDescent="0.25">
      <c r="A483" s="139" t="s">
        <v>116</v>
      </c>
      <c r="B483" s="105" t="s">
        <v>122</v>
      </c>
      <c r="C483" s="63">
        <v>471</v>
      </c>
      <c r="D483" s="197" t="s">
        <v>206</v>
      </c>
      <c r="E483" s="189" t="s">
        <v>703</v>
      </c>
      <c r="F483" s="190" t="s">
        <v>123</v>
      </c>
      <c r="G483" s="189" t="s">
        <v>134</v>
      </c>
      <c r="H483" s="191">
        <v>61792</v>
      </c>
      <c r="I483" s="189" t="s">
        <v>224</v>
      </c>
      <c r="J483" s="189">
        <v>0</v>
      </c>
      <c r="K483" s="189">
        <v>11001</v>
      </c>
      <c r="L483" s="191">
        <v>3</v>
      </c>
      <c r="M483" s="192">
        <v>46092</v>
      </c>
      <c r="N483" s="193">
        <v>1</v>
      </c>
      <c r="O483" s="194">
        <v>0.5</v>
      </c>
      <c r="P483" s="195"/>
      <c r="Q483" s="196" t="s">
        <v>38</v>
      </c>
      <c r="R483" s="197">
        <v>1</v>
      </c>
      <c r="S483" s="198" t="s">
        <v>33</v>
      </c>
      <c r="T483" s="199"/>
      <c r="U483" s="200"/>
      <c r="V483" s="200"/>
      <c r="W483" s="200"/>
      <c r="X483" s="200"/>
      <c r="Y483" s="200"/>
      <c r="Z483" s="200"/>
      <c r="AA483" s="200"/>
      <c r="AB483" s="200"/>
      <c r="AC483" s="208"/>
      <c r="AD483" s="11" t="str">
        <f t="shared" si="27"/>
        <v>3</v>
      </c>
      <c r="AF483" t="str">
        <f t="shared" si="28"/>
        <v>80.01.ZZ.03</v>
      </c>
      <c r="AH483" t="str">
        <f t="shared" si="29"/>
        <v>00 de 01</v>
      </c>
    </row>
    <row r="484" spans="1:34" ht="34.5" x14ac:dyDescent="0.25">
      <c r="A484" s="139" t="s">
        <v>116</v>
      </c>
      <c r="B484" s="105" t="s">
        <v>122</v>
      </c>
      <c r="C484" s="63">
        <v>472</v>
      </c>
      <c r="D484" s="197" t="s">
        <v>206</v>
      </c>
      <c r="E484" s="189" t="s">
        <v>704</v>
      </c>
      <c r="F484" s="190" t="s">
        <v>123</v>
      </c>
      <c r="G484" s="189" t="s">
        <v>134</v>
      </c>
      <c r="H484" s="191">
        <v>61792</v>
      </c>
      <c r="I484" s="189" t="s">
        <v>224</v>
      </c>
      <c r="J484" s="189">
        <v>0</v>
      </c>
      <c r="K484" s="189">
        <v>11001</v>
      </c>
      <c r="L484" s="191">
        <v>3</v>
      </c>
      <c r="M484" s="192">
        <v>46092</v>
      </c>
      <c r="N484" s="193">
        <v>1</v>
      </c>
      <c r="O484" s="194">
        <v>0.5</v>
      </c>
      <c r="P484" s="195"/>
      <c r="Q484" s="196" t="s">
        <v>38</v>
      </c>
      <c r="R484" s="197">
        <v>1</v>
      </c>
      <c r="S484" s="198" t="s">
        <v>33</v>
      </c>
      <c r="T484" s="199"/>
      <c r="U484" s="200"/>
      <c r="V484" s="200"/>
      <c r="W484" s="200"/>
      <c r="X484" s="200"/>
      <c r="Y484" s="200"/>
      <c r="Z484" s="200"/>
      <c r="AA484" s="200"/>
      <c r="AB484" s="200"/>
      <c r="AC484" s="208"/>
      <c r="AD484" s="11" t="str">
        <f t="shared" si="27"/>
        <v>3</v>
      </c>
      <c r="AF484" t="str">
        <f t="shared" si="28"/>
        <v>80.01.ZZ.03</v>
      </c>
      <c r="AH484" t="str">
        <f t="shared" si="29"/>
        <v>00 de 01</v>
      </c>
    </row>
    <row r="485" spans="1:34" ht="34.5" x14ac:dyDescent="0.25">
      <c r="A485" s="139" t="s">
        <v>116</v>
      </c>
      <c r="B485" s="105" t="s">
        <v>122</v>
      </c>
      <c r="C485" s="63">
        <v>473</v>
      </c>
      <c r="D485" s="197" t="s">
        <v>206</v>
      </c>
      <c r="E485" s="189" t="s">
        <v>705</v>
      </c>
      <c r="F485" s="190" t="s">
        <v>123</v>
      </c>
      <c r="G485" s="189" t="s">
        <v>134</v>
      </c>
      <c r="H485" s="191">
        <v>61792</v>
      </c>
      <c r="I485" s="189" t="s">
        <v>224</v>
      </c>
      <c r="J485" s="189">
        <v>0</v>
      </c>
      <c r="K485" s="189">
        <v>11001</v>
      </c>
      <c r="L485" s="191">
        <v>3</v>
      </c>
      <c r="M485" s="192">
        <v>46092</v>
      </c>
      <c r="N485" s="193">
        <v>1</v>
      </c>
      <c r="O485" s="194">
        <v>0.5</v>
      </c>
      <c r="P485" s="195"/>
      <c r="Q485" s="196" t="s">
        <v>38</v>
      </c>
      <c r="R485" s="197">
        <v>1</v>
      </c>
      <c r="S485" s="198" t="s">
        <v>33</v>
      </c>
      <c r="T485" s="199"/>
      <c r="U485" s="200"/>
      <c r="V485" s="200"/>
      <c r="W485" s="200"/>
      <c r="X485" s="200"/>
      <c r="Y485" s="200"/>
      <c r="Z485" s="200"/>
      <c r="AA485" s="200"/>
      <c r="AB485" s="200"/>
      <c r="AC485" s="208"/>
      <c r="AD485" s="11" t="str">
        <f t="shared" si="27"/>
        <v>3</v>
      </c>
      <c r="AF485" t="str">
        <f t="shared" si="28"/>
        <v>80.01.ZZ.03</v>
      </c>
      <c r="AH485" t="str">
        <f t="shared" si="29"/>
        <v>00 de 01</v>
      </c>
    </row>
    <row r="486" spans="1:34" ht="34.5" x14ac:dyDescent="0.25">
      <c r="A486" s="139" t="s">
        <v>116</v>
      </c>
      <c r="B486" s="105" t="s">
        <v>122</v>
      </c>
      <c r="C486" s="63">
        <v>474</v>
      </c>
      <c r="D486" s="197" t="s">
        <v>206</v>
      </c>
      <c r="E486" s="189" t="s">
        <v>706</v>
      </c>
      <c r="F486" s="190" t="s">
        <v>123</v>
      </c>
      <c r="G486" s="189" t="s">
        <v>134</v>
      </c>
      <c r="H486" s="191">
        <v>61792</v>
      </c>
      <c r="I486" s="189" t="s">
        <v>224</v>
      </c>
      <c r="J486" s="189">
        <v>0</v>
      </c>
      <c r="K486" s="189">
        <v>11001</v>
      </c>
      <c r="L486" s="191">
        <v>3</v>
      </c>
      <c r="M486" s="192">
        <v>46092</v>
      </c>
      <c r="N486" s="193">
        <v>1</v>
      </c>
      <c r="O486" s="194">
        <v>0.5</v>
      </c>
      <c r="P486" s="195"/>
      <c r="Q486" s="196" t="s">
        <v>38</v>
      </c>
      <c r="R486" s="197">
        <v>1</v>
      </c>
      <c r="S486" s="198" t="s">
        <v>33</v>
      </c>
      <c r="T486" s="199"/>
      <c r="U486" s="200"/>
      <c r="V486" s="200"/>
      <c r="W486" s="200"/>
      <c r="X486" s="200"/>
      <c r="Y486" s="200"/>
      <c r="Z486" s="200"/>
      <c r="AA486" s="200"/>
      <c r="AB486" s="200"/>
      <c r="AC486" s="208"/>
      <c r="AD486" s="11" t="str">
        <f t="shared" si="27"/>
        <v>3</v>
      </c>
      <c r="AF486" t="str">
        <f t="shared" si="28"/>
        <v>80.01.ZZ.03</v>
      </c>
      <c r="AH486" t="str">
        <f t="shared" si="29"/>
        <v>00 de 01</v>
      </c>
    </row>
    <row r="487" spans="1:34" ht="34.5" x14ac:dyDescent="0.25">
      <c r="A487" s="139" t="s">
        <v>116</v>
      </c>
      <c r="B487" s="105" t="s">
        <v>122</v>
      </c>
      <c r="C487" s="63">
        <v>475</v>
      </c>
      <c r="D487" s="197" t="s">
        <v>206</v>
      </c>
      <c r="E487" s="189" t="s">
        <v>707</v>
      </c>
      <c r="F487" s="190" t="s">
        <v>123</v>
      </c>
      <c r="G487" s="189" t="s">
        <v>134</v>
      </c>
      <c r="H487" s="191">
        <v>61792</v>
      </c>
      <c r="I487" s="189" t="s">
        <v>224</v>
      </c>
      <c r="J487" s="189">
        <v>0</v>
      </c>
      <c r="K487" s="189">
        <v>11001</v>
      </c>
      <c r="L487" s="191">
        <v>3</v>
      </c>
      <c r="M487" s="192">
        <v>46092</v>
      </c>
      <c r="N487" s="193">
        <v>1</v>
      </c>
      <c r="O487" s="194">
        <v>0.5</v>
      </c>
      <c r="P487" s="195"/>
      <c r="Q487" s="196" t="s">
        <v>38</v>
      </c>
      <c r="R487" s="197">
        <v>1</v>
      </c>
      <c r="S487" s="198" t="s">
        <v>33</v>
      </c>
      <c r="T487" s="199"/>
      <c r="U487" s="200"/>
      <c r="V487" s="200"/>
      <c r="W487" s="200"/>
      <c r="X487" s="200"/>
      <c r="Y487" s="200"/>
      <c r="Z487" s="200"/>
      <c r="AA487" s="200"/>
      <c r="AB487" s="200"/>
      <c r="AC487" s="208"/>
      <c r="AD487" s="11" t="str">
        <f t="shared" si="27"/>
        <v>3</v>
      </c>
      <c r="AF487" t="str">
        <f t="shared" si="28"/>
        <v>80.01.ZZ.03</v>
      </c>
      <c r="AH487" t="str">
        <f t="shared" si="29"/>
        <v>00 de 01</v>
      </c>
    </row>
    <row r="488" spans="1:34" ht="34.5" x14ac:dyDescent="0.25">
      <c r="A488" s="139" t="s">
        <v>116</v>
      </c>
      <c r="B488" s="105" t="s">
        <v>122</v>
      </c>
      <c r="C488" s="63">
        <v>476</v>
      </c>
      <c r="D488" s="197" t="s">
        <v>206</v>
      </c>
      <c r="E488" s="189" t="s">
        <v>708</v>
      </c>
      <c r="F488" s="190" t="s">
        <v>123</v>
      </c>
      <c r="G488" s="189" t="s">
        <v>134</v>
      </c>
      <c r="H488" s="191">
        <v>61792</v>
      </c>
      <c r="I488" s="189" t="s">
        <v>224</v>
      </c>
      <c r="J488" s="189">
        <v>0</v>
      </c>
      <c r="K488" s="189">
        <v>11001</v>
      </c>
      <c r="L488" s="191">
        <v>3</v>
      </c>
      <c r="M488" s="192">
        <v>46092</v>
      </c>
      <c r="N488" s="193">
        <v>1</v>
      </c>
      <c r="O488" s="194">
        <v>0.5</v>
      </c>
      <c r="P488" s="195"/>
      <c r="Q488" s="196" t="s">
        <v>38</v>
      </c>
      <c r="R488" s="197">
        <v>1</v>
      </c>
      <c r="S488" s="198" t="s">
        <v>33</v>
      </c>
      <c r="T488" s="199"/>
      <c r="U488" s="200"/>
      <c r="V488" s="200"/>
      <c r="W488" s="200"/>
      <c r="X488" s="200"/>
      <c r="Y488" s="200"/>
      <c r="Z488" s="200"/>
      <c r="AA488" s="200"/>
      <c r="AB488" s="200"/>
      <c r="AC488" s="208"/>
      <c r="AD488" s="11" t="str">
        <f t="shared" si="27"/>
        <v>3</v>
      </c>
      <c r="AF488" t="str">
        <f t="shared" si="28"/>
        <v>80.01.ZZ.03</v>
      </c>
      <c r="AH488" t="str">
        <f t="shared" si="29"/>
        <v>00 de 01</v>
      </c>
    </row>
    <row r="489" spans="1:34" ht="34.5" x14ac:dyDescent="0.25">
      <c r="A489" s="139" t="s">
        <v>116</v>
      </c>
      <c r="B489" s="105" t="s">
        <v>122</v>
      </c>
      <c r="C489" s="63">
        <v>477</v>
      </c>
      <c r="D489" s="197" t="s">
        <v>206</v>
      </c>
      <c r="E489" s="189" t="s">
        <v>709</v>
      </c>
      <c r="F489" s="190" t="s">
        <v>123</v>
      </c>
      <c r="G489" s="189" t="s">
        <v>134</v>
      </c>
      <c r="H489" s="191">
        <v>61792</v>
      </c>
      <c r="I489" s="189" t="s">
        <v>224</v>
      </c>
      <c r="J489" s="189">
        <v>0</v>
      </c>
      <c r="K489" s="189">
        <v>11001</v>
      </c>
      <c r="L489" s="191">
        <v>3</v>
      </c>
      <c r="M489" s="192">
        <v>46092</v>
      </c>
      <c r="N489" s="193">
        <v>1</v>
      </c>
      <c r="O489" s="194">
        <v>0.5</v>
      </c>
      <c r="P489" s="195"/>
      <c r="Q489" s="196" t="s">
        <v>38</v>
      </c>
      <c r="R489" s="197">
        <v>1</v>
      </c>
      <c r="S489" s="198" t="s">
        <v>33</v>
      </c>
      <c r="T489" s="199"/>
      <c r="U489" s="200"/>
      <c r="V489" s="200"/>
      <c r="W489" s="200"/>
      <c r="X489" s="200"/>
      <c r="Y489" s="200"/>
      <c r="Z489" s="200"/>
      <c r="AA489" s="200"/>
      <c r="AB489" s="200"/>
      <c r="AC489" s="208"/>
      <c r="AD489" s="11" t="str">
        <f t="shared" si="27"/>
        <v>3</v>
      </c>
      <c r="AF489" t="str">
        <f t="shared" si="28"/>
        <v>80.01.ZZ.03</v>
      </c>
      <c r="AH489" t="str">
        <f t="shared" si="29"/>
        <v>00 de 01</v>
      </c>
    </row>
    <row r="490" spans="1:34" ht="34.5" x14ac:dyDescent="0.25">
      <c r="A490" s="139" t="s">
        <v>116</v>
      </c>
      <c r="B490" s="105" t="s">
        <v>122</v>
      </c>
      <c r="C490" s="63">
        <v>478</v>
      </c>
      <c r="D490" s="197" t="s">
        <v>206</v>
      </c>
      <c r="E490" s="189" t="s">
        <v>710</v>
      </c>
      <c r="F490" s="190" t="s">
        <v>123</v>
      </c>
      <c r="G490" s="189" t="s">
        <v>134</v>
      </c>
      <c r="H490" s="191">
        <v>61792</v>
      </c>
      <c r="I490" s="189" t="s">
        <v>224</v>
      </c>
      <c r="J490" s="189">
        <v>0</v>
      </c>
      <c r="K490" s="189">
        <v>11001</v>
      </c>
      <c r="L490" s="191">
        <v>3</v>
      </c>
      <c r="M490" s="192">
        <v>46092</v>
      </c>
      <c r="N490" s="193">
        <v>1</v>
      </c>
      <c r="O490" s="194">
        <v>0.5</v>
      </c>
      <c r="P490" s="195"/>
      <c r="Q490" s="196" t="s">
        <v>38</v>
      </c>
      <c r="R490" s="197">
        <v>1</v>
      </c>
      <c r="S490" s="198" t="s">
        <v>33</v>
      </c>
      <c r="T490" s="199"/>
      <c r="U490" s="200"/>
      <c r="V490" s="200"/>
      <c r="W490" s="200"/>
      <c r="X490" s="200"/>
      <c r="Y490" s="200"/>
      <c r="Z490" s="200"/>
      <c r="AA490" s="200"/>
      <c r="AB490" s="200"/>
      <c r="AC490" s="208"/>
      <c r="AD490" s="11" t="str">
        <f t="shared" si="27"/>
        <v>3</v>
      </c>
      <c r="AF490" t="str">
        <f t="shared" si="28"/>
        <v>80.01.ZZ.03</v>
      </c>
      <c r="AH490" t="str">
        <f t="shared" si="29"/>
        <v>00 de 01</v>
      </c>
    </row>
    <row r="491" spans="1:34" ht="34.5" x14ac:dyDescent="0.25">
      <c r="A491" s="139" t="s">
        <v>116</v>
      </c>
      <c r="B491" s="105" t="s">
        <v>122</v>
      </c>
      <c r="C491" s="63">
        <v>479</v>
      </c>
      <c r="D491" s="197" t="s">
        <v>206</v>
      </c>
      <c r="E491" s="189" t="s">
        <v>711</v>
      </c>
      <c r="F491" s="190" t="s">
        <v>123</v>
      </c>
      <c r="G491" s="189" t="s">
        <v>134</v>
      </c>
      <c r="H491" s="191">
        <v>61792</v>
      </c>
      <c r="I491" s="189" t="s">
        <v>224</v>
      </c>
      <c r="J491" s="189">
        <v>0</v>
      </c>
      <c r="K491" s="189">
        <v>11001</v>
      </c>
      <c r="L491" s="191">
        <v>3</v>
      </c>
      <c r="M491" s="192">
        <v>46092</v>
      </c>
      <c r="N491" s="193">
        <v>1</v>
      </c>
      <c r="O491" s="194">
        <v>0.5</v>
      </c>
      <c r="P491" s="195"/>
      <c r="Q491" s="196" t="s">
        <v>38</v>
      </c>
      <c r="R491" s="197">
        <v>1</v>
      </c>
      <c r="S491" s="198" t="s">
        <v>33</v>
      </c>
      <c r="T491" s="199"/>
      <c r="U491" s="200"/>
      <c r="V491" s="200"/>
      <c r="W491" s="200"/>
      <c r="X491" s="200"/>
      <c r="Y491" s="200"/>
      <c r="Z491" s="200"/>
      <c r="AA491" s="200"/>
      <c r="AB491" s="200"/>
      <c r="AC491" s="208"/>
      <c r="AD491" s="11" t="str">
        <f t="shared" si="27"/>
        <v>3</v>
      </c>
      <c r="AF491" t="str">
        <f t="shared" si="28"/>
        <v>80.01.ZZ.03</v>
      </c>
      <c r="AH491" t="str">
        <f t="shared" si="29"/>
        <v>00 de 01</v>
      </c>
    </row>
    <row r="492" spans="1:34" ht="34.5" x14ac:dyDescent="0.25">
      <c r="A492" s="139" t="s">
        <v>116</v>
      </c>
      <c r="B492" s="105" t="s">
        <v>122</v>
      </c>
      <c r="C492" s="63">
        <v>480</v>
      </c>
      <c r="D492" s="197" t="s">
        <v>206</v>
      </c>
      <c r="E492" s="189" t="s">
        <v>712</v>
      </c>
      <c r="F492" s="190" t="s">
        <v>123</v>
      </c>
      <c r="G492" s="189" t="s">
        <v>134</v>
      </c>
      <c r="H492" s="191">
        <v>61792</v>
      </c>
      <c r="I492" s="189" t="s">
        <v>224</v>
      </c>
      <c r="J492" s="189">
        <v>0</v>
      </c>
      <c r="K492" s="189">
        <v>11001</v>
      </c>
      <c r="L492" s="191">
        <v>3</v>
      </c>
      <c r="M492" s="192">
        <v>46092</v>
      </c>
      <c r="N492" s="193">
        <v>1</v>
      </c>
      <c r="O492" s="194">
        <v>0.5</v>
      </c>
      <c r="P492" s="195"/>
      <c r="Q492" s="196" t="s">
        <v>38</v>
      </c>
      <c r="R492" s="197">
        <v>1</v>
      </c>
      <c r="S492" s="198" t="s">
        <v>33</v>
      </c>
      <c r="T492" s="199"/>
      <c r="U492" s="200"/>
      <c r="V492" s="200"/>
      <c r="W492" s="200"/>
      <c r="X492" s="200"/>
      <c r="Y492" s="200"/>
      <c r="Z492" s="200"/>
      <c r="AA492" s="200"/>
      <c r="AB492" s="200"/>
      <c r="AC492" s="208"/>
      <c r="AD492" s="11" t="str">
        <f t="shared" si="27"/>
        <v>3</v>
      </c>
      <c r="AF492" t="str">
        <f t="shared" si="28"/>
        <v>80.01.ZZ.03</v>
      </c>
      <c r="AH492" t="str">
        <f t="shared" si="29"/>
        <v>00 de 01</v>
      </c>
    </row>
    <row r="493" spans="1:34" ht="34.5" x14ac:dyDescent="0.25">
      <c r="A493" s="139" t="s">
        <v>116</v>
      </c>
      <c r="B493" s="105" t="s">
        <v>122</v>
      </c>
      <c r="C493" s="63">
        <v>481</v>
      </c>
      <c r="D493" s="197" t="s">
        <v>206</v>
      </c>
      <c r="E493" s="189" t="s">
        <v>713</v>
      </c>
      <c r="F493" s="190" t="s">
        <v>123</v>
      </c>
      <c r="G493" s="189" t="s">
        <v>134</v>
      </c>
      <c r="H493" s="191">
        <v>61792</v>
      </c>
      <c r="I493" s="189" t="s">
        <v>224</v>
      </c>
      <c r="J493" s="189">
        <v>0</v>
      </c>
      <c r="K493" s="189">
        <v>11001</v>
      </c>
      <c r="L493" s="191">
        <v>3</v>
      </c>
      <c r="M493" s="192">
        <v>46092</v>
      </c>
      <c r="N493" s="193">
        <v>1</v>
      </c>
      <c r="O493" s="194">
        <v>0.5</v>
      </c>
      <c r="P493" s="195"/>
      <c r="Q493" s="196" t="s">
        <v>38</v>
      </c>
      <c r="R493" s="197">
        <v>1</v>
      </c>
      <c r="S493" s="198" t="s">
        <v>33</v>
      </c>
      <c r="T493" s="199"/>
      <c r="U493" s="200"/>
      <c r="V493" s="200"/>
      <c r="W493" s="200"/>
      <c r="X493" s="200"/>
      <c r="Y493" s="200"/>
      <c r="Z493" s="200"/>
      <c r="AA493" s="200"/>
      <c r="AB493" s="200"/>
      <c r="AC493" s="208"/>
      <c r="AD493" s="11" t="str">
        <f t="shared" si="27"/>
        <v>3</v>
      </c>
      <c r="AF493" t="str">
        <f t="shared" si="28"/>
        <v>80.01.ZZ.03</v>
      </c>
      <c r="AH493" t="str">
        <f t="shared" si="29"/>
        <v>00 de 01</v>
      </c>
    </row>
    <row r="494" spans="1:34" ht="34.5" x14ac:dyDescent="0.25">
      <c r="A494" s="139" t="s">
        <v>116</v>
      </c>
      <c r="B494" s="105" t="s">
        <v>122</v>
      </c>
      <c r="C494" s="63">
        <v>482</v>
      </c>
      <c r="D494" s="197" t="s">
        <v>206</v>
      </c>
      <c r="E494" s="189" t="s">
        <v>714</v>
      </c>
      <c r="F494" s="190" t="s">
        <v>123</v>
      </c>
      <c r="G494" s="189" t="s">
        <v>134</v>
      </c>
      <c r="H494" s="191">
        <v>61792</v>
      </c>
      <c r="I494" s="189" t="s">
        <v>224</v>
      </c>
      <c r="J494" s="189">
        <v>0</v>
      </c>
      <c r="K494" s="189">
        <v>11001</v>
      </c>
      <c r="L494" s="191">
        <v>3</v>
      </c>
      <c r="M494" s="192">
        <v>46092</v>
      </c>
      <c r="N494" s="193">
        <v>1</v>
      </c>
      <c r="O494" s="194">
        <v>0.5</v>
      </c>
      <c r="P494" s="195"/>
      <c r="Q494" s="196" t="s">
        <v>38</v>
      </c>
      <c r="R494" s="197">
        <v>1</v>
      </c>
      <c r="S494" s="198" t="s">
        <v>33</v>
      </c>
      <c r="T494" s="199"/>
      <c r="U494" s="200"/>
      <c r="V494" s="200"/>
      <c r="W494" s="200"/>
      <c r="X494" s="200"/>
      <c r="Y494" s="200"/>
      <c r="Z494" s="200"/>
      <c r="AA494" s="200"/>
      <c r="AB494" s="200"/>
      <c r="AC494" s="208"/>
      <c r="AD494" s="11" t="str">
        <f t="shared" si="27"/>
        <v>3</v>
      </c>
      <c r="AF494" t="str">
        <f t="shared" si="28"/>
        <v>80.01.ZZ.03</v>
      </c>
      <c r="AH494" t="str">
        <f t="shared" si="29"/>
        <v>00 de 01</v>
      </c>
    </row>
    <row r="495" spans="1:34" ht="34.5" x14ac:dyDescent="0.25">
      <c r="A495" s="139" t="s">
        <v>116</v>
      </c>
      <c r="B495" s="105" t="s">
        <v>122</v>
      </c>
      <c r="C495" s="63">
        <v>483</v>
      </c>
      <c r="D495" s="197" t="s">
        <v>206</v>
      </c>
      <c r="E495" s="189" t="s">
        <v>715</v>
      </c>
      <c r="F495" s="190" t="s">
        <v>123</v>
      </c>
      <c r="G495" s="189" t="s">
        <v>134</v>
      </c>
      <c r="H495" s="191">
        <v>61792</v>
      </c>
      <c r="I495" s="189" t="s">
        <v>224</v>
      </c>
      <c r="J495" s="189">
        <v>0</v>
      </c>
      <c r="K495" s="189">
        <v>11001</v>
      </c>
      <c r="L495" s="191">
        <v>3</v>
      </c>
      <c r="M495" s="192">
        <v>46092</v>
      </c>
      <c r="N495" s="193">
        <v>1</v>
      </c>
      <c r="O495" s="194">
        <v>0.5</v>
      </c>
      <c r="P495" s="195"/>
      <c r="Q495" s="196" t="s">
        <v>38</v>
      </c>
      <c r="R495" s="197">
        <v>1</v>
      </c>
      <c r="S495" s="198" t="s">
        <v>33</v>
      </c>
      <c r="T495" s="199"/>
      <c r="U495" s="200"/>
      <c r="V495" s="200"/>
      <c r="W495" s="200"/>
      <c r="X495" s="200"/>
      <c r="Y495" s="200"/>
      <c r="Z495" s="200"/>
      <c r="AA495" s="200"/>
      <c r="AB495" s="200"/>
      <c r="AC495" s="208"/>
      <c r="AD495" s="11" t="str">
        <f t="shared" ref="AD495:AD511" si="30">RIGHT(L495,2)</f>
        <v>3</v>
      </c>
      <c r="AF495" t="str">
        <f t="shared" ref="AF495:AF511" si="31">CONCATENATE("80.01.ZZ.0",L495)</f>
        <v>80.01.ZZ.03</v>
      </c>
      <c r="AH495" t="str">
        <f t="shared" ref="AH495:AH511" si="32">CONCATENATE("00 de 0",R495)</f>
        <v>00 de 01</v>
      </c>
    </row>
    <row r="496" spans="1:34" ht="34.5" x14ac:dyDescent="0.25">
      <c r="A496" s="139" t="s">
        <v>116</v>
      </c>
      <c r="B496" s="105" t="s">
        <v>122</v>
      </c>
      <c r="C496" s="63">
        <v>484</v>
      </c>
      <c r="D496" s="197" t="s">
        <v>206</v>
      </c>
      <c r="E496" s="189" t="s">
        <v>716</v>
      </c>
      <c r="F496" s="190" t="s">
        <v>123</v>
      </c>
      <c r="G496" s="189" t="s">
        <v>134</v>
      </c>
      <c r="H496" s="191">
        <v>61792</v>
      </c>
      <c r="I496" s="189" t="s">
        <v>224</v>
      </c>
      <c r="J496" s="189">
        <v>0</v>
      </c>
      <c r="K496" s="189">
        <v>11001</v>
      </c>
      <c r="L496" s="191">
        <v>3</v>
      </c>
      <c r="M496" s="192">
        <v>46092</v>
      </c>
      <c r="N496" s="193">
        <v>1</v>
      </c>
      <c r="O496" s="194">
        <v>0.5</v>
      </c>
      <c r="P496" s="195"/>
      <c r="Q496" s="196" t="s">
        <v>38</v>
      </c>
      <c r="R496" s="197">
        <v>1</v>
      </c>
      <c r="S496" s="198" t="s">
        <v>33</v>
      </c>
      <c r="T496" s="199"/>
      <c r="U496" s="200"/>
      <c r="V496" s="200"/>
      <c r="W496" s="200"/>
      <c r="X496" s="200"/>
      <c r="Y496" s="200"/>
      <c r="Z496" s="200"/>
      <c r="AA496" s="200"/>
      <c r="AB496" s="200"/>
      <c r="AC496" s="208"/>
      <c r="AD496" s="11" t="str">
        <f t="shared" si="30"/>
        <v>3</v>
      </c>
      <c r="AF496" t="str">
        <f t="shared" si="31"/>
        <v>80.01.ZZ.03</v>
      </c>
      <c r="AH496" t="str">
        <f t="shared" si="32"/>
        <v>00 de 01</v>
      </c>
    </row>
    <row r="497" spans="1:34" ht="34.5" x14ac:dyDescent="0.25">
      <c r="A497" s="139" t="s">
        <v>116</v>
      </c>
      <c r="B497" s="105" t="s">
        <v>122</v>
      </c>
      <c r="C497" s="63">
        <v>485</v>
      </c>
      <c r="D497" s="197" t="s">
        <v>206</v>
      </c>
      <c r="E497" s="189" t="s">
        <v>717</v>
      </c>
      <c r="F497" s="190" t="s">
        <v>123</v>
      </c>
      <c r="G497" s="189" t="s">
        <v>134</v>
      </c>
      <c r="H497" s="191">
        <v>61792</v>
      </c>
      <c r="I497" s="189" t="s">
        <v>224</v>
      </c>
      <c r="J497" s="189">
        <v>0</v>
      </c>
      <c r="K497" s="189">
        <v>11001</v>
      </c>
      <c r="L497" s="191">
        <v>3</v>
      </c>
      <c r="M497" s="192">
        <v>46092</v>
      </c>
      <c r="N497" s="193">
        <v>1</v>
      </c>
      <c r="O497" s="194">
        <v>0.5</v>
      </c>
      <c r="P497" s="195"/>
      <c r="Q497" s="196" t="s">
        <v>38</v>
      </c>
      <c r="R497" s="197">
        <v>1</v>
      </c>
      <c r="S497" s="198" t="s">
        <v>33</v>
      </c>
      <c r="T497" s="199"/>
      <c r="U497" s="200"/>
      <c r="V497" s="200"/>
      <c r="W497" s="200"/>
      <c r="X497" s="200"/>
      <c r="Y497" s="200"/>
      <c r="Z497" s="200"/>
      <c r="AA497" s="200"/>
      <c r="AB497" s="200"/>
      <c r="AC497" s="208"/>
      <c r="AD497" s="11" t="str">
        <f t="shared" si="30"/>
        <v>3</v>
      </c>
      <c r="AF497" t="str">
        <f t="shared" si="31"/>
        <v>80.01.ZZ.03</v>
      </c>
      <c r="AH497" t="str">
        <f t="shared" si="32"/>
        <v>00 de 01</v>
      </c>
    </row>
    <row r="498" spans="1:34" ht="34.5" x14ac:dyDescent="0.25">
      <c r="A498" s="139" t="s">
        <v>116</v>
      </c>
      <c r="B498" s="105" t="s">
        <v>122</v>
      </c>
      <c r="C498" s="63">
        <v>486</v>
      </c>
      <c r="D498" s="197" t="s">
        <v>206</v>
      </c>
      <c r="E498" s="189" t="s">
        <v>718</v>
      </c>
      <c r="F498" s="190" t="s">
        <v>123</v>
      </c>
      <c r="G498" s="189" t="s">
        <v>134</v>
      </c>
      <c r="H498" s="191">
        <v>61792</v>
      </c>
      <c r="I498" s="189" t="s">
        <v>224</v>
      </c>
      <c r="J498" s="189">
        <v>0</v>
      </c>
      <c r="K498" s="189">
        <v>11001</v>
      </c>
      <c r="L498" s="191">
        <v>3</v>
      </c>
      <c r="M498" s="192">
        <v>46092</v>
      </c>
      <c r="N498" s="193">
        <v>1</v>
      </c>
      <c r="O498" s="194">
        <v>0.5</v>
      </c>
      <c r="P498" s="195"/>
      <c r="Q498" s="196" t="s">
        <v>38</v>
      </c>
      <c r="R498" s="197">
        <v>1</v>
      </c>
      <c r="S498" s="198" t="s">
        <v>33</v>
      </c>
      <c r="T498" s="199"/>
      <c r="U498" s="200"/>
      <c r="V498" s="200"/>
      <c r="W498" s="200"/>
      <c r="X498" s="200"/>
      <c r="Y498" s="200"/>
      <c r="Z498" s="200"/>
      <c r="AA498" s="200"/>
      <c r="AB498" s="200"/>
      <c r="AC498" s="208"/>
      <c r="AD498" s="11" t="str">
        <f t="shared" si="30"/>
        <v>3</v>
      </c>
      <c r="AF498" t="str">
        <f t="shared" si="31"/>
        <v>80.01.ZZ.03</v>
      </c>
      <c r="AH498" t="str">
        <f t="shared" si="32"/>
        <v>00 de 01</v>
      </c>
    </row>
    <row r="499" spans="1:34" ht="34.5" x14ac:dyDescent="0.25">
      <c r="A499" s="139" t="s">
        <v>116</v>
      </c>
      <c r="B499" s="105" t="s">
        <v>122</v>
      </c>
      <c r="C499" s="63">
        <v>487</v>
      </c>
      <c r="D499" s="197" t="s">
        <v>206</v>
      </c>
      <c r="E499" s="189" t="s">
        <v>251</v>
      </c>
      <c r="F499" s="190" t="s">
        <v>123</v>
      </c>
      <c r="G499" s="189" t="s">
        <v>134</v>
      </c>
      <c r="H499" s="191">
        <v>61792</v>
      </c>
      <c r="I499" s="189" t="s">
        <v>224</v>
      </c>
      <c r="J499" s="189">
        <v>0</v>
      </c>
      <c r="K499" s="189">
        <v>11101</v>
      </c>
      <c r="L499" s="191">
        <v>3</v>
      </c>
      <c r="M499" s="192">
        <v>46092</v>
      </c>
      <c r="N499" s="193">
        <v>1</v>
      </c>
      <c r="O499" s="194">
        <v>0.5</v>
      </c>
      <c r="P499" s="195"/>
      <c r="Q499" s="196" t="s">
        <v>38</v>
      </c>
      <c r="R499" s="197">
        <v>1</v>
      </c>
      <c r="S499" s="198" t="s">
        <v>33</v>
      </c>
      <c r="T499" s="199"/>
      <c r="U499" s="200"/>
      <c r="V499" s="200"/>
      <c r="W499" s="200"/>
      <c r="X499" s="200"/>
      <c r="Y499" s="200"/>
      <c r="Z499" s="200"/>
      <c r="AA499" s="200"/>
      <c r="AB499" s="200"/>
      <c r="AC499" s="208"/>
      <c r="AD499" s="11" t="str">
        <f t="shared" si="30"/>
        <v>3</v>
      </c>
      <c r="AF499" t="str">
        <f t="shared" si="31"/>
        <v>80.01.ZZ.03</v>
      </c>
      <c r="AH499" t="str">
        <f t="shared" si="32"/>
        <v>00 de 01</v>
      </c>
    </row>
    <row r="500" spans="1:34" ht="34.5" x14ac:dyDescent="0.25">
      <c r="A500" s="139" t="s">
        <v>116</v>
      </c>
      <c r="B500" s="105" t="s">
        <v>122</v>
      </c>
      <c r="C500" s="63">
        <v>488</v>
      </c>
      <c r="D500" s="197" t="s">
        <v>206</v>
      </c>
      <c r="E500" s="189" t="s">
        <v>719</v>
      </c>
      <c r="F500" s="190" t="s">
        <v>123</v>
      </c>
      <c r="G500" s="189" t="s">
        <v>134</v>
      </c>
      <c r="H500" s="191">
        <v>61792</v>
      </c>
      <c r="I500" s="189" t="s">
        <v>224</v>
      </c>
      <c r="J500" s="189">
        <v>0</v>
      </c>
      <c r="K500" s="189">
        <v>11101</v>
      </c>
      <c r="L500" s="191">
        <v>3</v>
      </c>
      <c r="M500" s="192">
        <v>46092</v>
      </c>
      <c r="N500" s="193">
        <v>1</v>
      </c>
      <c r="O500" s="194">
        <v>0.5</v>
      </c>
      <c r="P500" s="195"/>
      <c r="Q500" s="196" t="s">
        <v>38</v>
      </c>
      <c r="R500" s="197">
        <v>1</v>
      </c>
      <c r="S500" s="198" t="s">
        <v>33</v>
      </c>
      <c r="T500" s="199"/>
      <c r="U500" s="200"/>
      <c r="V500" s="200"/>
      <c r="W500" s="200"/>
      <c r="X500" s="200"/>
      <c r="Y500" s="200"/>
      <c r="Z500" s="200"/>
      <c r="AA500" s="200"/>
      <c r="AB500" s="200"/>
      <c r="AC500" s="208"/>
      <c r="AD500" s="11" t="str">
        <f t="shared" si="30"/>
        <v>3</v>
      </c>
      <c r="AF500" t="str">
        <f t="shared" si="31"/>
        <v>80.01.ZZ.03</v>
      </c>
      <c r="AH500" t="str">
        <f t="shared" si="32"/>
        <v>00 de 01</v>
      </c>
    </row>
    <row r="501" spans="1:34" ht="34.5" x14ac:dyDescent="0.25">
      <c r="A501" s="139" t="s">
        <v>116</v>
      </c>
      <c r="B501" s="105" t="s">
        <v>122</v>
      </c>
      <c r="C501" s="63">
        <v>489</v>
      </c>
      <c r="D501" s="197" t="s">
        <v>206</v>
      </c>
      <c r="E501" s="189" t="s">
        <v>720</v>
      </c>
      <c r="F501" s="190" t="s">
        <v>123</v>
      </c>
      <c r="G501" s="189" t="s">
        <v>134</v>
      </c>
      <c r="H501" s="191">
        <v>61792</v>
      </c>
      <c r="I501" s="189" t="s">
        <v>224</v>
      </c>
      <c r="J501" s="189">
        <v>0</v>
      </c>
      <c r="K501" s="189">
        <v>11101</v>
      </c>
      <c r="L501" s="191">
        <v>3</v>
      </c>
      <c r="M501" s="192">
        <v>46092</v>
      </c>
      <c r="N501" s="193">
        <v>1</v>
      </c>
      <c r="O501" s="194">
        <v>0.5</v>
      </c>
      <c r="P501" s="195"/>
      <c r="Q501" s="196" t="s">
        <v>38</v>
      </c>
      <c r="R501" s="197">
        <v>1</v>
      </c>
      <c r="S501" s="198" t="s">
        <v>33</v>
      </c>
      <c r="T501" s="199"/>
      <c r="U501" s="200"/>
      <c r="V501" s="200"/>
      <c r="W501" s="200"/>
      <c r="X501" s="200"/>
      <c r="Y501" s="200"/>
      <c r="Z501" s="200"/>
      <c r="AA501" s="200"/>
      <c r="AB501" s="200"/>
      <c r="AC501" s="208"/>
      <c r="AD501" s="11" t="str">
        <f t="shared" si="30"/>
        <v>3</v>
      </c>
      <c r="AF501" t="str">
        <f t="shared" si="31"/>
        <v>80.01.ZZ.03</v>
      </c>
      <c r="AH501" t="str">
        <f t="shared" si="32"/>
        <v>00 de 01</v>
      </c>
    </row>
    <row r="502" spans="1:34" ht="34.5" x14ac:dyDescent="0.25">
      <c r="A502" s="139" t="s">
        <v>116</v>
      </c>
      <c r="B502" s="105" t="s">
        <v>122</v>
      </c>
      <c r="C502" s="63">
        <v>490</v>
      </c>
      <c r="D502" s="197" t="s">
        <v>206</v>
      </c>
      <c r="E502" s="189" t="s">
        <v>721</v>
      </c>
      <c r="F502" s="190" t="s">
        <v>123</v>
      </c>
      <c r="G502" s="189" t="s">
        <v>134</v>
      </c>
      <c r="H502" s="191">
        <v>61792</v>
      </c>
      <c r="I502" s="189" t="s">
        <v>224</v>
      </c>
      <c r="J502" s="189">
        <v>0</v>
      </c>
      <c r="K502" s="189">
        <v>11101</v>
      </c>
      <c r="L502" s="191">
        <v>3</v>
      </c>
      <c r="M502" s="192">
        <v>46092</v>
      </c>
      <c r="N502" s="193">
        <v>1</v>
      </c>
      <c r="O502" s="194">
        <v>0.5</v>
      </c>
      <c r="P502" s="195"/>
      <c r="Q502" s="196" t="s">
        <v>38</v>
      </c>
      <c r="R502" s="197">
        <v>1</v>
      </c>
      <c r="S502" s="198" t="s">
        <v>33</v>
      </c>
      <c r="T502" s="199"/>
      <c r="U502" s="200"/>
      <c r="V502" s="200"/>
      <c r="W502" s="200"/>
      <c r="X502" s="200"/>
      <c r="Y502" s="200"/>
      <c r="Z502" s="200"/>
      <c r="AA502" s="200"/>
      <c r="AB502" s="200"/>
      <c r="AC502" s="208"/>
      <c r="AD502" s="11" t="str">
        <f t="shared" si="30"/>
        <v>3</v>
      </c>
      <c r="AF502" t="str">
        <f t="shared" si="31"/>
        <v>80.01.ZZ.03</v>
      </c>
      <c r="AH502" t="str">
        <f t="shared" si="32"/>
        <v>00 de 01</v>
      </c>
    </row>
    <row r="503" spans="1:34" ht="34.5" x14ac:dyDescent="0.25">
      <c r="A503" s="139" t="s">
        <v>116</v>
      </c>
      <c r="B503" s="105" t="s">
        <v>122</v>
      </c>
      <c r="C503" s="63">
        <v>491</v>
      </c>
      <c r="D503" s="197" t="s">
        <v>206</v>
      </c>
      <c r="E503" s="189" t="s">
        <v>722</v>
      </c>
      <c r="F503" s="190" t="s">
        <v>123</v>
      </c>
      <c r="G503" s="189" t="s">
        <v>134</v>
      </c>
      <c r="H503" s="191">
        <v>61792</v>
      </c>
      <c r="I503" s="189" t="s">
        <v>224</v>
      </c>
      <c r="J503" s="189">
        <v>0</v>
      </c>
      <c r="K503" s="189">
        <v>11101</v>
      </c>
      <c r="L503" s="191">
        <v>3</v>
      </c>
      <c r="M503" s="192">
        <v>46092</v>
      </c>
      <c r="N503" s="193">
        <v>1</v>
      </c>
      <c r="O503" s="194">
        <v>0.5</v>
      </c>
      <c r="P503" s="195"/>
      <c r="Q503" s="196" t="s">
        <v>38</v>
      </c>
      <c r="R503" s="197">
        <v>1</v>
      </c>
      <c r="S503" s="198" t="s">
        <v>33</v>
      </c>
      <c r="T503" s="199"/>
      <c r="U503" s="200"/>
      <c r="V503" s="200"/>
      <c r="W503" s="200"/>
      <c r="X503" s="200"/>
      <c r="Y503" s="200"/>
      <c r="Z503" s="200"/>
      <c r="AA503" s="200"/>
      <c r="AB503" s="200"/>
      <c r="AC503" s="208"/>
      <c r="AD503" s="11" t="str">
        <f t="shared" si="30"/>
        <v>3</v>
      </c>
      <c r="AF503" t="str">
        <f t="shared" si="31"/>
        <v>80.01.ZZ.03</v>
      </c>
      <c r="AH503" t="str">
        <f t="shared" si="32"/>
        <v>00 de 01</v>
      </c>
    </row>
    <row r="504" spans="1:34" ht="34.5" x14ac:dyDescent="0.25">
      <c r="A504" s="139" t="s">
        <v>116</v>
      </c>
      <c r="B504" s="105" t="s">
        <v>122</v>
      </c>
      <c r="C504" s="63">
        <v>492</v>
      </c>
      <c r="D504" s="197" t="s">
        <v>206</v>
      </c>
      <c r="E504" s="189" t="s">
        <v>723</v>
      </c>
      <c r="F504" s="190" t="s">
        <v>123</v>
      </c>
      <c r="G504" s="189" t="s">
        <v>134</v>
      </c>
      <c r="H504" s="191">
        <v>61792</v>
      </c>
      <c r="I504" s="189" t="s">
        <v>224</v>
      </c>
      <c r="J504" s="189">
        <v>0</v>
      </c>
      <c r="K504" s="189">
        <v>11101</v>
      </c>
      <c r="L504" s="191">
        <v>3</v>
      </c>
      <c r="M504" s="192">
        <v>46092</v>
      </c>
      <c r="N504" s="193">
        <v>1</v>
      </c>
      <c r="O504" s="194">
        <v>0.5</v>
      </c>
      <c r="P504" s="195"/>
      <c r="Q504" s="196" t="s">
        <v>38</v>
      </c>
      <c r="R504" s="197">
        <v>1</v>
      </c>
      <c r="S504" s="198" t="s">
        <v>33</v>
      </c>
      <c r="T504" s="199"/>
      <c r="U504" s="200"/>
      <c r="V504" s="200"/>
      <c r="W504" s="200"/>
      <c r="X504" s="200"/>
      <c r="Y504" s="200"/>
      <c r="Z504" s="200"/>
      <c r="AA504" s="200"/>
      <c r="AB504" s="200"/>
      <c r="AC504" s="208"/>
      <c r="AD504" s="11" t="str">
        <f t="shared" si="30"/>
        <v>3</v>
      </c>
      <c r="AF504" t="str">
        <f t="shared" si="31"/>
        <v>80.01.ZZ.03</v>
      </c>
      <c r="AH504" t="str">
        <f t="shared" si="32"/>
        <v>00 de 01</v>
      </c>
    </row>
    <row r="505" spans="1:34" ht="34.5" x14ac:dyDescent="0.25">
      <c r="A505" s="139" t="s">
        <v>116</v>
      </c>
      <c r="B505" s="105" t="s">
        <v>122</v>
      </c>
      <c r="C505" s="63">
        <v>493</v>
      </c>
      <c r="D505" s="197" t="s">
        <v>206</v>
      </c>
      <c r="E505" s="189" t="s">
        <v>724</v>
      </c>
      <c r="F505" s="190" t="s">
        <v>123</v>
      </c>
      <c r="G505" s="189" t="s">
        <v>134</v>
      </c>
      <c r="H505" s="191">
        <v>61792</v>
      </c>
      <c r="I505" s="189" t="s">
        <v>224</v>
      </c>
      <c r="J505" s="189">
        <v>0</v>
      </c>
      <c r="K505" s="189">
        <v>11101</v>
      </c>
      <c r="L505" s="191">
        <v>3</v>
      </c>
      <c r="M505" s="192">
        <v>46092</v>
      </c>
      <c r="N505" s="193">
        <v>1</v>
      </c>
      <c r="O505" s="194">
        <v>0.5</v>
      </c>
      <c r="P505" s="195"/>
      <c r="Q505" s="196" t="s">
        <v>38</v>
      </c>
      <c r="R505" s="197">
        <v>1</v>
      </c>
      <c r="S505" s="198" t="s">
        <v>33</v>
      </c>
      <c r="T505" s="199"/>
      <c r="U505" s="200"/>
      <c r="V505" s="200"/>
      <c r="W505" s="200"/>
      <c r="X505" s="200"/>
      <c r="Y505" s="200"/>
      <c r="Z505" s="200"/>
      <c r="AA505" s="200"/>
      <c r="AB505" s="200"/>
      <c r="AC505" s="208"/>
      <c r="AD505" s="11" t="str">
        <f t="shared" si="30"/>
        <v>3</v>
      </c>
      <c r="AF505" t="str">
        <f t="shared" si="31"/>
        <v>80.01.ZZ.03</v>
      </c>
      <c r="AH505" t="str">
        <f t="shared" si="32"/>
        <v>00 de 01</v>
      </c>
    </row>
    <row r="506" spans="1:34" ht="34.5" x14ac:dyDescent="0.25">
      <c r="A506" s="139" t="s">
        <v>116</v>
      </c>
      <c r="B506" s="105" t="s">
        <v>122</v>
      </c>
      <c r="C506" s="63">
        <v>494</v>
      </c>
      <c r="D506" s="197" t="s">
        <v>206</v>
      </c>
      <c r="E506" s="189" t="s">
        <v>725</v>
      </c>
      <c r="F506" s="190" t="s">
        <v>123</v>
      </c>
      <c r="G506" s="189" t="s">
        <v>134</v>
      </c>
      <c r="H506" s="191">
        <v>61792</v>
      </c>
      <c r="I506" s="189" t="s">
        <v>224</v>
      </c>
      <c r="J506" s="189">
        <v>0</v>
      </c>
      <c r="K506" s="189">
        <v>11101</v>
      </c>
      <c r="L506" s="191">
        <v>3</v>
      </c>
      <c r="M506" s="192">
        <v>46092</v>
      </c>
      <c r="N506" s="193">
        <v>1</v>
      </c>
      <c r="O506" s="194">
        <v>0.5</v>
      </c>
      <c r="P506" s="195"/>
      <c r="Q506" s="196" t="s">
        <v>38</v>
      </c>
      <c r="R506" s="197">
        <v>1</v>
      </c>
      <c r="S506" s="198" t="s">
        <v>33</v>
      </c>
      <c r="T506" s="199"/>
      <c r="U506" s="200"/>
      <c r="V506" s="200"/>
      <c r="W506" s="200"/>
      <c r="X506" s="200"/>
      <c r="Y506" s="200"/>
      <c r="Z506" s="200"/>
      <c r="AA506" s="200"/>
      <c r="AB506" s="200"/>
      <c r="AC506" s="208"/>
      <c r="AD506" s="11" t="str">
        <f t="shared" si="30"/>
        <v>3</v>
      </c>
      <c r="AF506" t="str">
        <f t="shared" si="31"/>
        <v>80.01.ZZ.03</v>
      </c>
      <c r="AH506" t="str">
        <f t="shared" si="32"/>
        <v>00 de 01</v>
      </c>
    </row>
    <row r="507" spans="1:34" ht="34.5" x14ac:dyDescent="0.25">
      <c r="A507" s="139" t="s">
        <v>116</v>
      </c>
      <c r="B507" s="105" t="s">
        <v>122</v>
      </c>
      <c r="C507" s="63">
        <v>495</v>
      </c>
      <c r="D507" s="197" t="s">
        <v>206</v>
      </c>
      <c r="E507" s="189" t="s">
        <v>726</v>
      </c>
      <c r="F507" s="190" t="s">
        <v>123</v>
      </c>
      <c r="G507" s="189" t="s">
        <v>134</v>
      </c>
      <c r="H507" s="191">
        <v>61792</v>
      </c>
      <c r="I507" s="189" t="s">
        <v>224</v>
      </c>
      <c r="J507" s="189">
        <v>0</v>
      </c>
      <c r="K507" s="189">
        <v>11101</v>
      </c>
      <c r="L507" s="191">
        <v>3</v>
      </c>
      <c r="M507" s="192">
        <v>46092</v>
      </c>
      <c r="N507" s="193">
        <v>1</v>
      </c>
      <c r="O507" s="194">
        <v>0.5</v>
      </c>
      <c r="P507" s="195"/>
      <c r="Q507" s="196" t="s">
        <v>38</v>
      </c>
      <c r="R507" s="197">
        <v>1</v>
      </c>
      <c r="S507" s="198" t="s">
        <v>33</v>
      </c>
      <c r="T507" s="199"/>
      <c r="U507" s="200"/>
      <c r="V507" s="200"/>
      <c r="W507" s="200"/>
      <c r="X507" s="200"/>
      <c r="Y507" s="200"/>
      <c r="Z507" s="200"/>
      <c r="AA507" s="200"/>
      <c r="AB507" s="200"/>
      <c r="AC507" s="208"/>
      <c r="AD507" s="11" t="str">
        <f t="shared" si="30"/>
        <v>3</v>
      </c>
      <c r="AF507" t="str">
        <f t="shared" si="31"/>
        <v>80.01.ZZ.03</v>
      </c>
      <c r="AH507" t="str">
        <f t="shared" si="32"/>
        <v>00 de 01</v>
      </c>
    </row>
    <row r="508" spans="1:34" ht="34.5" x14ac:dyDescent="0.25">
      <c r="A508" s="139" t="s">
        <v>116</v>
      </c>
      <c r="B508" s="105" t="s">
        <v>122</v>
      </c>
      <c r="C508" s="63">
        <v>496</v>
      </c>
      <c r="D508" s="197" t="s">
        <v>206</v>
      </c>
      <c r="E508" s="189" t="s">
        <v>727</v>
      </c>
      <c r="F508" s="190" t="s">
        <v>123</v>
      </c>
      <c r="G508" s="189" t="s">
        <v>134</v>
      </c>
      <c r="H508" s="191">
        <v>61792</v>
      </c>
      <c r="I508" s="189" t="s">
        <v>224</v>
      </c>
      <c r="J508" s="189">
        <v>0</v>
      </c>
      <c r="K508" s="189">
        <v>11101</v>
      </c>
      <c r="L508" s="191">
        <v>3</v>
      </c>
      <c r="M508" s="192">
        <v>46092</v>
      </c>
      <c r="N508" s="193">
        <v>1</v>
      </c>
      <c r="O508" s="194">
        <v>0.5</v>
      </c>
      <c r="P508" s="195"/>
      <c r="Q508" s="196" t="s">
        <v>38</v>
      </c>
      <c r="R508" s="197">
        <v>1</v>
      </c>
      <c r="S508" s="198" t="s">
        <v>33</v>
      </c>
      <c r="T508" s="199"/>
      <c r="U508" s="200"/>
      <c r="V508" s="200"/>
      <c r="W508" s="200"/>
      <c r="X508" s="200"/>
      <c r="Y508" s="200"/>
      <c r="Z508" s="200"/>
      <c r="AA508" s="200"/>
      <c r="AB508" s="200"/>
      <c r="AC508" s="208"/>
      <c r="AD508" s="11" t="str">
        <f t="shared" si="30"/>
        <v>3</v>
      </c>
      <c r="AF508" t="str">
        <f t="shared" si="31"/>
        <v>80.01.ZZ.03</v>
      </c>
      <c r="AH508" t="str">
        <f t="shared" si="32"/>
        <v>00 de 01</v>
      </c>
    </row>
    <row r="509" spans="1:34" ht="34.5" x14ac:dyDescent="0.25">
      <c r="A509" s="139" t="s">
        <v>116</v>
      </c>
      <c r="B509" s="105" t="s">
        <v>122</v>
      </c>
      <c r="C509" s="63">
        <v>497</v>
      </c>
      <c r="D509" s="197" t="s">
        <v>206</v>
      </c>
      <c r="E509" s="189" t="s">
        <v>728</v>
      </c>
      <c r="F509" s="190" t="s">
        <v>123</v>
      </c>
      <c r="G509" s="189" t="s">
        <v>134</v>
      </c>
      <c r="H509" s="191">
        <v>61792</v>
      </c>
      <c r="I509" s="189" t="s">
        <v>224</v>
      </c>
      <c r="J509" s="189">
        <v>0</v>
      </c>
      <c r="K509" s="189">
        <v>11101</v>
      </c>
      <c r="L509" s="191">
        <v>3</v>
      </c>
      <c r="M509" s="192">
        <v>46092</v>
      </c>
      <c r="N509" s="193">
        <v>1</v>
      </c>
      <c r="O509" s="194">
        <v>0.5</v>
      </c>
      <c r="P509" s="195"/>
      <c r="Q509" s="196" t="s">
        <v>38</v>
      </c>
      <c r="R509" s="197">
        <v>1</v>
      </c>
      <c r="S509" s="198" t="s">
        <v>33</v>
      </c>
      <c r="T509" s="199"/>
      <c r="U509" s="200"/>
      <c r="V509" s="200"/>
      <c r="W509" s="200"/>
      <c r="X509" s="200"/>
      <c r="Y509" s="200"/>
      <c r="Z509" s="200"/>
      <c r="AA509" s="200"/>
      <c r="AB509" s="200"/>
      <c r="AC509" s="208"/>
      <c r="AD509" s="11" t="str">
        <f t="shared" si="30"/>
        <v>3</v>
      </c>
      <c r="AF509" t="str">
        <f t="shared" si="31"/>
        <v>80.01.ZZ.03</v>
      </c>
      <c r="AH509" t="str">
        <f t="shared" si="32"/>
        <v>00 de 01</v>
      </c>
    </row>
    <row r="510" spans="1:34" ht="34.5" x14ac:dyDescent="0.25">
      <c r="A510" s="139" t="s">
        <v>116</v>
      </c>
      <c r="B510" s="105" t="s">
        <v>122</v>
      </c>
      <c r="C510" s="63">
        <v>498</v>
      </c>
      <c r="D510" s="197" t="s">
        <v>206</v>
      </c>
      <c r="E510" s="189" t="s">
        <v>729</v>
      </c>
      <c r="F510" s="190" t="s">
        <v>123</v>
      </c>
      <c r="G510" s="189" t="s">
        <v>134</v>
      </c>
      <c r="H510" s="191">
        <v>61792</v>
      </c>
      <c r="I510" s="189" t="s">
        <v>224</v>
      </c>
      <c r="J510" s="189">
        <v>0</v>
      </c>
      <c r="K510" s="189">
        <v>11101</v>
      </c>
      <c r="L510" s="191">
        <v>3</v>
      </c>
      <c r="M510" s="192">
        <v>46092</v>
      </c>
      <c r="N510" s="193">
        <v>1</v>
      </c>
      <c r="O510" s="194">
        <v>0.5</v>
      </c>
      <c r="P510" s="195"/>
      <c r="Q510" s="196" t="s">
        <v>38</v>
      </c>
      <c r="R510" s="197">
        <v>1</v>
      </c>
      <c r="S510" s="198" t="s">
        <v>33</v>
      </c>
      <c r="T510" s="199"/>
      <c r="U510" s="200"/>
      <c r="V510" s="200"/>
      <c r="W510" s="200"/>
      <c r="X510" s="200"/>
      <c r="Y510" s="200"/>
      <c r="Z510" s="200"/>
      <c r="AA510" s="200"/>
      <c r="AB510" s="200"/>
      <c r="AC510" s="208"/>
      <c r="AD510" s="11" t="str">
        <f t="shared" si="30"/>
        <v>3</v>
      </c>
      <c r="AF510" t="str">
        <f t="shared" si="31"/>
        <v>80.01.ZZ.03</v>
      </c>
      <c r="AH510" t="str">
        <f t="shared" si="32"/>
        <v>00 de 01</v>
      </c>
    </row>
    <row r="511" spans="1:34" ht="34.5" x14ac:dyDescent="0.25">
      <c r="A511" s="139" t="s">
        <v>116</v>
      </c>
      <c r="B511" s="105" t="s">
        <v>122</v>
      </c>
      <c r="C511" s="63">
        <v>499</v>
      </c>
      <c r="D511" s="197" t="s">
        <v>206</v>
      </c>
      <c r="E511" s="189" t="s">
        <v>730</v>
      </c>
      <c r="F511" s="190" t="s">
        <v>123</v>
      </c>
      <c r="G511" s="189" t="s">
        <v>134</v>
      </c>
      <c r="H511" s="191">
        <v>61792</v>
      </c>
      <c r="I511" s="189" t="s">
        <v>224</v>
      </c>
      <c r="J511" s="189">
        <v>0</v>
      </c>
      <c r="K511" s="189">
        <v>11101</v>
      </c>
      <c r="L511" s="191">
        <v>3</v>
      </c>
      <c r="M511" s="192">
        <v>46092</v>
      </c>
      <c r="N511" s="193">
        <v>1</v>
      </c>
      <c r="O511" s="194">
        <v>0.5</v>
      </c>
      <c r="P511" s="195"/>
      <c r="Q511" s="196" t="s">
        <v>38</v>
      </c>
      <c r="R511" s="197">
        <v>1</v>
      </c>
      <c r="S511" s="198" t="s">
        <v>33</v>
      </c>
      <c r="T511" s="199"/>
      <c r="U511" s="200"/>
      <c r="V511" s="200"/>
      <c r="W511" s="200"/>
      <c r="X511" s="200"/>
      <c r="Y511" s="200"/>
      <c r="Z511" s="200"/>
      <c r="AA511" s="200"/>
      <c r="AB511" s="200"/>
      <c r="AC511" s="208"/>
      <c r="AD511" s="11" t="str">
        <f t="shared" si="30"/>
        <v>3</v>
      </c>
      <c r="AF511" t="str">
        <f t="shared" si="31"/>
        <v>80.01.ZZ.03</v>
      </c>
      <c r="AH511" t="str">
        <f t="shared" si="32"/>
        <v>00 de 01</v>
      </c>
    </row>
    <row r="512" spans="1:34" ht="34.5" x14ac:dyDescent="0.25">
      <c r="A512" s="139" t="s">
        <v>116</v>
      </c>
      <c r="B512" s="105" t="s">
        <v>122</v>
      </c>
      <c r="C512" s="63">
        <v>500</v>
      </c>
      <c r="D512" s="197" t="s">
        <v>206</v>
      </c>
      <c r="E512" s="189" t="s">
        <v>731</v>
      </c>
      <c r="F512" s="190" t="s">
        <v>123</v>
      </c>
      <c r="G512" s="189" t="s">
        <v>134</v>
      </c>
      <c r="H512" s="191">
        <v>61792</v>
      </c>
      <c r="I512" s="189" t="s">
        <v>224</v>
      </c>
      <c r="J512" s="189">
        <v>0</v>
      </c>
      <c r="K512" s="189">
        <v>11101</v>
      </c>
      <c r="L512" s="191">
        <v>3</v>
      </c>
      <c r="M512" s="192">
        <v>46092</v>
      </c>
      <c r="N512" s="193">
        <v>1</v>
      </c>
      <c r="O512" s="194">
        <v>0.5</v>
      </c>
      <c r="P512" s="195"/>
      <c r="Q512" s="196" t="s">
        <v>38</v>
      </c>
      <c r="R512" s="197">
        <v>1</v>
      </c>
      <c r="S512" s="198" t="s">
        <v>33</v>
      </c>
      <c r="T512" s="199"/>
      <c r="U512" s="200"/>
      <c r="V512" s="200"/>
      <c r="W512" s="200"/>
      <c r="X512" s="200"/>
      <c r="Y512" s="200"/>
      <c r="Z512" s="200"/>
      <c r="AA512" s="200"/>
      <c r="AB512" s="200"/>
      <c r="AC512" s="208"/>
      <c r="AD512" s="11" t="str">
        <f t="shared" ref="AD512:AD575" si="33">RIGHT(L512,2)</f>
        <v>3</v>
      </c>
      <c r="AF512" t="str">
        <f t="shared" ref="AF512:AF575" si="34">CONCATENATE("80.01.ZZ.0",L512)</f>
        <v>80.01.ZZ.03</v>
      </c>
      <c r="AH512" t="str">
        <f t="shared" ref="AH512:AH575" si="35">CONCATENATE("00 de 0",R512)</f>
        <v>00 de 01</v>
      </c>
    </row>
    <row r="513" spans="1:34" ht="34.5" x14ac:dyDescent="0.25">
      <c r="A513" s="139" t="s">
        <v>116</v>
      </c>
      <c r="B513" s="105" t="s">
        <v>122</v>
      </c>
      <c r="C513" s="63">
        <v>501</v>
      </c>
      <c r="D513" s="197" t="s">
        <v>206</v>
      </c>
      <c r="E513" s="189" t="s">
        <v>732</v>
      </c>
      <c r="F513" s="190" t="s">
        <v>123</v>
      </c>
      <c r="G513" s="189" t="s">
        <v>134</v>
      </c>
      <c r="H513" s="191">
        <v>61792</v>
      </c>
      <c r="I513" s="189" t="s">
        <v>224</v>
      </c>
      <c r="J513" s="189">
        <v>0</v>
      </c>
      <c r="K513" s="189">
        <v>11101</v>
      </c>
      <c r="L513" s="191">
        <v>3</v>
      </c>
      <c r="M513" s="192">
        <v>46092</v>
      </c>
      <c r="N513" s="193">
        <v>1</v>
      </c>
      <c r="O513" s="194">
        <v>0.5</v>
      </c>
      <c r="P513" s="195"/>
      <c r="Q513" s="196" t="s">
        <v>38</v>
      </c>
      <c r="R513" s="197">
        <v>1</v>
      </c>
      <c r="S513" s="198" t="s">
        <v>33</v>
      </c>
      <c r="T513" s="199"/>
      <c r="U513" s="200"/>
      <c r="V513" s="200"/>
      <c r="W513" s="200"/>
      <c r="X513" s="200"/>
      <c r="Y513" s="200"/>
      <c r="Z513" s="200"/>
      <c r="AA513" s="200"/>
      <c r="AB513" s="200"/>
      <c r="AC513" s="208"/>
      <c r="AD513" s="11" t="str">
        <f t="shared" si="33"/>
        <v>3</v>
      </c>
      <c r="AF513" t="str">
        <f t="shared" si="34"/>
        <v>80.01.ZZ.03</v>
      </c>
      <c r="AH513" t="str">
        <f t="shared" si="35"/>
        <v>00 de 01</v>
      </c>
    </row>
    <row r="514" spans="1:34" ht="34.5" x14ac:dyDescent="0.25">
      <c r="A514" s="139" t="s">
        <v>116</v>
      </c>
      <c r="B514" s="105" t="s">
        <v>122</v>
      </c>
      <c r="C514" s="63">
        <v>502</v>
      </c>
      <c r="D514" s="197" t="s">
        <v>206</v>
      </c>
      <c r="E514" s="189" t="s">
        <v>733</v>
      </c>
      <c r="F514" s="190" t="s">
        <v>123</v>
      </c>
      <c r="G514" s="189" t="s">
        <v>134</v>
      </c>
      <c r="H514" s="191">
        <v>61792</v>
      </c>
      <c r="I514" s="189" t="s">
        <v>224</v>
      </c>
      <c r="J514" s="189">
        <v>0</v>
      </c>
      <c r="K514" s="189">
        <v>11101</v>
      </c>
      <c r="L514" s="191">
        <v>3</v>
      </c>
      <c r="M514" s="192">
        <v>46092</v>
      </c>
      <c r="N514" s="193">
        <v>1</v>
      </c>
      <c r="O514" s="194">
        <v>0.5</v>
      </c>
      <c r="P514" s="195"/>
      <c r="Q514" s="196" t="s">
        <v>38</v>
      </c>
      <c r="R514" s="197">
        <v>1</v>
      </c>
      <c r="S514" s="198" t="s">
        <v>33</v>
      </c>
      <c r="T514" s="199"/>
      <c r="U514" s="200"/>
      <c r="V514" s="200"/>
      <c r="W514" s="200"/>
      <c r="X514" s="200"/>
      <c r="Y514" s="200"/>
      <c r="Z514" s="200"/>
      <c r="AA514" s="200"/>
      <c r="AB514" s="200"/>
      <c r="AC514" s="208"/>
      <c r="AD514" s="11" t="str">
        <f t="shared" si="33"/>
        <v>3</v>
      </c>
      <c r="AF514" t="str">
        <f t="shared" si="34"/>
        <v>80.01.ZZ.03</v>
      </c>
      <c r="AH514" t="str">
        <f t="shared" si="35"/>
        <v>00 de 01</v>
      </c>
    </row>
    <row r="515" spans="1:34" ht="34.5" x14ac:dyDescent="0.25">
      <c r="A515" s="139" t="s">
        <v>116</v>
      </c>
      <c r="B515" s="105" t="s">
        <v>122</v>
      </c>
      <c r="C515" s="63">
        <v>503</v>
      </c>
      <c r="D515" s="197" t="s">
        <v>206</v>
      </c>
      <c r="E515" s="189" t="s">
        <v>734</v>
      </c>
      <c r="F515" s="190" t="s">
        <v>123</v>
      </c>
      <c r="G515" s="189" t="s">
        <v>134</v>
      </c>
      <c r="H515" s="191">
        <v>61792</v>
      </c>
      <c r="I515" s="189" t="s">
        <v>224</v>
      </c>
      <c r="J515" s="189">
        <v>0</v>
      </c>
      <c r="K515" s="189">
        <v>11101</v>
      </c>
      <c r="L515" s="191">
        <v>3</v>
      </c>
      <c r="M515" s="192">
        <v>46092</v>
      </c>
      <c r="N515" s="193">
        <v>1</v>
      </c>
      <c r="O515" s="194">
        <v>0.5</v>
      </c>
      <c r="P515" s="195"/>
      <c r="Q515" s="196" t="s">
        <v>38</v>
      </c>
      <c r="R515" s="197">
        <v>1</v>
      </c>
      <c r="S515" s="198" t="s">
        <v>33</v>
      </c>
      <c r="T515" s="199"/>
      <c r="U515" s="200"/>
      <c r="V515" s="200"/>
      <c r="W515" s="200"/>
      <c r="X515" s="200"/>
      <c r="Y515" s="200"/>
      <c r="Z515" s="200"/>
      <c r="AA515" s="200"/>
      <c r="AB515" s="200"/>
      <c r="AC515" s="208"/>
      <c r="AD515" s="11" t="str">
        <f t="shared" si="33"/>
        <v>3</v>
      </c>
      <c r="AF515" t="str">
        <f t="shared" si="34"/>
        <v>80.01.ZZ.03</v>
      </c>
      <c r="AH515" t="str">
        <f t="shared" si="35"/>
        <v>00 de 01</v>
      </c>
    </row>
    <row r="516" spans="1:34" ht="34.5" x14ac:dyDescent="0.25">
      <c r="A516" s="139" t="s">
        <v>116</v>
      </c>
      <c r="B516" s="105" t="s">
        <v>122</v>
      </c>
      <c r="C516" s="63">
        <v>504</v>
      </c>
      <c r="D516" s="197" t="s">
        <v>206</v>
      </c>
      <c r="E516" s="189" t="s">
        <v>735</v>
      </c>
      <c r="F516" s="190" t="s">
        <v>123</v>
      </c>
      <c r="G516" s="189" t="s">
        <v>134</v>
      </c>
      <c r="H516" s="191">
        <v>61792</v>
      </c>
      <c r="I516" s="189" t="s">
        <v>224</v>
      </c>
      <c r="J516" s="189">
        <v>0</v>
      </c>
      <c r="K516" s="189">
        <v>11101</v>
      </c>
      <c r="L516" s="191">
        <v>3</v>
      </c>
      <c r="M516" s="192">
        <v>46092</v>
      </c>
      <c r="N516" s="193">
        <v>1</v>
      </c>
      <c r="O516" s="194">
        <v>0.5</v>
      </c>
      <c r="P516" s="195"/>
      <c r="Q516" s="196" t="s">
        <v>38</v>
      </c>
      <c r="R516" s="197">
        <v>1</v>
      </c>
      <c r="S516" s="198" t="s">
        <v>33</v>
      </c>
      <c r="T516" s="199"/>
      <c r="U516" s="200"/>
      <c r="V516" s="200"/>
      <c r="W516" s="200"/>
      <c r="X516" s="200"/>
      <c r="Y516" s="200"/>
      <c r="Z516" s="200"/>
      <c r="AA516" s="200"/>
      <c r="AB516" s="200"/>
      <c r="AC516" s="208"/>
      <c r="AD516" s="11" t="str">
        <f t="shared" si="33"/>
        <v>3</v>
      </c>
      <c r="AF516" t="str">
        <f t="shared" si="34"/>
        <v>80.01.ZZ.03</v>
      </c>
      <c r="AH516" t="str">
        <f t="shared" si="35"/>
        <v>00 de 01</v>
      </c>
    </row>
    <row r="517" spans="1:34" ht="34.5" x14ac:dyDescent="0.25">
      <c r="A517" s="139" t="s">
        <v>116</v>
      </c>
      <c r="B517" s="105" t="s">
        <v>122</v>
      </c>
      <c r="C517" s="63">
        <v>505</v>
      </c>
      <c r="D517" s="197" t="s">
        <v>206</v>
      </c>
      <c r="E517" s="189" t="s">
        <v>736</v>
      </c>
      <c r="F517" s="190" t="s">
        <v>123</v>
      </c>
      <c r="G517" s="189" t="s">
        <v>134</v>
      </c>
      <c r="H517" s="191">
        <v>61792</v>
      </c>
      <c r="I517" s="189" t="s">
        <v>224</v>
      </c>
      <c r="J517" s="189">
        <v>0</v>
      </c>
      <c r="K517" s="189">
        <v>11101</v>
      </c>
      <c r="L517" s="191">
        <v>3</v>
      </c>
      <c r="M517" s="192">
        <v>46092</v>
      </c>
      <c r="N517" s="193">
        <v>1</v>
      </c>
      <c r="O517" s="194">
        <v>0.5</v>
      </c>
      <c r="P517" s="195"/>
      <c r="Q517" s="196" t="s">
        <v>38</v>
      </c>
      <c r="R517" s="197">
        <v>1</v>
      </c>
      <c r="S517" s="198" t="s">
        <v>33</v>
      </c>
      <c r="T517" s="199"/>
      <c r="U517" s="200"/>
      <c r="V517" s="200"/>
      <c r="W517" s="200"/>
      <c r="X517" s="200"/>
      <c r="Y517" s="200"/>
      <c r="Z517" s="200"/>
      <c r="AA517" s="200"/>
      <c r="AB517" s="200"/>
      <c r="AC517" s="208"/>
      <c r="AD517" s="11" t="str">
        <f t="shared" si="33"/>
        <v>3</v>
      </c>
      <c r="AF517" t="str">
        <f t="shared" si="34"/>
        <v>80.01.ZZ.03</v>
      </c>
      <c r="AH517" t="str">
        <f t="shared" si="35"/>
        <v>00 de 01</v>
      </c>
    </row>
    <row r="518" spans="1:34" ht="34.5" x14ac:dyDescent="0.25">
      <c r="A518" s="139" t="s">
        <v>116</v>
      </c>
      <c r="B518" s="105" t="s">
        <v>122</v>
      </c>
      <c r="C518" s="63">
        <v>506</v>
      </c>
      <c r="D518" s="197" t="s">
        <v>206</v>
      </c>
      <c r="E518" s="189" t="s">
        <v>737</v>
      </c>
      <c r="F518" s="190" t="s">
        <v>123</v>
      </c>
      <c r="G518" s="189" t="s">
        <v>134</v>
      </c>
      <c r="H518" s="191">
        <v>61792</v>
      </c>
      <c r="I518" s="189" t="s">
        <v>224</v>
      </c>
      <c r="J518" s="189">
        <v>0</v>
      </c>
      <c r="K518" s="189">
        <v>11101</v>
      </c>
      <c r="L518" s="191">
        <v>3</v>
      </c>
      <c r="M518" s="192">
        <v>46092</v>
      </c>
      <c r="N518" s="193">
        <v>1</v>
      </c>
      <c r="O518" s="194">
        <v>0.5</v>
      </c>
      <c r="P518" s="195"/>
      <c r="Q518" s="196" t="s">
        <v>38</v>
      </c>
      <c r="R518" s="197">
        <v>1</v>
      </c>
      <c r="S518" s="198" t="s">
        <v>33</v>
      </c>
      <c r="T518" s="199"/>
      <c r="U518" s="200"/>
      <c r="V518" s="200"/>
      <c r="W518" s="200"/>
      <c r="X518" s="200"/>
      <c r="Y518" s="200"/>
      <c r="Z518" s="200"/>
      <c r="AA518" s="200"/>
      <c r="AB518" s="200"/>
      <c r="AC518" s="208"/>
      <c r="AD518" s="11" t="str">
        <f t="shared" si="33"/>
        <v>3</v>
      </c>
      <c r="AF518" t="str">
        <f t="shared" si="34"/>
        <v>80.01.ZZ.03</v>
      </c>
      <c r="AH518" t="str">
        <f t="shared" si="35"/>
        <v>00 de 01</v>
      </c>
    </row>
    <row r="519" spans="1:34" ht="34.5" x14ac:dyDescent="0.25">
      <c r="A519" s="139" t="s">
        <v>116</v>
      </c>
      <c r="B519" s="105" t="s">
        <v>122</v>
      </c>
      <c r="C519" s="63">
        <v>507</v>
      </c>
      <c r="D519" s="197" t="s">
        <v>206</v>
      </c>
      <c r="E519" s="189" t="s">
        <v>738</v>
      </c>
      <c r="F519" s="190" t="s">
        <v>123</v>
      </c>
      <c r="G519" s="189" t="s">
        <v>134</v>
      </c>
      <c r="H519" s="191">
        <v>61792</v>
      </c>
      <c r="I519" s="189" t="s">
        <v>224</v>
      </c>
      <c r="J519" s="189">
        <v>0</v>
      </c>
      <c r="K519" s="189">
        <v>11101</v>
      </c>
      <c r="L519" s="191">
        <v>3</v>
      </c>
      <c r="M519" s="192">
        <v>46092</v>
      </c>
      <c r="N519" s="193">
        <v>1</v>
      </c>
      <c r="O519" s="194">
        <v>0.5</v>
      </c>
      <c r="P519" s="195"/>
      <c r="Q519" s="196" t="s">
        <v>38</v>
      </c>
      <c r="R519" s="197">
        <v>1</v>
      </c>
      <c r="S519" s="198" t="s">
        <v>33</v>
      </c>
      <c r="T519" s="199"/>
      <c r="U519" s="200"/>
      <c r="V519" s="200"/>
      <c r="W519" s="200"/>
      <c r="X519" s="200"/>
      <c r="Y519" s="200"/>
      <c r="Z519" s="200"/>
      <c r="AA519" s="200"/>
      <c r="AB519" s="200"/>
      <c r="AC519" s="208"/>
      <c r="AD519" s="11" t="str">
        <f t="shared" si="33"/>
        <v>3</v>
      </c>
      <c r="AF519" t="str">
        <f t="shared" si="34"/>
        <v>80.01.ZZ.03</v>
      </c>
      <c r="AH519" t="str">
        <f t="shared" si="35"/>
        <v>00 de 01</v>
      </c>
    </row>
    <row r="520" spans="1:34" ht="34.5" x14ac:dyDescent="0.25">
      <c r="A520" s="139" t="s">
        <v>116</v>
      </c>
      <c r="B520" s="105" t="s">
        <v>122</v>
      </c>
      <c r="C520" s="63">
        <v>508</v>
      </c>
      <c r="D520" s="197" t="s">
        <v>206</v>
      </c>
      <c r="E520" s="189" t="s">
        <v>739</v>
      </c>
      <c r="F520" s="190" t="s">
        <v>123</v>
      </c>
      <c r="G520" s="189" t="s">
        <v>134</v>
      </c>
      <c r="H520" s="191">
        <v>61792</v>
      </c>
      <c r="I520" s="189" t="s">
        <v>224</v>
      </c>
      <c r="J520" s="189">
        <v>0</v>
      </c>
      <c r="K520" s="189">
        <v>11101</v>
      </c>
      <c r="L520" s="191">
        <v>3</v>
      </c>
      <c r="M520" s="192">
        <v>46092</v>
      </c>
      <c r="N520" s="193">
        <v>1</v>
      </c>
      <c r="O520" s="194">
        <v>0.5</v>
      </c>
      <c r="P520" s="195"/>
      <c r="Q520" s="196" t="s">
        <v>38</v>
      </c>
      <c r="R520" s="197">
        <v>1</v>
      </c>
      <c r="S520" s="198" t="s">
        <v>33</v>
      </c>
      <c r="T520" s="199"/>
      <c r="U520" s="200"/>
      <c r="V520" s="200"/>
      <c r="W520" s="200"/>
      <c r="X520" s="200"/>
      <c r="Y520" s="200"/>
      <c r="Z520" s="200"/>
      <c r="AA520" s="200"/>
      <c r="AB520" s="200"/>
      <c r="AC520" s="208"/>
      <c r="AD520" s="11" t="str">
        <f t="shared" si="33"/>
        <v>3</v>
      </c>
      <c r="AF520" t="str">
        <f t="shared" si="34"/>
        <v>80.01.ZZ.03</v>
      </c>
      <c r="AH520" t="str">
        <f t="shared" si="35"/>
        <v>00 de 01</v>
      </c>
    </row>
    <row r="521" spans="1:34" ht="34.5" x14ac:dyDescent="0.25">
      <c r="A521" s="139" t="s">
        <v>116</v>
      </c>
      <c r="B521" s="105" t="s">
        <v>122</v>
      </c>
      <c r="C521" s="63">
        <v>509</v>
      </c>
      <c r="D521" s="197" t="s">
        <v>206</v>
      </c>
      <c r="E521" s="189" t="s">
        <v>740</v>
      </c>
      <c r="F521" s="190" t="s">
        <v>123</v>
      </c>
      <c r="G521" s="189" t="s">
        <v>134</v>
      </c>
      <c r="H521" s="191">
        <v>61792</v>
      </c>
      <c r="I521" s="189" t="s">
        <v>224</v>
      </c>
      <c r="J521" s="189">
        <v>0</v>
      </c>
      <c r="K521" s="189">
        <v>11101</v>
      </c>
      <c r="L521" s="191">
        <v>3</v>
      </c>
      <c r="M521" s="192">
        <v>46092</v>
      </c>
      <c r="N521" s="193">
        <v>1</v>
      </c>
      <c r="O521" s="194">
        <v>0.5</v>
      </c>
      <c r="P521" s="195"/>
      <c r="Q521" s="196" t="s">
        <v>38</v>
      </c>
      <c r="R521" s="197">
        <v>1</v>
      </c>
      <c r="S521" s="198" t="s">
        <v>33</v>
      </c>
      <c r="T521" s="199"/>
      <c r="U521" s="200"/>
      <c r="V521" s="200"/>
      <c r="W521" s="200"/>
      <c r="X521" s="200"/>
      <c r="Y521" s="200"/>
      <c r="Z521" s="200"/>
      <c r="AA521" s="200"/>
      <c r="AB521" s="200"/>
      <c r="AC521" s="208"/>
      <c r="AD521" s="11" t="str">
        <f t="shared" si="33"/>
        <v>3</v>
      </c>
      <c r="AF521" t="str">
        <f t="shared" si="34"/>
        <v>80.01.ZZ.03</v>
      </c>
      <c r="AH521" t="str">
        <f t="shared" si="35"/>
        <v>00 de 01</v>
      </c>
    </row>
    <row r="522" spans="1:34" ht="34.5" x14ac:dyDescent="0.25">
      <c r="A522" s="139" t="s">
        <v>116</v>
      </c>
      <c r="B522" s="105" t="s">
        <v>122</v>
      </c>
      <c r="C522" s="63">
        <v>510</v>
      </c>
      <c r="D522" s="197" t="s">
        <v>206</v>
      </c>
      <c r="E522" s="189" t="s">
        <v>741</v>
      </c>
      <c r="F522" s="190" t="s">
        <v>123</v>
      </c>
      <c r="G522" s="189" t="s">
        <v>134</v>
      </c>
      <c r="H522" s="191">
        <v>61792</v>
      </c>
      <c r="I522" s="189" t="s">
        <v>224</v>
      </c>
      <c r="J522" s="189">
        <v>0</v>
      </c>
      <c r="K522" s="189">
        <v>11101</v>
      </c>
      <c r="L522" s="191">
        <v>3</v>
      </c>
      <c r="M522" s="192">
        <v>46092</v>
      </c>
      <c r="N522" s="193">
        <v>1</v>
      </c>
      <c r="O522" s="194">
        <v>0.5</v>
      </c>
      <c r="P522" s="195"/>
      <c r="Q522" s="196" t="s">
        <v>38</v>
      </c>
      <c r="R522" s="197">
        <v>1</v>
      </c>
      <c r="S522" s="198" t="s">
        <v>33</v>
      </c>
      <c r="T522" s="199"/>
      <c r="U522" s="200"/>
      <c r="V522" s="200"/>
      <c r="W522" s="200"/>
      <c r="X522" s="200"/>
      <c r="Y522" s="200"/>
      <c r="Z522" s="200"/>
      <c r="AA522" s="200"/>
      <c r="AB522" s="200"/>
      <c r="AC522" s="208"/>
      <c r="AD522" s="11" t="str">
        <f t="shared" si="33"/>
        <v>3</v>
      </c>
      <c r="AF522" t="str">
        <f t="shared" si="34"/>
        <v>80.01.ZZ.03</v>
      </c>
      <c r="AH522" t="str">
        <f t="shared" si="35"/>
        <v>00 de 01</v>
      </c>
    </row>
    <row r="523" spans="1:34" ht="34.5" x14ac:dyDescent="0.25">
      <c r="A523" s="139" t="s">
        <v>116</v>
      </c>
      <c r="B523" s="105" t="s">
        <v>122</v>
      </c>
      <c r="C523" s="63">
        <v>511</v>
      </c>
      <c r="D523" s="197" t="s">
        <v>206</v>
      </c>
      <c r="E523" s="189" t="s">
        <v>742</v>
      </c>
      <c r="F523" s="190" t="s">
        <v>123</v>
      </c>
      <c r="G523" s="189" t="s">
        <v>134</v>
      </c>
      <c r="H523" s="191">
        <v>61792</v>
      </c>
      <c r="I523" s="189" t="s">
        <v>224</v>
      </c>
      <c r="J523" s="189">
        <v>0</v>
      </c>
      <c r="K523" s="189">
        <v>11101</v>
      </c>
      <c r="L523" s="191">
        <v>3</v>
      </c>
      <c r="M523" s="192">
        <v>46092</v>
      </c>
      <c r="N523" s="193">
        <v>1</v>
      </c>
      <c r="O523" s="194">
        <v>0.5</v>
      </c>
      <c r="P523" s="195"/>
      <c r="Q523" s="196" t="s">
        <v>38</v>
      </c>
      <c r="R523" s="197">
        <v>1</v>
      </c>
      <c r="S523" s="198" t="s">
        <v>33</v>
      </c>
      <c r="T523" s="199"/>
      <c r="U523" s="200"/>
      <c r="V523" s="200"/>
      <c r="W523" s="200"/>
      <c r="X523" s="200"/>
      <c r="Y523" s="200"/>
      <c r="Z523" s="200"/>
      <c r="AA523" s="200"/>
      <c r="AB523" s="200"/>
      <c r="AC523" s="208"/>
      <c r="AD523" s="11" t="str">
        <f t="shared" si="33"/>
        <v>3</v>
      </c>
      <c r="AF523" t="str">
        <f t="shared" si="34"/>
        <v>80.01.ZZ.03</v>
      </c>
      <c r="AH523" t="str">
        <f t="shared" si="35"/>
        <v>00 de 01</v>
      </c>
    </row>
    <row r="524" spans="1:34" ht="34.5" x14ac:dyDescent="0.25">
      <c r="A524" s="139" t="s">
        <v>116</v>
      </c>
      <c r="B524" s="105" t="s">
        <v>122</v>
      </c>
      <c r="C524" s="63">
        <v>512</v>
      </c>
      <c r="D524" s="197" t="s">
        <v>206</v>
      </c>
      <c r="E524" s="189" t="s">
        <v>252</v>
      </c>
      <c r="F524" s="190" t="s">
        <v>123</v>
      </c>
      <c r="G524" s="189" t="s">
        <v>134</v>
      </c>
      <c r="H524" s="191">
        <v>61792</v>
      </c>
      <c r="I524" s="189" t="s">
        <v>224</v>
      </c>
      <c r="J524" s="189">
        <v>0</v>
      </c>
      <c r="K524" s="189">
        <v>10801</v>
      </c>
      <c r="L524" s="191">
        <v>3</v>
      </c>
      <c r="M524" s="192">
        <v>46092</v>
      </c>
      <c r="N524" s="193">
        <v>1</v>
      </c>
      <c r="O524" s="194">
        <v>0.5</v>
      </c>
      <c r="P524" s="195"/>
      <c r="Q524" s="196" t="s">
        <v>38</v>
      </c>
      <c r="R524" s="197">
        <v>1</v>
      </c>
      <c r="S524" s="198" t="s">
        <v>33</v>
      </c>
      <c r="T524" s="199"/>
      <c r="U524" s="200"/>
      <c r="V524" s="200"/>
      <c r="W524" s="200"/>
      <c r="X524" s="200"/>
      <c r="Y524" s="200"/>
      <c r="Z524" s="200"/>
      <c r="AA524" s="200"/>
      <c r="AB524" s="200"/>
      <c r="AC524" s="208"/>
      <c r="AD524" s="11" t="str">
        <f t="shared" si="33"/>
        <v>3</v>
      </c>
      <c r="AF524" t="str">
        <f t="shared" si="34"/>
        <v>80.01.ZZ.03</v>
      </c>
      <c r="AH524" t="str">
        <f t="shared" si="35"/>
        <v>00 de 01</v>
      </c>
    </row>
    <row r="525" spans="1:34" ht="34.5" x14ac:dyDescent="0.25">
      <c r="A525" s="139" t="s">
        <v>116</v>
      </c>
      <c r="B525" s="105" t="s">
        <v>122</v>
      </c>
      <c r="C525" s="63">
        <v>513</v>
      </c>
      <c r="D525" s="197" t="s">
        <v>206</v>
      </c>
      <c r="E525" s="189" t="s">
        <v>743</v>
      </c>
      <c r="F525" s="190" t="s">
        <v>123</v>
      </c>
      <c r="G525" s="189" t="s">
        <v>134</v>
      </c>
      <c r="H525" s="191">
        <v>61792</v>
      </c>
      <c r="I525" s="189" t="s">
        <v>224</v>
      </c>
      <c r="J525" s="189">
        <v>0</v>
      </c>
      <c r="K525" s="189">
        <v>10801</v>
      </c>
      <c r="L525" s="191">
        <v>3</v>
      </c>
      <c r="M525" s="192">
        <v>46092</v>
      </c>
      <c r="N525" s="193">
        <v>1</v>
      </c>
      <c r="O525" s="194">
        <v>0.5</v>
      </c>
      <c r="P525" s="195"/>
      <c r="Q525" s="196" t="s">
        <v>38</v>
      </c>
      <c r="R525" s="197">
        <v>1</v>
      </c>
      <c r="S525" s="198" t="s">
        <v>33</v>
      </c>
      <c r="T525" s="199"/>
      <c r="U525" s="200"/>
      <c r="V525" s="200"/>
      <c r="W525" s="200"/>
      <c r="X525" s="200"/>
      <c r="Y525" s="200"/>
      <c r="Z525" s="200"/>
      <c r="AA525" s="200"/>
      <c r="AB525" s="200"/>
      <c r="AC525" s="208"/>
      <c r="AD525" s="11" t="str">
        <f t="shared" si="33"/>
        <v>3</v>
      </c>
      <c r="AF525" t="str">
        <f t="shared" si="34"/>
        <v>80.01.ZZ.03</v>
      </c>
      <c r="AH525" t="str">
        <f t="shared" si="35"/>
        <v>00 de 01</v>
      </c>
    </row>
    <row r="526" spans="1:34" ht="34.5" x14ac:dyDescent="0.25">
      <c r="A526" s="139" t="s">
        <v>116</v>
      </c>
      <c r="B526" s="105" t="s">
        <v>122</v>
      </c>
      <c r="C526" s="63">
        <v>514</v>
      </c>
      <c r="D526" s="197" t="s">
        <v>206</v>
      </c>
      <c r="E526" s="189" t="s">
        <v>744</v>
      </c>
      <c r="F526" s="190" t="s">
        <v>123</v>
      </c>
      <c r="G526" s="189" t="s">
        <v>134</v>
      </c>
      <c r="H526" s="191">
        <v>61792</v>
      </c>
      <c r="I526" s="189" t="s">
        <v>224</v>
      </c>
      <c r="J526" s="189">
        <v>0</v>
      </c>
      <c r="K526" s="189">
        <v>10801</v>
      </c>
      <c r="L526" s="191">
        <v>3</v>
      </c>
      <c r="M526" s="192">
        <v>46092</v>
      </c>
      <c r="N526" s="193">
        <v>1</v>
      </c>
      <c r="O526" s="194">
        <v>0.5</v>
      </c>
      <c r="P526" s="195"/>
      <c r="Q526" s="196" t="s">
        <v>38</v>
      </c>
      <c r="R526" s="197">
        <v>1</v>
      </c>
      <c r="S526" s="198" t="s">
        <v>33</v>
      </c>
      <c r="T526" s="199"/>
      <c r="U526" s="200"/>
      <c r="V526" s="200"/>
      <c r="W526" s="200"/>
      <c r="X526" s="200"/>
      <c r="Y526" s="200"/>
      <c r="Z526" s="200"/>
      <c r="AA526" s="200"/>
      <c r="AB526" s="200"/>
      <c r="AC526" s="208"/>
      <c r="AD526" s="11" t="str">
        <f t="shared" si="33"/>
        <v>3</v>
      </c>
      <c r="AF526" t="str">
        <f t="shared" si="34"/>
        <v>80.01.ZZ.03</v>
      </c>
      <c r="AH526" t="str">
        <f t="shared" si="35"/>
        <v>00 de 01</v>
      </c>
    </row>
    <row r="527" spans="1:34" ht="34.5" x14ac:dyDescent="0.25">
      <c r="A527" s="139" t="s">
        <v>116</v>
      </c>
      <c r="B527" s="105" t="s">
        <v>122</v>
      </c>
      <c r="C527" s="63">
        <v>515</v>
      </c>
      <c r="D527" s="197" t="s">
        <v>206</v>
      </c>
      <c r="E527" s="189" t="s">
        <v>745</v>
      </c>
      <c r="F527" s="190" t="s">
        <v>123</v>
      </c>
      <c r="G527" s="189" t="s">
        <v>134</v>
      </c>
      <c r="H527" s="191">
        <v>61792</v>
      </c>
      <c r="I527" s="189" t="s">
        <v>224</v>
      </c>
      <c r="J527" s="189">
        <v>0</v>
      </c>
      <c r="K527" s="189">
        <v>10801</v>
      </c>
      <c r="L527" s="191">
        <v>3</v>
      </c>
      <c r="M527" s="192">
        <v>46092</v>
      </c>
      <c r="N527" s="193">
        <v>1</v>
      </c>
      <c r="O527" s="194">
        <v>0.5</v>
      </c>
      <c r="P527" s="195"/>
      <c r="Q527" s="196" t="s">
        <v>38</v>
      </c>
      <c r="R527" s="197">
        <v>1</v>
      </c>
      <c r="S527" s="198" t="s">
        <v>33</v>
      </c>
      <c r="T527" s="199"/>
      <c r="U527" s="200"/>
      <c r="V527" s="200"/>
      <c r="W527" s="200"/>
      <c r="X527" s="200"/>
      <c r="Y527" s="200"/>
      <c r="Z527" s="200"/>
      <c r="AA527" s="200"/>
      <c r="AB527" s="200"/>
      <c r="AC527" s="208"/>
      <c r="AD527" s="11" t="str">
        <f t="shared" si="33"/>
        <v>3</v>
      </c>
      <c r="AF527" t="str">
        <f t="shared" si="34"/>
        <v>80.01.ZZ.03</v>
      </c>
      <c r="AH527" t="str">
        <f t="shared" si="35"/>
        <v>00 de 01</v>
      </c>
    </row>
    <row r="528" spans="1:34" ht="34.5" x14ac:dyDescent="0.25">
      <c r="A528" s="139" t="s">
        <v>116</v>
      </c>
      <c r="B528" s="105" t="s">
        <v>122</v>
      </c>
      <c r="C528" s="63">
        <v>516</v>
      </c>
      <c r="D528" s="197" t="s">
        <v>206</v>
      </c>
      <c r="E528" s="189" t="s">
        <v>746</v>
      </c>
      <c r="F528" s="190" t="s">
        <v>123</v>
      </c>
      <c r="G528" s="189" t="s">
        <v>134</v>
      </c>
      <c r="H528" s="191">
        <v>61792</v>
      </c>
      <c r="I528" s="189" t="s">
        <v>224</v>
      </c>
      <c r="J528" s="189">
        <v>0</v>
      </c>
      <c r="K528" s="189">
        <v>10801</v>
      </c>
      <c r="L528" s="191">
        <v>3</v>
      </c>
      <c r="M528" s="192">
        <v>46092</v>
      </c>
      <c r="N528" s="193">
        <v>1</v>
      </c>
      <c r="O528" s="194">
        <v>0.5</v>
      </c>
      <c r="P528" s="195"/>
      <c r="Q528" s="196" t="s">
        <v>38</v>
      </c>
      <c r="R528" s="197">
        <v>1</v>
      </c>
      <c r="S528" s="198" t="s">
        <v>33</v>
      </c>
      <c r="T528" s="199"/>
      <c r="U528" s="200"/>
      <c r="V528" s="200"/>
      <c r="W528" s="200"/>
      <c r="X528" s="200"/>
      <c r="Y528" s="200"/>
      <c r="Z528" s="200"/>
      <c r="AA528" s="200"/>
      <c r="AB528" s="200"/>
      <c r="AC528" s="208"/>
      <c r="AD528" s="11" t="str">
        <f t="shared" si="33"/>
        <v>3</v>
      </c>
      <c r="AF528" t="str">
        <f t="shared" si="34"/>
        <v>80.01.ZZ.03</v>
      </c>
      <c r="AH528" t="str">
        <f t="shared" si="35"/>
        <v>00 de 01</v>
      </c>
    </row>
    <row r="529" spans="1:34" ht="34.5" x14ac:dyDescent="0.25">
      <c r="A529" s="139" t="s">
        <v>116</v>
      </c>
      <c r="B529" s="105" t="s">
        <v>122</v>
      </c>
      <c r="C529" s="63">
        <v>517</v>
      </c>
      <c r="D529" s="197" t="s">
        <v>206</v>
      </c>
      <c r="E529" s="189" t="s">
        <v>747</v>
      </c>
      <c r="F529" s="190" t="s">
        <v>123</v>
      </c>
      <c r="G529" s="189" t="s">
        <v>134</v>
      </c>
      <c r="H529" s="191">
        <v>61792</v>
      </c>
      <c r="I529" s="189" t="s">
        <v>224</v>
      </c>
      <c r="J529" s="189">
        <v>0</v>
      </c>
      <c r="K529" s="189">
        <v>10801</v>
      </c>
      <c r="L529" s="191">
        <v>3</v>
      </c>
      <c r="M529" s="192">
        <v>46092</v>
      </c>
      <c r="N529" s="193">
        <v>1</v>
      </c>
      <c r="O529" s="194">
        <v>0.5</v>
      </c>
      <c r="P529" s="195"/>
      <c r="Q529" s="196" t="s">
        <v>38</v>
      </c>
      <c r="R529" s="197">
        <v>1</v>
      </c>
      <c r="S529" s="198" t="s">
        <v>33</v>
      </c>
      <c r="T529" s="199"/>
      <c r="U529" s="200"/>
      <c r="V529" s="200"/>
      <c r="W529" s="200"/>
      <c r="X529" s="200"/>
      <c r="Y529" s="200"/>
      <c r="Z529" s="200"/>
      <c r="AA529" s="200"/>
      <c r="AB529" s="200"/>
      <c r="AC529" s="208"/>
      <c r="AD529" s="11" t="str">
        <f t="shared" si="33"/>
        <v>3</v>
      </c>
      <c r="AF529" t="str">
        <f t="shared" si="34"/>
        <v>80.01.ZZ.03</v>
      </c>
      <c r="AH529" t="str">
        <f t="shared" si="35"/>
        <v>00 de 01</v>
      </c>
    </row>
    <row r="530" spans="1:34" ht="34.5" x14ac:dyDescent="0.25">
      <c r="A530" s="139" t="s">
        <v>116</v>
      </c>
      <c r="B530" s="105" t="s">
        <v>122</v>
      </c>
      <c r="C530" s="63">
        <v>518</v>
      </c>
      <c r="D530" s="197" t="s">
        <v>206</v>
      </c>
      <c r="E530" s="189" t="s">
        <v>748</v>
      </c>
      <c r="F530" s="190" t="s">
        <v>123</v>
      </c>
      <c r="G530" s="189" t="s">
        <v>134</v>
      </c>
      <c r="H530" s="191">
        <v>61792</v>
      </c>
      <c r="I530" s="189" t="s">
        <v>224</v>
      </c>
      <c r="J530" s="189">
        <v>0</v>
      </c>
      <c r="K530" s="189">
        <v>10801</v>
      </c>
      <c r="L530" s="191">
        <v>3</v>
      </c>
      <c r="M530" s="192">
        <v>46092</v>
      </c>
      <c r="N530" s="193">
        <v>1</v>
      </c>
      <c r="O530" s="194">
        <v>0.5</v>
      </c>
      <c r="P530" s="195"/>
      <c r="Q530" s="196" t="s">
        <v>38</v>
      </c>
      <c r="R530" s="197">
        <v>1</v>
      </c>
      <c r="S530" s="198" t="s">
        <v>33</v>
      </c>
      <c r="T530" s="199"/>
      <c r="U530" s="200"/>
      <c r="V530" s="200"/>
      <c r="W530" s="200"/>
      <c r="X530" s="200"/>
      <c r="Y530" s="200"/>
      <c r="Z530" s="200"/>
      <c r="AA530" s="200"/>
      <c r="AB530" s="200"/>
      <c r="AC530" s="208"/>
      <c r="AD530" s="11" t="str">
        <f t="shared" si="33"/>
        <v>3</v>
      </c>
      <c r="AF530" t="str">
        <f t="shared" si="34"/>
        <v>80.01.ZZ.03</v>
      </c>
      <c r="AH530" t="str">
        <f t="shared" si="35"/>
        <v>00 de 01</v>
      </c>
    </row>
    <row r="531" spans="1:34" ht="34.5" x14ac:dyDescent="0.25">
      <c r="A531" s="139" t="s">
        <v>116</v>
      </c>
      <c r="B531" s="105" t="s">
        <v>122</v>
      </c>
      <c r="C531" s="63">
        <v>519</v>
      </c>
      <c r="D531" s="197" t="s">
        <v>206</v>
      </c>
      <c r="E531" s="189" t="s">
        <v>749</v>
      </c>
      <c r="F531" s="190" t="s">
        <v>123</v>
      </c>
      <c r="G531" s="189" t="s">
        <v>134</v>
      </c>
      <c r="H531" s="191">
        <v>61792</v>
      </c>
      <c r="I531" s="189" t="s">
        <v>224</v>
      </c>
      <c r="J531" s="189">
        <v>0</v>
      </c>
      <c r="K531" s="189">
        <v>10801</v>
      </c>
      <c r="L531" s="191">
        <v>3</v>
      </c>
      <c r="M531" s="192">
        <v>46092</v>
      </c>
      <c r="N531" s="193">
        <v>1</v>
      </c>
      <c r="O531" s="194">
        <v>0.5</v>
      </c>
      <c r="P531" s="195"/>
      <c r="Q531" s="196" t="s">
        <v>38</v>
      </c>
      <c r="R531" s="197">
        <v>1</v>
      </c>
      <c r="S531" s="198" t="s">
        <v>33</v>
      </c>
      <c r="T531" s="199"/>
      <c r="U531" s="200"/>
      <c r="V531" s="200"/>
      <c r="W531" s="200"/>
      <c r="X531" s="200"/>
      <c r="Y531" s="200"/>
      <c r="Z531" s="200"/>
      <c r="AA531" s="200"/>
      <c r="AB531" s="200"/>
      <c r="AC531" s="208"/>
      <c r="AD531" s="11" t="str">
        <f t="shared" si="33"/>
        <v>3</v>
      </c>
      <c r="AF531" t="str">
        <f t="shared" si="34"/>
        <v>80.01.ZZ.03</v>
      </c>
      <c r="AH531" t="str">
        <f t="shared" si="35"/>
        <v>00 de 01</v>
      </c>
    </row>
    <row r="532" spans="1:34" ht="34.5" x14ac:dyDescent="0.25">
      <c r="A532" s="139" t="s">
        <v>116</v>
      </c>
      <c r="B532" s="105" t="s">
        <v>122</v>
      </c>
      <c r="C532" s="63">
        <v>520</v>
      </c>
      <c r="D532" s="197" t="s">
        <v>206</v>
      </c>
      <c r="E532" s="189" t="s">
        <v>750</v>
      </c>
      <c r="F532" s="190" t="s">
        <v>123</v>
      </c>
      <c r="G532" s="189" t="s">
        <v>134</v>
      </c>
      <c r="H532" s="191">
        <v>61792</v>
      </c>
      <c r="I532" s="189" t="s">
        <v>224</v>
      </c>
      <c r="J532" s="189">
        <v>0</v>
      </c>
      <c r="K532" s="189">
        <v>10801</v>
      </c>
      <c r="L532" s="191">
        <v>3</v>
      </c>
      <c r="M532" s="192">
        <v>46092</v>
      </c>
      <c r="N532" s="193">
        <v>1</v>
      </c>
      <c r="O532" s="194">
        <v>0.5</v>
      </c>
      <c r="P532" s="195"/>
      <c r="Q532" s="196" t="s">
        <v>38</v>
      </c>
      <c r="R532" s="197">
        <v>1</v>
      </c>
      <c r="S532" s="198" t="s">
        <v>33</v>
      </c>
      <c r="T532" s="199"/>
      <c r="U532" s="200"/>
      <c r="V532" s="200"/>
      <c r="W532" s="200"/>
      <c r="X532" s="200"/>
      <c r="Y532" s="200"/>
      <c r="Z532" s="200"/>
      <c r="AA532" s="200"/>
      <c r="AB532" s="200"/>
      <c r="AC532" s="208"/>
      <c r="AD532" s="11" t="str">
        <f t="shared" si="33"/>
        <v>3</v>
      </c>
      <c r="AF532" t="str">
        <f t="shared" si="34"/>
        <v>80.01.ZZ.03</v>
      </c>
      <c r="AH532" t="str">
        <f t="shared" si="35"/>
        <v>00 de 01</v>
      </c>
    </row>
    <row r="533" spans="1:34" ht="34.5" x14ac:dyDescent="0.25">
      <c r="A533" s="139" t="s">
        <v>116</v>
      </c>
      <c r="B533" s="105" t="s">
        <v>122</v>
      </c>
      <c r="C533" s="63">
        <v>521</v>
      </c>
      <c r="D533" s="197" t="s">
        <v>206</v>
      </c>
      <c r="E533" s="189" t="s">
        <v>751</v>
      </c>
      <c r="F533" s="190" t="s">
        <v>123</v>
      </c>
      <c r="G533" s="189" t="s">
        <v>134</v>
      </c>
      <c r="H533" s="191">
        <v>61792</v>
      </c>
      <c r="I533" s="189" t="s">
        <v>224</v>
      </c>
      <c r="J533" s="189">
        <v>0</v>
      </c>
      <c r="K533" s="189">
        <v>10801</v>
      </c>
      <c r="L533" s="191">
        <v>3</v>
      </c>
      <c r="M533" s="192">
        <v>46092</v>
      </c>
      <c r="N533" s="193">
        <v>1</v>
      </c>
      <c r="O533" s="194">
        <v>0.5</v>
      </c>
      <c r="P533" s="195"/>
      <c r="Q533" s="196" t="s">
        <v>38</v>
      </c>
      <c r="R533" s="197">
        <v>1</v>
      </c>
      <c r="S533" s="198" t="s">
        <v>33</v>
      </c>
      <c r="T533" s="199"/>
      <c r="U533" s="200"/>
      <c r="V533" s="200"/>
      <c r="W533" s="200"/>
      <c r="X533" s="200"/>
      <c r="Y533" s="200"/>
      <c r="Z533" s="200"/>
      <c r="AA533" s="200"/>
      <c r="AB533" s="200"/>
      <c r="AC533" s="208"/>
      <c r="AD533" s="11" t="str">
        <f t="shared" si="33"/>
        <v>3</v>
      </c>
      <c r="AF533" t="str">
        <f t="shared" si="34"/>
        <v>80.01.ZZ.03</v>
      </c>
      <c r="AH533" t="str">
        <f t="shared" si="35"/>
        <v>00 de 01</v>
      </c>
    </row>
    <row r="534" spans="1:34" ht="34.5" x14ac:dyDescent="0.25">
      <c r="A534" s="139" t="s">
        <v>116</v>
      </c>
      <c r="B534" s="105" t="s">
        <v>122</v>
      </c>
      <c r="C534" s="63">
        <v>522</v>
      </c>
      <c r="D534" s="197" t="s">
        <v>206</v>
      </c>
      <c r="E534" s="189" t="s">
        <v>752</v>
      </c>
      <c r="F534" s="190" t="s">
        <v>123</v>
      </c>
      <c r="G534" s="189" t="s">
        <v>134</v>
      </c>
      <c r="H534" s="191">
        <v>61792</v>
      </c>
      <c r="I534" s="189" t="s">
        <v>224</v>
      </c>
      <c r="J534" s="189">
        <v>0</v>
      </c>
      <c r="K534" s="189">
        <v>10801</v>
      </c>
      <c r="L534" s="191">
        <v>3</v>
      </c>
      <c r="M534" s="192">
        <v>46092</v>
      </c>
      <c r="N534" s="193">
        <v>1</v>
      </c>
      <c r="O534" s="194">
        <v>0.5</v>
      </c>
      <c r="P534" s="195"/>
      <c r="Q534" s="196" t="s">
        <v>38</v>
      </c>
      <c r="R534" s="197">
        <v>1</v>
      </c>
      <c r="S534" s="198" t="s">
        <v>33</v>
      </c>
      <c r="T534" s="199"/>
      <c r="U534" s="200"/>
      <c r="V534" s="200"/>
      <c r="W534" s="200"/>
      <c r="X534" s="200"/>
      <c r="Y534" s="200"/>
      <c r="Z534" s="200"/>
      <c r="AA534" s="200"/>
      <c r="AB534" s="200"/>
      <c r="AC534" s="208"/>
      <c r="AD534" s="11" t="str">
        <f t="shared" si="33"/>
        <v>3</v>
      </c>
      <c r="AF534" t="str">
        <f t="shared" si="34"/>
        <v>80.01.ZZ.03</v>
      </c>
      <c r="AH534" t="str">
        <f t="shared" si="35"/>
        <v>00 de 01</v>
      </c>
    </row>
    <row r="535" spans="1:34" ht="34.5" x14ac:dyDescent="0.25">
      <c r="A535" s="139" t="s">
        <v>116</v>
      </c>
      <c r="B535" s="105" t="s">
        <v>122</v>
      </c>
      <c r="C535" s="63">
        <v>523</v>
      </c>
      <c r="D535" s="197" t="s">
        <v>206</v>
      </c>
      <c r="E535" s="189" t="s">
        <v>753</v>
      </c>
      <c r="F535" s="190" t="s">
        <v>123</v>
      </c>
      <c r="G535" s="189" t="s">
        <v>134</v>
      </c>
      <c r="H535" s="191">
        <v>61792</v>
      </c>
      <c r="I535" s="189" t="s">
        <v>224</v>
      </c>
      <c r="J535" s="189">
        <v>0</v>
      </c>
      <c r="K535" s="189">
        <v>10801</v>
      </c>
      <c r="L535" s="191">
        <v>3</v>
      </c>
      <c r="M535" s="192">
        <v>46092</v>
      </c>
      <c r="N535" s="193">
        <v>1</v>
      </c>
      <c r="O535" s="194">
        <v>0.5</v>
      </c>
      <c r="P535" s="195"/>
      <c r="Q535" s="196" t="s">
        <v>38</v>
      </c>
      <c r="R535" s="197">
        <v>1</v>
      </c>
      <c r="S535" s="198" t="s">
        <v>33</v>
      </c>
      <c r="T535" s="199"/>
      <c r="U535" s="200"/>
      <c r="V535" s="200"/>
      <c r="W535" s="200"/>
      <c r="X535" s="200"/>
      <c r="Y535" s="200"/>
      <c r="Z535" s="200"/>
      <c r="AA535" s="200"/>
      <c r="AB535" s="200"/>
      <c r="AC535" s="208"/>
      <c r="AD535" s="11" t="str">
        <f t="shared" si="33"/>
        <v>3</v>
      </c>
      <c r="AF535" t="str">
        <f t="shared" si="34"/>
        <v>80.01.ZZ.03</v>
      </c>
      <c r="AH535" t="str">
        <f t="shared" si="35"/>
        <v>00 de 01</v>
      </c>
    </row>
    <row r="536" spans="1:34" ht="34.5" x14ac:dyDescent="0.25">
      <c r="A536" s="139" t="s">
        <v>116</v>
      </c>
      <c r="B536" s="105" t="s">
        <v>122</v>
      </c>
      <c r="C536" s="63">
        <v>524</v>
      </c>
      <c r="D536" s="197" t="s">
        <v>206</v>
      </c>
      <c r="E536" s="189" t="s">
        <v>754</v>
      </c>
      <c r="F536" s="190" t="s">
        <v>123</v>
      </c>
      <c r="G536" s="189" t="s">
        <v>134</v>
      </c>
      <c r="H536" s="191">
        <v>61792</v>
      </c>
      <c r="I536" s="189" t="s">
        <v>224</v>
      </c>
      <c r="J536" s="189">
        <v>0</v>
      </c>
      <c r="K536" s="189">
        <v>10801</v>
      </c>
      <c r="L536" s="191">
        <v>3</v>
      </c>
      <c r="M536" s="192">
        <v>46092</v>
      </c>
      <c r="N536" s="193">
        <v>1</v>
      </c>
      <c r="O536" s="194">
        <v>0.5</v>
      </c>
      <c r="P536" s="195"/>
      <c r="Q536" s="196" t="s">
        <v>38</v>
      </c>
      <c r="R536" s="197">
        <v>1</v>
      </c>
      <c r="S536" s="198" t="s">
        <v>33</v>
      </c>
      <c r="T536" s="199"/>
      <c r="U536" s="200"/>
      <c r="V536" s="200"/>
      <c r="W536" s="200"/>
      <c r="X536" s="200"/>
      <c r="Y536" s="200"/>
      <c r="Z536" s="200"/>
      <c r="AA536" s="200"/>
      <c r="AB536" s="200"/>
      <c r="AC536" s="208"/>
      <c r="AD536" s="11" t="str">
        <f t="shared" si="33"/>
        <v>3</v>
      </c>
      <c r="AF536" t="str">
        <f t="shared" si="34"/>
        <v>80.01.ZZ.03</v>
      </c>
      <c r="AH536" t="str">
        <f t="shared" si="35"/>
        <v>00 de 01</v>
      </c>
    </row>
    <row r="537" spans="1:34" ht="34.5" x14ac:dyDescent="0.25">
      <c r="A537" s="139" t="s">
        <v>116</v>
      </c>
      <c r="B537" s="105" t="s">
        <v>122</v>
      </c>
      <c r="C537" s="63">
        <v>525</v>
      </c>
      <c r="D537" s="197" t="s">
        <v>192</v>
      </c>
      <c r="E537" s="189" t="s">
        <v>253</v>
      </c>
      <c r="F537" s="190" t="s">
        <v>123</v>
      </c>
      <c r="G537" s="189" t="s">
        <v>134</v>
      </c>
      <c r="H537" s="191">
        <v>67392</v>
      </c>
      <c r="I537" s="189" t="s">
        <v>225</v>
      </c>
      <c r="J537" s="189">
        <v>0</v>
      </c>
      <c r="K537" s="189">
        <v>10001</v>
      </c>
      <c r="L537" s="191">
        <v>3</v>
      </c>
      <c r="M537" s="192">
        <v>46092</v>
      </c>
      <c r="N537" s="193">
        <v>1</v>
      </c>
      <c r="O537" s="194">
        <v>0.5</v>
      </c>
      <c r="P537" s="195"/>
      <c r="Q537" s="196" t="s">
        <v>38</v>
      </c>
      <c r="R537" s="197">
        <v>1</v>
      </c>
      <c r="S537" s="198" t="s">
        <v>33</v>
      </c>
      <c r="T537" s="199"/>
      <c r="U537" s="200"/>
      <c r="V537" s="200"/>
      <c r="W537" s="200"/>
      <c r="X537" s="200"/>
      <c r="Y537" s="200"/>
      <c r="Z537" s="200"/>
      <c r="AA537" s="200"/>
      <c r="AB537" s="200"/>
      <c r="AC537" s="208"/>
      <c r="AD537" s="11" t="str">
        <f t="shared" si="33"/>
        <v>3</v>
      </c>
      <c r="AF537" t="str">
        <f t="shared" si="34"/>
        <v>80.01.ZZ.03</v>
      </c>
      <c r="AH537" t="str">
        <f t="shared" si="35"/>
        <v>00 de 01</v>
      </c>
    </row>
    <row r="538" spans="1:34" ht="34.5" x14ac:dyDescent="0.25">
      <c r="A538" s="139" t="s">
        <v>116</v>
      </c>
      <c r="B538" s="105" t="s">
        <v>122</v>
      </c>
      <c r="C538" s="63">
        <v>526</v>
      </c>
      <c r="D538" s="197" t="s">
        <v>192</v>
      </c>
      <c r="E538" s="189" t="s">
        <v>755</v>
      </c>
      <c r="F538" s="190" t="s">
        <v>123</v>
      </c>
      <c r="G538" s="189" t="s">
        <v>134</v>
      </c>
      <c r="H538" s="191">
        <v>67392</v>
      </c>
      <c r="I538" s="189" t="s">
        <v>225</v>
      </c>
      <c r="J538" s="189">
        <v>0</v>
      </c>
      <c r="K538" s="189">
        <v>10001</v>
      </c>
      <c r="L538" s="191">
        <v>3</v>
      </c>
      <c r="M538" s="192">
        <v>46092</v>
      </c>
      <c r="N538" s="193">
        <v>1</v>
      </c>
      <c r="O538" s="194">
        <v>0.5</v>
      </c>
      <c r="P538" s="195"/>
      <c r="Q538" s="196" t="s">
        <v>38</v>
      </c>
      <c r="R538" s="197">
        <v>1</v>
      </c>
      <c r="S538" s="198" t="s">
        <v>33</v>
      </c>
      <c r="T538" s="199"/>
      <c r="U538" s="200"/>
      <c r="V538" s="200"/>
      <c r="W538" s="200"/>
      <c r="X538" s="200"/>
      <c r="Y538" s="200"/>
      <c r="Z538" s="200"/>
      <c r="AA538" s="200"/>
      <c r="AB538" s="200"/>
      <c r="AC538" s="208"/>
      <c r="AD538" s="11" t="str">
        <f t="shared" si="33"/>
        <v>3</v>
      </c>
      <c r="AF538" t="str">
        <f t="shared" si="34"/>
        <v>80.01.ZZ.03</v>
      </c>
      <c r="AH538" t="str">
        <f t="shared" si="35"/>
        <v>00 de 01</v>
      </c>
    </row>
    <row r="539" spans="1:34" ht="34.5" x14ac:dyDescent="0.25">
      <c r="A539" s="139" t="s">
        <v>116</v>
      </c>
      <c r="B539" s="105" t="s">
        <v>122</v>
      </c>
      <c r="C539" s="63">
        <v>527</v>
      </c>
      <c r="D539" s="197" t="s">
        <v>192</v>
      </c>
      <c r="E539" s="189" t="s">
        <v>756</v>
      </c>
      <c r="F539" s="190" t="s">
        <v>123</v>
      </c>
      <c r="G539" s="189" t="s">
        <v>134</v>
      </c>
      <c r="H539" s="191">
        <v>67392</v>
      </c>
      <c r="I539" s="189" t="s">
        <v>225</v>
      </c>
      <c r="J539" s="189">
        <v>0</v>
      </c>
      <c r="K539" s="189">
        <v>10001</v>
      </c>
      <c r="L539" s="191">
        <v>3</v>
      </c>
      <c r="M539" s="192">
        <v>46092</v>
      </c>
      <c r="N539" s="193">
        <v>1</v>
      </c>
      <c r="O539" s="194">
        <v>0.5</v>
      </c>
      <c r="P539" s="195"/>
      <c r="Q539" s="196" t="s">
        <v>38</v>
      </c>
      <c r="R539" s="197">
        <v>1</v>
      </c>
      <c r="S539" s="198" t="s">
        <v>33</v>
      </c>
      <c r="T539" s="199"/>
      <c r="U539" s="200"/>
      <c r="V539" s="200"/>
      <c r="W539" s="200"/>
      <c r="X539" s="200"/>
      <c r="Y539" s="200"/>
      <c r="Z539" s="200"/>
      <c r="AA539" s="200"/>
      <c r="AB539" s="200"/>
      <c r="AC539" s="208"/>
      <c r="AD539" s="11" t="str">
        <f t="shared" si="33"/>
        <v>3</v>
      </c>
      <c r="AF539" t="str">
        <f t="shared" si="34"/>
        <v>80.01.ZZ.03</v>
      </c>
      <c r="AH539" t="str">
        <f t="shared" si="35"/>
        <v>00 de 01</v>
      </c>
    </row>
    <row r="540" spans="1:34" ht="34.5" x14ac:dyDescent="0.25">
      <c r="A540" s="139" t="s">
        <v>116</v>
      </c>
      <c r="B540" s="105" t="s">
        <v>122</v>
      </c>
      <c r="C540" s="63">
        <v>528</v>
      </c>
      <c r="D540" s="197" t="s">
        <v>192</v>
      </c>
      <c r="E540" s="189" t="s">
        <v>757</v>
      </c>
      <c r="F540" s="190" t="s">
        <v>123</v>
      </c>
      <c r="G540" s="189" t="s">
        <v>134</v>
      </c>
      <c r="H540" s="191">
        <v>67392</v>
      </c>
      <c r="I540" s="189" t="s">
        <v>225</v>
      </c>
      <c r="J540" s="189">
        <v>0</v>
      </c>
      <c r="K540" s="189">
        <v>10001</v>
      </c>
      <c r="L540" s="191">
        <v>3</v>
      </c>
      <c r="M540" s="192">
        <v>46092</v>
      </c>
      <c r="N540" s="193">
        <v>1</v>
      </c>
      <c r="O540" s="194">
        <v>0.5</v>
      </c>
      <c r="P540" s="195"/>
      <c r="Q540" s="196" t="s">
        <v>38</v>
      </c>
      <c r="R540" s="197">
        <v>1</v>
      </c>
      <c r="S540" s="198" t="s">
        <v>33</v>
      </c>
      <c r="T540" s="199"/>
      <c r="U540" s="200"/>
      <c r="V540" s="200"/>
      <c r="W540" s="200"/>
      <c r="X540" s="200"/>
      <c r="Y540" s="200"/>
      <c r="Z540" s="200"/>
      <c r="AA540" s="200"/>
      <c r="AB540" s="200"/>
      <c r="AC540" s="208"/>
      <c r="AD540" s="11" t="str">
        <f t="shared" si="33"/>
        <v>3</v>
      </c>
      <c r="AF540" t="str">
        <f t="shared" si="34"/>
        <v>80.01.ZZ.03</v>
      </c>
      <c r="AH540" t="str">
        <f t="shared" si="35"/>
        <v>00 de 01</v>
      </c>
    </row>
    <row r="541" spans="1:34" ht="34.5" x14ac:dyDescent="0.25">
      <c r="A541" s="139" t="s">
        <v>116</v>
      </c>
      <c r="B541" s="105" t="s">
        <v>122</v>
      </c>
      <c r="C541" s="63">
        <v>529</v>
      </c>
      <c r="D541" s="197" t="s">
        <v>192</v>
      </c>
      <c r="E541" s="189" t="s">
        <v>758</v>
      </c>
      <c r="F541" s="190" t="s">
        <v>123</v>
      </c>
      <c r="G541" s="189" t="s">
        <v>134</v>
      </c>
      <c r="H541" s="191">
        <v>67392</v>
      </c>
      <c r="I541" s="189" t="s">
        <v>225</v>
      </c>
      <c r="J541" s="189">
        <v>0</v>
      </c>
      <c r="K541" s="189">
        <v>10001</v>
      </c>
      <c r="L541" s="191">
        <v>3</v>
      </c>
      <c r="M541" s="192">
        <v>46092</v>
      </c>
      <c r="N541" s="193">
        <v>1</v>
      </c>
      <c r="O541" s="194">
        <v>0.5</v>
      </c>
      <c r="P541" s="195"/>
      <c r="Q541" s="196" t="s">
        <v>38</v>
      </c>
      <c r="R541" s="197">
        <v>1</v>
      </c>
      <c r="S541" s="198" t="s">
        <v>33</v>
      </c>
      <c r="T541" s="199"/>
      <c r="U541" s="200"/>
      <c r="V541" s="200"/>
      <c r="W541" s="200"/>
      <c r="X541" s="200"/>
      <c r="Y541" s="200"/>
      <c r="Z541" s="200"/>
      <c r="AA541" s="200"/>
      <c r="AB541" s="200"/>
      <c r="AC541" s="208"/>
      <c r="AD541" s="11" t="str">
        <f t="shared" si="33"/>
        <v>3</v>
      </c>
      <c r="AF541" t="str">
        <f t="shared" si="34"/>
        <v>80.01.ZZ.03</v>
      </c>
      <c r="AH541" t="str">
        <f t="shared" si="35"/>
        <v>00 de 01</v>
      </c>
    </row>
    <row r="542" spans="1:34" ht="34.5" x14ac:dyDescent="0.25">
      <c r="A542" s="139" t="s">
        <v>116</v>
      </c>
      <c r="B542" s="105" t="s">
        <v>122</v>
      </c>
      <c r="C542" s="63">
        <v>530</v>
      </c>
      <c r="D542" s="197" t="s">
        <v>192</v>
      </c>
      <c r="E542" s="189" t="s">
        <v>759</v>
      </c>
      <c r="F542" s="190" t="s">
        <v>123</v>
      </c>
      <c r="G542" s="189" t="s">
        <v>134</v>
      </c>
      <c r="H542" s="191">
        <v>67392</v>
      </c>
      <c r="I542" s="189" t="s">
        <v>225</v>
      </c>
      <c r="J542" s="189">
        <v>0</v>
      </c>
      <c r="K542" s="189">
        <v>10001</v>
      </c>
      <c r="L542" s="191">
        <v>3</v>
      </c>
      <c r="M542" s="192">
        <v>46092</v>
      </c>
      <c r="N542" s="193">
        <v>1</v>
      </c>
      <c r="O542" s="194">
        <v>0.5</v>
      </c>
      <c r="P542" s="195"/>
      <c r="Q542" s="196" t="s">
        <v>38</v>
      </c>
      <c r="R542" s="197">
        <v>1</v>
      </c>
      <c r="S542" s="198" t="s">
        <v>33</v>
      </c>
      <c r="T542" s="199"/>
      <c r="U542" s="200"/>
      <c r="V542" s="200"/>
      <c r="W542" s="200"/>
      <c r="X542" s="200"/>
      <c r="Y542" s="200"/>
      <c r="Z542" s="200"/>
      <c r="AA542" s="200"/>
      <c r="AB542" s="200"/>
      <c r="AC542" s="208"/>
      <c r="AD542" s="11" t="str">
        <f t="shared" si="33"/>
        <v>3</v>
      </c>
      <c r="AF542" t="str">
        <f t="shared" si="34"/>
        <v>80.01.ZZ.03</v>
      </c>
      <c r="AH542" t="str">
        <f t="shared" si="35"/>
        <v>00 de 01</v>
      </c>
    </row>
    <row r="543" spans="1:34" ht="34.5" x14ac:dyDescent="0.25">
      <c r="A543" s="139" t="s">
        <v>116</v>
      </c>
      <c r="B543" s="105" t="s">
        <v>122</v>
      </c>
      <c r="C543" s="63">
        <v>531</v>
      </c>
      <c r="D543" s="197" t="s">
        <v>192</v>
      </c>
      <c r="E543" s="189" t="s">
        <v>760</v>
      </c>
      <c r="F543" s="190" t="s">
        <v>123</v>
      </c>
      <c r="G543" s="189" t="s">
        <v>134</v>
      </c>
      <c r="H543" s="191">
        <v>67392</v>
      </c>
      <c r="I543" s="189" t="s">
        <v>225</v>
      </c>
      <c r="J543" s="189">
        <v>0</v>
      </c>
      <c r="K543" s="189">
        <v>10001</v>
      </c>
      <c r="L543" s="191">
        <v>3</v>
      </c>
      <c r="M543" s="192">
        <v>46092</v>
      </c>
      <c r="N543" s="193">
        <v>1</v>
      </c>
      <c r="O543" s="194">
        <v>0.5</v>
      </c>
      <c r="P543" s="195"/>
      <c r="Q543" s="196" t="s">
        <v>38</v>
      </c>
      <c r="R543" s="197">
        <v>1</v>
      </c>
      <c r="S543" s="198" t="s">
        <v>33</v>
      </c>
      <c r="T543" s="199"/>
      <c r="U543" s="200"/>
      <c r="V543" s="200"/>
      <c r="W543" s="200"/>
      <c r="X543" s="200"/>
      <c r="Y543" s="200"/>
      <c r="Z543" s="200"/>
      <c r="AA543" s="200"/>
      <c r="AB543" s="200"/>
      <c r="AC543" s="208"/>
      <c r="AD543" s="11" t="str">
        <f t="shared" si="33"/>
        <v>3</v>
      </c>
      <c r="AF543" t="str">
        <f t="shared" si="34"/>
        <v>80.01.ZZ.03</v>
      </c>
      <c r="AH543" t="str">
        <f t="shared" si="35"/>
        <v>00 de 01</v>
      </c>
    </row>
    <row r="544" spans="1:34" ht="34.5" x14ac:dyDescent="0.25">
      <c r="A544" s="139" t="s">
        <v>116</v>
      </c>
      <c r="B544" s="105" t="s">
        <v>122</v>
      </c>
      <c r="C544" s="63">
        <v>532</v>
      </c>
      <c r="D544" s="197" t="s">
        <v>192</v>
      </c>
      <c r="E544" s="189" t="s">
        <v>761</v>
      </c>
      <c r="F544" s="190" t="s">
        <v>123</v>
      </c>
      <c r="G544" s="189" t="s">
        <v>134</v>
      </c>
      <c r="H544" s="191">
        <v>67392</v>
      </c>
      <c r="I544" s="189" t="s">
        <v>225</v>
      </c>
      <c r="J544" s="189">
        <v>0</v>
      </c>
      <c r="K544" s="189">
        <v>10001</v>
      </c>
      <c r="L544" s="191">
        <v>3</v>
      </c>
      <c r="M544" s="192">
        <v>46092</v>
      </c>
      <c r="N544" s="193">
        <v>1</v>
      </c>
      <c r="O544" s="194">
        <v>0.5</v>
      </c>
      <c r="P544" s="195"/>
      <c r="Q544" s="196" t="s">
        <v>38</v>
      </c>
      <c r="R544" s="197">
        <v>1</v>
      </c>
      <c r="S544" s="198" t="s">
        <v>33</v>
      </c>
      <c r="T544" s="199"/>
      <c r="U544" s="200"/>
      <c r="V544" s="200"/>
      <c r="W544" s="200"/>
      <c r="X544" s="200"/>
      <c r="Y544" s="200"/>
      <c r="Z544" s="200"/>
      <c r="AA544" s="200"/>
      <c r="AB544" s="200"/>
      <c r="AC544" s="208"/>
      <c r="AD544" s="11" t="str">
        <f t="shared" si="33"/>
        <v>3</v>
      </c>
      <c r="AF544" t="str">
        <f t="shared" si="34"/>
        <v>80.01.ZZ.03</v>
      </c>
      <c r="AH544" t="str">
        <f t="shared" si="35"/>
        <v>00 de 01</v>
      </c>
    </row>
    <row r="545" spans="1:34" ht="34.5" x14ac:dyDescent="0.25">
      <c r="A545" s="139" t="s">
        <v>116</v>
      </c>
      <c r="B545" s="105" t="s">
        <v>122</v>
      </c>
      <c r="C545" s="63">
        <v>533</v>
      </c>
      <c r="D545" s="197" t="s">
        <v>192</v>
      </c>
      <c r="E545" s="189" t="s">
        <v>762</v>
      </c>
      <c r="F545" s="190" t="s">
        <v>123</v>
      </c>
      <c r="G545" s="189" t="s">
        <v>134</v>
      </c>
      <c r="H545" s="191">
        <v>67392</v>
      </c>
      <c r="I545" s="189" t="s">
        <v>225</v>
      </c>
      <c r="J545" s="189">
        <v>0</v>
      </c>
      <c r="K545" s="189">
        <v>10001</v>
      </c>
      <c r="L545" s="191">
        <v>3</v>
      </c>
      <c r="M545" s="192">
        <v>46092</v>
      </c>
      <c r="N545" s="193">
        <v>1</v>
      </c>
      <c r="O545" s="194">
        <v>0.5</v>
      </c>
      <c r="P545" s="195"/>
      <c r="Q545" s="196" t="s">
        <v>38</v>
      </c>
      <c r="R545" s="197">
        <v>1</v>
      </c>
      <c r="S545" s="198" t="s">
        <v>33</v>
      </c>
      <c r="T545" s="199"/>
      <c r="U545" s="200"/>
      <c r="V545" s="200"/>
      <c r="W545" s="200"/>
      <c r="X545" s="200"/>
      <c r="Y545" s="200"/>
      <c r="Z545" s="200"/>
      <c r="AA545" s="200"/>
      <c r="AB545" s="200"/>
      <c r="AC545" s="208"/>
      <c r="AD545" s="11" t="str">
        <f t="shared" si="33"/>
        <v>3</v>
      </c>
      <c r="AF545" t="str">
        <f t="shared" si="34"/>
        <v>80.01.ZZ.03</v>
      </c>
      <c r="AH545" t="str">
        <f t="shared" si="35"/>
        <v>00 de 01</v>
      </c>
    </row>
    <row r="546" spans="1:34" ht="34.5" x14ac:dyDescent="0.25">
      <c r="A546" s="139" t="s">
        <v>116</v>
      </c>
      <c r="B546" s="105" t="s">
        <v>122</v>
      </c>
      <c r="C546" s="63">
        <v>534</v>
      </c>
      <c r="D546" s="197" t="s">
        <v>192</v>
      </c>
      <c r="E546" s="189" t="s">
        <v>763</v>
      </c>
      <c r="F546" s="190" t="s">
        <v>123</v>
      </c>
      <c r="G546" s="189" t="s">
        <v>134</v>
      </c>
      <c r="H546" s="191">
        <v>67392</v>
      </c>
      <c r="I546" s="189" t="s">
        <v>225</v>
      </c>
      <c r="J546" s="189">
        <v>0</v>
      </c>
      <c r="K546" s="189">
        <v>10001</v>
      </c>
      <c r="L546" s="191">
        <v>3</v>
      </c>
      <c r="M546" s="192">
        <v>46092</v>
      </c>
      <c r="N546" s="193">
        <v>1</v>
      </c>
      <c r="O546" s="194">
        <v>0.5</v>
      </c>
      <c r="P546" s="195"/>
      <c r="Q546" s="196" t="s">
        <v>38</v>
      </c>
      <c r="R546" s="197">
        <v>1</v>
      </c>
      <c r="S546" s="198" t="s">
        <v>33</v>
      </c>
      <c r="T546" s="199"/>
      <c r="U546" s="200"/>
      <c r="V546" s="200"/>
      <c r="W546" s="200"/>
      <c r="X546" s="200"/>
      <c r="Y546" s="200"/>
      <c r="Z546" s="200"/>
      <c r="AA546" s="200"/>
      <c r="AB546" s="200"/>
      <c r="AC546" s="208"/>
      <c r="AD546" s="11" t="str">
        <f t="shared" si="33"/>
        <v>3</v>
      </c>
      <c r="AF546" t="str">
        <f t="shared" si="34"/>
        <v>80.01.ZZ.03</v>
      </c>
      <c r="AH546" t="str">
        <f t="shared" si="35"/>
        <v>00 de 01</v>
      </c>
    </row>
    <row r="547" spans="1:34" ht="34.5" x14ac:dyDescent="0.25">
      <c r="A547" s="139" t="s">
        <v>116</v>
      </c>
      <c r="B547" s="105" t="s">
        <v>122</v>
      </c>
      <c r="C547" s="63">
        <v>535</v>
      </c>
      <c r="D547" s="197" t="s">
        <v>192</v>
      </c>
      <c r="E547" s="189" t="s">
        <v>764</v>
      </c>
      <c r="F547" s="190" t="s">
        <v>123</v>
      </c>
      <c r="G547" s="189" t="s">
        <v>134</v>
      </c>
      <c r="H547" s="191">
        <v>67392</v>
      </c>
      <c r="I547" s="189" t="s">
        <v>225</v>
      </c>
      <c r="J547" s="189">
        <v>0</v>
      </c>
      <c r="K547" s="189">
        <v>10001</v>
      </c>
      <c r="L547" s="191">
        <v>3</v>
      </c>
      <c r="M547" s="192">
        <v>46092</v>
      </c>
      <c r="N547" s="193">
        <v>1</v>
      </c>
      <c r="O547" s="194">
        <v>0.5</v>
      </c>
      <c r="P547" s="195"/>
      <c r="Q547" s="196" t="s">
        <v>38</v>
      </c>
      <c r="R547" s="197">
        <v>1</v>
      </c>
      <c r="S547" s="198" t="s">
        <v>33</v>
      </c>
      <c r="T547" s="199"/>
      <c r="U547" s="200"/>
      <c r="V547" s="200"/>
      <c r="W547" s="200"/>
      <c r="X547" s="200"/>
      <c r="Y547" s="200"/>
      <c r="Z547" s="200"/>
      <c r="AA547" s="200"/>
      <c r="AB547" s="200"/>
      <c r="AC547" s="208"/>
      <c r="AD547" s="11" t="str">
        <f t="shared" si="33"/>
        <v>3</v>
      </c>
      <c r="AF547" t="str">
        <f t="shared" si="34"/>
        <v>80.01.ZZ.03</v>
      </c>
      <c r="AH547" t="str">
        <f t="shared" si="35"/>
        <v>00 de 01</v>
      </c>
    </row>
    <row r="548" spans="1:34" ht="34.5" x14ac:dyDescent="0.25">
      <c r="A548" s="139" t="s">
        <v>116</v>
      </c>
      <c r="B548" s="105" t="s">
        <v>122</v>
      </c>
      <c r="C548" s="63">
        <v>536</v>
      </c>
      <c r="D548" s="197" t="s">
        <v>192</v>
      </c>
      <c r="E548" s="189" t="s">
        <v>765</v>
      </c>
      <c r="F548" s="190" t="s">
        <v>123</v>
      </c>
      <c r="G548" s="189" t="s">
        <v>134</v>
      </c>
      <c r="H548" s="191">
        <v>67392</v>
      </c>
      <c r="I548" s="189" t="s">
        <v>225</v>
      </c>
      <c r="J548" s="189">
        <v>0</v>
      </c>
      <c r="K548" s="189">
        <v>10001</v>
      </c>
      <c r="L548" s="191">
        <v>3</v>
      </c>
      <c r="M548" s="192">
        <v>46092</v>
      </c>
      <c r="N548" s="193">
        <v>1</v>
      </c>
      <c r="O548" s="194">
        <v>0.5</v>
      </c>
      <c r="P548" s="195"/>
      <c r="Q548" s="196" t="s">
        <v>38</v>
      </c>
      <c r="R548" s="197">
        <v>1</v>
      </c>
      <c r="S548" s="198" t="s">
        <v>33</v>
      </c>
      <c r="T548" s="199"/>
      <c r="U548" s="200"/>
      <c r="V548" s="200"/>
      <c r="W548" s="200"/>
      <c r="X548" s="200"/>
      <c r="Y548" s="200"/>
      <c r="Z548" s="200"/>
      <c r="AA548" s="200"/>
      <c r="AB548" s="200"/>
      <c r="AC548" s="208"/>
      <c r="AD548" s="11" t="str">
        <f t="shared" si="33"/>
        <v>3</v>
      </c>
      <c r="AF548" t="str">
        <f t="shared" si="34"/>
        <v>80.01.ZZ.03</v>
      </c>
      <c r="AH548" t="str">
        <f t="shared" si="35"/>
        <v>00 de 01</v>
      </c>
    </row>
    <row r="549" spans="1:34" ht="34.5" x14ac:dyDescent="0.25">
      <c r="A549" s="139" t="s">
        <v>116</v>
      </c>
      <c r="B549" s="105" t="s">
        <v>122</v>
      </c>
      <c r="C549" s="63">
        <v>537</v>
      </c>
      <c r="D549" s="197" t="s">
        <v>192</v>
      </c>
      <c r="E549" s="189" t="s">
        <v>766</v>
      </c>
      <c r="F549" s="190" t="s">
        <v>123</v>
      </c>
      <c r="G549" s="189" t="s">
        <v>134</v>
      </c>
      <c r="H549" s="191">
        <v>67392</v>
      </c>
      <c r="I549" s="189" t="s">
        <v>225</v>
      </c>
      <c r="J549" s="189">
        <v>0</v>
      </c>
      <c r="K549" s="189">
        <v>10001</v>
      </c>
      <c r="L549" s="191">
        <v>3</v>
      </c>
      <c r="M549" s="192">
        <v>46092</v>
      </c>
      <c r="N549" s="193">
        <v>1</v>
      </c>
      <c r="O549" s="194">
        <v>0.5</v>
      </c>
      <c r="P549" s="195"/>
      <c r="Q549" s="196" t="s">
        <v>38</v>
      </c>
      <c r="R549" s="197">
        <v>1</v>
      </c>
      <c r="S549" s="198" t="s">
        <v>33</v>
      </c>
      <c r="T549" s="199"/>
      <c r="U549" s="200"/>
      <c r="V549" s="200"/>
      <c r="W549" s="200"/>
      <c r="X549" s="200"/>
      <c r="Y549" s="200"/>
      <c r="Z549" s="200"/>
      <c r="AA549" s="200"/>
      <c r="AB549" s="200"/>
      <c r="AC549" s="208"/>
      <c r="AD549" s="11" t="str">
        <f t="shared" si="33"/>
        <v>3</v>
      </c>
      <c r="AF549" t="str">
        <f t="shared" si="34"/>
        <v>80.01.ZZ.03</v>
      </c>
      <c r="AH549" t="str">
        <f t="shared" si="35"/>
        <v>00 de 01</v>
      </c>
    </row>
    <row r="550" spans="1:34" ht="34.5" x14ac:dyDescent="0.25">
      <c r="A550" s="139" t="s">
        <v>116</v>
      </c>
      <c r="B550" s="105" t="s">
        <v>122</v>
      </c>
      <c r="C550" s="63">
        <v>538</v>
      </c>
      <c r="D550" s="197" t="s">
        <v>192</v>
      </c>
      <c r="E550" s="189" t="s">
        <v>767</v>
      </c>
      <c r="F550" s="190" t="s">
        <v>123</v>
      </c>
      <c r="G550" s="189" t="s">
        <v>134</v>
      </c>
      <c r="H550" s="191">
        <v>67392</v>
      </c>
      <c r="I550" s="189" t="s">
        <v>225</v>
      </c>
      <c r="J550" s="189">
        <v>0</v>
      </c>
      <c r="K550" s="189">
        <v>10001</v>
      </c>
      <c r="L550" s="191">
        <v>3</v>
      </c>
      <c r="M550" s="192">
        <v>46092</v>
      </c>
      <c r="N550" s="193">
        <v>1</v>
      </c>
      <c r="O550" s="194">
        <v>0.5</v>
      </c>
      <c r="P550" s="195"/>
      <c r="Q550" s="196" t="s">
        <v>38</v>
      </c>
      <c r="R550" s="197">
        <v>1</v>
      </c>
      <c r="S550" s="198" t="s">
        <v>33</v>
      </c>
      <c r="T550" s="199"/>
      <c r="U550" s="200"/>
      <c r="V550" s="200"/>
      <c r="W550" s="200"/>
      <c r="X550" s="200"/>
      <c r="Y550" s="200"/>
      <c r="Z550" s="200"/>
      <c r="AA550" s="200"/>
      <c r="AB550" s="200"/>
      <c r="AC550" s="208"/>
      <c r="AD550" s="11" t="str">
        <f t="shared" si="33"/>
        <v>3</v>
      </c>
      <c r="AF550" t="str">
        <f t="shared" si="34"/>
        <v>80.01.ZZ.03</v>
      </c>
      <c r="AH550" t="str">
        <f t="shared" si="35"/>
        <v>00 de 01</v>
      </c>
    </row>
    <row r="551" spans="1:34" ht="34.5" x14ac:dyDescent="0.25">
      <c r="A551" s="139" t="s">
        <v>116</v>
      </c>
      <c r="B551" s="105" t="s">
        <v>122</v>
      </c>
      <c r="C551" s="63">
        <v>539</v>
      </c>
      <c r="D551" s="197" t="s">
        <v>192</v>
      </c>
      <c r="E551" s="189" t="s">
        <v>768</v>
      </c>
      <c r="F551" s="190" t="s">
        <v>123</v>
      </c>
      <c r="G551" s="189" t="s">
        <v>134</v>
      </c>
      <c r="H551" s="191">
        <v>67392</v>
      </c>
      <c r="I551" s="189" t="s">
        <v>225</v>
      </c>
      <c r="J551" s="189">
        <v>0</v>
      </c>
      <c r="K551" s="189">
        <v>10001</v>
      </c>
      <c r="L551" s="191">
        <v>3</v>
      </c>
      <c r="M551" s="192">
        <v>46092</v>
      </c>
      <c r="N551" s="193">
        <v>1</v>
      </c>
      <c r="O551" s="194">
        <v>0.5</v>
      </c>
      <c r="P551" s="195"/>
      <c r="Q551" s="196" t="s">
        <v>38</v>
      </c>
      <c r="R551" s="197">
        <v>1</v>
      </c>
      <c r="S551" s="198" t="s">
        <v>33</v>
      </c>
      <c r="T551" s="199"/>
      <c r="U551" s="200"/>
      <c r="V551" s="200"/>
      <c r="W551" s="200"/>
      <c r="X551" s="200"/>
      <c r="Y551" s="200"/>
      <c r="Z551" s="200"/>
      <c r="AA551" s="200"/>
      <c r="AB551" s="200"/>
      <c r="AC551" s="208"/>
      <c r="AD551" s="11" t="str">
        <f t="shared" si="33"/>
        <v>3</v>
      </c>
      <c r="AF551" t="str">
        <f t="shared" si="34"/>
        <v>80.01.ZZ.03</v>
      </c>
      <c r="AH551" t="str">
        <f t="shared" si="35"/>
        <v>00 de 01</v>
      </c>
    </row>
    <row r="552" spans="1:34" ht="34.5" x14ac:dyDescent="0.25">
      <c r="A552" s="139" t="s">
        <v>116</v>
      </c>
      <c r="B552" s="105" t="s">
        <v>122</v>
      </c>
      <c r="C552" s="63">
        <v>540</v>
      </c>
      <c r="D552" s="197" t="s">
        <v>192</v>
      </c>
      <c r="E552" s="189" t="s">
        <v>769</v>
      </c>
      <c r="F552" s="190" t="s">
        <v>123</v>
      </c>
      <c r="G552" s="189" t="s">
        <v>134</v>
      </c>
      <c r="H552" s="191">
        <v>67392</v>
      </c>
      <c r="I552" s="189" t="s">
        <v>225</v>
      </c>
      <c r="J552" s="189">
        <v>0</v>
      </c>
      <c r="K552" s="189">
        <v>10001</v>
      </c>
      <c r="L552" s="191">
        <v>3</v>
      </c>
      <c r="M552" s="192">
        <v>46092</v>
      </c>
      <c r="N552" s="193">
        <v>1</v>
      </c>
      <c r="O552" s="194">
        <v>0.5</v>
      </c>
      <c r="P552" s="195"/>
      <c r="Q552" s="196" t="s">
        <v>38</v>
      </c>
      <c r="R552" s="197">
        <v>1</v>
      </c>
      <c r="S552" s="198" t="s">
        <v>33</v>
      </c>
      <c r="T552" s="199"/>
      <c r="U552" s="200"/>
      <c r="V552" s="200"/>
      <c r="W552" s="200"/>
      <c r="X552" s="200"/>
      <c r="Y552" s="200"/>
      <c r="Z552" s="200"/>
      <c r="AA552" s="200"/>
      <c r="AB552" s="200"/>
      <c r="AC552" s="208"/>
      <c r="AD552" s="11" t="str">
        <f t="shared" si="33"/>
        <v>3</v>
      </c>
      <c r="AF552" t="str">
        <f t="shared" si="34"/>
        <v>80.01.ZZ.03</v>
      </c>
      <c r="AH552" t="str">
        <f t="shared" si="35"/>
        <v>00 de 01</v>
      </c>
    </row>
    <row r="553" spans="1:34" ht="34.5" x14ac:dyDescent="0.25">
      <c r="A553" s="139" t="s">
        <v>116</v>
      </c>
      <c r="B553" s="105" t="s">
        <v>122</v>
      </c>
      <c r="C553" s="63">
        <v>541</v>
      </c>
      <c r="D553" s="197" t="s">
        <v>192</v>
      </c>
      <c r="E553" s="189" t="s">
        <v>770</v>
      </c>
      <c r="F553" s="190" t="s">
        <v>123</v>
      </c>
      <c r="G553" s="189" t="s">
        <v>134</v>
      </c>
      <c r="H553" s="191">
        <v>67392</v>
      </c>
      <c r="I553" s="189" t="s">
        <v>225</v>
      </c>
      <c r="J553" s="189">
        <v>0</v>
      </c>
      <c r="K553" s="189">
        <v>10001</v>
      </c>
      <c r="L553" s="191">
        <v>3</v>
      </c>
      <c r="M553" s="192">
        <v>46092</v>
      </c>
      <c r="N553" s="193">
        <v>1</v>
      </c>
      <c r="O553" s="194">
        <v>0.5</v>
      </c>
      <c r="P553" s="195"/>
      <c r="Q553" s="196" t="s">
        <v>38</v>
      </c>
      <c r="R553" s="197">
        <v>1</v>
      </c>
      <c r="S553" s="198" t="s">
        <v>33</v>
      </c>
      <c r="T553" s="199"/>
      <c r="U553" s="200"/>
      <c r="V553" s="200"/>
      <c r="W553" s="200"/>
      <c r="X553" s="200"/>
      <c r="Y553" s="200"/>
      <c r="Z553" s="200"/>
      <c r="AA553" s="200"/>
      <c r="AB553" s="200"/>
      <c r="AC553" s="208"/>
      <c r="AD553" s="11" t="str">
        <f t="shared" si="33"/>
        <v>3</v>
      </c>
      <c r="AF553" t="str">
        <f t="shared" si="34"/>
        <v>80.01.ZZ.03</v>
      </c>
      <c r="AH553" t="str">
        <f t="shared" si="35"/>
        <v>00 de 01</v>
      </c>
    </row>
    <row r="554" spans="1:34" ht="34.5" x14ac:dyDescent="0.25">
      <c r="A554" s="139" t="s">
        <v>116</v>
      </c>
      <c r="B554" s="105" t="s">
        <v>122</v>
      </c>
      <c r="C554" s="63">
        <v>542</v>
      </c>
      <c r="D554" s="197" t="s">
        <v>192</v>
      </c>
      <c r="E554" s="189" t="s">
        <v>771</v>
      </c>
      <c r="F554" s="190" t="s">
        <v>123</v>
      </c>
      <c r="G554" s="189" t="s">
        <v>134</v>
      </c>
      <c r="H554" s="191">
        <v>67392</v>
      </c>
      <c r="I554" s="189" t="s">
        <v>225</v>
      </c>
      <c r="J554" s="189">
        <v>0</v>
      </c>
      <c r="K554" s="189">
        <v>10001</v>
      </c>
      <c r="L554" s="191">
        <v>3</v>
      </c>
      <c r="M554" s="192">
        <v>46092</v>
      </c>
      <c r="N554" s="193">
        <v>1</v>
      </c>
      <c r="O554" s="194">
        <v>0.5</v>
      </c>
      <c r="P554" s="195"/>
      <c r="Q554" s="196" t="s">
        <v>38</v>
      </c>
      <c r="R554" s="197">
        <v>1</v>
      </c>
      <c r="S554" s="198" t="s">
        <v>33</v>
      </c>
      <c r="T554" s="199"/>
      <c r="U554" s="200"/>
      <c r="V554" s="200"/>
      <c r="W554" s="200"/>
      <c r="X554" s="200"/>
      <c r="Y554" s="200"/>
      <c r="Z554" s="200"/>
      <c r="AA554" s="200"/>
      <c r="AB554" s="200"/>
      <c r="AC554" s="208"/>
      <c r="AD554" s="11" t="str">
        <f t="shared" si="33"/>
        <v>3</v>
      </c>
      <c r="AF554" t="str">
        <f t="shared" si="34"/>
        <v>80.01.ZZ.03</v>
      </c>
      <c r="AH554" t="str">
        <f t="shared" si="35"/>
        <v>00 de 01</v>
      </c>
    </row>
    <row r="555" spans="1:34" ht="34.5" x14ac:dyDescent="0.25">
      <c r="A555" s="139" t="s">
        <v>116</v>
      </c>
      <c r="B555" s="105" t="s">
        <v>122</v>
      </c>
      <c r="C555" s="63">
        <v>543</v>
      </c>
      <c r="D555" s="197" t="s">
        <v>192</v>
      </c>
      <c r="E555" s="189" t="s">
        <v>772</v>
      </c>
      <c r="F555" s="190" t="s">
        <v>123</v>
      </c>
      <c r="G555" s="189" t="s">
        <v>134</v>
      </c>
      <c r="H555" s="191">
        <v>67392</v>
      </c>
      <c r="I555" s="189" t="s">
        <v>225</v>
      </c>
      <c r="J555" s="189">
        <v>0</v>
      </c>
      <c r="K555" s="189">
        <v>10001</v>
      </c>
      <c r="L555" s="191">
        <v>3</v>
      </c>
      <c r="M555" s="192">
        <v>46092</v>
      </c>
      <c r="N555" s="193">
        <v>1</v>
      </c>
      <c r="O555" s="194">
        <v>0.5</v>
      </c>
      <c r="P555" s="195"/>
      <c r="Q555" s="196" t="s">
        <v>38</v>
      </c>
      <c r="R555" s="197">
        <v>1</v>
      </c>
      <c r="S555" s="198" t="s">
        <v>33</v>
      </c>
      <c r="T555" s="199"/>
      <c r="U555" s="200"/>
      <c r="V555" s="200"/>
      <c r="W555" s="200"/>
      <c r="X555" s="200"/>
      <c r="Y555" s="200"/>
      <c r="Z555" s="200"/>
      <c r="AA555" s="200"/>
      <c r="AB555" s="200"/>
      <c r="AC555" s="208"/>
      <c r="AD555" s="11" t="str">
        <f t="shared" si="33"/>
        <v>3</v>
      </c>
      <c r="AF555" t="str">
        <f t="shared" si="34"/>
        <v>80.01.ZZ.03</v>
      </c>
      <c r="AH555" t="str">
        <f t="shared" si="35"/>
        <v>00 de 01</v>
      </c>
    </row>
    <row r="556" spans="1:34" ht="34.5" x14ac:dyDescent="0.25">
      <c r="A556" s="139" t="s">
        <v>116</v>
      </c>
      <c r="B556" s="105" t="s">
        <v>122</v>
      </c>
      <c r="C556" s="63">
        <v>544</v>
      </c>
      <c r="D556" s="197" t="s">
        <v>192</v>
      </c>
      <c r="E556" s="189" t="s">
        <v>773</v>
      </c>
      <c r="F556" s="190" t="s">
        <v>123</v>
      </c>
      <c r="G556" s="189" t="s">
        <v>134</v>
      </c>
      <c r="H556" s="191">
        <v>67392</v>
      </c>
      <c r="I556" s="189" t="s">
        <v>225</v>
      </c>
      <c r="J556" s="189">
        <v>0</v>
      </c>
      <c r="K556" s="189">
        <v>10001</v>
      </c>
      <c r="L556" s="191">
        <v>3</v>
      </c>
      <c r="M556" s="192">
        <v>46092</v>
      </c>
      <c r="N556" s="193">
        <v>1</v>
      </c>
      <c r="O556" s="194">
        <v>0.5</v>
      </c>
      <c r="P556" s="195"/>
      <c r="Q556" s="196" t="s">
        <v>38</v>
      </c>
      <c r="R556" s="197">
        <v>1</v>
      </c>
      <c r="S556" s="198" t="s">
        <v>33</v>
      </c>
      <c r="T556" s="199"/>
      <c r="U556" s="200"/>
      <c r="V556" s="200"/>
      <c r="W556" s="200"/>
      <c r="X556" s="200"/>
      <c r="Y556" s="200"/>
      <c r="Z556" s="200"/>
      <c r="AA556" s="200"/>
      <c r="AB556" s="200"/>
      <c r="AC556" s="208"/>
      <c r="AD556" s="11" t="str">
        <f t="shared" si="33"/>
        <v>3</v>
      </c>
      <c r="AF556" t="str">
        <f t="shared" si="34"/>
        <v>80.01.ZZ.03</v>
      </c>
      <c r="AH556" t="str">
        <f t="shared" si="35"/>
        <v>00 de 01</v>
      </c>
    </row>
    <row r="557" spans="1:34" ht="34.5" x14ac:dyDescent="0.25">
      <c r="A557" s="139" t="s">
        <v>116</v>
      </c>
      <c r="B557" s="105" t="s">
        <v>122</v>
      </c>
      <c r="C557" s="63">
        <v>545</v>
      </c>
      <c r="D557" s="197" t="s">
        <v>192</v>
      </c>
      <c r="E557" s="189" t="s">
        <v>774</v>
      </c>
      <c r="F557" s="190" t="s">
        <v>123</v>
      </c>
      <c r="G557" s="189" t="s">
        <v>134</v>
      </c>
      <c r="H557" s="191">
        <v>67392</v>
      </c>
      <c r="I557" s="189" t="s">
        <v>225</v>
      </c>
      <c r="J557" s="189">
        <v>0</v>
      </c>
      <c r="K557" s="189">
        <v>10001</v>
      </c>
      <c r="L557" s="191">
        <v>3</v>
      </c>
      <c r="M557" s="192">
        <v>46092</v>
      </c>
      <c r="N557" s="193">
        <v>1</v>
      </c>
      <c r="O557" s="194">
        <v>0.5</v>
      </c>
      <c r="P557" s="195"/>
      <c r="Q557" s="196" t="s">
        <v>38</v>
      </c>
      <c r="R557" s="197">
        <v>1</v>
      </c>
      <c r="S557" s="198" t="s">
        <v>33</v>
      </c>
      <c r="T557" s="199"/>
      <c r="U557" s="200"/>
      <c r="V557" s="200"/>
      <c r="W557" s="200"/>
      <c r="X557" s="200"/>
      <c r="Y557" s="200"/>
      <c r="Z557" s="200"/>
      <c r="AA557" s="200"/>
      <c r="AB557" s="200"/>
      <c r="AC557" s="208"/>
      <c r="AD557" s="11" t="str">
        <f t="shared" si="33"/>
        <v>3</v>
      </c>
      <c r="AF557" t="str">
        <f t="shared" si="34"/>
        <v>80.01.ZZ.03</v>
      </c>
      <c r="AH557" t="str">
        <f t="shared" si="35"/>
        <v>00 de 01</v>
      </c>
    </row>
    <row r="558" spans="1:34" ht="34.5" x14ac:dyDescent="0.25">
      <c r="A558" s="139" t="s">
        <v>116</v>
      </c>
      <c r="B558" s="105" t="s">
        <v>122</v>
      </c>
      <c r="C558" s="63">
        <v>546</v>
      </c>
      <c r="D558" s="197" t="s">
        <v>192</v>
      </c>
      <c r="E558" s="189" t="s">
        <v>775</v>
      </c>
      <c r="F558" s="190" t="s">
        <v>123</v>
      </c>
      <c r="G558" s="189" t="s">
        <v>134</v>
      </c>
      <c r="H558" s="191">
        <v>67392</v>
      </c>
      <c r="I558" s="189" t="s">
        <v>225</v>
      </c>
      <c r="J558" s="189">
        <v>0</v>
      </c>
      <c r="K558" s="189">
        <v>10001</v>
      </c>
      <c r="L558" s="191">
        <v>3</v>
      </c>
      <c r="M558" s="192">
        <v>46092</v>
      </c>
      <c r="N558" s="193">
        <v>1</v>
      </c>
      <c r="O558" s="194">
        <v>0.5</v>
      </c>
      <c r="P558" s="195"/>
      <c r="Q558" s="196" t="s">
        <v>38</v>
      </c>
      <c r="R558" s="197">
        <v>1</v>
      </c>
      <c r="S558" s="198" t="s">
        <v>33</v>
      </c>
      <c r="T558" s="199"/>
      <c r="U558" s="200"/>
      <c r="V558" s="200"/>
      <c r="W558" s="200"/>
      <c r="X558" s="200"/>
      <c r="Y558" s="200"/>
      <c r="Z558" s="200"/>
      <c r="AA558" s="200"/>
      <c r="AB558" s="200"/>
      <c r="AC558" s="208"/>
      <c r="AD558" s="11" t="str">
        <f t="shared" si="33"/>
        <v>3</v>
      </c>
      <c r="AF558" t="str">
        <f t="shared" si="34"/>
        <v>80.01.ZZ.03</v>
      </c>
      <c r="AH558" t="str">
        <f t="shared" si="35"/>
        <v>00 de 01</v>
      </c>
    </row>
    <row r="559" spans="1:34" ht="34.5" x14ac:dyDescent="0.25">
      <c r="A559" s="139" t="s">
        <v>116</v>
      </c>
      <c r="B559" s="105" t="s">
        <v>122</v>
      </c>
      <c r="C559" s="63">
        <v>547</v>
      </c>
      <c r="D559" s="197" t="s">
        <v>192</v>
      </c>
      <c r="E559" s="189" t="s">
        <v>776</v>
      </c>
      <c r="F559" s="190" t="s">
        <v>123</v>
      </c>
      <c r="G559" s="189" t="s">
        <v>134</v>
      </c>
      <c r="H559" s="191">
        <v>67392</v>
      </c>
      <c r="I559" s="189" t="s">
        <v>225</v>
      </c>
      <c r="J559" s="189">
        <v>0</v>
      </c>
      <c r="K559" s="189">
        <v>10001</v>
      </c>
      <c r="L559" s="191">
        <v>3</v>
      </c>
      <c r="M559" s="192">
        <v>46092</v>
      </c>
      <c r="N559" s="193">
        <v>1</v>
      </c>
      <c r="O559" s="194">
        <v>0.5</v>
      </c>
      <c r="P559" s="195"/>
      <c r="Q559" s="196" t="s">
        <v>38</v>
      </c>
      <c r="R559" s="197">
        <v>1</v>
      </c>
      <c r="S559" s="198" t="s">
        <v>33</v>
      </c>
      <c r="T559" s="199"/>
      <c r="U559" s="200"/>
      <c r="V559" s="200"/>
      <c r="W559" s="200"/>
      <c r="X559" s="200"/>
      <c r="Y559" s="200"/>
      <c r="Z559" s="200"/>
      <c r="AA559" s="200"/>
      <c r="AB559" s="200"/>
      <c r="AC559" s="208"/>
      <c r="AD559" s="11" t="str">
        <f t="shared" si="33"/>
        <v>3</v>
      </c>
      <c r="AF559" t="str">
        <f t="shared" si="34"/>
        <v>80.01.ZZ.03</v>
      </c>
      <c r="AH559" t="str">
        <f t="shared" si="35"/>
        <v>00 de 01</v>
      </c>
    </row>
    <row r="560" spans="1:34" ht="34.5" x14ac:dyDescent="0.25">
      <c r="A560" s="139" t="s">
        <v>116</v>
      </c>
      <c r="B560" s="105" t="s">
        <v>122</v>
      </c>
      <c r="C560" s="63">
        <v>548</v>
      </c>
      <c r="D560" s="197" t="s">
        <v>192</v>
      </c>
      <c r="E560" s="189" t="s">
        <v>777</v>
      </c>
      <c r="F560" s="190" t="s">
        <v>123</v>
      </c>
      <c r="G560" s="189" t="s">
        <v>134</v>
      </c>
      <c r="H560" s="191">
        <v>67392</v>
      </c>
      <c r="I560" s="189" t="s">
        <v>225</v>
      </c>
      <c r="J560" s="189">
        <v>0</v>
      </c>
      <c r="K560" s="189">
        <v>10001</v>
      </c>
      <c r="L560" s="191">
        <v>3</v>
      </c>
      <c r="M560" s="192">
        <v>46092</v>
      </c>
      <c r="N560" s="193">
        <v>1</v>
      </c>
      <c r="O560" s="194">
        <v>0.5</v>
      </c>
      <c r="P560" s="195"/>
      <c r="Q560" s="196" t="s">
        <v>38</v>
      </c>
      <c r="R560" s="197">
        <v>1</v>
      </c>
      <c r="S560" s="198" t="s">
        <v>33</v>
      </c>
      <c r="T560" s="199"/>
      <c r="U560" s="200"/>
      <c r="V560" s="200"/>
      <c r="W560" s="200"/>
      <c r="X560" s="200"/>
      <c r="Y560" s="200"/>
      <c r="Z560" s="200"/>
      <c r="AA560" s="200"/>
      <c r="AB560" s="200"/>
      <c r="AC560" s="208"/>
      <c r="AD560" s="11" t="str">
        <f t="shared" si="33"/>
        <v>3</v>
      </c>
      <c r="AF560" t="str">
        <f t="shared" si="34"/>
        <v>80.01.ZZ.03</v>
      </c>
      <c r="AH560" t="str">
        <f t="shared" si="35"/>
        <v>00 de 01</v>
      </c>
    </row>
    <row r="561" spans="1:34" ht="34.5" x14ac:dyDescent="0.25">
      <c r="A561" s="139" t="s">
        <v>116</v>
      </c>
      <c r="B561" s="105" t="s">
        <v>122</v>
      </c>
      <c r="C561" s="63">
        <v>549</v>
      </c>
      <c r="D561" s="197" t="s">
        <v>192</v>
      </c>
      <c r="E561" s="189" t="s">
        <v>778</v>
      </c>
      <c r="F561" s="190" t="s">
        <v>123</v>
      </c>
      <c r="G561" s="189" t="s">
        <v>134</v>
      </c>
      <c r="H561" s="191">
        <v>67392</v>
      </c>
      <c r="I561" s="189" t="s">
        <v>225</v>
      </c>
      <c r="J561" s="189">
        <v>0</v>
      </c>
      <c r="K561" s="189">
        <v>10001</v>
      </c>
      <c r="L561" s="191">
        <v>3</v>
      </c>
      <c r="M561" s="192">
        <v>46092</v>
      </c>
      <c r="N561" s="193">
        <v>1</v>
      </c>
      <c r="O561" s="194">
        <v>0.5</v>
      </c>
      <c r="P561" s="195"/>
      <c r="Q561" s="196" t="s">
        <v>38</v>
      </c>
      <c r="R561" s="197">
        <v>1</v>
      </c>
      <c r="S561" s="198" t="s">
        <v>33</v>
      </c>
      <c r="T561" s="199"/>
      <c r="U561" s="200"/>
      <c r="V561" s="200"/>
      <c r="W561" s="200"/>
      <c r="X561" s="200"/>
      <c r="Y561" s="200"/>
      <c r="Z561" s="200"/>
      <c r="AA561" s="200"/>
      <c r="AB561" s="200"/>
      <c r="AC561" s="208"/>
      <c r="AD561" s="11" t="str">
        <f t="shared" si="33"/>
        <v>3</v>
      </c>
      <c r="AF561" t="str">
        <f t="shared" si="34"/>
        <v>80.01.ZZ.03</v>
      </c>
      <c r="AH561" t="str">
        <f t="shared" si="35"/>
        <v>00 de 01</v>
      </c>
    </row>
    <row r="562" spans="1:34" ht="34.5" x14ac:dyDescent="0.25">
      <c r="A562" s="139" t="s">
        <v>116</v>
      </c>
      <c r="B562" s="105" t="s">
        <v>122</v>
      </c>
      <c r="C562" s="63">
        <v>550</v>
      </c>
      <c r="D562" s="197" t="s">
        <v>192</v>
      </c>
      <c r="E562" s="189" t="s">
        <v>779</v>
      </c>
      <c r="F562" s="190" t="s">
        <v>123</v>
      </c>
      <c r="G562" s="189" t="s">
        <v>134</v>
      </c>
      <c r="H562" s="191">
        <v>67392</v>
      </c>
      <c r="I562" s="189" t="s">
        <v>225</v>
      </c>
      <c r="J562" s="189">
        <v>0</v>
      </c>
      <c r="K562" s="189">
        <v>10001</v>
      </c>
      <c r="L562" s="191">
        <v>3</v>
      </c>
      <c r="M562" s="192">
        <v>46092</v>
      </c>
      <c r="N562" s="193">
        <v>1</v>
      </c>
      <c r="O562" s="194">
        <v>0.5</v>
      </c>
      <c r="P562" s="195"/>
      <c r="Q562" s="196" t="s">
        <v>38</v>
      </c>
      <c r="R562" s="197">
        <v>1</v>
      </c>
      <c r="S562" s="198" t="s">
        <v>33</v>
      </c>
      <c r="T562" s="199"/>
      <c r="U562" s="200"/>
      <c r="V562" s="200"/>
      <c r="W562" s="200"/>
      <c r="X562" s="200"/>
      <c r="Y562" s="200"/>
      <c r="Z562" s="200"/>
      <c r="AA562" s="200"/>
      <c r="AB562" s="200"/>
      <c r="AC562" s="208"/>
      <c r="AD562" s="11" t="str">
        <f t="shared" si="33"/>
        <v>3</v>
      </c>
      <c r="AF562" t="str">
        <f t="shared" si="34"/>
        <v>80.01.ZZ.03</v>
      </c>
      <c r="AH562" t="str">
        <f t="shared" si="35"/>
        <v>00 de 01</v>
      </c>
    </row>
    <row r="563" spans="1:34" ht="34.5" x14ac:dyDescent="0.25">
      <c r="A563" s="139" t="s">
        <v>116</v>
      </c>
      <c r="B563" s="105" t="s">
        <v>122</v>
      </c>
      <c r="C563" s="63">
        <v>551</v>
      </c>
      <c r="D563" s="197" t="s">
        <v>192</v>
      </c>
      <c r="E563" s="189" t="s">
        <v>254</v>
      </c>
      <c r="F563" s="190" t="s">
        <v>123</v>
      </c>
      <c r="G563" s="189" t="s">
        <v>134</v>
      </c>
      <c r="H563" s="191">
        <v>67392</v>
      </c>
      <c r="I563" s="189" t="s">
        <v>225</v>
      </c>
      <c r="J563" s="189">
        <v>0</v>
      </c>
      <c r="K563" s="189">
        <v>10601</v>
      </c>
      <c r="L563" s="191">
        <v>3</v>
      </c>
      <c r="M563" s="192">
        <v>46092</v>
      </c>
      <c r="N563" s="193">
        <v>1</v>
      </c>
      <c r="O563" s="194">
        <v>0.5</v>
      </c>
      <c r="P563" s="195"/>
      <c r="Q563" s="196" t="s">
        <v>38</v>
      </c>
      <c r="R563" s="197">
        <v>1</v>
      </c>
      <c r="S563" s="198" t="s">
        <v>33</v>
      </c>
      <c r="T563" s="199"/>
      <c r="U563" s="200"/>
      <c r="V563" s="200"/>
      <c r="W563" s="200"/>
      <c r="X563" s="200"/>
      <c r="Y563" s="200"/>
      <c r="Z563" s="200"/>
      <c r="AA563" s="200"/>
      <c r="AB563" s="200"/>
      <c r="AC563" s="208"/>
      <c r="AD563" s="11" t="str">
        <f t="shared" si="33"/>
        <v>3</v>
      </c>
      <c r="AF563" t="str">
        <f t="shared" si="34"/>
        <v>80.01.ZZ.03</v>
      </c>
      <c r="AH563" t="str">
        <f t="shared" si="35"/>
        <v>00 de 01</v>
      </c>
    </row>
    <row r="564" spans="1:34" ht="34.5" x14ac:dyDescent="0.25">
      <c r="A564" s="139" t="s">
        <v>116</v>
      </c>
      <c r="B564" s="105" t="s">
        <v>122</v>
      </c>
      <c r="C564" s="63">
        <v>552</v>
      </c>
      <c r="D564" s="197" t="s">
        <v>192</v>
      </c>
      <c r="E564" s="189" t="s">
        <v>780</v>
      </c>
      <c r="F564" s="190" t="s">
        <v>123</v>
      </c>
      <c r="G564" s="189" t="s">
        <v>134</v>
      </c>
      <c r="H564" s="191">
        <v>67392</v>
      </c>
      <c r="I564" s="189" t="s">
        <v>225</v>
      </c>
      <c r="J564" s="189">
        <v>0</v>
      </c>
      <c r="K564" s="189">
        <v>10601</v>
      </c>
      <c r="L564" s="191">
        <v>3</v>
      </c>
      <c r="M564" s="192">
        <v>46092</v>
      </c>
      <c r="N564" s="193">
        <v>1</v>
      </c>
      <c r="O564" s="194">
        <v>0.5</v>
      </c>
      <c r="P564" s="195"/>
      <c r="Q564" s="196" t="s">
        <v>38</v>
      </c>
      <c r="R564" s="197">
        <v>1</v>
      </c>
      <c r="S564" s="198" t="s">
        <v>33</v>
      </c>
      <c r="T564" s="199"/>
      <c r="U564" s="200"/>
      <c r="V564" s="200"/>
      <c r="W564" s="200"/>
      <c r="X564" s="200"/>
      <c r="Y564" s="200"/>
      <c r="Z564" s="200"/>
      <c r="AA564" s="200"/>
      <c r="AB564" s="200"/>
      <c r="AC564" s="208"/>
      <c r="AD564" s="11" t="str">
        <f t="shared" si="33"/>
        <v>3</v>
      </c>
      <c r="AF564" t="str">
        <f t="shared" si="34"/>
        <v>80.01.ZZ.03</v>
      </c>
      <c r="AH564" t="str">
        <f t="shared" si="35"/>
        <v>00 de 01</v>
      </c>
    </row>
    <row r="565" spans="1:34" ht="34.5" x14ac:dyDescent="0.25">
      <c r="A565" s="139" t="s">
        <v>116</v>
      </c>
      <c r="B565" s="105" t="s">
        <v>122</v>
      </c>
      <c r="C565" s="63">
        <v>553</v>
      </c>
      <c r="D565" s="197" t="s">
        <v>192</v>
      </c>
      <c r="E565" s="189" t="s">
        <v>781</v>
      </c>
      <c r="F565" s="190" t="s">
        <v>123</v>
      </c>
      <c r="G565" s="189" t="s">
        <v>134</v>
      </c>
      <c r="H565" s="191">
        <v>67392</v>
      </c>
      <c r="I565" s="189" t="s">
        <v>225</v>
      </c>
      <c r="J565" s="189">
        <v>0</v>
      </c>
      <c r="K565" s="189">
        <v>10601</v>
      </c>
      <c r="L565" s="191">
        <v>3</v>
      </c>
      <c r="M565" s="192">
        <v>46092</v>
      </c>
      <c r="N565" s="193">
        <v>1</v>
      </c>
      <c r="O565" s="194">
        <v>0.5</v>
      </c>
      <c r="P565" s="195"/>
      <c r="Q565" s="196" t="s">
        <v>38</v>
      </c>
      <c r="R565" s="197">
        <v>1</v>
      </c>
      <c r="S565" s="198" t="s">
        <v>33</v>
      </c>
      <c r="T565" s="199"/>
      <c r="U565" s="200"/>
      <c r="V565" s="200"/>
      <c r="W565" s="200"/>
      <c r="X565" s="200"/>
      <c r="Y565" s="200"/>
      <c r="Z565" s="200"/>
      <c r="AA565" s="200"/>
      <c r="AB565" s="200"/>
      <c r="AC565" s="208"/>
      <c r="AD565" s="11" t="str">
        <f t="shared" si="33"/>
        <v>3</v>
      </c>
      <c r="AF565" t="str">
        <f t="shared" si="34"/>
        <v>80.01.ZZ.03</v>
      </c>
      <c r="AH565" t="str">
        <f t="shared" si="35"/>
        <v>00 de 01</v>
      </c>
    </row>
    <row r="566" spans="1:34" ht="34.5" x14ac:dyDescent="0.25">
      <c r="A566" s="139" t="s">
        <v>116</v>
      </c>
      <c r="B566" s="105" t="s">
        <v>122</v>
      </c>
      <c r="C566" s="63">
        <v>554</v>
      </c>
      <c r="D566" s="197" t="s">
        <v>192</v>
      </c>
      <c r="E566" s="189" t="s">
        <v>782</v>
      </c>
      <c r="F566" s="190" t="s">
        <v>123</v>
      </c>
      <c r="G566" s="189" t="s">
        <v>134</v>
      </c>
      <c r="H566" s="191">
        <v>67392</v>
      </c>
      <c r="I566" s="189" t="s">
        <v>225</v>
      </c>
      <c r="J566" s="189">
        <v>0</v>
      </c>
      <c r="K566" s="189">
        <v>10601</v>
      </c>
      <c r="L566" s="191">
        <v>3</v>
      </c>
      <c r="M566" s="192">
        <v>46092</v>
      </c>
      <c r="N566" s="193">
        <v>1</v>
      </c>
      <c r="O566" s="194">
        <v>0.5</v>
      </c>
      <c r="P566" s="195"/>
      <c r="Q566" s="196" t="s">
        <v>38</v>
      </c>
      <c r="R566" s="197">
        <v>1</v>
      </c>
      <c r="S566" s="198" t="s">
        <v>33</v>
      </c>
      <c r="T566" s="199"/>
      <c r="U566" s="200"/>
      <c r="V566" s="200"/>
      <c r="W566" s="200"/>
      <c r="X566" s="200"/>
      <c r="Y566" s="200"/>
      <c r="Z566" s="200"/>
      <c r="AA566" s="200"/>
      <c r="AB566" s="200"/>
      <c r="AC566" s="208"/>
      <c r="AD566" s="11" t="str">
        <f t="shared" si="33"/>
        <v>3</v>
      </c>
      <c r="AF566" t="str">
        <f t="shared" si="34"/>
        <v>80.01.ZZ.03</v>
      </c>
      <c r="AH566" t="str">
        <f t="shared" si="35"/>
        <v>00 de 01</v>
      </c>
    </row>
    <row r="567" spans="1:34" ht="34.5" x14ac:dyDescent="0.25">
      <c r="A567" s="139" t="s">
        <v>116</v>
      </c>
      <c r="B567" s="105" t="s">
        <v>122</v>
      </c>
      <c r="C567" s="63">
        <v>555</v>
      </c>
      <c r="D567" s="197" t="s">
        <v>192</v>
      </c>
      <c r="E567" s="189" t="s">
        <v>783</v>
      </c>
      <c r="F567" s="190" t="s">
        <v>123</v>
      </c>
      <c r="G567" s="189" t="s">
        <v>134</v>
      </c>
      <c r="H567" s="191">
        <v>67392</v>
      </c>
      <c r="I567" s="189" t="s">
        <v>225</v>
      </c>
      <c r="J567" s="189">
        <v>0</v>
      </c>
      <c r="K567" s="189">
        <v>10601</v>
      </c>
      <c r="L567" s="191">
        <v>3</v>
      </c>
      <c r="M567" s="192">
        <v>46092</v>
      </c>
      <c r="N567" s="193">
        <v>1</v>
      </c>
      <c r="O567" s="194">
        <v>0.5</v>
      </c>
      <c r="P567" s="195"/>
      <c r="Q567" s="196" t="s">
        <v>38</v>
      </c>
      <c r="R567" s="197">
        <v>1</v>
      </c>
      <c r="S567" s="198" t="s">
        <v>33</v>
      </c>
      <c r="T567" s="199"/>
      <c r="U567" s="200"/>
      <c r="V567" s="200"/>
      <c r="W567" s="200"/>
      <c r="X567" s="200"/>
      <c r="Y567" s="200"/>
      <c r="Z567" s="200"/>
      <c r="AA567" s="200"/>
      <c r="AB567" s="200"/>
      <c r="AC567" s="208"/>
      <c r="AD567" s="11" t="str">
        <f t="shared" si="33"/>
        <v>3</v>
      </c>
      <c r="AF567" t="str">
        <f t="shared" si="34"/>
        <v>80.01.ZZ.03</v>
      </c>
      <c r="AH567" t="str">
        <f t="shared" si="35"/>
        <v>00 de 01</v>
      </c>
    </row>
    <row r="568" spans="1:34" ht="34.5" x14ac:dyDescent="0.25">
      <c r="A568" s="139" t="s">
        <v>116</v>
      </c>
      <c r="B568" s="105" t="s">
        <v>122</v>
      </c>
      <c r="C568" s="63">
        <v>556</v>
      </c>
      <c r="D568" s="197" t="s">
        <v>192</v>
      </c>
      <c r="E568" s="189" t="s">
        <v>784</v>
      </c>
      <c r="F568" s="190" t="s">
        <v>123</v>
      </c>
      <c r="G568" s="189" t="s">
        <v>134</v>
      </c>
      <c r="H568" s="191">
        <v>67392</v>
      </c>
      <c r="I568" s="189" t="s">
        <v>225</v>
      </c>
      <c r="J568" s="189">
        <v>0</v>
      </c>
      <c r="K568" s="189">
        <v>10601</v>
      </c>
      <c r="L568" s="191">
        <v>3</v>
      </c>
      <c r="M568" s="192">
        <v>46092</v>
      </c>
      <c r="N568" s="193">
        <v>1</v>
      </c>
      <c r="O568" s="194">
        <v>0.5</v>
      </c>
      <c r="P568" s="195"/>
      <c r="Q568" s="196" t="s">
        <v>38</v>
      </c>
      <c r="R568" s="197">
        <v>1</v>
      </c>
      <c r="S568" s="198" t="s">
        <v>33</v>
      </c>
      <c r="T568" s="199"/>
      <c r="U568" s="200"/>
      <c r="V568" s="200"/>
      <c r="W568" s="200"/>
      <c r="X568" s="200"/>
      <c r="Y568" s="200"/>
      <c r="Z568" s="200"/>
      <c r="AA568" s="200"/>
      <c r="AB568" s="200"/>
      <c r="AC568" s="208"/>
      <c r="AD568" s="11" t="str">
        <f t="shared" si="33"/>
        <v>3</v>
      </c>
      <c r="AF568" t="str">
        <f t="shared" si="34"/>
        <v>80.01.ZZ.03</v>
      </c>
      <c r="AH568" t="str">
        <f t="shared" si="35"/>
        <v>00 de 01</v>
      </c>
    </row>
    <row r="569" spans="1:34" ht="34.5" x14ac:dyDescent="0.25">
      <c r="A569" s="139" t="s">
        <v>116</v>
      </c>
      <c r="B569" s="105" t="s">
        <v>122</v>
      </c>
      <c r="C569" s="63">
        <v>557</v>
      </c>
      <c r="D569" s="197" t="s">
        <v>192</v>
      </c>
      <c r="E569" s="189" t="s">
        <v>785</v>
      </c>
      <c r="F569" s="190" t="s">
        <v>123</v>
      </c>
      <c r="G569" s="189" t="s">
        <v>134</v>
      </c>
      <c r="H569" s="191">
        <v>67392</v>
      </c>
      <c r="I569" s="189" t="s">
        <v>225</v>
      </c>
      <c r="J569" s="189">
        <v>0</v>
      </c>
      <c r="K569" s="189">
        <v>10601</v>
      </c>
      <c r="L569" s="191">
        <v>3</v>
      </c>
      <c r="M569" s="192">
        <v>46092</v>
      </c>
      <c r="N569" s="193">
        <v>1</v>
      </c>
      <c r="O569" s="194">
        <v>0.5</v>
      </c>
      <c r="P569" s="195"/>
      <c r="Q569" s="196" t="s">
        <v>38</v>
      </c>
      <c r="R569" s="197">
        <v>1</v>
      </c>
      <c r="S569" s="198" t="s">
        <v>33</v>
      </c>
      <c r="T569" s="199"/>
      <c r="U569" s="200"/>
      <c r="V569" s="200"/>
      <c r="W569" s="200"/>
      <c r="X569" s="200"/>
      <c r="Y569" s="200"/>
      <c r="Z569" s="200"/>
      <c r="AA569" s="200"/>
      <c r="AB569" s="200"/>
      <c r="AC569" s="208"/>
      <c r="AD569" s="11" t="str">
        <f t="shared" si="33"/>
        <v>3</v>
      </c>
      <c r="AF569" t="str">
        <f t="shared" si="34"/>
        <v>80.01.ZZ.03</v>
      </c>
      <c r="AH569" t="str">
        <f t="shared" si="35"/>
        <v>00 de 01</v>
      </c>
    </row>
    <row r="570" spans="1:34" ht="34.5" x14ac:dyDescent="0.25">
      <c r="A570" s="139" t="s">
        <v>116</v>
      </c>
      <c r="B570" s="105" t="s">
        <v>122</v>
      </c>
      <c r="C570" s="63">
        <v>558</v>
      </c>
      <c r="D570" s="197" t="s">
        <v>192</v>
      </c>
      <c r="E570" s="189" t="s">
        <v>786</v>
      </c>
      <c r="F570" s="190" t="s">
        <v>123</v>
      </c>
      <c r="G570" s="189" t="s">
        <v>134</v>
      </c>
      <c r="H570" s="191">
        <v>67392</v>
      </c>
      <c r="I570" s="189" t="s">
        <v>225</v>
      </c>
      <c r="J570" s="189">
        <v>0</v>
      </c>
      <c r="K570" s="189">
        <v>10601</v>
      </c>
      <c r="L570" s="191">
        <v>3</v>
      </c>
      <c r="M570" s="192">
        <v>46092</v>
      </c>
      <c r="N570" s="193">
        <v>1</v>
      </c>
      <c r="O570" s="194">
        <v>0.5</v>
      </c>
      <c r="P570" s="195"/>
      <c r="Q570" s="196" t="s">
        <v>38</v>
      </c>
      <c r="R570" s="197">
        <v>1</v>
      </c>
      <c r="S570" s="198" t="s">
        <v>33</v>
      </c>
      <c r="T570" s="199"/>
      <c r="U570" s="200"/>
      <c r="V570" s="200"/>
      <c r="W570" s="200"/>
      <c r="X570" s="200"/>
      <c r="Y570" s="200"/>
      <c r="Z570" s="200"/>
      <c r="AA570" s="200"/>
      <c r="AB570" s="200"/>
      <c r="AC570" s="208"/>
      <c r="AD570" s="11" t="str">
        <f t="shared" si="33"/>
        <v>3</v>
      </c>
      <c r="AF570" t="str">
        <f t="shared" si="34"/>
        <v>80.01.ZZ.03</v>
      </c>
      <c r="AH570" t="str">
        <f t="shared" si="35"/>
        <v>00 de 01</v>
      </c>
    </row>
    <row r="571" spans="1:34" ht="34.5" x14ac:dyDescent="0.25">
      <c r="A571" s="139" t="s">
        <v>116</v>
      </c>
      <c r="B571" s="105" t="s">
        <v>122</v>
      </c>
      <c r="C571" s="63">
        <v>559</v>
      </c>
      <c r="D571" s="197" t="s">
        <v>192</v>
      </c>
      <c r="E571" s="189" t="s">
        <v>787</v>
      </c>
      <c r="F571" s="190" t="s">
        <v>123</v>
      </c>
      <c r="G571" s="189" t="s">
        <v>134</v>
      </c>
      <c r="H571" s="191">
        <v>67392</v>
      </c>
      <c r="I571" s="189" t="s">
        <v>225</v>
      </c>
      <c r="J571" s="189">
        <v>0</v>
      </c>
      <c r="K571" s="189">
        <v>10601</v>
      </c>
      <c r="L571" s="191">
        <v>3</v>
      </c>
      <c r="M571" s="192">
        <v>46092</v>
      </c>
      <c r="N571" s="193">
        <v>1</v>
      </c>
      <c r="O571" s="194">
        <v>0.5</v>
      </c>
      <c r="P571" s="195"/>
      <c r="Q571" s="196" t="s">
        <v>38</v>
      </c>
      <c r="R571" s="197">
        <v>1</v>
      </c>
      <c r="S571" s="198" t="s">
        <v>33</v>
      </c>
      <c r="T571" s="199"/>
      <c r="U571" s="200"/>
      <c r="V571" s="200"/>
      <c r="W571" s="200"/>
      <c r="X571" s="200"/>
      <c r="Y571" s="200"/>
      <c r="Z571" s="200"/>
      <c r="AA571" s="200"/>
      <c r="AB571" s="200"/>
      <c r="AC571" s="208"/>
      <c r="AD571" s="11" t="str">
        <f t="shared" si="33"/>
        <v>3</v>
      </c>
      <c r="AF571" t="str">
        <f t="shared" si="34"/>
        <v>80.01.ZZ.03</v>
      </c>
      <c r="AH571" t="str">
        <f t="shared" si="35"/>
        <v>00 de 01</v>
      </c>
    </row>
    <row r="572" spans="1:34" ht="34.5" x14ac:dyDescent="0.25">
      <c r="A572" s="139" t="s">
        <v>116</v>
      </c>
      <c r="B572" s="105" t="s">
        <v>122</v>
      </c>
      <c r="C572" s="63">
        <v>560</v>
      </c>
      <c r="D572" s="197" t="s">
        <v>192</v>
      </c>
      <c r="E572" s="189" t="s">
        <v>788</v>
      </c>
      <c r="F572" s="190" t="s">
        <v>123</v>
      </c>
      <c r="G572" s="189" t="s">
        <v>134</v>
      </c>
      <c r="H572" s="191">
        <v>67392</v>
      </c>
      <c r="I572" s="189" t="s">
        <v>225</v>
      </c>
      <c r="J572" s="189">
        <v>0</v>
      </c>
      <c r="K572" s="189">
        <v>10601</v>
      </c>
      <c r="L572" s="191">
        <v>3</v>
      </c>
      <c r="M572" s="192">
        <v>46092</v>
      </c>
      <c r="N572" s="193">
        <v>1</v>
      </c>
      <c r="O572" s="194">
        <v>0.5</v>
      </c>
      <c r="P572" s="195"/>
      <c r="Q572" s="196" t="s">
        <v>38</v>
      </c>
      <c r="R572" s="197">
        <v>1</v>
      </c>
      <c r="S572" s="198" t="s">
        <v>33</v>
      </c>
      <c r="T572" s="199"/>
      <c r="U572" s="200"/>
      <c r="V572" s="200"/>
      <c r="W572" s="200"/>
      <c r="X572" s="200"/>
      <c r="Y572" s="200"/>
      <c r="Z572" s="200"/>
      <c r="AA572" s="200"/>
      <c r="AB572" s="200"/>
      <c r="AC572" s="208"/>
      <c r="AD572" s="11" t="str">
        <f t="shared" si="33"/>
        <v>3</v>
      </c>
      <c r="AF572" t="str">
        <f t="shared" si="34"/>
        <v>80.01.ZZ.03</v>
      </c>
      <c r="AH572" t="str">
        <f t="shared" si="35"/>
        <v>00 de 01</v>
      </c>
    </row>
    <row r="573" spans="1:34" ht="34.5" x14ac:dyDescent="0.25">
      <c r="A573" s="139" t="s">
        <v>116</v>
      </c>
      <c r="B573" s="105" t="s">
        <v>122</v>
      </c>
      <c r="C573" s="63">
        <v>561</v>
      </c>
      <c r="D573" s="197" t="s">
        <v>192</v>
      </c>
      <c r="E573" s="189" t="s">
        <v>789</v>
      </c>
      <c r="F573" s="190" t="s">
        <v>123</v>
      </c>
      <c r="G573" s="189" t="s">
        <v>134</v>
      </c>
      <c r="H573" s="191">
        <v>67392</v>
      </c>
      <c r="I573" s="189" t="s">
        <v>225</v>
      </c>
      <c r="J573" s="189">
        <v>0</v>
      </c>
      <c r="K573" s="189">
        <v>10601</v>
      </c>
      <c r="L573" s="191">
        <v>3</v>
      </c>
      <c r="M573" s="192">
        <v>46092</v>
      </c>
      <c r="N573" s="193">
        <v>1</v>
      </c>
      <c r="O573" s="194">
        <v>0.5</v>
      </c>
      <c r="P573" s="195"/>
      <c r="Q573" s="196" t="s">
        <v>38</v>
      </c>
      <c r="R573" s="197">
        <v>1</v>
      </c>
      <c r="S573" s="198" t="s">
        <v>33</v>
      </c>
      <c r="T573" s="199"/>
      <c r="U573" s="200"/>
      <c r="V573" s="200"/>
      <c r="W573" s="200"/>
      <c r="X573" s="200"/>
      <c r="Y573" s="200"/>
      <c r="Z573" s="200"/>
      <c r="AA573" s="200"/>
      <c r="AB573" s="200"/>
      <c r="AC573" s="208"/>
      <c r="AD573" s="11" t="str">
        <f t="shared" si="33"/>
        <v>3</v>
      </c>
      <c r="AF573" t="str">
        <f t="shared" si="34"/>
        <v>80.01.ZZ.03</v>
      </c>
      <c r="AH573" t="str">
        <f t="shared" si="35"/>
        <v>00 de 01</v>
      </c>
    </row>
    <row r="574" spans="1:34" ht="34.5" x14ac:dyDescent="0.25">
      <c r="A574" s="139" t="s">
        <v>116</v>
      </c>
      <c r="B574" s="105" t="s">
        <v>122</v>
      </c>
      <c r="C574" s="63">
        <v>562</v>
      </c>
      <c r="D574" s="197" t="s">
        <v>192</v>
      </c>
      <c r="E574" s="189" t="s">
        <v>790</v>
      </c>
      <c r="F574" s="190" t="s">
        <v>123</v>
      </c>
      <c r="G574" s="189" t="s">
        <v>134</v>
      </c>
      <c r="H574" s="191">
        <v>67392</v>
      </c>
      <c r="I574" s="189" t="s">
        <v>225</v>
      </c>
      <c r="J574" s="189">
        <v>0</v>
      </c>
      <c r="K574" s="189">
        <v>10601</v>
      </c>
      <c r="L574" s="191">
        <v>3</v>
      </c>
      <c r="M574" s="192">
        <v>46092</v>
      </c>
      <c r="N574" s="193">
        <v>1</v>
      </c>
      <c r="O574" s="194">
        <v>0.5</v>
      </c>
      <c r="P574" s="195"/>
      <c r="Q574" s="196" t="s">
        <v>38</v>
      </c>
      <c r="R574" s="197">
        <v>1</v>
      </c>
      <c r="S574" s="198" t="s">
        <v>33</v>
      </c>
      <c r="T574" s="199"/>
      <c r="U574" s="200"/>
      <c r="V574" s="200"/>
      <c r="W574" s="200"/>
      <c r="X574" s="200"/>
      <c r="Y574" s="200"/>
      <c r="Z574" s="200"/>
      <c r="AA574" s="200"/>
      <c r="AB574" s="200"/>
      <c r="AC574" s="208"/>
      <c r="AD574" s="11" t="str">
        <f t="shared" si="33"/>
        <v>3</v>
      </c>
      <c r="AF574" t="str">
        <f t="shared" si="34"/>
        <v>80.01.ZZ.03</v>
      </c>
      <c r="AH574" t="str">
        <f t="shared" si="35"/>
        <v>00 de 01</v>
      </c>
    </row>
    <row r="575" spans="1:34" ht="34.5" x14ac:dyDescent="0.25">
      <c r="A575" s="139" t="s">
        <v>116</v>
      </c>
      <c r="B575" s="105" t="s">
        <v>122</v>
      </c>
      <c r="C575" s="63">
        <v>563</v>
      </c>
      <c r="D575" s="197" t="s">
        <v>192</v>
      </c>
      <c r="E575" s="189" t="s">
        <v>791</v>
      </c>
      <c r="F575" s="190" t="s">
        <v>123</v>
      </c>
      <c r="G575" s="189" t="s">
        <v>134</v>
      </c>
      <c r="H575" s="191">
        <v>67392</v>
      </c>
      <c r="I575" s="189" t="s">
        <v>225</v>
      </c>
      <c r="J575" s="189">
        <v>0</v>
      </c>
      <c r="K575" s="189">
        <v>10601</v>
      </c>
      <c r="L575" s="191">
        <v>3</v>
      </c>
      <c r="M575" s="192">
        <v>46092</v>
      </c>
      <c r="N575" s="193">
        <v>1</v>
      </c>
      <c r="O575" s="194">
        <v>0.5</v>
      </c>
      <c r="P575" s="195"/>
      <c r="Q575" s="196" t="s">
        <v>38</v>
      </c>
      <c r="R575" s="197">
        <v>1</v>
      </c>
      <c r="S575" s="198" t="s">
        <v>33</v>
      </c>
      <c r="T575" s="199"/>
      <c r="U575" s="200"/>
      <c r="V575" s="200"/>
      <c r="W575" s="200"/>
      <c r="X575" s="200"/>
      <c r="Y575" s="200"/>
      <c r="Z575" s="200"/>
      <c r="AA575" s="200"/>
      <c r="AB575" s="200"/>
      <c r="AC575" s="208"/>
      <c r="AD575" s="11" t="str">
        <f t="shared" si="33"/>
        <v>3</v>
      </c>
      <c r="AF575" t="str">
        <f t="shared" si="34"/>
        <v>80.01.ZZ.03</v>
      </c>
      <c r="AH575" t="str">
        <f t="shared" si="35"/>
        <v>00 de 01</v>
      </c>
    </row>
    <row r="576" spans="1:34" ht="34.5" x14ac:dyDescent="0.25">
      <c r="A576" s="139" t="s">
        <v>116</v>
      </c>
      <c r="B576" s="105" t="s">
        <v>122</v>
      </c>
      <c r="C576" s="63">
        <v>564</v>
      </c>
      <c r="D576" s="197" t="s">
        <v>192</v>
      </c>
      <c r="E576" s="189" t="s">
        <v>792</v>
      </c>
      <c r="F576" s="190" t="s">
        <v>123</v>
      </c>
      <c r="G576" s="189" t="s">
        <v>134</v>
      </c>
      <c r="H576" s="191">
        <v>67392</v>
      </c>
      <c r="I576" s="189" t="s">
        <v>225</v>
      </c>
      <c r="J576" s="189">
        <v>0</v>
      </c>
      <c r="K576" s="189">
        <v>10601</v>
      </c>
      <c r="L576" s="191">
        <v>3</v>
      </c>
      <c r="M576" s="192">
        <v>46092</v>
      </c>
      <c r="N576" s="193">
        <v>1</v>
      </c>
      <c r="O576" s="194">
        <v>0.5</v>
      </c>
      <c r="P576" s="195"/>
      <c r="Q576" s="196" t="s">
        <v>38</v>
      </c>
      <c r="R576" s="197">
        <v>1</v>
      </c>
      <c r="S576" s="198" t="s">
        <v>33</v>
      </c>
      <c r="T576" s="199"/>
      <c r="U576" s="200"/>
      <c r="V576" s="200"/>
      <c r="W576" s="200"/>
      <c r="X576" s="200"/>
      <c r="Y576" s="200"/>
      <c r="Z576" s="200"/>
      <c r="AA576" s="200"/>
      <c r="AB576" s="200"/>
      <c r="AC576" s="208"/>
      <c r="AD576" s="11" t="str">
        <f t="shared" ref="AD576:AD639" si="36">RIGHT(L576,2)</f>
        <v>3</v>
      </c>
      <c r="AF576" t="str">
        <f t="shared" ref="AF576:AF639" si="37">CONCATENATE("80.01.ZZ.0",L576)</f>
        <v>80.01.ZZ.03</v>
      </c>
      <c r="AH576" t="str">
        <f t="shared" ref="AH576:AH639" si="38">CONCATENATE("00 de 0",R576)</f>
        <v>00 de 01</v>
      </c>
    </row>
    <row r="577" spans="1:34" ht="34.5" x14ac:dyDescent="0.25">
      <c r="A577" s="139" t="s">
        <v>116</v>
      </c>
      <c r="B577" s="105" t="s">
        <v>122</v>
      </c>
      <c r="C577" s="63">
        <v>565</v>
      </c>
      <c r="D577" s="197" t="s">
        <v>192</v>
      </c>
      <c r="E577" s="189" t="s">
        <v>793</v>
      </c>
      <c r="F577" s="190" t="s">
        <v>123</v>
      </c>
      <c r="G577" s="189" t="s">
        <v>134</v>
      </c>
      <c r="H577" s="191">
        <v>67392</v>
      </c>
      <c r="I577" s="189" t="s">
        <v>225</v>
      </c>
      <c r="J577" s="189">
        <v>0</v>
      </c>
      <c r="K577" s="189">
        <v>10601</v>
      </c>
      <c r="L577" s="191">
        <v>3</v>
      </c>
      <c r="M577" s="192">
        <v>46092</v>
      </c>
      <c r="N577" s="193">
        <v>1</v>
      </c>
      <c r="O577" s="194">
        <v>0.5</v>
      </c>
      <c r="P577" s="195"/>
      <c r="Q577" s="196" t="s">
        <v>38</v>
      </c>
      <c r="R577" s="197">
        <v>1</v>
      </c>
      <c r="S577" s="198" t="s">
        <v>33</v>
      </c>
      <c r="T577" s="199"/>
      <c r="U577" s="200"/>
      <c r="V577" s="200"/>
      <c r="W577" s="200"/>
      <c r="X577" s="200"/>
      <c r="Y577" s="200"/>
      <c r="Z577" s="200"/>
      <c r="AA577" s="200"/>
      <c r="AB577" s="200"/>
      <c r="AC577" s="208"/>
      <c r="AD577" s="11" t="str">
        <f t="shared" si="36"/>
        <v>3</v>
      </c>
      <c r="AF577" t="str">
        <f t="shared" si="37"/>
        <v>80.01.ZZ.03</v>
      </c>
      <c r="AH577" t="str">
        <f t="shared" si="38"/>
        <v>00 de 01</v>
      </c>
    </row>
    <row r="578" spans="1:34" ht="34.5" x14ac:dyDescent="0.25">
      <c r="A578" s="139" t="s">
        <v>116</v>
      </c>
      <c r="B578" s="105" t="s">
        <v>122</v>
      </c>
      <c r="C578" s="63">
        <v>566</v>
      </c>
      <c r="D578" s="197" t="s">
        <v>192</v>
      </c>
      <c r="E578" s="189" t="s">
        <v>794</v>
      </c>
      <c r="F578" s="190" t="s">
        <v>123</v>
      </c>
      <c r="G578" s="189" t="s">
        <v>134</v>
      </c>
      <c r="H578" s="191">
        <v>67392</v>
      </c>
      <c r="I578" s="189" t="s">
        <v>225</v>
      </c>
      <c r="J578" s="189">
        <v>0</v>
      </c>
      <c r="K578" s="189">
        <v>10601</v>
      </c>
      <c r="L578" s="191">
        <v>3</v>
      </c>
      <c r="M578" s="192">
        <v>46092</v>
      </c>
      <c r="N578" s="193">
        <v>1</v>
      </c>
      <c r="O578" s="194">
        <v>0.5</v>
      </c>
      <c r="P578" s="195"/>
      <c r="Q578" s="196" t="s">
        <v>38</v>
      </c>
      <c r="R578" s="197">
        <v>1</v>
      </c>
      <c r="S578" s="198" t="s">
        <v>33</v>
      </c>
      <c r="T578" s="199"/>
      <c r="U578" s="200"/>
      <c r="V578" s="200"/>
      <c r="W578" s="200"/>
      <c r="X578" s="200"/>
      <c r="Y578" s="200"/>
      <c r="Z578" s="200"/>
      <c r="AA578" s="200"/>
      <c r="AB578" s="200"/>
      <c r="AC578" s="208"/>
      <c r="AD578" s="11" t="str">
        <f t="shared" si="36"/>
        <v>3</v>
      </c>
      <c r="AF578" t="str">
        <f t="shared" si="37"/>
        <v>80.01.ZZ.03</v>
      </c>
      <c r="AH578" t="str">
        <f t="shared" si="38"/>
        <v>00 de 01</v>
      </c>
    </row>
    <row r="579" spans="1:34" ht="34.5" x14ac:dyDescent="0.25">
      <c r="A579" s="139" t="s">
        <v>116</v>
      </c>
      <c r="B579" s="105" t="s">
        <v>122</v>
      </c>
      <c r="C579" s="63">
        <v>567</v>
      </c>
      <c r="D579" s="197" t="s">
        <v>192</v>
      </c>
      <c r="E579" s="189" t="s">
        <v>795</v>
      </c>
      <c r="F579" s="190" t="s">
        <v>123</v>
      </c>
      <c r="G579" s="189" t="s">
        <v>134</v>
      </c>
      <c r="H579" s="191">
        <v>67392</v>
      </c>
      <c r="I579" s="189" t="s">
        <v>225</v>
      </c>
      <c r="J579" s="189">
        <v>0</v>
      </c>
      <c r="K579" s="189">
        <v>10601</v>
      </c>
      <c r="L579" s="191">
        <v>3</v>
      </c>
      <c r="M579" s="192">
        <v>46092</v>
      </c>
      <c r="N579" s="193">
        <v>1</v>
      </c>
      <c r="O579" s="194">
        <v>0.5</v>
      </c>
      <c r="P579" s="195"/>
      <c r="Q579" s="196" t="s">
        <v>38</v>
      </c>
      <c r="R579" s="197">
        <v>1</v>
      </c>
      <c r="S579" s="198" t="s">
        <v>33</v>
      </c>
      <c r="T579" s="199"/>
      <c r="U579" s="200"/>
      <c r="V579" s="200"/>
      <c r="W579" s="200"/>
      <c r="X579" s="200"/>
      <c r="Y579" s="200"/>
      <c r="Z579" s="200"/>
      <c r="AA579" s="200"/>
      <c r="AB579" s="200"/>
      <c r="AC579" s="208"/>
      <c r="AD579" s="11" t="str">
        <f t="shared" si="36"/>
        <v>3</v>
      </c>
      <c r="AF579" t="str">
        <f t="shared" si="37"/>
        <v>80.01.ZZ.03</v>
      </c>
      <c r="AH579" t="str">
        <f t="shared" si="38"/>
        <v>00 de 01</v>
      </c>
    </row>
    <row r="580" spans="1:34" ht="34.5" x14ac:dyDescent="0.25">
      <c r="A580" s="139" t="s">
        <v>116</v>
      </c>
      <c r="B580" s="105" t="s">
        <v>122</v>
      </c>
      <c r="C580" s="63">
        <v>568</v>
      </c>
      <c r="D580" s="197" t="s">
        <v>192</v>
      </c>
      <c r="E580" s="189" t="s">
        <v>796</v>
      </c>
      <c r="F580" s="190" t="s">
        <v>123</v>
      </c>
      <c r="G580" s="189" t="s">
        <v>134</v>
      </c>
      <c r="H580" s="191">
        <v>67392</v>
      </c>
      <c r="I580" s="189" t="s">
        <v>225</v>
      </c>
      <c r="J580" s="189">
        <v>0</v>
      </c>
      <c r="K580" s="189">
        <v>10601</v>
      </c>
      <c r="L580" s="191">
        <v>3</v>
      </c>
      <c r="M580" s="192">
        <v>46092</v>
      </c>
      <c r="N580" s="193">
        <v>1</v>
      </c>
      <c r="O580" s="194">
        <v>0.5</v>
      </c>
      <c r="P580" s="195"/>
      <c r="Q580" s="196" t="s">
        <v>38</v>
      </c>
      <c r="R580" s="197">
        <v>1</v>
      </c>
      <c r="S580" s="198" t="s">
        <v>33</v>
      </c>
      <c r="T580" s="199"/>
      <c r="U580" s="200"/>
      <c r="V580" s="200"/>
      <c r="W580" s="200"/>
      <c r="X580" s="200"/>
      <c r="Y580" s="200"/>
      <c r="Z580" s="200"/>
      <c r="AA580" s="200"/>
      <c r="AB580" s="200"/>
      <c r="AC580" s="208"/>
      <c r="AD580" s="11" t="str">
        <f t="shared" si="36"/>
        <v>3</v>
      </c>
      <c r="AF580" t="str">
        <f t="shared" si="37"/>
        <v>80.01.ZZ.03</v>
      </c>
      <c r="AH580" t="str">
        <f t="shared" si="38"/>
        <v>00 de 01</v>
      </c>
    </row>
    <row r="581" spans="1:34" ht="34.5" x14ac:dyDescent="0.25">
      <c r="A581" s="139" t="s">
        <v>116</v>
      </c>
      <c r="B581" s="105" t="s">
        <v>122</v>
      </c>
      <c r="C581" s="63">
        <v>569</v>
      </c>
      <c r="D581" s="197" t="s">
        <v>192</v>
      </c>
      <c r="E581" s="189" t="s">
        <v>797</v>
      </c>
      <c r="F581" s="190" t="s">
        <v>123</v>
      </c>
      <c r="G581" s="189" t="s">
        <v>134</v>
      </c>
      <c r="H581" s="191">
        <v>67392</v>
      </c>
      <c r="I581" s="189" t="s">
        <v>225</v>
      </c>
      <c r="J581" s="189">
        <v>0</v>
      </c>
      <c r="K581" s="189">
        <v>10601</v>
      </c>
      <c r="L581" s="191">
        <v>3</v>
      </c>
      <c r="M581" s="192">
        <v>46092</v>
      </c>
      <c r="N581" s="193">
        <v>1</v>
      </c>
      <c r="O581" s="194">
        <v>0.5</v>
      </c>
      <c r="P581" s="195"/>
      <c r="Q581" s="196" t="s">
        <v>38</v>
      </c>
      <c r="R581" s="197">
        <v>1</v>
      </c>
      <c r="S581" s="198" t="s">
        <v>33</v>
      </c>
      <c r="T581" s="199"/>
      <c r="U581" s="200"/>
      <c r="V581" s="200"/>
      <c r="W581" s="200"/>
      <c r="X581" s="200"/>
      <c r="Y581" s="200"/>
      <c r="Z581" s="200"/>
      <c r="AA581" s="200"/>
      <c r="AB581" s="200"/>
      <c r="AC581" s="208"/>
      <c r="AD581" s="11" t="str">
        <f t="shared" si="36"/>
        <v>3</v>
      </c>
      <c r="AF581" t="str">
        <f t="shared" si="37"/>
        <v>80.01.ZZ.03</v>
      </c>
      <c r="AH581" t="str">
        <f t="shared" si="38"/>
        <v>00 de 01</v>
      </c>
    </row>
    <row r="582" spans="1:34" ht="34.5" x14ac:dyDescent="0.25">
      <c r="A582" s="139" t="s">
        <v>116</v>
      </c>
      <c r="B582" s="105" t="s">
        <v>122</v>
      </c>
      <c r="C582" s="63">
        <v>570</v>
      </c>
      <c r="D582" s="197" t="s">
        <v>192</v>
      </c>
      <c r="E582" s="189" t="s">
        <v>798</v>
      </c>
      <c r="F582" s="190" t="s">
        <v>123</v>
      </c>
      <c r="G582" s="189" t="s">
        <v>134</v>
      </c>
      <c r="H582" s="191">
        <v>67392</v>
      </c>
      <c r="I582" s="189" t="s">
        <v>225</v>
      </c>
      <c r="J582" s="189">
        <v>0</v>
      </c>
      <c r="K582" s="189">
        <v>10601</v>
      </c>
      <c r="L582" s="191">
        <v>3</v>
      </c>
      <c r="M582" s="192">
        <v>46092</v>
      </c>
      <c r="N582" s="193">
        <v>1</v>
      </c>
      <c r="O582" s="194">
        <v>0.5</v>
      </c>
      <c r="P582" s="195"/>
      <c r="Q582" s="196" t="s">
        <v>38</v>
      </c>
      <c r="R582" s="197">
        <v>1</v>
      </c>
      <c r="S582" s="198" t="s">
        <v>33</v>
      </c>
      <c r="T582" s="199"/>
      <c r="U582" s="200"/>
      <c r="V582" s="200"/>
      <c r="W582" s="200"/>
      <c r="X582" s="200"/>
      <c r="Y582" s="200"/>
      <c r="Z582" s="200"/>
      <c r="AA582" s="200"/>
      <c r="AB582" s="200"/>
      <c r="AC582" s="208"/>
      <c r="AD582" s="11" t="str">
        <f t="shared" si="36"/>
        <v>3</v>
      </c>
      <c r="AF582" t="str">
        <f t="shared" si="37"/>
        <v>80.01.ZZ.03</v>
      </c>
      <c r="AH582" t="str">
        <f t="shared" si="38"/>
        <v>00 de 01</v>
      </c>
    </row>
    <row r="583" spans="1:34" ht="34.5" x14ac:dyDescent="0.25">
      <c r="A583" s="139" t="s">
        <v>116</v>
      </c>
      <c r="B583" s="105" t="s">
        <v>122</v>
      </c>
      <c r="C583" s="63">
        <v>571</v>
      </c>
      <c r="D583" s="197" t="s">
        <v>192</v>
      </c>
      <c r="E583" s="189" t="s">
        <v>799</v>
      </c>
      <c r="F583" s="190" t="s">
        <v>123</v>
      </c>
      <c r="G583" s="189" t="s">
        <v>134</v>
      </c>
      <c r="H583" s="191">
        <v>67392</v>
      </c>
      <c r="I583" s="189" t="s">
        <v>225</v>
      </c>
      <c r="J583" s="189">
        <v>0</v>
      </c>
      <c r="K583" s="189">
        <v>10601</v>
      </c>
      <c r="L583" s="191">
        <v>3</v>
      </c>
      <c r="M583" s="192">
        <v>46092</v>
      </c>
      <c r="N583" s="193">
        <v>1</v>
      </c>
      <c r="O583" s="194">
        <v>0.5</v>
      </c>
      <c r="P583" s="195"/>
      <c r="Q583" s="196" t="s">
        <v>38</v>
      </c>
      <c r="R583" s="197">
        <v>1</v>
      </c>
      <c r="S583" s="198" t="s">
        <v>33</v>
      </c>
      <c r="T583" s="199"/>
      <c r="U583" s="200"/>
      <c r="V583" s="200"/>
      <c r="W583" s="200"/>
      <c r="X583" s="200"/>
      <c r="Y583" s="200"/>
      <c r="Z583" s="200"/>
      <c r="AA583" s="200"/>
      <c r="AB583" s="200"/>
      <c r="AC583" s="208"/>
      <c r="AD583" s="11" t="str">
        <f t="shared" si="36"/>
        <v>3</v>
      </c>
      <c r="AF583" t="str">
        <f t="shared" si="37"/>
        <v>80.01.ZZ.03</v>
      </c>
      <c r="AH583" t="str">
        <f t="shared" si="38"/>
        <v>00 de 01</v>
      </c>
    </row>
    <row r="584" spans="1:34" ht="34.5" x14ac:dyDescent="0.25">
      <c r="A584" s="139" t="s">
        <v>116</v>
      </c>
      <c r="B584" s="105" t="s">
        <v>122</v>
      </c>
      <c r="C584" s="63">
        <v>572</v>
      </c>
      <c r="D584" s="197" t="s">
        <v>192</v>
      </c>
      <c r="E584" s="189" t="s">
        <v>800</v>
      </c>
      <c r="F584" s="190" t="s">
        <v>123</v>
      </c>
      <c r="G584" s="189" t="s">
        <v>134</v>
      </c>
      <c r="H584" s="191">
        <v>67392</v>
      </c>
      <c r="I584" s="189" t="s">
        <v>225</v>
      </c>
      <c r="J584" s="189">
        <v>0</v>
      </c>
      <c r="K584" s="189">
        <v>10601</v>
      </c>
      <c r="L584" s="191">
        <v>3</v>
      </c>
      <c r="M584" s="192">
        <v>46092</v>
      </c>
      <c r="N584" s="193">
        <v>1</v>
      </c>
      <c r="O584" s="194">
        <v>0.5</v>
      </c>
      <c r="P584" s="195"/>
      <c r="Q584" s="196" t="s">
        <v>38</v>
      </c>
      <c r="R584" s="197">
        <v>1</v>
      </c>
      <c r="S584" s="198" t="s">
        <v>33</v>
      </c>
      <c r="T584" s="199"/>
      <c r="U584" s="200"/>
      <c r="V584" s="200"/>
      <c r="W584" s="200"/>
      <c r="X584" s="200"/>
      <c r="Y584" s="200"/>
      <c r="Z584" s="200"/>
      <c r="AA584" s="200"/>
      <c r="AB584" s="200"/>
      <c r="AC584" s="208"/>
      <c r="AD584" s="11" t="str">
        <f t="shared" si="36"/>
        <v>3</v>
      </c>
      <c r="AF584" t="str">
        <f t="shared" si="37"/>
        <v>80.01.ZZ.03</v>
      </c>
      <c r="AH584" t="str">
        <f t="shared" si="38"/>
        <v>00 de 01</v>
      </c>
    </row>
    <row r="585" spans="1:34" ht="34.5" x14ac:dyDescent="0.25">
      <c r="A585" s="139" t="s">
        <v>116</v>
      </c>
      <c r="B585" s="105" t="s">
        <v>122</v>
      </c>
      <c r="C585" s="63">
        <v>573</v>
      </c>
      <c r="D585" s="197" t="s">
        <v>192</v>
      </c>
      <c r="E585" s="189" t="s">
        <v>801</v>
      </c>
      <c r="F585" s="190" t="s">
        <v>123</v>
      </c>
      <c r="G585" s="189" t="s">
        <v>134</v>
      </c>
      <c r="H585" s="191">
        <v>67392</v>
      </c>
      <c r="I585" s="189" t="s">
        <v>225</v>
      </c>
      <c r="J585" s="189">
        <v>0</v>
      </c>
      <c r="K585" s="189">
        <v>10601</v>
      </c>
      <c r="L585" s="191">
        <v>3</v>
      </c>
      <c r="M585" s="192">
        <v>46092</v>
      </c>
      <c r="N585" s="193">
        <v>1</v>
      </c>
      <c r="O585" s="194">
        <v>0.5</v>
      </c>
      <c r="P585" s="195"/>
      <c r="Q585" s="196" t="s">
        <v>38</v>
      </c>
      <c r="R585" s="197">
        <v>1</v>
      </c>
      <c r="S585" s="198" t="s">
        <v>33</v>
      </c>
      <c r="T585" s="199"/>
      <c r="U585" s="200"/>
      <c r="V585" s="200"/>
      <c r="W585" s="200"/>
      <c r="X585" s="200"/>
      <c r="Y585" s="200"/>
      <c r="Z585" s="200"/>
      <c r="AA585" s="200"/>
      <c r="AB585" s="200"/>
      <c r="AC585" s="208"/>
      <c r="AD585" s="11" t="str">
        <f t="shared" si="36"/>
        <v>3</v>
      </c>
      <c r="AF585" t="str">
        <f t="shared" si="37"/>
        <v>80.01.ZZ.03</v>
      </c>
      <c r="AH585" t="str">
        <f t="shared" si="38"/>
        <v>00 de 01</v>
      </c>
    </row>
    <row r="586" spans="1:34" ht="34.5" x14ac:dyDescent="0.25">
      <c r="A586" s="139" t="s">
        <v>116</v>
      </c>
      <c r="B586" s="105" t="s">
        <v>122</v>
      </c>
      <c r="C586" s="63">
        <v>574</v>
      </c>
      <c r="D586" s="197" t="s">
        <v>192</v>
      </c>
      <c r="E586" s="189" t="s">
        <v>802</v>
      </c>
      <c r="F586" s="190" t="s">
        <v>123</v>
      </c>
      <c r="G586" s="189" t="s">
        <v>134</v>
      </c>
      <c r="H586" s="191">
        <v>67392</v>
      </c>
      <c r="I586" s="189" t="s">
        <v>225</v>
      </c>
      <c r="J586" s="189">
        <v>0</v>
      </c>
      <c r="K586" s="189">
        <v>10601</v>
      </c>
      <c r="L586" s="191">
        <v>3</v>
      </c>
      <c r="M586" s="192">
        <v>46092</v>
      </c>
      <c r="N586" s="193">
        <v>1</v>
      </c>
      <c r="O586" s="194">
        <v>0.5</v>
      </c>
      <c r="P586" s="195"/>
      <c r="Q586" s="196" t="s">
        <v>38</v>
      </c>
      <c r="R586" s="197">
        <v>1</v>
      </c>
      <c r="S586" s="198" t="s">
        <v>33</v>
      </c>
      <c r="T586" s="199"/>
      <c r="U586" s="200"/>
      <c r="V586" s="200"/>
      <c r="W586" s="200"/>
      <c r="X586" s="200"/>
      <c r="Y586" s="200"/>
      <c r="Z586" s="200"/>
      <c r="AA586" s="200"/>
      <c r="AB586" s="200"/>
      <c r="AC586" s="208"/>
      <c r="AD586" s="11" t="str">
        <f t="shared" si="36"/>
        <v>3</v>
      </c>
      <c r="AF586" t="str">
        <f t="shared" si="37"/>
        <v>80.01.ZZ.03</v>
      </c>
      <c r="AH586" t="str">
        <f t="shared" si="38"/>
        <v>00 de 01</v>
      </c>
    </row>
    <row r="587" spans="1:34" ht="34.5" x14ac:dyDescent="0.25">
      <c r="A587" s="139" t="s">
        <v>116</v>
      </c>
      <c r="B587" s="105" t="s">
        <v>122</v>
      </c>
      <c r="C587" s="63">
        <v>575</v>
      </c>
      <c r="D587" s="197" t="s">
        <v>192</v>
      </c>
      <c r="E587" s="189" t="s">
        <v>803</v>
      </c>
      <c r="F587" s="190" t="s">
        <v>123</v>
      </c>
      <c r="G587" s="189" t="s">
        <v>134</v>
      </c>
      <c r="H587" s="191">
        <v>67392</v>
      </c>
      <c r="I587" s="189" t="s">
        <v>225</v>
      </c>
      <c r="J587" s="189">
        <v>0</v>
      </c>
      <c r="K587" s="189">
        <v>10601</v>
      </c>
      <c r="L587" s="191">
        <v>3</v>
      </c>
      <c r="M587" s="192">
        <v>46092</v>
      </c>
      <c r="N587" s="193">
        <v>1</v>
      </c>
      <c r="O587" s="194">
        <v>0.5</v>
      </c>
      <c r="P587" s="195"/>
      <c r="Q587" s="196" t="s">
        <v>38</v>
      </c>
      <c r="R587" s="197">
        <v>1</v>
      </c>
      <c r="S587" s="198" t="s">
        <v>33</v>
      </c>
      <c r="T587" s="199"/>
      <c r="U587" s="200"/>
      <c r="V587" s="200"/>
      <c r="W587" s="200"/>
      <c r="X587" s="200"/>
      <c r="Y587" s="200"/>
      <c r="Z587" s="200"/>
      <c r="AA587" s="200"/>
      <c r="AB587" s="200"/>
      <c r="AC587" s="208"/>
      <c r="AD587" s="11" t="str">
        <f t="shared" si="36"/>
        <v>3</v>
      </c>
      <c r="AF587" t="str">
        <f t="shared" si="37"/>
        <v>80.01.ZZ.03</v>
      </c>
      <c r="AH587" t="str">
        <f t="shared" si="38"/>
        <v>00 de 01</v>
      </c>
    </row>
    <row r="588" spans="1:34" ht="34.5" x14ac:dyDescent="0.25">
      <c r="A588" s="139" t="s">
        <v>116</v>
      </c>
      <c r="B588" s="105" t="s">
        <v>122</v>
      </c>
      <c r="C588" s="63">
        <v>576</v>
      </c>
      <c r="D588" s="197" t="s">
        <v>192</v>
      </c>
      <c r="E588" s="189" t="s">
        <v>804</v>
      </c>
      <c r="F588" s="190" t="s">
        <v>123</v>
      </c>
      <c r="G588" s="189" t="s">
        <v>134</v>
      </c>
      <c r="H588" s="191">
        <v>67392</v>
      </c>
      <c r="I588" s="189" t="s">
        <v>225</v>
      </c>
      <c r="J588" s="189">
        <v>0</v>
      </c>
      <c r="K588" s="189">
        <v>10601</v>
      </c>
      <c r="L588" s="191">
        <v>3</v>
      </c>
      <c r="M588" s="192">
        <v>46092</v>
      </c>
      <c r="N588" s="193">
        <v>1</v>
      </c>
      <c r="O588" s="194">
        <v>0.5</v>
      </c>
      <c r="P588" s="195"/>
      <c r="Q588" s="196" t="s">
        <v>38</v>
      </c>
      <c r="R588" s="197">
        <v>1</v>
      </c>
      <c r="S588" s="198" t="s">
        <v>33</v>
      </c>
      <c r="T588" s="199"/>
      <c r="U588" s="200"/>
      <c r="V588" s="200"/>
      <c r="W588" s="200"/>
      <c r="X588" s="200"/>
      <c r="Y588" s="200"/>
      <c r="Z588" s="200"/>
      <c r="AA588" s="200"/>
      <c r="AB588" s="200"/>
      <c r="AC588" s="208"/>
      <c r="AD588" s="11" t="str">
        <f t="shared" si="36"/>
        <v>3</v>
      </c>
      <c r="AF588" t="str">
        <f t="shared" si="37"/>
        <v>80.01.ZZ.03</v>
      </c>
      <c r="AH588" t="str">
        <f t="shared" si="38"/>
        <v>00 de 01</v>
      </c>
    </row>
    <row r="589" spans="1:34" ht="34.5" x14ac:dyDescent="0.25">
      <c r="A589" s="139" t="s">
        <v>116</v>
      </c>
      <c r="B589" s="105" t="s">
        <v>122</v>
      </c>
      <c r="C589" s="63">
        <v>577</v>
      </c>
      <c r="D589" s="197" t="s">
        <v>192</v>
      </c>
      <c r="E589" s="189" t="s">
        <v>255</v>
      </c>
      <c r="F589" s="190" t="s">
        <v>123</v>
      </c>
      <c r="G589" s="189" t="s">
        <v>134</v>
      </c>
      <c r="H589" s="191">
        <v>67392</v>
      </c>
      <c r="I589" s="189" t="s">
        <v>225</v>
      </c>
      <c r="J589" s="189">
        <v>0</v>
      </c>
      <c r="K589" s="189">
        <v>11001</v>
      </c>
      <c r="L589" s="191">
        <v>3</v>
      </c>
      <c r="M589" s="192">
        <v>46092</v>
      </c>
      <c r="N589" s="193">
        <v>1</v>
      </c>
      <c r="O589" s="194">
        <v>0.5</v>
      </c>
      <c r="P589" s="195"/>
      <c r="Q589" s="196" t="s">
        <v>38</v>
      </c>
      <c r="R589" s="197">
        <v>1</v>
      </c>
      <c r="S589" s="198" t="s">
        <v>33</v>
      </c>
      <c r="T589" s="199"/>
      <c r="U589" s="200"/>
      <c r="V589" s="200"/>
      <c r="W589" s="200"/>
      <c r="X589" s="200"/>
      <c r="Y589" s="200"/>
      <c r="Z589" s="200"/>
      <c r="AA589" s="200"/>
      <c r="AB589" s="200"/>
      <c r="AC589" s="208"/>
      <c r="AD589" s="11" t="str">
        <f t="shared" si="36"/>
        <v>3</v>
      </c>
      <c r="AF589" t="str">
        <f t="shared" si="37"/>
        <v>80.01.ZZ.03</v>
      </c>
      <c r="AH589" t="str">
        <f t="shared" si="38"/>
        <v>00 de 01</v>
      </c>
    </row>
    <row r="590" spans="1:34" ht="34.5" x14ac:dyDescent="0.25">
      <c r="A590" s="139" t="s">
        <v>116</v>
      </c>
      <c r="B590" s="105" t="s">
        <v>122</v>
      </c>
      <c r="C590" s="63">
        <v>578</v>
      </c>
      <c r="D590" s="197" t="s">
        <v>192</v>
      </c>
      <c r="E590" s="189" t="s">
        <v>805</v>
      </c>
      <c r="F590" s="190" t="s">
        <v>123</v>
      </c>
      <c r="G590" s="189" t="s">
        <v>134</v>
      </c>
      <c r="H590" s="191">
        <v>67392</v>
      </c>
      <c r="I590" s="189" t="s">
        <v>225</v>
      </c>
      <c r="J590" s="189">
        <v>0</v>
      </c>
      <c r="K590" s="189">
        <v>11001</v>
      </c>
      <c r="L590" s="191">
        <v>3</v>
      </c>
      <c r="M590" s="192">
        <v>46092</v>
      </c>
      <c r="N590" s="193">
        <v>1</v>
      </c>
      <c r="O590" s="194">
        <v>0.5</v>
      </c>
      <c r="P590" s="195"/>
      <c r="Q590" s="196" t="s">
        <v>38</v>
      </c>
      <c r="R590" s="197">
        <v>1</v>
      </c>
      <c r="S590" s="198" t="s">
        <v>33</v>
      </c>
      <c r="T590" s="199"/>
      <c r="U590" s="200"/>
      <c r="V590" s="200"/>
      <c r="W590" s="200"/>
      <c r="X590" s="200"/>
      <c r="Y590" s="200"/>
      <c r="Z590" s="200"/>
      <c r="AA590" s="200"/>
      <c r="AB590" s="200"/>
      <c r="AC590" s="208"/>
      <c r="AD590" s="11" t="str">
        <f t="shared" si="36"/>
        <v>3</v>
      </c>
      <c r="AF590" t="str">
        <f t="shared" si="37"/>
        <v>80.01.ZZ.03</v>
      </c>
      <c r="AH590" t="str">
        <f t="shared" si="38"/>
        <v>00 de 01</v>
      </c>
    </row>
    <row r="591" spans="1:34" ht="34.5" x14ac:dyDescent="0.25">
      <c r="A591" s="139" t="s">
        <v>116</v>
      </c>
      <c r="B591" s="105" t="s">
        <v>122</v>
      </c>
      <c r="C591" s="63">
        <v>579</v>
      </c>
      <c r="D591" s="197" t="s">
        <v>192</v>
      </c>
      <c r="E591" s="189" t="s">
        <v>806</v>
      </c>
      <c r="F591" s="190" t="s">
        <v>123</v>
      </c>
      <c r="G591" s="189" t="s">
        <v>134</v>
      </c>
      <c r="H591" s="191">
        <v>67392</v>
      </c>
      <c r="I591" s="189" t="s">
        <v>225</v>
      </c>
      <c r="J591" s="189">
        <v>0</v>
      </c>
      <c r="K591" s="189">
        <v>11001</v>
      </c>
      <c r="L591" s="191">
        <v>3</v>
      </c>
      <c r="M591" s="192">
        <v>46092</v>
      </c>
      <c r="N591" s="193">
        <v>1</v>
      </c>
      <c r="O591" s="194">
        <v>0.5</v>
      </c>
      <c r="P591" s="195"/>
      <c r="Q591" s="196" t="s">
        <v>38</v>
      </c>
      <c r="R591" s="197">
        <v>1</v>
      </c>
      <c r="S591" s="198" t="s">
        <v>33</v>
      </c>
      <c r="T591" s="199"/>
      <c r="U591" s="200"/>
      <c r="V591" s="200"/>
      <c r="W591" s="200"/>
      <c r="X591" s="200"/>
      <c r="Y591" s="200"/>
      <c r="Z591" s="200"/>
      <c r="AA591" s="200"/>
      <c r="AB591" s="200"/>
      <c r="AC591" s="208"/>
      <c r="AD591" s="11" t="str">
        <f t="shared" si="36"/>
        <v>3</v>
      </c>
      <c r="AF591" t="str">
        <f t="shared" si="37"/>
        <v>80.01.ZZ.03</v>
      </c>
      <c r="AH591" t="str">
        <f t="shared" si="38"/>
        <v>00 de 01</v>
      </c>
    </row>
    <row r="592" spans="1:34" ht="34.5" x14ac:dyDescent="0.25">
      <c r="A592" s="139" t="s">
        <v>116</v>
      </c>
      <c r="B592" s="105" t="s">
        <v>122</v>
      </c>
      <c r="C592" s="63">
        <v>580</v>
      </c>
      <c r="D592" s="197" t="s">
        <v>192</v>
      </c>
      <c r="E592" s="189" t="s">
        <v>807</v>
      </c>
      <c r="F592" s="190" t="s">
        <v>123</v>
      </c>
      <c r="G592" s="189" t="s">
        <v>134</v>
      </c>
      <c r="H592" s="191">
        <v>67392</v>
      </c>
      <c r="I592" s="189" t="s">
        <v>225</v>
      </c>
      <c r="J592" s="189">
        <v>0</v>
      </c>
      <c r="K592" s="189">
        <v>11001</v>
      </c>
      <c r="L592" s="191">
        <v>3</v>
      </c>
      <c r="M592" s="192">
        <v>46092</v>
      </c>
      <c r="N592" s="193">
        <v>1</v>
      </c>
      <c r="O592" s="194">
        <v>0.5</v>
      </c>
      <c r="P592" s="195"/>
      <c r="Q592" s="196" t="s">
        <v>38</v>
      </c>
      <c r="R592" s="197">
        <v>1</v>
      </c>
      <c r="S592" s="198" t="s">
        <v>33</v>
      </c>
      <c r="T592" s="199"/>
      <c r="U592" s="200"/>
      <c r="V592" s="200"/>
      <c r="W592" s="200"/>
      <c r="X592" s="200"/>
      <c r="Y592" s="200"/>
      <c r="Z592" s="200"/>
      <c r="AA592" s="200"/>
      <c r="AB592" s="200"/>
      <c r="AC592" s="208"/>
      <c r="AD592" s="11" t="str">
        <f t="shared" si="36"/>
        <v>3</v>
      </c>
      <c r="AF592" t="str">
        <f t="shared" si="37"/>
        <v>80.01.ZZ.03</v>
      </c>
      <c r="AH592" t="str">
        <f t="shared" si="38"/>
        <v>00 de 01</v>
      </c>
    </row>
    <row r="593" spans="1:34" ht="34.5" x14ac:dyDescent="0.25">
      <c r="A593" s="139" t="s">
        <v>116</v>
      </c>
      <c r="B593" s="105" t="s">
        <v>122</v>
      </c>
      <c r="C593" s="63">
        <v>581</v>
      </c>
      <c r="D593" s="197" t="s">
        <v>192</v>
      </c>
      <c r="E593" s="189" t="s">
        <v>808</v>
      </c>
      <c r="F593" s="190" t="s">
        <v>123</v>
      </c>
      <c r="G593" s="189" t="s">
        <v>134</v>
      </c>
      <c r="H593" s="191">
        <v>67392</v>
      </c>
      <c r="I593" s="189" t="s">
        <v>225</v>
      </c>
      <c r="J593" s="189">
        <v>0</v>
      </c>
      <c r="K593" s="189">
        <v>11001</v>
      </c>
      <c r="L593" s="191">
        <v>3</v>
      </c>
      <c r="M593" s="192">
        <v>46092</v>
      </c>
      <c r="N593" s="193">
        <v>1</v>
      </c>
      <c r="O593" s="194">
        <v>0.5</v>
      </c>
      <c r="P593" s="195"/>
      <c r="Q593" s="196" t="s">
        <v>38</v>
      </c>
      <c r="R593" s="197">
        <v>1</v>
      </c>
      <c r="S593" s="198" t="s">
        <v>33</v>
      </c>
      <c r="T593" s="199"/>
      <c r="U593" s="200"/>
      <c r="V593" s="200"/>
      <c r="W593" s="200"/>
      <c r="X593" s="200"/>
      <c r="Y593" s="200"/>
      <c r="Z593" s="200"/>
      <c r="AA593" s="200"/>
      <c r="AB593" s="200"/>
      <c r="AC593" s="208"/>
      <c r="AD593" s="11" t="str">
        <f t="shared" si="36"/>
        <v>3</v>
      </c>
      <c r="AF593" t="str">
        <f t="shared" si="37"/>
        <v>80.01.ZZ.03</v>
      </c>
      <c r="AH593" t="str">
        <f t="shared" si="38"/>
        <v>00 de 01</v>
      </c>
    </row>
    <row r="594" spans="1:34" ht="34.5" x14ac:dyDescent="0.25">
      <c r="A594" s="139" t="s">
        <v>116</v>
      </c>
      <c r="B594" s="105" t="s">
        <v>122</v>
      </c>
      <c r="C594" s="63">
        <v>582</v>
      </c>
      <c r="D594" s="197" t="s">
        <v>192</v>
      </c>
      <c r="E594" s="189" t="s">
        <v>809</v>
      </c>
      <c r="F594" s="190" t="s">
        <v>123</v>
      </c>
      <c r="G594" s="189" t="s">
        <v>134</v>
      </c>
      <c r="H594" s="191">
        <v>67392</v>
      </c>
      <c r="I594" s="189" t="s">
        <v>225</v>
      </c>
      <c r="J594" s="189">
        <v>0</v>
      </c>
      <c r="K594" s="189">
        <v>11001</v>
      </c>
      <c r="L594" s="191">
        <v>3</v>
      </c>
      <c r="M594" s="192">
        <v>46092</v>
      </c>
      <c r="N594" s="193">
        <v>1</v>
      </c>
      <c r="O594" s="194">
        <v>0.5</v>
      </c>
      <c r="P594" s="195"/>
      <c r="Q594" s="196" t="s">
        <v>38</v>
      </c>
      <c r="R594" s="197">
        <v>1</v>
      </c>
      <c r="S594" s="198" t="s">
        <v>33</v>
      </c>
      <c r="T594" s="199"/>
      <c r="U594" s="200"/>
      <c r="V594" s="200"/>
      <c r="W594" s="200"/>
      <c r="X594" s="200"/>
      <c r="Y594" s="200"/>
      <c r="Z594" s="200"/>
      <c r="AA594" s="200"/>
      <c r="AB594" s="200"/>
      <c r="AC594" s="208"/>
      <c r="AD594" s="11" t="str">
        <f t="shared" si="36"/>
        <v>3</v>
      </c>
      <c r="AF594" t="str">
        <f t="shared" si="37"/>
        <v>80.01.ZZ.03</v>
      </c>
      <c r="AH594" t="str">
        <f t="shared" si="38"/>
        <v>00 de 01</v>
      </c>
    </row>
    <row r="595" spans="1:34" ht="34.5" x14ac:dyDescent="0.25">
      <c r="A595" s="139" t="s">
        <v>116</v>
      </c>
      <c r="B595" s="105" t="s">
        <v>122</v>
      </c>
      <c r="C595" s="63">
        <v>583</v>
      </c>
      <c r="D595" s="197" t="s">
        <v>192</v>
      </c>
      <c r="E595" s="189" t="s">
        <v>810</v>
      </c>
      <c r="F595" s="190" t="s">
        <v>123</v>
      </c>
      <c r="G595" s="189" t="s">
        <v>134</v>
      </c>
      <c r="H595" s="191">
        <v>67392</v>
      </c>
      <c r="I595" s="189" t="s">
        <v>225</v>
      </c>
      <c r="J595" s="189">
        <v>0</v>
      </c>
      <c r="K595" s="189">
        <v>11001</v>
      </c>
      <c r="L595" s="191">
        <v>3</v>
      </c>
      <c r="M595" s="192">
        <v>46092</v>
      </c>
      <c r="N595" s="193">
        <v>1</v>
      </c>
      <c r="O595" s="194">
        <v>0.5</v>
      </c>
      <c r="P595" s="195"/>
      <c r="Q595" s="196" t="s">
        <v>38</v>
      </c>
      <c r="R595" s="197">
        <v>1</v>
      </c>
      <c r="S595" s="198" t="s">
        <v>33</v>
      </c>
      <c r="T595" s="199"/>
      <c r="U595" s="200"/>
      <c r="V595" s="200"/>
      <c r="W595" s="200"/>
      <c r="X595" s="200"/>
      <c r="Y595" s="200"/>
      <c r="Z595" s="200"/>
      <c r="AA595" s="200"/>
      <c r="AB595" s="200"/>
      <c r="AC595" s="208"/>
      <c r="AD595" s="11" t="str">
        <f t="shared" si="36"/>
        <v>3</v>
      </c>
      <c r="AF595" t="str">
        <f t="shared" si="37"/>
        <v>80.01.ZZ.03</v>
      </c>
      <c r="AH595" t="str">
        <f t="shared" si="38"/>
        <v>00 de 01</v>
      </c>
    </row>
    <row r="596" spans="1:34" ht="34.5" x14ac:dyDescent="0.25">
      <c r="A596" s="139" t="s">
        <v>116</v>
      </c>
      <c r="B596" s="105" t="s">
        <v>122</v>
      </c>
      <c r="C596" s="63">
        <v>584</v>
      </c>
      <c r="D596" s="197" t="s">
        <v>192</v>
      </c>
      <c r="E596" s="189" t="s">
        <v>811</v>
      </c>
      <c r="F596" s="190" t="s">
        <v>123</v>
      </c>
      <c r="G596" s="189" t="s">
        <v>134</v>
      </c>
      <c r="H596" s="191">
        <v>67392</v>
      </c>
      <c r="I596" s="189" t="s">
        <v>225</v>
      </c>
      <c r="J596" s="189">
        <v>0</v>
      </c>
      <c r="K596" s="189">
        <v>11001</v>
      </c>
      <c r="L596" s="191">
        <v>3</v>
      </c>
      <c r="M596" s="192">
        <v>46092</v>
      </c>
      <c r="N596" s="193">
        <v>1</v>
      </c>
      <c r="O596" s="194">
        <v>0.5</v>
      </c>
      <c r="P596" s="195"/>
      <c r="Q596" s="196" t="s">
        <v>38</v>
      </c>
      <c r="R596" s="197">
        <v>1</v>
      </c>
      <c r="S596" s="198" t="s">
        <v>33</v>
      </c>
      <c r="T596" s="199"/>
      <c r="U596" s="200"/>
      <c r="V596" s="200"/>
      <c r="W596" s="200"/>
      <c r="X596" s="200"/>
      <c r="Y596" s="200"/>
      <c r="Z596" s="200"/>
      <c r="AA596" s="200"/>
      <c r="AB596" s="200"/>
      <c r="AC596" s="208"/>
      <c r="AD596" s="11" t="str">
        <f t="shared" si="36"/>
        <v>3</v>
      </c>
      <c r="AF596" t="str">
        <f t="shared" si="37"/>
        <v>80.01.ZZ.03</v>
      </c>
      <c r="AH596" t="str">
        <f t="shared" si="38"/>
        <v>00 de 01</v>
      </c>
    </row>
    <row r="597" spans="1:34" ht="34.5" x14ac:dyDescent="0.25">
      <c r="A597" s="139" t="s">
        <v>116</v>
      </c>
      <c r="B597" s="105" t="s">
        <v>122</v>
      </c>
      <c r="C597" s="63">
        <v>585</v>
      </c>
      <c r="D597" s="197" t="s">
        <v>192</v>
      </c>
      <c r="E597" s="189" t="s">
        <v>812</v>
      </c>
      <c r="F597" s="190" t="s">
        <v>123</v>
      </c>
      <c r="G597" s="189" t="s">
        <v>134</v>
      </c>
      <c r="H597" s="191">
        <v>67392</v>
      </c>
      <c r="I597" s="189" t="s">
        <v>225</v>
      </c>
      <c r="J597" s="189">
        <v>0</v>
      </c>
      <c r="K597" s="189">
        <v>11001</v>
      </c>
      <c r="L597" s="191">
        <v>3</v>
      </c>
      <c r="M597" s="192">
        <v>46092</v>
      </c>
      <c r="N597" s="193">
        <v>1</v>
      </c>
      <c r="O597" s="194">
        <v>0.5</v>
      </c>
      <c r="P597" s="195"/>
      <c r="Q597" s="196" t="s">
        <v>38</v>
      </c>
      <c r="R597" s="197">
        <v>1</v>
      </c>
      <c r="S597" s="198" t="s">
        <v>33</v>
      </c>
      <c r="T597" s="199"/>
      <c r="U597" s="200"/>
      <c r="V597" s="200"/>
      <c r="W597" s="200"/>
      <c r="X597" s="200"/>
      <c r="Y597" s="200"/>
      <c r="Z597" s="200"/>
      <c r="AA597" s="200"/>
      <c r="AB597" s="200"/>
      <c r="AC597" s="208"/>
      <c r="AD597" s="11" t="str">
        <f t="shared" si="36"/>
        <v>3</v>
      </c>
      <c r="AF597" t="str">
        <f t="shared" si="37"/>
        <v>80.01.ZZ.03</v>
      </c>
      <c r="AH597" t="str">
        <f t="shared" si="38"/>
        <v>00 de 01</v>
      </c>
    </row>
    <row r="598" spans="1:34" ht="34.5" x14ac:dyDescent="0.25">
      <c r="A598" s="139" t="s">
        <v>116</v>
      </c>
      <c r="B598" s="105" t="s">
        <v>122</v>
      </c>
      <c r="C598" s="63">
        <v>586</v>
      </c>
      <c r="D598" s="197" t="s">
        <v>192</v>
      </c>
      <c r="E598" s="189" t="s">
        <v>813</v>
      </c>
      <c r="F598" s="190" t="s">
        <v>123</v>
      </c>
      <c r="G598" s="189" t="s">
        <v>134</v>
      </c>
      <c r="H598" s="191">
        <v>67392</v>
      </c>
      <c r="I598" s="189" t="s">
        <v>225</v>
      </c>
      <c r="J598" s="189">
        <v>0</v>
      </c>
      <c r="K598" s="189">
        <v>11001</v>
      </c>
      <c r="L598" s="191">
        <v>3</v>
      </c>
      <c r="M598" s="192">
        <v>46092</v>
      </c>
      <c r="N598" s="193">
        <v>1</v>
      </c>
      <c r="O598" s="194">
        <v>0.5</v>
      </c>
      <c r="P598" s="195"/>
      <c r="Q598" s="196" t="s">
        <v>38</v>
      </c>
      <c r="R598" s="197">
        <v>1</v>
      </c>
      <c r="S598" s="198" t="s">
        <v>33</v>
      </c>
      <c r="T598" s="199"/>
      <c r="U598" s="200"/>
      <c r="V598" s="200"/>
      <c r="W598" s="200"/>
      <c r="X598" s="200"/>
      <c r="Y598" s="200"/>
      <c r="Z598" s="200"/>
      <c r="AA598" s="200"/>
      <c r="AB598" s="200"/>
      <c r="AC598" s="208"/>
      <c r="AD598" s="11" t="str">
        <f t="shared" si="36"/>
        <v>3</v>
      </c>
      <c r="AF598" t="str">
        <f t="shared" si="37"/>
        <v>80.01.ZZ.03</v>
      </c>
      <c r="AH598" t="str">
        <f t="shared" si="38"/>
        <v>00 de 01</v>
      </c>
    </row>
    <row r="599" spans="1:34" ht="34.5" x14ac:dyDescent="0.25">
      <c r="A599" s="139" t="s">
        <v>116</v>
      </c>
      <c r="B599" s="105" t="s">
        <v>122</v>
      </c>
      <c r="C599" s="63">
        <v>587</v>
      </c>
      <c r="D599" s="197" t="s">
        <v>192</v>
      </c>
      <c r="E599" s="189" t="s">
        <v>814</v>
      </c>
      <c r="F599" s="190" t="s">
        <v>123</v>
      </c>
      <c r="G599" s="189" t="s">
        <v>134</v>
      </c>
      <c r="H599" s="191">
        <v>67392</v>
      </c>
      <c r="I599" s="189" t="s">
        <v>225</v>
      </c>
      <c r="J599" s="189">
        <v>0</v>
      </c>
      <c r="K599" s="189">
        <v>11001</v>
      </c>
      <c r="L599" s="191">
        <v>3</v>
      </c>
      <c r="M599" s="192">
        <v>46092</v>
      </c>
      <c r="N599" s="193">
        <v>1</v>
      </c>
      <c r="O599" s="194">
        <v>0.5</v>
      </c>
      <c r="P599" s="195"/>
      <c r="Q599" s="196" t="s">
        <v>38</v>
      </c>
      <c r="R599" s="197">
        <v>1</v>
      </c>
      <c r="S599" s="198" t="s">
        <v>33</v>
      </c>
      <c r="T599" s="199"/>
      <c r="U599" s="200"/>
      <c r="V599" s="200"/>
      <c r="W599" s="200"/>
      <c r="X599" s="200"/>
      <c r="Y599" s="200"/>
      <c r="Z599" s="200"/>
      <c r="AA599" s="200"/>
      <c r="AB599" s="200"/>
      <c r="AC599" s="208"/>
      <c r="AD599" s="11" t="str">
        <f t="shared" si="36"/>
        <v>3</v>
      </c>
      <c r="AF599" t="str">
        <f t="shared" si="37"/>
        <v>80.01.ZZ.03</v>
      </c>
      <c r="AH599" t="str">
        <f t="shared" si="38"/>
        <v>00 de 01</v>
      </c>
    </row>
    <row r="600" spans="1:34" ht="34.5" x14ac:dyDescent="0.25">
      <c r="A600" s="139" t="s">
        <v>116</v>
      </c>
      <c r="B600" s="105" t="s">
        <v>122</v>
      </c>
      <c r="C600" s="63">
        <v>588</v>
      </c>
      <c r="D600" s="197" t="s">
        <v>192</v>
      </c>
      <c r="E600" s="189" t="s">
        <v>815</v>
      </c>
      <c r="F600" s="190" t="s">
        <v>123</v>
      </c>
      <c r="G600" s="189" t="s">
        <v>134</v>
      </c>
      <c r="H600" s="191">
        <v>67392</v>
      </c>
      <c r="I600" s="189" t="s">
        <v>225</v>
      </c>
      <c r="J600" s="189">
        <v>0</v>
      </c>
      <c r="K600" s="189">
        <v>11001</v>
      </c>
      <c r="L600" s="191">
        <v>3</v>
      </c>
      <c r="M600" s="192">
        <v>46092</v>
      </c>
      <c r="N600" s="193">
        <v>1</v>
      </c>
      <c r="O600" s="194">
        <v>0.5</v>
      </c>
      <c r="P600" s="195"/>
      <c r="Q600" s="196" t="s">
        <v>38</v>
      </c>
      <c r="R600" s="197">
        <v>1</v>
      </c>
      <c r="S600" s="198" t="s">
        <v>33</v>
      </c>
      <c r="T600" s="199"/>
      <c r="U600" s="200"/>
      <c r="V600" s="200"/>
      <c r="W600" s="200"/>
      <c r="X600" s="200"/>
      <c r="Y600" s="200"/>
      <c r="Z600" s="200"/>
      <c r="AA600" s="200"/>
      <c r="AB600" s="200"/>
      <c r="AC600" s="208"/>
      <c r="AD600" s="11" t="str">
        <f t="shared" si="36"/>
        <v>3</v>
      </c>
      <c r="AF600" t="str">
        <f t="shared" si="37"/>
        <v>80.01.ZZ.03</v>
      </c>
      <c r="AH600" t="str">
        <f t="shared" si="38"/>
        <v>00 de 01</v>
      </c>
    </row>
    <row r="601" spans="1:34" ht="34.5" x14ac:dyDescent="0.25">
      <c r="A601" s="139" t="s">
        <v>116</v>
      </c>
      <c r="B601" s="105" t="s">
        <v>122</v>
      </c>
      <c r="C601" s="63">
        <v>589</v>
      </c>
      <c r="D601" s="197" t="s">
        <v>192</v>
      </c>
      <c r="E601" s="189" t="s">
        <v>816</v>
      </c>
      <c r="F601" s="190" t="s">
        <v>123</v>
      </c>
      <c r="G601" s="189" t="s">
        <v>134</v>
      </c>
      <c r="H601" s="191">
        <v>67392</v>
      </c>
      <c r="I601" s="189" t="s">
        <v>225</v>
      </c>
      <c r="J601" s="189">
        <v>0</v>
      </c>
      <c r="K601" s="189">
        <v>11001</v>
      </c>
      <c r="L601" s="191">
        <v>3</v>
      </c>
      <c r="M601" s="192">
        <v>46092</v>
      </c>
      <c r="N601" s="193">
        <v>1</v>
      </c>
      <c r="O601" s="194">
        <v>0.5</v>
      </c>
      <c r="P601" s="195"/>
      <c r="Q601" s="196" t="s">
        <v>38</v>
      </c>
      <c r="R601" s="197">
        <v>1</v>
      </c>
      <c r="S601" s="198" t="s">
        <v>33</v>
      </c>
      <c r="T601" s="199"/>
      <c r="U601" s="200"/>
      <c r="V601" s="200"/>
      <c r="W601" s="200"/>
      <c r="X601" s="200"/>
      <c r="Y601" s="200"/>
      <c r="Z601" s="200"/>
      <c r="AA601" s="200"/>
      <c r="AB601" s="200"/>
      <c r="AC601" s="208"/>
      <c r="AD601" s="11" t="str">
        <f t="shared" si="36"/>
        <v>3</v>
      </c>
      <c r="AF601" t="str">
        <f t="shared" si="37"/>
        <v>80.01.ZZ.03</v>
      </c>
      <c r="AH601" t="str">
        <f t="shared" si="38"/>
        <v>00 de 01</v>
      </c>
    </row>
    <row r="602" spans="1:34" ht="34.5" x14ac:dyDescent="0.25">
      <c r="A602" s="139" t="s">
        <v>116</v>
      </c>
      <c r="B602" s="105" t="s">
        <v>122</v>
      </c>
      <c r="C602" s="63">
        <v>590</v>
      </c>
      <c r="D602" s="197" t="s">
        <v>192</v>
      </c>
      <c r="E602" s="189" t="s">
        <v>817</v>
      </c>
      <c r="F602" s="190" t="s">
        <v>123</v>
      </c>
      <c r="G602" s="189" t="s">
        <v>134</v>
      </c>
      <c r="H602" s="191">
        <v>67392</v>
      </c>
      <c r="I602" s="189" t="s">
        <v>225</v>
      </c>
      <c r="J602" s="189">
        <v>0</v>
      </c>
      <c r="K602" s="189">
        <v>11001</v>
      </c>
      <c r="L602" s="191">
        <v>3</v>
      </c>
      <c r="M602" s="192">
        <v>46092</v>
      </c>
      <c r="N602" s="193">
        <v>1</v>
      </c>
      <c r="O602" s="194">
        <v>0.5</v>
      </c>
      <c r="P602" s="195"/>
      <c r="Q602" s="196" t="s">
        <v>38</v>
      </c>
      <c r="R602" s="197">
        <v>1</v>
      </c>
      <c r="S602" s="198" t="s">
        <v>33</v>
      </c>
      <c r="T602" s="199"/>
      <c r="U602" s="200"/>
      <c r="V602" s="200"/>
      <c r="W602" s="200"/>
      <c r="X602" s="200"/>
      <c r="Y602" s="200"/>
      <c r="Z602" s="200"/>
      <c r="AA602" s="200"/>
      <c r="AB602" s="200"/>
      <c r="AC602" s="208"/>
      <c r="AD602" s="11" t="str">
        <f t="shared" si="36"/>
        <v>3</v>
      </c>
      <c r="AF602" t="str">
        <f t="shared" si="37"/>
        <v>80.01.ZZ.03</v>
      </c>
      <c r="AH602" t="str">
        <f t="shared" si="38"/>
        <v>00 de 01</v>
      </c>
    </row>
    <row r="603" spans="1:34" ht="34.5" x14ac:dyDescent="0.25">
      <c r="A603" s="139" t="s">
        <v>116</v>
      </c>
      <c r="B603" s="105" t="s">
        <v>122</v>
      </c>
      <c r="C603" s="63">
        <v>591</v>
      </c>
      <c r="D603" s="197" t="s">
        <v>192</v>
      </c>
      <c r="E603" s="189" t="s">
        <v>818</v>
      </c>
      <c r="F603" s="190" t="s">
        <v>123</v>
      </c>
      <c r="G603" s="189" t="s">
        <v>134</v>
      </c>
      <c r="H603" s="191">
        <v>67392</v>
      </c>
      <c r="I603" s="189" t="s">
        <v>225</v>
      </c>
      <c r="J603" s="189">
        <v>0</v>
      </c>
      <c r="K603" s="189">
        <v>11001</v>
      </c>
      <c r="L603" s="191">
        <v>3</v>
      </c>
      <c r="M603" s="192">
        <v>46092</v>
      </c>
      <c r="N603" s="193">
        <v>1</v>
      </c>
      <c r="O603" s="194">
        <v>0.5</v>
      </c>
      <c r="P603" s="195"/>
      <c r="Q603" s="196" t="s">
        <v>38</v>
      </c>
      <c r="R603" s="197">
        <v>1</v>
      </c>
      <c r="S603" s="198" t="s">
        <v>33</v>
      </c>
      <c r="T603" s="199"/>
      <c r="U603" s="200"/>
      <c r="V603" s="200"/>
      <c r="W603" s="200"/>
      <c r="X603" s="200"/>
      <c r="Y603" s="200"/>
      <c r="Z603" s="200"/>
      <c r="AA603" s="200"/>
      <c r="AB603" s="200"/>
      <c r="AC603" s="208"/>
      <c r="AD603" s="11" t="str">
        <f t="shared" si="36"/>
        <v>3</v>
      </c>
      <c r="AF603" t="str">
        <f t="shared" si="37"/>
        <v>80.01.ZZ.03</v>
      </c>
      <c r="AH603" t="str">
        <f t="shared" si="38"/>
        <v>00 de 01</v>
      </c>
    </row>
    <row r="604" spans="1:34" ht="34.5" x14ac:dyDescent="0.25">
      <c r="A604" s="139" t="s">
        <v>116</v>
      </c>
      <c r="B604" s="105" t="s">
        <v>122</v>
      </c>
      <c r="C604" s="63">
        <v>592</v>
      </c>
      <c r="D604" s="197" t="s">
        <v>192</v>
      </c>
      <c r="E604" s="189" t="s">
        <v>819</v>
      </c>
      <c r="F604" s="190" t="s">
        <v>123</v>
      </c>
      <c r="G604" s="189" t="s">
        <v>134</v>
      </c>
      <c r="H604" s="191">
        <v>67392</v>
      </c>
      <c r="I604" s="189" t="s">
        <v>225</v>
      </c>
      <c r="J604" s="189">
        <v>0</v>
      </c>
      <c r="K604" s="189">
        <v>11001</v>
      </c>
      <c r="L604" s="191">
        <v>3</v>
      </c>
      <c r="M604" s="192">
        <v>46092</v>
      </c>
      <c r="N604" s="193">
        <v>1</v>
      </c>
      <c r="O604" s="194">
        <v>0.5</v>
      </c>
      <c r="P604" s="195"/>
      <c r="Q604" s="196" t="s">
        <v>38</v>
      </c>
      <c r="R604" s="197">
        <v>1</v>
      </c>
      <c r="S604" s="198" t="s">
        <v>33</v>
      </c>
      <c r="T604" s="199"/>
      <c r="U604" s="200"/>
      <c r="V604" s="200"/>
      <c r="W604" s="200"/>
      <c r="X604" s="200"/>
      <c r="Y604" s="200"/>
      <c r="Z604" s="200"/>
      <c r="AA604" s="200"/>
      <c r="AB604" s="200"/>
      <c r="AC604" s="208"/>
      <c r="AD604" s="11" t="str">
        <f t="shared" si="36"/>
        <v>3</v>
      </c>
      <c r="AF604" t="str">
        <f t="shared" si="37"/>
        <v>80.01.ZZ.03</v>
      </c>
      <c r="AH604" t="str">
        <f t="shared" si="38"/>
        <v>00 de 01</v>
      </c>
    </row>
    <row r="605" spans="1:34" ht="34.5" x14ac:dyDescent="0.25">
      <c r="A605" s="139" t="s">
        <v>116</v>
      </c>
      <c r="B605" s="105" t="s">
        <v>122</v>
      </c>
      <c r="C605" s="63">
        <v>593</v>
      </c>
      <c r="D605" s="197" t="s">
        <v>192</v>
      </c>
      <c r="E605" s="189" t="s">
        <v>820</v>
      </c>
      <c r="F605" s="190" t="s">
        <v>123</v>
      </c>
      <c r="G605" s="189" t="s">
        <v>134</v>
      </c>
      <c r="H605" s="191">
        <v>67392</v>
      </c>
      <c r="I605" s="189" t="s">
        <v>225</v>
      </c>
      <c r="J605" s="189">
        <v>0</v>
      </c>
      <c r="K605" s="189">
        <v>11001</v>
      </c>
      <c r="L605" s="191">
        <v>3</v>
      </c>
      <c r="M605" s="192">
        <v>46092</v>
      </c>
      <c r="N605" s="193">
        <v>1</v>
      </c>
      <c r="O605" s="194">
        <v>0.5</v>
      </c>
      <c r="P605" s="195"/>
      <c r="Q605" s="196" t="s">
        <v>38</v>
      </c>
      <c r="R605" s="197">
        <v>1</v>
      </c>
      <c r="S605" s="198" t="s">
        <v>33</v>
      </c>
      <c r="T605" s="199"/>
      <c r="U605" s="200"/>
      <c r="V605" s="200"/>
      <c r="W605" s="200"/>
      <c r="X605" s="200"/>
      <c r="Y605" s="200"/>
      <c r="Z605" s="200"/>
      <c r="AA605" s="200"/>
      <c r="AB605" s="200"/>
      <c r="AC605" s="208"/>
      <c r="AD605" s="11" t="str">
        <f t="shared" si="36"/>
        <v>3</v>
      </c>
      <c r="AF605" t="str">
        <f t="shared" si="37"/>
        <v>80.01.ZZ.03</v>
      </c>
      <c r="AH605" t="str">
        <f t="shared" si="38"/>
        <v>00 de 01</v>
      </c>
    </row>
    <row r="606" spans="1:34" ht="34.5" x14ac:dyDescent="0.25">
      <c r="A606" s="139" t="s">
        <v>116</v>
      </c>
      <c r="B606" s="105" t="s">
        <v>122</v>
      </c>
      <c r="C606" s="63">
        <v>594</v>
      </c>
      <c r="D606" s="197" t="s">
        <v>192</v>
      </c>
      <c r="E606" s="189" t="s">
        <v>821</v>
      </c>
      <c r="F606" s="190" t="s">
        <v>123</v>
      </c>
      <c r="G606" s="189" t="s">
        <v>134</v>
      </c>
      <c r="H606" s="191">
        <v>67392</v>
      </c>
      <c r="I606" s="189" t="s">
        <v>225</v>
      </c>
      <c r="J606" s="189">
        <v>0</v>
      </c>
      <c r="K606" s="189">
        <v>11001</v>
      </c>
      <c r="L606" s="191">
        <v>3</v>
      </c>
      <c r="M606" s="192">
        <v>46092</v>
      </c>
      <c r="N606" s="193">
        <v>1</v>
      </c>
      <c r="O606" s="194">
        <v>0.5</v>
      </c>
      <c r="P606" s="195"/>
      <c r="Q606" s="196" t="s">
        <v>38</v>
      </c>
      <c r="R606" s="197">
        <v>1</v>
      </c>
      <c r="S606" s="198" t="s">
        <v>33</v>
      </c>
      <c r="T606" s="199"/>
      <c r="U606" s="200"/>
      <c r="V606" s="200"/>
      <c r="W606" s="200"/>
      <c r="X606" s="200"/>
      <c r="Y606" s="200"/>
      <c r="Z606" s="200"/>
      <c r="AA606" s="200"/>
      <c r="AB606" s="200"/>
      <c r="AC606" s="208"/>
      <c r="AD606" s="11" t="str">
        <f t="shared" si="36"/>
        <v>3</v>
      </c>
      <c r="AF606" t="str">
        <f t="shared" si="37"/>
        <v>80.01.ZZ.03</v>
      </c>
      <c r="AH606" t="str">
        <f t="shared" si="38"/>
        <v>00 de 01</v>
      </c>
    </row>
    <row r="607" spans="1:34" ht="34.5" x14ac:dyDescent="0.25">
      <c r="A607" s="139" t="s">
        <v>116</v>
      </c>
      <c r="B607" s="105" t="s">
        <v>122</v>
      </c>
      <c r="C607" s="63">
        <v>595</v>
      </c>
      <c r="D607" s="197" t="s">
        <v>192</v>
      </c>
      <c r="E607" s="189" t="s">
        <v>822</v>
      </c>
      <c r="F607" s="190" t="s">
        <v>123</v>
      </c>
      <c r="G607" s="189" t="s">
        <v>134</v>
      </c>
      <c r="H607" s="191">
        <v>67392</v>
      </c>
      <c r="I607" s="189" t="s">
        <v>225</v>
      </c>
      <c r="J607" s="189">
        <v>0</v>
      </c>
      <c r="K607" s="189">
        <v>11001</v>
      </c>
      <c r="L607" s="191">
        <v>3</v>
      </c>
      <c r="M607" s="192">
        <v>46092</v>
      </c>
      <c r="N607" s="193">
        <v>1</v>
      </c>
      <c r="O607" s="194">
        <v>0.5</v>
      </c>
      <c r="P607" s="195"/>
      <c r="Q607" s="196" t="s">
        <v>38</v>
      </c>
      <c r="R607" s="197">
        <v>1</v>
      </c>
      <c r="S607" s="198" t="s">
        <v>33</v>
      </c>
      <c r="T607" s="199"/>
      <c r="U607" s="200"/>
      <c r="V607" s="200"/>
      <c r="W607" s="200"/>
      <c r="X607" s="200"/>
      <c r="Y607" s="200"/>
      <c r="Z607" s="200"/>
      <c r="AA607" s="200"/>
      <c r="AB607" s="200"/>
      <c r="AC607" s="208"/>
      <c r="AD607" s="11" t="str">
        <f t="shared" si="36"/>
        <v>3</v>
      </c>
      <c r="AF607" t="str">
        <f t="shared" si="37"/>
        <v>80.01.ZZ.03</v>
      </c>
      <c r="AH607" t="str">
        <f t="shared" si="38"/>
        <v>00 de 01</v>
      </c>
    </row>
    <row r="608" spans="1:34" ht="34.5" x14ac:dyDescent="0.25">
      <c r="A608" s="139" t="s">
        <v>116</v>
      </c>
      <c r="B608" s="105" t="s">
        <v>122</v>
      </c>
      <c r="C608" s="63">
        <v>596</v>
      </c>
      <c r="D608" s="197" t="s">
        <v>192</v>
      </c>
      <c r="E608" s="189" t="s">
        <v>823</v>
      </c>
      <c r="F608" s="190" t="s">
        <v>123</v>
      </c>
      <c r="G608" s="189" t="s">
        <v>134</v>
      </c>
      <c r="H608" s="191">
        <v>67392</v>
      </c>
      <c r="I608" s="189" t="s">
        <v>225</v>
      </c>
      <c r="J608" s="189">
        <v>0</v>
      </c>
      <c r="K608" s="189">
        <v>11001</v>
      </c>
      <c r="L608" s="191">
        <v>3</v>
      </c>
      <c r="M608" s="192">
        <v>46092</v>
      </c>
      <c r="N608" s="193">
        <v>1</v>
      </c>
      <c r="O608" s="194">
        <v>0.5</v>
      </c>
      <c r="P608" s="195"/>
      <c r="Q608" s="196" t="s">
        <v>38</v>
      </c>
      <c r="R608" s="197">
        <v>1</v>
      </c>
      <c r="S608" s="198" t="s">
        <v>33</v>
      </c>
      <c r="T608" s="199"/>
      <c r="U608" s="200"/>
      <c r="V608" s="200"/>
      <c r="W608" s="200"/>
      <c r="X608" s="200"/>
      <c r="Y608" s="200"/>
      <c r="Z608" s="200"/>
      <c r="AA608" s="200"/>
      <c r="AB608" s="200"/>
      <c r="AC608" s="208"/>
      <c r="AD608" s="11" t="str">
        <f t="shared" si="36"/>
        <v>3</v>
      </c>
      <c r="AF608" t="str">
        <f t="shared" si="37"/>
        <v>80.01.ZZ.03</v>
      </c>
      <c r="AH608" t="str">
        <f t="shared" si="38"/>
        <v>00 de 01</v>
      </c>
    </row>
    <row r="609" spans="1:34" ht="34.5" x14ac:dyDescent="0.25">
      <c r="A609" s="139" t="s">
        <v>116</v>
      </c>
      <c r="B609" s="105" t="s">
        <v>122</v>
      </c>
      <c r="C609" s="63">
        <v>597</v>
      </c>
      <c r="D609" s="197" t="s">
        <v>192</v>
      </c>
      <c r="E609" s="189" t="s">
        <v>824</v>
      </c>
      <c r="F609" s="190" t="s">
        <v>123</v>
      </c>
      <c r="G609" s="189" t="s">
        <v>134</v>
      </c>
      <c r="H609" s="191">
        <v>67392</v>
      </c>
      <c r="I609" s="189" t="s">
        <v>225</v>
      </c>
      <c r="J609" s="189">
        <v>0</v>
      </c>
      <c r="K609" s="189">
        <v>11001</v>
      </c>
      <c r="L609" s="191">
        <v>3</v>
      </c>
      <c r="M609" s="192">
        <v>46092</v>
      </c>
      <c r="N609" s="193">
        <v>1</v>
      </c>
      <c r="O609" s="194">
        <v>0.5</v>
      </c>
      <c r="P609" s="195"/>
      <c r="Q609" s="196" t="s">
        <v>38</v>
      </c>
      <c r="R609" s="197">
        <v>1</v>
      </c>
      <c r="S609" s="198" t="s">
        <v>33</v>
      </c>
      <c r="T609" s="199"/>
      <c r="U609" s="200"/>
      <c r="V609" s="200"/>
      <c r="W609" s="200"/>
      <c r="X609" s="200"/>
      <c r="Y609" s="200"/>
      <c r="Z609" s="200"/>
      <c r="AA609" s="200"/>
      <c r="AB609" s="200"/>
      <c r="AC609" s="208"/>
      <c r="AD609" s="11" t="str">
        <f t="shared" si="36"/>
        <v>3</v>
      </c>
      <c r="AF609" t="str">
        <f t="shared" si="37"/>
        <v>80.01.ZZ.03</v>
      </c>
      <c r="AH609" t="str">
        <f t="shared" si="38"/>
        <v>00 de 01</v>
      </c>
    </row>
    <row r="610" spans="1:34" ht="34.5" x14ac:dyDescent="0.25">
      <c r="A610" s="139" t="s">
        <v>116</v>
      </c>
      <c r="B610" s="105" t="s">
        <v>122</v>
      </c>
      <c r="C610" s="63">
        <v>598</v>
      </c>
      <c r="D610" s="197" t="s">
        <v>192</v>
      </c>
      <c r="E610" s="189" t="s">
        <v>825</v>
      </c>
      <c r="F610" s="190" t="s">
        <v>123</v>
      </c>
      <c r="G610" s="189" t="s">
        <v>134</v>
      </c>
      <c r="H610" s="191">
        <v>67392</v>
      </c>
      <c r="I610" s="189" t="s">
        <v>225</v>
      </c>
      <c r="J610" s="189">
        <v>0</v>
      </c>
      <c r="K610" s="189">
        <v>11001</v>
      </c>
      <c r="L610" s="191">
        <v>3</v>
      </c>
      <c r="M610" s="192">
        <v>46092</v>
      </c>
      <c r="N610" s="193">
        <v>1</v>
      </c>
      <c r="O610" s="194">
        <v>0.5</v>
      </c>
      <c r="P610" s="195"/>
      <c r="Q610" s="196" t="s">
        <v>38</v>
      </c>
      <c r="R610" s="197">
        <v>1</v>
      </c>
      <c r="S610" s="198" t="s">
        <v>33</v>
      </c>
      <c r="T610" s="199"/>
      <c r="U610" s="200"/>
      <c r="V610" s="200"/>
      <c r="W610" s="200"/>
      <c r="X610" s="200"/>
      <c r="Y610" s="200"/>
      <c r="Z610" s="200"/>
      <c r="AA610" s="200"/>
      <c r="AB610" s="200"/>
      <c r="AC610" s="208"/>
      <c r="AD610" s="11" t="str">
        <f t="shared" si="36"/>
        <v>3</v>
      </c>
      <c r="AF610" t="str">
        <f t="shared" si="37"/>
        <v>80.01.ZZ.03</v>
      </c>
      <c r="AH610" t="str">
        <f t="shared" si="38"/>
        <v>00 de 01</v>
      </c>
    </row>
    <row r="611" spans="1:34" ht="34.5" x14ac:dyDescent="0.25">
      <c r="A611" s="139" t="s">
        <v>116</v>
      </c>
      <c r="B611" s="105" t="s">
        <v>122</v>
      </c>
      <c r="C611" s="63">
        <v>599</v>
      </c>
      <c r="D611" s="197" t="s">
        <v>192</v>
      </c>
      <c r="E611" s="189" t="s">
        <v>826</v>
      </c>
      <c r="F611" s="190" t="s">
        <v>123</v>
      </c>
      <c r="G611" s="189" t="s">
        <v>134</v>
      </c>
      <c r="H611" s="191">
        <v>67392</v>
      </c>
      <c r="I611" s="189" t="s">
        <v>225</v>
      </c>
      <c r="J611" s="189">
        <v>0</v>
      </c>
      <c r="K611" s="189">
        <v>11001</v>
      </c>
      <c r="L611" s="191">
        <v>3</v>
      </c>
      <c r="M611" s="192">
        <v>46092</v>
      </c>
      <c r="N611" s="193">
        <v>1</v>
      </c>
      <c r="O611" s="194">
        <v>0.5</v>
      </c>
      <c r="P611" s="195"/>
      <c r="Q611" s="196" t="s">
        <v>38</v>
      </c>
      <c r="R611" s="197">
        <v>1</v>
      </c>
      <c r="S611" s="198" t="s">
        <v>33</v>
      </c>
      <c r="T611" s="199"/>
      <c r="U611" s="200"/>
      <c r="V611" s="200"/>
      <c r="W611" s="200"/>
      <c r="X611" s="200"/>
      <c r="Y611" s="200"/>
      <c r="Z611" s="200"/>
      <c r="AA611" s="200"/>
      <c r="AB611" s="200"/>
      <c r="AC611" s="208"/>
      <c r="AD611" s="11" t="str">
        <f t="shared" si="36"/>
        <v>3</v>
      </c>
      <c r="AF611" t="str">
        <f t="shared" si="37"/>
        <v>80.01.ZZ.03</v>
      </c>
      <c r="AH611" t="str">
        <f t="shared" si="38"/>
        <v>00 de 01</v>
      </c>
    </row>
    <row r="612" spans="1:34" ht="34.5" x14ac:dyDescent="0.25">
      <c r="A612" s="139" t="s">
        <v>116</v>
      </c>
      <c r="B612" s="105" t="s">
        <v>122</v>
      </c>
      <c r="C612" s="63">
        <v>600</v>
      </c>
      <c r="D612" s="197" t="s">
        <v>192</v>
      </c>
      <c r="E612" s="189" t="s">
        <v>827</v>
      </c>
      <c r="F612" s="190" t="s">
        <v>123</v>
      </c>
      <c r="G612" s="189" t="s">
        <v>134</v>
      </c>
      <c r="H612" s="191">
        <v>67392</v>
      </c>
      <c r="I612" s="189" t="s">
        <v>225</v>
      </c>
      <c r="J612" s="189">
        <v>0</v>
      </c>
      <c r="K612" s="189">
        <v>11001</v>
      </c>
      <c r="L612" s="191">
        <v>3</v>
      </c>
      <c r="M612" s="192">
        <v>46092</v>
      </c>
      <c r="N612" s="193">
        <v>1</v>
      </c>
      <c r="O612" s="194">
        <v>0.5</v>
      </c>
      <c r="P612" s="195"/>
      <c r="Q612" s="196" t="s">
        <v>38</v>
      </c>
      <c r="R612" s="197">
        <v>1</v>
      </c>
      <c r="S612" s="198" t="s">
        <v>33</v>
      </c>
      <c r="T612" s="199"/>
      <c r="U612" s="200"/>
      <c r="V612" s="200"/>
      <c r="W612" s="200"/>
      <c r="X612" s="200"/>
      <c r="Y612" s="200"/>
      <c r="Z612" s="200"/>
      <c r="AA612" s="200"/>
      <c r="AB612" s="200"/>
      <c r="AC612" s="208"/>
      <c r="AD612" s="11" t="str">
        <f t="shared" si="36"/>
        <v>3</v>
      </c>
      <c r="AF612" t="str">
        <f t="shared" si="37"/>
        <v>80.01.ZZ.03</v>
      </c>
      <c r="AH612" t="str">
        <f t="shared" si="38"/>
        <v>00 de 01</v>
      </c>
    </row>
    <row r="613" spans="1:34" ht="34.5" x14ac:dyDescent="0.25">
      <c r="A613" s="139" t="s">
        <v>116</v>
      </c>
      <c r="B613" s="105" t="s">
        <v>122</v>
      </c>
      <c r="C613" s="63">
        <v>601</v>
      </c>
      <c r="D613" s="197" t="s">
        <v>192</v>
      </c>
      <c r="E613" s="189" t="s">
        <v>828</v>
      </c>
      <c r="F613" s="190" t="s">
        <v>123</v>
      </c>
      <c r="G613" s="189" t="s">
        <v>134</v>
      </c>
      <c r="H613" s="191">
        <v>67392</v>
      </c>
      <c r="I613" s="189" t="s">
        <v>225</v>
      </c>
      <c r="J613" s="189">
        <v>0</v>
      </c>
      <c r="K613" s="189">
        <v>11001</v>
      </c>
      <c r="L613" s="191">
        <v>3</v>
      </c>
      <c r="M613" s="192">
        <v>46092</v>
      </c>
      <c r="N613" s="193">
        <v>1</v>
      </c>
      <c r="O613" s="194">
        <v>0.5</v>
      </c>
      <c r="P613" s="195"/>
      <c r="Q613" s="196" t="s">
        <v>38</v>
      </c>
      <c r="R613" s="197">
        <v>1</v>
      </c>
      <c r="S613" s="198" t="s">
        <v>33</v>
      </c>
      <c r="T613" s="199"/>
      <c r="U613" s="200"/>
      <c r="V613" s="200"/>
      <c r="W613" s="200"/>
      <c r="X613" s="200"/>
      <c r="Y613" s="200"/>
      <c r="Z613" s="200"/>
      <c r="AA613" s="200"/>
      <c r="AB613" s="200"/>
      <c r="AC613" s="208"/>
      <c r="AD613" s="11" t="str">
        <f t="shared" si="36"/>
        <v>3</v>
      </c>
      <c r="AF613" t="str">
        <f t="shared" si="37"/>
        <v>80.01.ZZ.03</v>
      </c>
      <c r="AH613" t="str">
        <f t="shared" si="38"/>
        <v>00 de 01</v>
      </c>
    </row>
    <row r="614" spans="1:34" ht="34.5" x14ac:dyDescent="0.25">
      <c r="A614" s="139" t="s">
        <v>116</v>
      </c>
      <c r="B614" s="105" t="s">
        <v>122</v>
      </c>
      <c r="C614" s="63">
        <v>602</v>
      </c>
      <c r="D614" s="197" t="s">
        <v>192</v>
      </c>
      <c r="E614" s="189" t="s">
        <v>829</v>
      </c>
      <c r="F614" s="190" t="s">
        <v>123</v>
      </c>
      <c r="G614" s="189" t="s">
        <v>134</v>
      </c>
      <c r="H614" s="191">
        <v>67392</v>
      </c>
      <c r="I614" s="189" t="s">
        <v>225</v>
      </c>
      <c r="J614" s="189">
        <v>0</v>
      </c>
      <c r="K614" s="189">
        <v>11001</v>
      </c>
      <c r="L614" s="191">
        <v>3</v>
      </c>
      <c r="M614" s="192">
        <v>46092</v>
      </c>
      <c r="N614" s="193">
        <v>1</v>
      </c>
      <c r="O614" s="194">
        <v>0.5</v>
      </c>
      <c r="P614" s="195"/>
      <c r="Q614" s="196" t="s">
        <v>38</v>
      </c>
      <c r="R614" s="197">
        <v>1</v>
      </c>
      <c r="S614" s="198" t="s">
        <v>33</v>
      </c>
      <c r="T614" s="199"/>
      <c r="U614" s="200"/>
      <c r="V614" s="200"/>
      <c r="W614" s="200"/>
      <c r="X614" s="200"/>
      <c r="Y614" s="200"/>
      <c r="Z614" s="200"/>
      <c r="AA614" s="200"/>
      <c r="AB614" s="200"/>
      <c r="AC614" s="208"/>
      <c r="AD614" s="11" t="str">
        <f t="shared" si="36"/>
        <v>3</v>
      </c>
      <c r="AF614" t="str">
        <f t="shared" si="37"/>
        <v>80.01.ZZ.03</v>
      </c>
      <c r="AH614" t="str">
        <f t="shared" si="38"/>
        <v>00 de 01</v>
      </c>
    </row>
    <row r="615" spans="1:34" ht="34.5" x14ac:dyDescent="0.25">
      <c r="A615" s="139" t="s">
        <v>116</v>
      </c>
      <c r="B615" s="105" t="s">
        <v>122</v>
      </c>
      <c r="C615" s="63">
        <v>603</v>
      </c>
      <c r="D615" s="197" t="s">
        <v>192</v>
      </c>
      <c r="E615" s="189" t="s">
        <v>256</v>
      </c>
      <c r="F615" s="190" t="s">
        <v>123</v>
      </c>
      <c r="G615" s="189" t="s">
        <v>134</v>
      </c>
      <c r="H615" s="191">
        <v>67392</v>
      </c>
      <c r="I615" s="189" t="s">
        <v>225</v>
      </c>
      <c r="J615" s="189">
        <v>0</v>
      </c>
      <c r="K615" s="189">
        <v>11201</v>
      </c>
      <c r="L615" s="191">
        <v>3</v>
      </c>
      <c r="M615" s="192">
        <v>46092</v>
      </c>
      <c r="N615" s="193">
        <v>1</v>
      </c>
      <c r="O615" s="194">
        <v>0.5</v>
      </c>
      <c r="P615" s="195"/>
      <c r="Q615" s="196" t="s">
        <v>38</v>
      </c>
      <c r="R615" s="197">
        <v>1</v>
      </c>
      <c r="S615" s="198" t="s">
        <v>33</v>
      </c>
      <c r="T615" s="199"/>
      <c r="U615" s="200"/>
      <c r="V615" s="200"/>
      <c r="W615" s="200"/>
      <c r="X615" s="200"/>
      <c r="Y615" s="200"/>
      <c r="Z615" s="200"/>
      <c r="AA615" s="200"/>
      <c r="AB615" s="200"/>
      <c r="AC615" s="208"/>
      <c r="AD615" s="11" t="str">
        <f t="shared" si="36"/>
        <v>3</v>
      </c>
      <c r="AF615" t="str">
        <f t="shared" si="37"/>
        <v>80.01.ZZ.03</v>
      </c>
      <c r="AH615" t="str">
        <f t="shared" si="38"/>
        <v>00 de 01</v>
      </c>
    </row>
    <row r="616" spans="1:34" ht="34.5" x14ac:dyDescent="0.25">
      <c r="A616" s="139" t="s">
        <v>116</v>
      </c>
      <c r="B616" s="105" t="s">
        <v>122</v>
      </c>
      <c r="C616" s="63">
        <v>604</v>
      </c>
      <c r="D616" s="197" t="s">
        <v>192</v>
      </c>
      <c r="E616" s="189" t="s">
        <v>830</v>
      </c>
      <c r="F616" s="190" t="s">
        <v>123</v>
      </c>
      <c r="G616" s="189" t="s">
        <v>134</v>
      </c>
      <c r="H616" s="191">
        <v>67392</v>
      </c>
      <c r="I616" s="189" t="s">
        <v>225</v>
      </c>
      <c r="J616" s="189">
        <v>0</v>
      </c>
      <c r="K616" s="189">
        <v>11201</v>
      </c>
      <c r="L616" s="191">
        <v>3</v>
      </c>
      <c r="M616" s="192">
        <v>46092</v>
      </c>
      <c r="N616" s="193">
        <v>1</v>
      </c>
      <c r="O616" s="194">
        <v>0.5</v>
      </c>
      <c r="P616" s="195"/>
      <c r="Q616" s="196" t="s">
        <v>38</v>
      </c>
      <c r="R616" s="197">
        <v>1</v>
      </c>
      <c r="S616" s="198" t="s">
        <v>33</v>
      </c>
      <c r="T616" s="199"/>
      <c r="U616" s="200"/>
      <c r="V616" s="200"/>
      <c r="W616" s="200"/>
      <c r="X616" s="200"/>
      <c r="Y616" s="200"/>
      <c r="Z616" s="200"/>
      <c r="AA616" s="200"/>
      <c r="AB616" s="200"/>
      <c r="AC616" s="208"/>
      <c r="AD616" s="11" t="str">
        <f t="shared" si="36"/>
        <v>3</v>
      </c>
      <c r="AF616" t="str">
        <f t="shared" si="37"/>
        <v>80.01.ZZ.03</v>
      </c>
      <c r="AH616" t="str">
        <f t="shared" si="38"/>
        <v>00 de 01</v>
      </c>
    </row>
    <row r="617" spans="1:34" ht="34.5" x14ac:dyDescent="0.25">
      <c r="A617" s="139" t="s">
        <v>116</v>
      </c>
      <c r="B617" s="105" t="s">
        <v>122</v>
      </c>
      <c r="C617" s="63">
        <v>605</v>
      </c>
      <c r="D617" s="197" t="s">
        <v>192</v>
      </c>
      <c r="E617" s="189" t="s">
        <v>831</v>
      </c>
      <c r="F617" s="190" t="s">
        <v>123</v>
      </c>
      <c r="G617" s="189" t="s">
        <v>134</v>
      </c>
      <c r="H617" s="191">
        <v>67392</v>
      </c>
      <c r="I617" s="189" t="s">
        <v>225</v>
      </c>
      <c r="J617" s="189">
        <v>0</v>
      </c>
      <c r="K617" s="189">
        <v>11201</v>
      </c>
      <c r="L617" s="191">
        <v>3</v>
      </c>
      <c r="M617" s="192">
        <v>46092</v>
      </c>
      <c r="N617" s="193">
        <v>1</v>
      </c>
      <c r="O617" s="194">
        <v>0.5</v>
      </c>
      <c r="P617" s="195"/>
      <c r="Q617" s="196" t="s">
        <v>38</v>
      </c>
      <c r="R617" s="197">
        <v>1</v>
      </c>
      <c r="S617" s="198" t="s">
        <v>33</v>
      </c>
      <c r="T617" s="199"/>
      <c r="U617" s="200"/>
      <c r="V617" s="200"/>
      <c r="W617" s="200"/>
      <c r="X617" s="200"/>
      <c r="Y617" s="200"/>
      <c r="Z617" s="200"/>
      <c r="AA617" s="200"/>
      <c r="AB617" s="200"/>
      <c r="AC617" s="208"/>
      <c r="AD617" s="11" t="str">
        <f t="shared" si="36"/>
        <v>3</v>
      </c>
      <c r="AF617" t="str">
        <f t="shared" si="37"/>
        <v>80.01.ZZ.03</v>
      </c>
      <c r="AH617" t="str">
        <f t="shared" si="38"/>
        <v>00 de 01</v>
      </c>
    </row>
    <row r="618" spans="1:34" ht="34.5" x14ac:dyDescent="0.25">
      <c r="A618" s="139" t="s">
        <v>116</v>
      </c>
      <c r="B618" s="105" t="s">
        <v>122</v>
      </c>
      <c r="C618" s="63">
        <v>606</v>
      </c>
      <c r="D618" s="197" t="s">
        <v>192</v>
      </c>
      <c r="E618" s="189" t="s">
        <v>832</v>
      </c>
      <c r="F618" s="190" t="s">
        <v>123</v>
      </c>
      <c r="G618" s="189" t="s">
        <v>134</v>
      </c>
      <c r="H618" s="191">
        <v>67392</v>
      </c>
      <c r="I618" s="189" t="s">
        <v>225</v>
      </c>
      <c r="J618" s="189">
        <v>0</v>
      </c>
      <c r="K618" s="189">
        <v>11201</v>
      </c>
      <c r="L618" s="191">
        <v>3</v>
      </c>
      <c r="M618" s="192">
        <v>46092</v>
      </c>
      <c r="N618" s="193">
        <v>1</v>
      </c>
      <c r="O618" s="194">
        <v>0.5</v>
      </c>
      <c r="P618" s="195"/>
      <c r="Q618" s="196" t="s">
        <v>38</v>
      </c>
      <c r="R618" s="197">
        <v>1</v>
      </c>
      <c r="S618" s="198" t="s">
        <v>33</v>
      </c>
      <c r="T618" s="199"/>
      <c r="U618" s="200"/>
      <c r="V618" s="200"/>
      <c r="W618" s="200"/>
      <c r="X618" s="200"/>
      <c r="Y618" s="200"/>
      <c r="Z618" s="200"/>
      <c r="AA618" s="200"/>
      <c r="AB618" s="200"/>
      <c r="AC618" s="208"/>
      <c r="AD618" s="11" t="str">
        <f t="shared" si="36"/>
        <v>3</v>
      </c>
      <c r="AF618" t="str">
        <f t="shared" si="37"/>
        <v>80.01.ZZ.03</v>
      </c>
      <c r="AH618" t="str">
        <f t="shared" si="38"/>
        <v>00 de 01</v>
      </c>
    </row>
    <row r="619" spans="1:34" ht="34.5" x14ac:dyDescent="0.25">
      <c r="A619" s="139" t="s">
        <v>116</v>
      </c>
      <c r="B619" s="105" t="s">
        <v>122</v>
      </c>
      <c r="C619" s="63">
        <v>607</v>
      </c>
      <c r="D619" s="197" t="s">
        <v>192</v>
      </c>
      <c r="E619" s="189" t="s">
        <v>833</v>
      </c>
      <c r="F619" s="190" t="s">
        <v>123</v>
      </c>
      <c r="G619" s="189" t="s">
        <v>134</v>
      </c>
      <c r="H619" s="191">
        <v>67392</v>
      </c>
      <c r="I619" s="189" t="s">
        <v>225</v>
      </c>
      <c r="J619" s="189">
        <v>0</v>
      </c>
      <c r="K619" s="189">
        <v>11201</v>
      </c>
      <c r="L619" s="191">
        <v>3</v>
      </c>
      <c r="M619" s="192">
        <v>46092</v>
      </c>
      <c r="N619" s="193">
        <v>1</v>
      </c>
      <c r="O619" s="194">
        <v>0.5</v>
      </c>
      <c r="P619" s="195"/>
      <c r="Q619" s="196" t="s">
        <v>38</v>
      </c>
      <c r="R619" s="197">
        <v>1</v>
      </c>
      <c r="S619" s="198" t="s">
        <v>33</v>
      </c>
      <c r="T619" s="199"/>
      <c r="U619" s="200"/>
      <c r="V619" s="200"/>
      <c r="W619" s="200"/>
      <c r="X619" s="200"/>
      <c r="Y619" s="200"/>
      <c r="Z619" s="200"/>
      <c r="AA619" s="200"/>
      <c r="AB619" s="200"/>
      <c r="AC619" s="208"/>
      <c r="AD619" s="11" t="str">
        <f t="shared" si="36"/>
        <v>3</v>
      </c>
      <c r="AF619" t="str">
        <f t="shared" si="37"/>
        <v>80.01.ZZ.03</v>
      </c>
      <c r="AH619" t="str">
        <f t="shared" si="38"/>
        <v>00 de 01</v>
      </c>
    </row>
    <row r="620" spans="1:34" ht="34.5" x14ac:dyDescent="0.25">
      <c r="A620" s="139" t="s">
        <v>116</v>
      </c>
      <c r="B620" s="105" t="s">
        <v>122</v>
      </c>
      <c r="C620" s="63">
        <v>608</v>
      </c>
      <c r="D620" s="197" t="s">
        <v>192</v>
      </c>
      <c r="E620" s="189" t="s">
        <v>834</v>
      </c>
      <c r="F620" s="190" t="s">
        <v>123</v>
      </c>
      <c r="G620" s="189" t="s">
        <v>134</v>
      </c>
      <c r="H620" s="191">
        <v>67392</v>
      </c>
      <c r="I620" s="189" t="s">
        <v>225</v>
      </c>
      <c r="J620" s="189">
        <v>0</v>
      </c>
      <c r="K620" s="189">
        <v>11201</v>
      </c>
      <c r="L620" s="191">
        <v>3</v>
      </c>
      <c r="M620" s="192">
        <v>46092</v>
      </c>
      <c r="N620" s="193">
        <v>1</v>
      </c>
      <c r="O620" s="194">
        <v>0.5</v>
      </c>
      <c r="P620" s="195"/>
      <c r="Q620" s="196" t="s">
        <v>38</v>
      </c>
      <c r="R620" s="197">
        <v>1</v>
      </c>
      <c r="S620" s="198" t="s">
        <v>33</v>
      </c>
      <c r="T620" s="199"/>
      <c r="U620" s="200"/>
      <c r="V620" s="200"/>
      <c r="W620" s="200"/>
      <c r="X620" s="200"/>
      <c r="Y620" s="200"/>
      <c r="Z620" s="200"/>
      <c r="AA620" s="200"/>
      <c r="AB620" s="200"/>
      <c r="AC620" s="208"/>
      <c r="AD620" s="11" t="str">
        <f t="shared" si="36"/>
        <v>3</v>
      </c>
      <c r="AF620" t="str">
        <f t="shared" si="37"/>
        <v>80.01.ZZ.03</v>
      </c>
      <c r="AH620" t="str">
        <f t="shared" si="38"/>
        <v>00 de 01</v>
      </c>
    </row>
    <row r="621" spans="1:34" ht="34.5" x14ac:dyDescent="0.25">
      <c r="A621" s="139" t="s">
        <v>116</v>
      </c>
      <c r="B621" s="105" t="s">
        <v>122</v>
      </c>
      <c r="C621" s="63">
        <v>609</v>
      </c>
      <c r="D621" s="197" t="s">
        <v>192</v>
      </c>
      <c r="E621" s="189" t="s">
        <v>835</v>
      </c>
      <c r="F621" s="190" t="s">
        <v>123</v>
      </c>
      <c r="G621" s="189" t="s">
        <v>134</v>
      </c>
      <c r="H621" s="191">
        <v>67392</v>
      </c>
      <c r="I621" s="189" t="s">
        <v>225</v>
      </c>
      <c r="J621" s="189">
        <v>0</v>
      </c>
      <c r="K621" s="189">
        <v>11201</v>
      </c>
      <c r="L621" s="191">
        <v>3</v>
      </c>
      <c r="M621" s="192">
        <v>46092</v>
      </c>
      <c r="N621" s="193">
        <v>1</v>
      </c>
      <c r="O621" s="194">
        <v>0.5</v>
      </c>
      <c r="P621" s="195"/>
      <c r="Q621" s="196" t="s">
        <v>38</v>
      </c>
      <c r="R621" s="197">
        <v>1</v>
      </c>
      <c r="S621" s="198" t="s">
        <v>33</v>
      </c>
      <c r="T621" s="199"/>
      <c r="U621" s="200"/>
      <c r="V621" s="200"/>
      <c r="W621" s="200"/>
      <c r="X621" s="200"/>
      <c r="Y621" s="200"/>
      <c r="Z621" s="200"/>
      <c r="AA621" s="200"/>
      <c r="AB621" s="200"/>
      <c r="AC621" s="208"/>
      <c r="AD621" s="11" t="str">
        <f t="shared" si="36"/>
        <v>3</v>
      </c>
      <c r="AF621" t="str">
        <f t="shared" si="37"/>
        <v>80.01.ZZ.03</v>
      </c>
      <c r="AH621" t="str">
        <f t="shared" si="38"/>
        <v>00 de 01</v>
      </c>
    </row>
    <row r="622" spans="1:34" ht="34.5" x14ac:dyDescent="0.25">
      <c r="A622" s="139" t="s">
        <v>116</v>
      </c>
      <c r="B622" s="105" t="s">
        <v>122</v>
      </c>
      <c r="C622" s="63">
        <v>610</v>
      </c>
      <c r="D622" s="197" t="s">
        <v>192</v>
      </c>
      <c r="E622" s="189" t="s">
        <v>836</v>
      </c>
      <c r="F622" s="190" t="s">
        <v>123</v>
      </c>
      <c r="G622" s="189" t="s">
        <v>134</v>
      </c>
      <c r="H622" s="191">
        <v>67392</v>
      </c>
      <c r="I622" s="189" t="s">
        <v>225</v>
      </c>
      <c r="J622" s="189">
        <v>0</v>
      </c>
      <c r="K622" s="189">
        <v>11201</v>
      </c>
      <c r="L622" s="191">
        <v>3</v>
      </c>
      <c r="M622" s="192">
        <v>46092</v>
      </c>
      <c r="N622" s="193">
        <v>1</v>
      </c>
      <c r="O622" s="194">
        <v>0.5</v>
      </c>
      <c r="P622" s="195"/>
      <c r="Q622" s="196" t="s">
        <v>38</v>
      </c>
      <c r="R622" s="197">
        <v>1</v>
      </c>
      <c r="S622" s="198" t="s">
        <v>33</v>
      </c>
      <c r="T622" s="199"/>
      <c r="U622" s="200"/>
      <c r="V622" s="200"/>
      <c r="W622" s="200"/>
      <c r="X622" s="200"/>
      <c r="Y622" s="200"/>
      <c r="Z622" s="200"/>
      <c r="AA622" s="200"/>
      <c r="AB622" s="200"/>
      <c r="AC622" s="208"/>
      <c r="AD622" s="11" t="str">
        <f t="shared" si="36"/>
        <v>3</v>
      </c>
      <c r="AF622" t="str">
        <f t="shared" si="37"/>
        <v>80.01.ZZ.03</v>
      </c>
      <c r="AH622" t="str">
        <f t="shared" si="38"/>
        <v>00 de 01</v>
      </c>
    </row>
    <row r="623" spans="1:34" ht="34.5" x14ac:dyDescent="0.25">
      <c r="A623" s="139" t="s">
        <v>116</v>
      </c>
      <c r="B623" s="105" t="s">
        <v>122</v>
      </c>
      <c r="C623" s="63">
        <v>611</v>
      </c>
      <c r="D623" s="197" t="s">
        <v>192</v>
      </c>
      <c r="E623" s="189" t="s">
        <v>837</v>
      </c>
      <c r="F623" s="190" t="s">
        <v>123</v>
      </c>
      <c r="G623" s="189" t="s">
        <v>134</v>
      </c>
      <c r="H623" s="191">
        <v>67392</v>
      </c>
      <c r="I623" s="189" t="s">
        <v>225</v>
      </c>
      <c r="J623" s="189">
        <v>0</v>
      </c>
      <c r="K623" s="189">
        <v>11201</v>
      </c>
      <c r="L623" s="191">
        <v>3</v>
      </c>
      <c r="M623" s="192">
        <v>46092</v>
      </c>
      <c r="N623" s="193">
        <v>1</v>
      </c>
      <c r="O623" s="194">
        <v>0.5</v>
      </c>
      <c r="P623" s="195"/>
      <c r="Q623" s="196" t="s">
        <v>38</v>
      </c>
      <c r="R623" s="197">
        <v>1</v>
      </c>
      <c r="S623" s="198" t="s">
        <v>33</v>
      </c>
      <c r="T623" s="199"/>
      <c r="U623" s="200"/>
      <c r="V623" s="200"/>
      <c r="W623" s="200"/>
      <c r="X623" s="200"/>
      <c r="Y623" s="200"/>
      <c r="Z623" s="200"/>
      <c r="AA623" s="200"/>
      <c r="AB623" s="200"/>
      <c r="AC623" s="208"/>
      <c r="AD623" s="11" t="str">
        <f t="shared" si="36"/>
        <v>3</v>
      </c>
      <c r="AF623" t="str">
        <f t="shared" si="37"/>
        <v>80.01.ZZ.03</v>
      </c>
      <c r="AH623" t="str">
        <f t="shared" si="38"/>
        <v>00 de 01</v>
      </c>
    </row>
    <row r="624" spans="1:34" ht="34.5" x14ac:dyDescent="0.25">
      <c r="A624" s="139" t="s">
        <v>116</v>
      </c>
      <c r="B624" s="105" t="s">
        <v>122</v>
      </c>
      <c r="C624" s="63">
        <v>612</v>
      </c>
      <c r="D624" s="197" t="s">
        <v>192</v>
      </c>
      <c r="E624" s="189" t="s">
        <v>838</v>
      </c>
      <c r="F624" s="190" t="s">
        <v>123</v>
      </c>
      <c r="G624" s="189" t="s">
        <v>134</v>
      </c>
      <c r="H624" s="191">
        <v>67392</v>
      </c>
      <c r="I624" s="189" t="s">
        <v>225</v>
      </c>
      <c r="J624" s="189">
        <v>0</v>
      </c>
      <c r="K624" s="189">
        <v>11201</v>
      </c>
      <c r="L624" s="191">
        <v>3</v>
      </c>
      <c r="M624" s="192">
        <v>46092</v>
      </c>
      <c r="N624" s="193">
        <v>1</v>
      </c>
      <c r="O624" s="194">
        <v>0.5</v>
      </c>
      <c r="P624" s="195"/>
      <c r="Q624" s="196" t="s">
        <v>38</v>
      </c>
      <c r="R624" s="197">
        <v>1</v>
      </c>
      <c r="S624" s="198" t="s">
        <v>33</v>
      </c>
      <c r="T624" s="199"/>
      <c r="U624" s="200"/>
      <c r="V624" s="200"/>
      <c r="W624" s="200"/>
      <c r="X624" s="200"/>
      <c r="Y624" s="200"/>
      <c r="Z624" s="200"/>
      <c r="AA624" s="200"/>
      <c r="AB624" s="200"/>
      <c r="AC624" s="208"/>
      <c r="AD624" s="11" t="str">
        <f t="shared" si="36"/>
        <v>3</v>
      </c>
      <c r="AF624" t="str">
        <f t="shared" si="37"/>
        <v>80.01.ZZ.03</v>
      </c>
      <c r="AH624" t="str">
        <f t="shared" si="38"/>
        <v>00 de 01</v>
      </c>
    </row>
    <row r="625" spans="1:34" ht="34.5" x14ac:dyDescent="0.25">
      <c r="A625" s="139" t="s">
        <v>116</v>
      </c>
      <c r="B625" s="105" t="s">
        <v>122</v>
      </c>
      <c r="C625" s="63">
        <v>613</v>
      </c>
      <c r="D625" s="197" t="s">
        <v>192</v>
      </c>
      <c r="E625" s="189" t="s">
        <v>839</v>
      </c>
      <c r="F625" s="190" t="s">
        <v>123</v>
      </c>
      <c r="G625" s="189" t="s">
        <v>134</v>
      </c>
      <c r="H625" s="191">
        <v>67392</v>
      </c>
      <c r="I625" s="189" t="s">
        <v>225</v>
      </c>
      <c r="J625" s="189">
        <v>0</v>
      </c>
      <c r="K625" s="189">
        <v>11201</v>
      </c>
      <c r="L625" s="191">
        <v>3</v>
      </c>
      <c r="M625" s="192">
        <v>46092</v>
      </c>
      <c r="N625" s="193">
        <v>1</v>
      </c>
      <c r="O625" s="194">
        <v>0.5</v>
      </c>
      <c r="P625" s="195"/>
      <c r="Q625" s="196" t="s">
        <v>38</v>
      </c>
      <c r="R625" s="197">
        <v>1</v>
      </c>
      <c r="S625" s="198" t="s">
        <v>33</v>
      </c>
      <c r="T625" s="199"/>
      <c r="U625" s="200"/>
      <c r="V625" s="200"/>
      <c r="W625" s="200"/>
      <c r="X625" s="200"/>
      <c r="Y625" s="200"/>
      <c r="Z625" s="200"/>
      <c r="AA625" s="200"/>
      <c r="AB625" s="200"/>
      <c r="AC625" s="208"/>
      <c r="AD625" s="11" t="str">
        <f t="shared" si="36"/>
        <v>3</v>
      </c>
      <c r="AF625" t="str">
        <f t="shared" si="37"/>
        <v>80.01.ZZ.03</v>
      </c>
      <c r="AH625" t="str">
        <f t="shared" si="38"/>
        <v>00 de 01</v>
      </c>
    </row>
    <row r="626" spans="1:34" ht="34.5" x14ac:dyDescent="0.25">
      <c r="A626" s="139" t="s">
        <v>116</v>
      </c>
      <c r="B626" s="105" t="s">
        <v>122</v>
      </c>
      <c r="C626" s="63">
        <v>614</v>
      </c>
      <c r="D626" s="197" t="s">
        <v>192</v>
      </c>
      <c r="E626" s="189" t="s">
        <v>840</v>
      </c>
      <c r="F626" s="190" t="s">
        <v>123</v>
      </c>
      <c r="G626" s="189" t="s">
        <v>134</v>
      </c>
      <c r="H626" s="191">
        <v>67392</v>
      </c>
      <c r="I626" s="189" t="s">
        <v>225</v>
      </c>
      <c r="J626" s="189">
        <v>0</v>
      </c>
      <c r="K626" s="189">
        <v>11201</v>
      </c>
      <c r="L626" s="191">
        <v>3</v>
      </c>
      <c r="M626" s="192">
        <v>46092</v>
      </c>
      <c r="N626" s="193">
        <v>1</v>
      </c>
      <c r="O626" s="194">
        <v>0.5</v>
      </c>
      <c r="P626" s="195"/>
      <c r="Q626" s="196" t="s">
        <v>38</v>
      </c>
      <c r="R626" s="197">
        <v>1</v>
      </c>
      <c r="S626" s="198" t="s">
        <v>33</v>
      </c>
      <c r="T626" s="199"/>
      <c r="U626" s="200"/>
      <c r="V626" s="200"/>
      <c r="W626" s="200"/>
      <c r="X626" s="200"/>
      <c r="Y626" s="200"/>
      <c r="Z626" s="200"/>
      <c r="AA626" s="200"/>
      <c r="AB626" s="200"/>
      <c r="AC626" s="208"/>
      <c r="AD626" s="11" t="str">
        <f t="shared" si="36"/>
        <v>3</v>
      </c>
      <c r="AF626" t="str">
        <f t="shared" si="37"/>
        <v>80.01.ZZ.03</v>
      </c>
      <c r="AH626" t="str">
        <f t="shared" si="38"/>
        <v>00 de 01</v>
      </c>
    </row>
    <row r="627" spans="1:34" ht="34.5" x14ac:dyDescent="0.25">
      <c r="A627" s="139" t="s">
        <v>116</v>
      </c>
      <c r="B627" s="105" t="s">
        <v>122</v>
      </c>
      <c r="C627" s="63">
        <v>615</v>
      </c>
      <c r="D627" s="197" t="s">
        <v>192</v>
      </c>
      <c r="E627" s="189" t="s">
        <v>841</v>
      </c>
      <c r="F627" s="190" t="s">
        <v>123</v>
      </c>
      <c r="G627" s="189" t="s">
        <v>134</v>
      </c>
      <c r="H627" s="191">
        <v>67392</v>
      </c>
      <c r="I627" s="189" t="s">
        <v>225</v>
      </c>
      <c r="J627" s="189">
        <v>0</v>
      </c>
      <c r="K627" s="189">
        <v>11201</v>
      </c>
      <c r="L627" s="191">
        <v>3</v>
      </c>
      <c r="M627" s="192">
        <v>46092</v>
      </c>
      <c r="N627" s="193">
        <v>1</v>
      </c>
      <c r="O627" s="194">
        <v>0.5</v>
      </c>
      <c r="P627" s="195"/>
      <c r="Q627" s="196" t="s">
        <v>38</v>
      </c>
      <c r="R627" s="197">
        <v>1</v>
      </c>
      <c r="S627" s="198" t="s">
        <v>33</v>
      </c>
      <c r="T627" s="199"/>
      <c r="U627" s="200"/>
      <c r="V627" s="200"/>
      <c r="W627" s="200"/>
      <c r="X627" s="200"/>
      <c r="Y627" s="200"/>
      <c r="Z627" s="200"/>
      <c r="AA627" s="200"/>
      <c r="AB627" s="200"/>
      <c r="AC627" s="208"/>
      <c r="AD627" s="11" t="str">
        <f t="shared" si="36"/>
        <v>3</v>
      </c>
      <c r="AF627" t="str">
        <f t="shared" si="37"/>
        <v>80.01.ZZ.03</v>
      </c>
      <c r="AH627" t="str">
        <f t="shared" si="38"/>
        <v>00 de 01</v>
      </c>
    </row>
    <row r="628" spans="1:34" ht="34.5" x14ac:dyDescent="0.25">
      <c r="A628" s="139" t="s">
        <v>116</v>
      </c>
      <c r="B628" s="105" t="s">
        <v>122</v>
      </c>
      <c r="C628" s="63">
        <v>616</v>
      </c>
      <c r="D628" s="197" t="s">
        <v>192</v>
      </c>
      <c r="E628" s="189" t="s">
        <v>842</v>
      </c>
      <c r="F628" s="190" t="s">
        <v>123</v>
      </c>
      <c r="G628" s="189" t="s">
        <v>134</v>
      </c>
      <c r="H628" s="191">
        <v>67392</v>
      </c>
      <c r="I628" s="189" t="s">
        <v>225</v>
      </c>
      <c r="J628" s="189">
        <v>0</v>
      </c>
      <c r="K628" s="189">
        <v>11201</v>
      </c>
      <c r="L628" s="191">
        <v>3</v>
      </c>
      <c r="M628" s="192">
        <v>46092</v>
      </c>
      <c r="N628" s="193">
        <v>1</v>
      </c>
      <c r="O628" s="194">
        <v>0.5</v>
      </c>
      <c r="P628" s="195"/>
      <c r="Q628" s="196" t="s">
        <v>38</v>
      </c>
      <c r="R628" s="197">
        <v>1</v>
      </c>
      <c r="S628" s="198" t="s">
        <v>33</v>
      </c>
      <c r="T628" s="199"/>
      <c r="U628" s="200"/>
      <c r="V628" s="200"/>
      <c r="W628" s="200"/>
      <c r="X628" s="200"/>
      <c r="Y628" s="200"/>
      <c r="Z628" s="200"/>
      <c r="AA628" s="200"/>
      <c r="AB628" s="200"/>
      <c r="AC628" s="208"/>
      <c r="AD628" s="11" t="str">
        <f t="shared" si="36"/>
        <v>3</v>
      </c>
      <c r="AF628" t="str">
        <f t="shared" si="37"/>
        <v>80.01.ZZ.03</v>
      </c>
      <c r="AH628" t="str">
        <f t="shared" si="38"/>
        <v>00 de 01</v>
      </c>
    </row>
    <row r="629" spans="1:34" ht="34.5" x14ac:dyDescent="0.25">
      <c r="A629" s="139" t="s">
        <v>116</v>
      </c>
      <c r="B629" s="105" t="s">
        <v>122</v>
      </c>
      <c r="C629" s="63">
        <v>617</v>
      </c>
      <c r="D629" s="197" t="s">
        <v>192</v>
      </c>
      <c r="E629" s="189" t="s">
        <v>843</v>
      </c>
      <c r="F629" s="190" t="s">
        <v>123</v>
      </c>
      <c r="G629" s="189" t="s">
        <v>134</v>
      </c>
      <c r="H629" s="191">
        <v>67392</v>
      </c>
      <c r="I629" s="189" t="s">
        <v>225</v>
      </c>
      <c r="J629" s="189">
        <v>0</v>
      </c>
      <c r="K629" s="189">
        <v>11201</v>
      </c>
      <c r="L629" s="191">
        <v>3</v>
      </c>
      <c r="M629" s="192">
        <v>46092</v>
      </c>
      <c r="N629" s="193">
        <v>1</v>
      </c>
      <c r="O629" s="194">
        <v>0.5</v>
      </c>
      <c r="P629" s="195"/>
      <c r="Q629" s="196" t="s">
        <v>38</v>
      </c>
      <c r="R629" s="197">
        <v>1</v>
      </c>
      <c r="S629" s="198" t="s">
        <v>33</v>
      </c>
      <c r="T629" s="199"/>
      <c r="U629" s="200"/>
      <c r="V629" s="200"/>
      <c r="W629" s="200"/>
      <c r="X629" s="200"/>
      <c r="Y629" s="200"/>
      <c r="Z629" s="200"/>
      <c r="AA629" s="200"/>
      <c r="AB629" s="200"/>
      <c r="AC629" s="208"/>
      <c r="AD629" s="11" t="str">
        <f t="shared" si="36"/>
        <v>3</v>
      </c>
      <c r="AF629" t="str">
        <f t="shared" si="37"/>
        <v>80.01.ZZ.03</v>
      </c>
      <c r="AH629" t="str">
        <f t="shared" si="38"/>
        <v>00 de 01</v>
      </c>
    </row>
    <row r="630" spans="1:34" ht="34.5" x14ac:dyDescent="0.25">
      <c r="A630" s="139" t="s">
        <v>116</v>
      </c>
      <c r="B630" s="105" t="s">
        <v>122</v>
      </c>
      <c r="C630" s="63">
        <v>618</v>
      </c>
      <c r="D630" s="197" t="s">
        <v>192</v>
      </c>
      <c r="E630" s="189" t="s">
        <v>844</v>
      </c>
      <c r="F630" s="190" t="s">
        <v>123</v>
      </c>
      <c r="G630" s="189" t="s">
        <v>134</v>
      </c>
      <c r="H630" s="191">
        <v>67392</v>
      </c>
      <c r="I630" s="189" t="s">
        <v>225</v>
      </c>
      <c r="J630" s="189">
        <v>0</v>
      </c>
      <c r="K630" s="189">
        <v>11201</v>
      </c>
      <c r="L630" s="191">
        <v>3</v>
      </c>
      <c r="M630" s="192">
        <v>46092</v>
      </c>
      <c r="N630" s="193">
        <v>1</v>
      </c>
      <c r="O630" s="194">
        <v>0.5</v>
      </c>
      <c r="P630" s="195"/>
      <c r="Q630" s="196" t="s">
        <v>38</v>
      </c>
      <c r="R630" s="197">
        <v>1</v>
      </c>
      <c r="S630" s="198" t="s">
        <v>33</v>
      </c>
      <c r="T630" s="199"/>
      <c r="U630" s="200"/>
      <c r="V630" s="200"/>
      <c r="W630" s="200"/>
      <c r="X630" s="200"/>
      <c r="Y630" s="200"/>
      <c r="Z630" s="200"/>
      <c r="AA630" s="200"/>
      <c r="AB630" s="200"/>
      <c r="AC630" s="208"/>
      <c r="AD630" s="11" t="str">
        <f t="shared" si="36"/>
        <v>3</v>
      </c>
      <c r="AF630" t="str">
        <f t="shared" si="37"/>
        <v>80.01.ZZ.03</v>
      </c>
      <c r="AH630" t="str">
        <f t="shared" si="38"/>
        <v>00 de 01</v>
      </c>
    </row>
    <row r="631" spans="1:34" ht="34.5" x14ac:dyDescent="0.25">
      <c r="A631" s="139" t="s">
        <v>116</v>
      </c>
      <c r="B631" s="105" t="s">
        <v>122</v>
      </c>
      <c r="C631" s="63">
        <v>619</v>
      </c>
      <c r="D631" s="197" t="s">
        <v>192</v>
      </c>
      <c r="E631" s="189" t="s">
        <v>845</v>
      </c>
      <c r="F631" s="190" t="s">
        <v>123</v>
      </c>
      <c r="G631" s="189" t="s">
        <v>134</v>
      </c>
      <c r="H631" s="191">
        <v>67392</v>
      </c>
      <c r="I631" s="189" t="s">
        <v>225</v>
      </c>
      <c r="J631" s="189">
        <v>0</v>
      </c>
      <c r="K631" s="189">
        <v>11201</v>
      </c>
      <c r="L631" s="191">
        <v>3</v>
      </c>
      <c r="M631" s="192">
        <v>46092</v>
      </c>
      <c r="N631" s="193">
        <v>1</v>
      </c>
      <c r="O631" s="194">
        <v>0.5</v>
      </c>
      <c r="P631" s="195"/>
      <c r="Q631" s="196" t="s">
        <v>38</v>
      </c>
      <c r="R631" s="197">
        <v>1</v>
      </c>
      <c r="S631" s="198" t="s">
        <v>33</v>
      </c>
      <c r="T631" s="199"/>
      <c r="U631" s="200"/>
      <c r="V631" s="200"/>
      <c r="W631" s="200"/>
      <c r="X631" s="200"/>
      <c r="Y631" s="200"/>
      <c r="Z631" s="200"/>
      <c r="AA631" s="200"/>
      <c r="AB631" s="200"/>
      <c r="AC631" s="208"/>
      <c r="AD631" s="11" t="str">
        <f t="shared" si="36"/>
        <v>3</v>
      </c>
      <c r="AF631" t="str">
        <f t="shared" si="37"/>
        <v>80.01.ZZ.03</v>
      </c>
      <c r="AH631" t="str">
        <f t="shared" si="38"/>
        <v>00 de 01</v>
      </c>
    </row>
    <row r="632" spans="1:34" ht="34.5" x14ac:dyDescent="0.25">
      <c r="A632" s="139" t="s">
        <v>116</v>
      </c>
      <c r="B632" s="105" t="s">
        <v>122</v>
      </c>
      <c r="C632" s="63">
        <v>620</v>
      </c>
      <c r="D632" s="197" t="s">
        <v>192</v>
      </c>
      <c r="E632" s="189" t="s">
        <v>846</v>
      </c>
      <c r="F632" s="190" t="s">
        <v>123</v>
      </c>
      <c r="G632" s="189" t="s">
        <v>134</v>
      </c>
      <c r="H632" s="191">
        <v>67392</v>
      </c>
      <c r="I632" s="189" t="s">
        <v>225</v>
      </c>
      <c r="J632" s="189">
        <v>0</v>
      </c>
      <c r="K632" s="189">
        <v>11201</v>
      </c>
      <c r="L632" s="191">
        <v>3</v>
      </c>
      <c r="M632" s="192">
        <v>46092</v>
      </c>
      <c r="N632" s="193">
        <v>1</v>
      </c>
      <c r="O632" s="194">
        <v>0.5</v>
      </c>
      <c r="P632" s="195"/>
      <c r="Q632" s="196" t="s">
        <v>38</v>
      </c>
      <c r="R632" s="197">
        <v>1</v>
      </c>
      <c r="S632" s="198" t="s">
        <v>33</v>
      </c>
      <c r="T632" s="199"/>
      <c r="U632" s="200"/>
      <c r="V632" s="200"/>
      <c r="W632" s="200"/>
      <c r="X632" s="200"/>
      <c r="Y632" s="200"/>
      <c r="Z632" s="200"/>
      <c r="AA632" s="200"/>
      <c r="AB632" s="200"/>
      <c r="AC632" s="208"/>
      <c r="AD632" s="11" t="str">
        <f t="shared" si="36"/>
        <v>3</v>
      </c>
      <c r="AF632" t="str">
        <f t="shared" si="37"/>
        <v>80.01.ZZ.03</v>
      </c>
      <c r="AH632" t="str">
        <f t="shared" si="38"/>
        <v>00 de 01</v>
      </c>
    </row>
    <row r="633" spans="1:34" ht="34.5" x14ac:dyDescent="0.25">
      <c r="A633" s="139" t="s">
        <v>116</v>
      </c>
      <c r="B633" s="105" t="s">
        <v>122</v>
      </c>
      <c r="C633" s="63">
        <v>621</v>
      </c>
      <c r="D633" s="197" t="s">
        <v>192</v>
      </c>
      <c r="E633" s="189" t="s">
        <v>847</v>
      </c>
      <c r="F633" s="190" t="s">
        <v>123</v>
      </c>
      <c r="G633" s="189" t="s">
        <v>134</v>
      </c>
      <c r="H633" s="191">
        <v>67392</v>
      </c>
      <c r="I633" s="189" t="s">
        <v>225</v>
      </c>
      <c r="J633" s="189">
        <v>0</v>
      </c>
      <c r="K633" s="189">
        <v>11201</v>
      </c>
      <c r="L633" s="191">
        <v>3</v>
      </c>
      <c r="M633" s="192">
        <v>46092</v>
      </c>
      <c r="N633" s="193">
        <v>1</v>
      </c>
      <c r="O633" s="194">
        <v>0.5</v>
      </c>
      <c r="P633" s="195"/>
      <c r="Q633" s="196" t="s">
        <v>38</v>
      </c>
      <c r="R633" s="197">
        <v>1</v>
      </c>
      <c r="S633" s="198" t="s">
        <v>33</v>
      </c>
      <c r="T633" s="199"/>
      <c r="U633" s="200"/>
      <c r="V633" s="200"/>
      <c r="W633" s="200"/>
      <c r="X633" s="200"/>
      <c r="Y633" s="200"/>
      <c r="Z633" s="200"/>
      <c r="AA633" s="200"/>
      <c r="AB633" s="200"/>
      <c r="AC633" s="208"/>
      <c r="AD633" s="11" t="str">
        <f t="shared" si="36"/>
        <v>3</v>
      </c>
      <c r="AF633" t="str">
        <f t="shared" si="37"/>
        <v>80.01.ZZ.03</v>
      </c>
      <c r="AH633" t="str">
        <f t="shared" si="38"/>
        <v>00 de 01</v>
      </c>
    </row>
    <row r="634" spans="1:34" ht="34.5" x14ac:dyDescent="0.25">
      <c r="A634" s="139" t="s">
        <v>116</v>
      </c>
      <c r="B634" s="105" t="s">
        <v>122</v>
      </c>
      <c r="C634" s="63">
        <v>622</v>
      </c>
      <c r="D634" s="197" t="s">
        <v>192</v>
      </c>
      <c r="E634" s="189" t="s">
        <v>848</v>
      </c>
      <c r="F634" s="190" t="s">
        <v>123</v>
      </c>
      <c r="G634" s="189" t="s">
        <v>134</v>
      </c>
      <c r="H634" s="191">
        <v>67392</v>
      </c>
      <c r="I634" s="189" t="s">
        <v>225</v>
      </c>
      <c r="J634" s="189">
        <v>0</v>
      </c>
      <c r="K634" s="189">
        <v>11201</v>
      </c>
      <c r="L634" s="191">
        <v>3</v>
      </c>
      <c r="M634" s="192">
        <v>46092</v>
      </c>
      <c r="N634" s="193">
        <v>1</v>
      </c>
      <c r="O634" s="194">
        <v>0.5</v>
      </c>
      <c r="P634" s="195"/>
      <c r="Q634" s="196" t="s">
        <v>38</v>
      </c>
      <c r="R634" s="197">
        <v>1</v>
      </c>
      <c r="S634" s="198" t="s">
        <v>33</v>
      </c>
      <c r="T634" s="199"/>
      <c r="U634" s="200"/>
      <c r="V634" s="200"/>
      <c r="W634" s="200"/>
      <c r="X634" s="200"/>
      <c r="Y634" s="200"/>
      <c r="Z634" s="200"/>
      <c r="AA634" s="200"/>
      <c r="AB634" s="200"/>
      <c r="AC634" s="208"/>
      <c r="AD634" s="11" t="str">
        <f t="shared" si="36"/>
        <v>3</v>
      </c>
      <c r="AF634" t="str">
        <f t="shared" si="37"/>
        <v>80.01.ZZ.03</v>
      </c>
      <c r="AH634" t="str">
        <f t="shared" si="38"/>
        <v>00 de 01</v>
      </c>
    </row>
    <row r="635" spans="1:34" ht="34.5" x14ac:dyDescent="0.25">
      <c r="A635" s="139" t="s">
        <v>116</v>
      </c>
      <c r="B635" s="105" t="s">
        <v>122</v>
      </c>
      <c r="C635" s="63">
        <v>623</v>
      </c>
      <c r="D635" s="197" t="s">
        <v>192</v>
      </c>
      <c r="E635" s="189" t="s">
        <v>849</v>
      </c>
      <c r="F635" s="190" t="s">
        <v>123</v>
      </c>
      <c r="G635" s="189" t="s">
        <v>134</v>
      </c>
      <c r="H635" s="191">
        <v>67392</v>
      </c>
      <c r="I635" s="189" t="s">
        <v>225</v>
      </c>
      <c r="J635" s="189">
        <v>0</v>
      </c>
      <c r="K635" s="189">
        <v>11201</v>
      </c>
      <c r="L635" s="191">
        <v>3</v>
      </c>
      <c r="M635" s="192">
        <v>46092</v>
      </c>
      <c r="N635" s="193">
        <v>1</v>
      </c>
      <c r="O635" s="194">
        <v>0.5</v>
      </c>
      <c r="P635" s="195"/>
      <c r="Q635" s="196" t="s">
        <v>38</v>
      </c>
      <c r="R635" s="197">
        <v>1</v>
      </c>
      <c r="S635" s="198" t="s">
        <v>33</v>
      </c>
      <c r="T635" s="199"/>
      <c r="U635" s="200"/>
      <c r="V635" s="200"/>
      <c r="W635" s="200"/>
      <c r="X635" s="200"/>
      <c r="Y635" s="200"/>
      <c r="Z635" s="200"/>
      <c r="AA635" s="200"/>
      <c r="AB635" s="200"/>
      <c r="AC635" s="208"/>
      <c r="AD635" s="11" t="str">
        <f t="shared" si="36"/>
        <v>3</v>
      </c>
      <c r="AF635" t="str">
        <f t="shared" si="37"/>
        <v>80.01.ZZ.03</v>
      </c>
      <c r="AH635" t="str">
        <f t="shared" si="38"/>
        <v>00 de 01</v>
      </c>
    </row>
    <row r="636" spans="1:34" ht="34.5" x14ac:dyDescent="0.25">
      <c r="A636" s="139" t="s">
        <v>116</v>
      </c>
      <c r="B636" s="105" t="s">
        <v>122</v>
      </c>
      <c r="C636" s="63">
        <v>624</v>
      </c>
      <c r="D636" s="197" t="s">
        <v>192</v>
      </c>
      <c r="E636" s="189" t="s">
        <v>850</v>
      </c>
      <c r="F636" s="190" t="s">
        <v>123</v>
      </c>
      <c r="G636" s="189" t="s">
        <v>134</v>
      </c>
      <c r="H636" s="191">
        <v>67392</v>
      </c>
      <c r="I636" s="189" t="s">
        <v>225</v>
      </c>
      <c r="J636" s="189">
        <v>0</v>
      </c>
      <c r="K636" s="189">
        <v>11201</v>
      </c>
      <c r="L636" s="191">
        <v>3</v>
      </c>
      <c r="M636" s="192">
        <v>46092</v>
      </c>
      <c r="N636" s="193">
        <v>1</v>
      </c>
      <c r="O636" s="194">
        <v>0.5</v>
      </c>
      <c r="P636" s="195"/>
      <c r="Q636" s="196" t="s">
        <v>38</v>
      </c>
      <c r="R636" s="197">
        <v>1</v>
      </c>
      <c r="S636" s="198" t="s">
        <v>33</v>
      </c>
      <c r="T636" s="199"/>
      <c r="U636" s="200"/>
      <c r="V636" s="200"/>
      <c r="W636" s="200"/>
      <c r="X636" s="200"/>
      <c r="Y636" s="200"/>
      <c r="Z636" s="200"/>
      <c r="AA636" s="200"/>
      <c r="AB636" s="200"/>
      <c r="AC636" s="208"/>
      <c r="AD636" s="11" t="str">
        <f t="shared" si="36"/>
        <v>3</v>
      </c>
      <c r="AF636" t="str">
        <f t="shared" si="37"/>
        <v>80.01.ZZ.03</v>
      </c>
      <c r="AH636" t="str">
        <f t="shared" si="38"/>
        <v>00 de 01</v>
      </c>
    </row>
    <row r="637" spans="1:34" ht="34.5" x14ac:dyDescent="0.25">
      <c r="A637" s="139" t="s">
        <v>116</v>
      </c>
      <c r="B637" s="105" t="s">
        <v>122</v>
      </c>
      <c r="C637" s="63">
        <v>625</v>
      </c>
      <c r="D637" s="197" t="s">
        <v>192</v>
      </c>
      <c r="E637" s="189" t="s">
        <v>851</v>
      </c>
      <c r="F637" s="190" t="s">
        <v>123</v>
      </c>
      <c r="G637" s="189" t="s">
        <v>134</v>
      </c>
      <c r="H637" s="191">
        <v>67392</v>
      </c>
      <c r="I637" s="189" t="s">
        <v>225</v>
      </c>
      <c r="J637" s="189">
        <v>0</v>
      </c>
      <c r="K637" s="189">
        <v>11201</v>
      </c>
      <c r="L637" s="191">
        <v>3</v>
      </c>
      <c r="M637" s="192">
        <v>46092</v>
      </c>
      <c r="N637" s="193">
        <v>1</v>
      </c>
      <c r="O637" s="194">
        <v>0.5</v>
      </c>
      <c r="P637" s="195"/>
      <c r="Q637" s="196" t="s">
        <v>38</v>
      </c>
      <c r="R637" s="197">
        <v>1</v>
      </c>
      <c r="S637" s="198" t="s">
        <v>33</v>
      </c>
      <c r="T637" s="199"/>
      <c r="U637" s="200"/>
      <c r="V637" s="200"/>
      <c r="W637" s="200"/>
      <c r="X637" s="200"/>
      <c r="Y637" s="200"/>
      <c r="Z637" s="200"/>
      <c r="AA637" s="200"/>
      <c r="AB637" s="200"/>
      <c r="AC637" s="208"/>
      <c r="AD637" s="11" t="str">
        <f t="shared" si="36"/>
        <v>3</v>
      </c>
      <c r="AF637" t="str">
        <f t="shared" si="37"/>
        <v>80.01.ZZ.03</v>
      </c>
      <c r="AH637" t="str">
        <f t="shared" si="38"/>
        <v>00 de 01</v>
      </c>
    </row>
    <row r="638" spans="1:34" ht="34.5" x14ac:dyDescent="0.25">
      <c r="A638" s="139" t="s">
        <v>116</v>
      </c>
      <c r="B638" s="105" t="s">
        <v>122</v>
      </c>
      <c r="C638" s="63">
        <v>626</v>
      </c>
      <c r="D638" s="197" t="s">
        <v>192</v>
      </c>
      <c r="E638" s="189" t="s">
        <v>852</v>
      </c>
      <c r="F638" s="190" t="s">
        <v>123</v>
      </c>
      <c r="G638" s="189" t="s">
        <v>134</v>
      </c>
      <c r="H638" s="191">
        <v>67392</v>
      </c>
      <c r="I638" s="189" t="s">
        <v>225</v>
      </c>
      <c r="J638" s="189">
        <v>0</v>
      </c>
      <c r="K638" s="189">
        <v>11201</v>
      </c>
      <c r="L638" s="191">
        <v>3</v>
      </c>
      <c r="M638" s="192">
        <v>46092</v>
      </c>
      <c r="N638" s="193">
        <v>1</v>
      </c>
      <c r="O638" s="194">
        <v>0.5</v>
      </c>
      <c r="P638" s="195"/>
      <c r="Q638" s="196" t="s">
        <v>38</v>
      </c>
      <c r="R638" s="197">
        <v>1</v>
      </c>
      <c r="S638" s="198" t="s">
        <v>33</v>
      </c>
      <c r="T638" s="199"/>
      <c r="U638" s="200"/>
      <c r="V638" s="200"/>
      <c r="W638" s="200"/>
      <c r="X638" s="200"/>
      <c r="Y638" s="200"/>
      <c r="Z638" s="200"/>
      <c r="AA638" s="200"/>
      <c r="AB638" s="200"/>
      <c r="AC638" s="208"/>
      <c r="AD638" s="11" t="str">
        <f t="shared" si="36"/>
        <v>3</v>
      </c>
      <c r="AF638" t="str">
        <f t="shared" si="37"/>
        <v>80.01.ZZ.03</v>
      </c>
      <c r="AH638" t="str">
        <f t="shared" si="38"/>
        <v>00 de 01</v>
      </c>
    </row>
    <row r="639" spans="1:34" ht="34.5" x14ac:dyDescent="0.25">
      <c r="A639" s="139" t="s">
        <v>116</v>
      </c>
      <c r="B639" s="105" t="s">
        <v>122</v>
      </c>
      <c r="C639" s="63">
        <v>627</v>
      </c>
      <c r="D639" s="197" t="s">
        <v>192</v>
      </c>
      <c r="E639" s="189" t="s">
        <v>853</v>
      </c>
      <c r="F639" s="190" t="s">
        <v>123</v>
      </c>
      <c r="G639" s="189" t="s">
        <v>134</v>
      </c>
      <c r="H639" s="191">
        <v>67392</v>
      </c>
      <c r="I639" s="189" t="s">
        <v>225</v>
      </c>
      <c r="J639" s="189">
        <v>0</v>
      </c>
      <c r="K639" s="189">
        <v>11201</v>
      </c>
      <c r="L639" s="191">
        <v>3</v>
      </c>
      <c r="M639" s="192">
        <v>46092</v>
      </c>
      <c r="N639" s="193">
        <v>1</v>
      </c>
      <c r="O639" s="194">
        <v>0.5</v>
      </c>
      <c r="P639" s="195"/>
      <c r="Q639" s="196" t="s">
        <v>38</v>
      </c>
      <c r="R639" s="197">
        <v>1</v>
      </c>
      <c r="S639" s="198" t="s">
        <v>33</v>
      </c>
      <c r="T639" s="199"/>
      <c r="U639" s="200"/>
      <c r="V639" s="200"/>
      <c r="W639" s="200"/>
      <c r="X639" s="200"/>
      <c r="Y639" s="200"/>
      <c r="Z639" s="200"/>
      <c r="AA639" s="200"/>
      <c r="AB639" s="200"/>
      <c r="AC639" s="208"/>
      <c r="AD639" s="11" t="str">
        <f t="shared" si="36"/>
        <v>3</v>
      </c>
      <c r="AF639" t="str">
        <f t="shared" si="37"/>
        <v>80.01.ZZ.03</v>
      </c>
      <c r="AH639" t="str">
        <f t="shared" si="38"/>
        <v>00 de 01</v>
      </c>
    </row>
    <row r="640" spans="1:34" ht="34.5" x14ac:dyDescent="0.25">
      <c r="A640" s="139" t="s">
        <v>116</v>
      </c>
      <c r="B640" s="105" t="s">
        <v>122</v>
      </c>
      <c r="C640" s="63">
        <v>628</v>
      </c>
      <c r="D640" s="197" t="s">
        <v>192</v>
      </c>
      <c r="E640" s="189" t="s">
        <v>854</v>
      </c>
      <c r="F640" s="190" t="s">
        <v>123</v>
      </c>
      <c r="G640" s="189" t="s">
        <v>134</v>
      </c>
      <c r="H640" s="191">
        <v>67392</v>
      </c>
      <c r="I640" s="189" t="s">
        <v>225</v>
      </c>
      <c r="J640" s="189">
        <v>0</v>
      </c>
      <c r="K640" s="189">
        <v>11201</v>
      </c>
      <c r="L640" s="191">
        <v>3</v>
      </c>
      <c r="M640" s="192">
        <v>46092</v>
      </c>
      <c r="N640" s="193">
        <v>1</v>
      </c>
      <c r="O640" s="194">
        <v>0.5</v>
      </c>
      <c r="P640" s="195"/>
      <c r="Q640" s="196" t="s">
        <v>38</v>
      </c>
      <c r="R640" s="197">
        <v>1</v>
      </c>
      <c r="S640" s="198" t="s">
        <v>33</v>
      </c>
      <c r="T640" s="199"/>
      <c r="U640" s="200"/>
      <c r="V640" s="200"/>
      <c r="W640" s="200"/>
      <c r="X640" s="200"/>
      <c r="Y640" s="200"/>
      <c r="Z640" s="200"/>
      <c r="AA640" s="200"/>
      <c r="AB640" s="200"/>
      <c r="AC640" s="208"/>
      <c r="AD640" s="11" t="str">
        <f t="shared" ref="AD640:AD699" si="39">RIGHT(L640,2)</f>
        <v>3</v>
      </c>
      <c r="AF640" t="str">
        <f t="shared" ref="AF640:AF699" si="40">CONCATENATE("80.01.ZZ.0",L640)</f>
        <v>80.01.ZZ.03</v>
      </c>
      <c r="AH640" t="str">
        <f t="shared" ref="AH640:AH699" si="41">CONCATENATE("00 de 0",R640)</f>
        <v>00 de 01</v>
      </c>
    </row>
    <row r="641" spans="1:34" ht="34.5" x14ac:dyDescent="0.25">
      <c r="A641" s="139" t="s">
        <v>116</v>
      </c>
      <c r="B641" s="105" t="s">
        <v>122</v>
      </c>
      <c r="C641" s="63">
        <v>629</v>
      </c>
      <c r="D641" s="197" t="s">
        <v>192</v>
      </c>
      <c r="E641" s="189" t="s">
        <v>257</v>
      </c>
      <c r="F641" s="190" t="s">
        <v>123</v>
      </c>
      <c r="G641" s="189" t="s">
        <v>134</v>
      </c>
      <c r="H641" s="191">
        <v>67392</v>
      </c>
      <c r="I641" s="189" t="s">
        <v>225</v>
      </c>
      <c r="J641" s="189">
        <v>0</v>
      </c>
      <c r="K641" s="189">
        <v>11301</v>
      </c>
      <c r="L641" s="191">
        <v>3</v>
      </c>
      <c r="M641" s="192">
        <v>46092</v>
      </c>
      <c r="N641" s="193">
        <v>1</v>
      </c>
      <c r="O641" s="194">
        <v>0.5</v>
      </c>
      <c r="P641" s="195"/>
      <c r="Q641" s="196" t="s">
        <v>38</v>
      </c>
      <c r="R641" s="197">
        <v>1</v>
      </c>
      <c r="S641" s="198" t="s">
        <v>33</v>
      </c>
      <c r="T641" s="199"/>
      <c r="U641" s="200"/>
      <c r="V641" s="200"/>
      <c r="W641" s="200"/>
      <c r="X641" s="200"/>
      <c r="Y641" s="200"/>
      <c r="Z641" s="200"/>
      <c r="AA641" s="200"/>
      <c r="AB641" s="200"/>
      <c r="AC641" s="208"/>
      <c r="AD641" s="11" t="str">
        <f t="shared" si="39"/>
        <v>3</v>
      </c>
      <c r="AF641" t="str">
        <f t="shared" si="40"/>
        <v>80.01.ZZ.03</v>
      </c>
      <c r="AH641" t="str">
        <f t="shared" si="41"/>
        <v>00 de 01</v>
      </c>
    </row>
    <row r="642" spans="1:34" ht="34.5" x14ac:dyDescent="0.25">
      <c r="A642" s="139" t="s">
        <v>116</v>
      </c>
      <c r="B642" s="105" t="s">
        <v>122</v>
      </c>
      <c r="C642" s="63">
        <v>630</v>
      </c>
      <c r="D642" s="197" t="s">
        <v>192</v>
      </c>
      <c r="E642" s="189" t="s">
        <v>855</v>
      </c>
      <c r="F642" s="190" t="s">
        <v>123</v>
      </c>
      <c r="G642" s="189" t="s">
        <v>134</v>
      </c>
      <c r="H642" s="191">
        <v>67392</v>
      </c>
      <c r="I642" s="189" t="s">
        <v>225</v>
      </c>
      <c r="J642" s="189">
        <v>0</v>
      </c>
      <c r="K642" s="189">
        <v>11301</v>
      </c>
      <c r="L642" s="191">
        <v>3</v>
      </c>
      <c r="M642" s="192">
        <v>46092</v>
      </c>
      <c r="N642" s="193">
        <v>1</v>
      </c>
      <c r="O642" s="194">
        <v>0.5</v>
      </c>
      <c r="P642" s="195"/>
      <c r="Q642" s="196" t="s">
        <v>38</v>
      </c>
      <c r="R642" s="197">
        <v>1</v>
      </c>
      <c r="S642" s="198" t="s">
        <v>33</v>
      </c>
      <c r="T642" s="199"/>
      <c r="U642" s="200"/>
      <c r="V642" s="200"/>
      <c r="W642" s="200"/>
      <c r="X642" s="200"/>
      <c r="Y642" s="200"/>
      <c r="Z642" s="200"/>
      <c r="AA642" s="200"/>
      <c r="AB642" s="200"/>
      <c r="AC642" s="208"/>
      <c r="AD642" s="11" t="str">
        <f t="shared" si="39"/>
        <v>3</v>
      </c>
      <c r="AF642" t="str">
        <f t="shared" si="40"/>
        <v>80.01.ZZ.03</v>
      </c>
      <c r="AH642" t="str">
        <f t="shared" si="41"/>
        <v>00 de 01</v>
      </c>
    </row>
    <row r="643" spans="1:34" ht="34.5" x14ac:dyDescent="0.25">
      <c r="A643" s="139" t="s">
        <v>116</v>
      </c>
      <c r="B643" s="105" t="s">
        <v>122</v>
      </c>
      <c r="C643" s="63">
        <v>631</v>
      </c>
      <c r="D643" s="197" t="s">
        <v>192</v>
      </c>
      <c r="E643" s="189" t="s">
        <v>856</v>
      </c>
      <c r="F643" s="190" t="s">
        <v>123</v>
      </c>
      <c r="G643" s="189" t="s">
        <v>134</v>
      </c>
      <c r="H643" s="191">
        <v>67392</v>
      </c>
      <c r="I643" s="189" t="s">
        <v>225</v>
      </c>
      <c r="J643" s="189">
        <v>0</v>
      </c>
      <c r="K643" s="189">
        <v>11301</v>
      </c>
      <c r="L643" s="191">
        <v>3</v>
      </c>
      <c r="M643" s="192">
        <v>46092</v>
      </c>
      <c r="N643" s="193">
        <v>1</v>
      </c>
      <c r="O643" s="194">
        <v>0.5</v>
      </c>
      <c r="P643" s="195"/>
      <c r="Q643" s="196" t="s">
        <v>38</v>
      </c>
      <c r="R643" s="197">
        <v>1</v>
      </c>
      <c r="S643" s="198" t="s">
        <v>33</v>
      </c>
      <c r="T643" s="199"/>
      <c r="U643" s="200"/>
      <c r="V643" s="200"/>
      <c r="W643" s="200"/>
      <c r="X643" s="200"/>
      <c r="Y643" s="200"/>
      <c r="Z643" s="200"/>
      <c r="AA643" s="200"/>
      <c r="AB643" s="200"/>
      <c r="AC643" s="208"/>
      <c r="AD643" s="11" t="str">
        <f t="shared" si="39"/>
        <v>3</v>
      </c>
      <c r="AF643" t="str">
        <f t="shared" si="40"/>
        <v>80.01.ZZ.03</v>
      </c>
      <c r="AH643" t="str">
        <f t="shared" si="41"/>
        <v>00 de 01</v>
      </c>
    </row>
    <row r="644" spans="1:34" ht="34.5" x14ac:dyDescent="0.25">
      <c r="A644" s="139" t="s">
        <v>116</v>
      </c>
      <c r="B644" s="105" t="s">
        <v>122</v>
      </c>
      <c r="C644" s="63">
        <v>632</v>
      </c>
      <c r="D644" s="197" t="s">
        <v>192</v>
      </c>
      <c r="E644" s="189" t="s">
        <v>857</v>
      </c>
      <c r="F644" s="190" t="s">
        <v>123</v>
      </c>
      <c r="G644" s="189" t="s">
        <v>134</v>
      </c>
      <c r="H644" s="191">
        <v>67392</v>
      </c>
      <c r="I644" s="189" t="s">
        <v>225</v>
      </c>
      <c r="J644" s="189">
        <v>0</v>
      </c>
      <c r="K644" s="189">
        <v>11301</v>
      </c>
      <c r="L644" s="191">
        <v>3</v>
      </c>
      <c r="M644" s="192">
        <v>46092</v>
      </c>
      <c r="N644" s="193">
        <v>1</v>
      </c>
      <c r="O644" s="194">
        <v>0.5</v>
      </c>
      <c r="P644" s="195"/>
      <c r="Q644" s="196" t="s">
        <v>38</v>
      </c>
      <c r="R644" s="197">
        <v>1</v>
      </c>
      <c r="S644" s="198" t="s">
        <v>33</v>
      </c>
      <c r="T644" s="199"/>
      <c r="U644" s="200"/>
      <c r="V644" s="200"/>
      <c r="W644" s="200"/>
      <c r="X644" s="200"/>
      <c r="Y644" s="200"/>
      <c r="Z644" s="200"/>
      <c r="AA644" s="200"/>
      <c r="AB644" s="200"/>
      <c r="AC644" s="208"/>
      <c r="AD644" s="11" t="str">
        <f t="shared" si="39"/>
        <v>3</v>
      </c>
      <c r="AF644" t="str">
        <f t="shared" si="40"/>
        <v>80.01.ZZ.03</v>
      </c>
      <c r="AH644" t="str">
        <f t="shared" si="41"/>
        <v>00 de 01</v>
      </c>
    </row>
    <row r="645" spans="1:34" ht="34.5" x14ac:dyDescent="0.25">
      <c r="A645" s="139" t="s">
        <v>116</v>
      </c>
      <c r="B645" s="105" t="s">
        <v>122</v>
      </c>
      <c r="C645" s="63">
        <v>633</v>
      </c>
      <c r="D645" s="197" t="s">
        <v>192</v>
      </c>
      <c r="E645" s="189" t="s">
        <v>858</v>
      </c>
      <c r="F645" s="190" t="s">
        <v>123</v>
      </c>
      <c r="G645" s="189" t="s">
        <v>134</v>
      </c>
      <c r="H645" s="191">
        <v>67392</v>
      </c>
      <c r="I645" s="189" t="s">
        <v>225</v>
      </c>
      <c r="J645" s="189">
        <v>0</v>
      </c>
      <c r="K645" s="189">
        <v>11301</v>
      </c>
      <c r="L645" s="191">
        <v>3</v>
      </c>
      <c r="M645" s="192">
        <v>46092</v>
      </c>
      <c r="N645" s="193">
        <v>1</v>
      </c>
      <c r="O645" s="194">
        <v>0.5</v>
      </c>
      <c r="P645" s="195"/>
      <c r="Q645" s="196" t="s">
        <v>38</v>
      </c>
      <c r="R645" s="197">
        <v>1</v>
      </c>
      <c r="S645" s="198" t="s">
        <v>33</v>
      </c>
      <c r="T645" s="199"/>
      <c r="U645" s="200"/>
      <c r="V645" s="200"/>
      <c r="W645" s="200"/>
      <c r="X645" s="200"/>
      <c r="Y645" s="200"/>
      <c r="Z645" s="200"/>
      <c r="AA645" s="200"/>
      <c r="AB645" s="200"/>
      <c r="AC645" s="208"/>
      <c r="AD645" s="11" t="str">
        <f t="shared" si="39"/>
        <v>3</v>
      </c>
      <c r="AF645" t="str">
        <f t="shared" si="40"/>
        <v>80.01.ZZ.03</v>
      </c>
      <c r="AH645" t="str">
        <f t="shared" si="41"/>
        <v>00 de 01</v>
      </c>
    </row>
    <row r="646" spans="1:34" ht="34.5" x14ac:dyDescent="0.25">
      <c r="A646" s="139" t="s">
        <v>116</v>
      </c>
      <c r="B646" s="105" t="s">
        <v>122</v>
      </c>
      <c r="C646" s="63">
        <v>634</v>
      </c>
      <c r="D646" s="197" t="s">
        <v>192</v>
      </c>
      <c r="E646" s="189" t="s">
        <v>859</v>
      </c>
      <c r="F646" s="190" t="s">
        <v>123</v>
      </c>
      <c r="G646" s="189" t="s">
        <v>134</v>
      </c>
      <c r="H646" s="191">
        <v>67392</v>
      </c>
      <c r="I646" s="189" t="s">
        <v>225</v>
      </c>
      <c r="J646" s="189">
        <v>0</v>
      </c>
      <c r="K646" s="189">
        <v>11301</v>
      </c>
      <c r="L646" s="191">
        <v>3</v>
      </c>
      <c r="M646" s="192">
        <v>46092</v>
      </c>
      <c r="N646" s="193">
        <v>1</v>
      </c>
      <c r="O646" s="194">
        <v>0.5</v>
      </c>
      <c r="P646" s="195"/>
      <c r="Q646" s="196" t="s">
        <v>38</v>
      </c>
      <c r="R646" s="197">
        <v>1</v>
      </c>
      <c r="S646" s="198" t="s">
        <v>33</v>
      </c>
      <c r="T646" s="199"/>
      <c r="U646" s="200"/>
      <c r="V646" s="200"/>
      <c r="W646" s="200"/>
      <c r="X646" s="200"/>
      <c r="Y646" s="200"/>
      <c r="Z646" s="200"/>
      <c r="AA646" s="200"/>
      <c r="AB646" s="200"/>
      <c r="AC646" s="208"/>
      <c r="AD646" s="11" t="str">
        <f t="shared" si="39"/>
        <v>3</v>
      </c>
      <c r="AF646" t="str">
        <f t="shared" si="40"/>
        <v>80.01.ZZ.03</v>
      </c>
      <c r="AH646" t="str">
        <f t="shared" si="41"/>
        <v>00 de 01</v>
      </c>
    </row>
    <row r="647" spans="1:34" ht="34.5" x14ac:dyDescent="0.25">
      <c r="A647" s="139" t="s">
        <v>116</v>
      </c>
      <c r="B647" s="105" t="s">
        <v>122</v>
      </c>
      <c r="C647" s="63">
        <v>635</v>
      </c>
      <c r="D647" s="197" t="s">
        <v>192</v>
      </c>
      <c r="E647" s="189" t="s">
        <v>860</v>
      </c>
      <c r="F647" s="190" t="s">
        <v>123</v>
      </c>
      <c r="G647" s="189" t="s">
        <v>134</v>
      </c>
      <c r="H647" s="191">
        <v>67392</v>
      </c>
      <c r="I647" s="189" t="s">
        <v>225</v>
      </c>
      <c r="J647" s="189">
        <v>0</v>
      </c>
      <c r="K647" s="189">
        <v>11301</v>
      </c>
      <c r="L647" s="191">
        <v>3</v>
      </c>
      <c r="M647" s="192">
        <v>46092</v>
      </c>
      <c r="N647" s="193">
        <v>1</v>
      </c>
      <c r="O647" s="194">
        <v>0.5</v>
      </c>
      <c r="P647" s="195"/>
      <c r="Q647" s="196" t="s">
        <v>38</v>
      </c>
      <c r="R647" s="197">
        <v>1</v>
      </c>
      <c r="S647" s="198" t="s">
        <v>33</v>
      </c>
      <c r="T647" s="199"/>
      <c r="U647" s="200"/>
      <c r="V647" s="200"/>
      <c r="W647" s="200"/>
      <c r="X647" s="200"/>
      <c r="Y647" s="200"/>
      <c r="Z647" s="200"/>
      <c r="AA647" s="200"/>
      <c r="AB647" s="200"/>
      <c r="AC647" s="208"/>
      <c r="AD647" s="11" t="str">
        <f t="shared" si="39"/>
        <v>3</v>
      </c>
      <c r="AF647" t="str">
        <f t="shared" si="40"/>
        <v>80.01.ZZ.03</v>
      </c>
      <c r="AH647" t="str">
        <f t="shared" si="41"/>
        <v>00 de 01</v>
      </c>
    </row>
    <row r="648" spans="1:34" ht="34.5" x14ac:dyDescent="0.25">
      <c r="A648" s="139" t="s">
        <v>116</v>
      </c>
      <c r="B648" s="105" t="s">
        <v>122</v>
      </c>
      <c r="C648" s="63">
        <v>636</v>
      </c>
      <c r="D648" s="197" t="s">
        <v>192</v>
      </c>
      <c r="E648" s="189" t="s">
        <v>861</v>
      </c>
      <c r="F648" s="190" t="s">
        <v>123</v>
      </c>
      <c r="G648" s="189" t="s">
        <v>134</v>
      </c>
      <c r="H648" s="191">
        <v>67392</v>
      </c>
      <c r="I648" s="189" t="s">
        <v>225</v>
      </c>
      <c r="J648" s="189">
        <v>0</v>
      </c>
      <c r="K648" s="189">
        <v>11301</v>
      </c>
      <c r="L648" s="191">
        <v>3</v>
      </c>
      <c r="M648" s="192">
        <v>46092</v>
      </c>
      <c r="N648" s="193">
        <v>1</v>
      </c>
      <c r="O648" s="194">
        <v>0.5</v>
      </c>
      <c r="P648" s="195"/>
      <c r="Q648" s="196" t="s">
        <v>38</v>
      </c>
      <c r="R648" s="197">
        <v>1</v>
      </c>
      <c r="S648" s="198" t="s">
        <v>33</v>
      </c>
      <c r="T648" s="199"/>
      <c r="U648" s="200"/>
      <c r="V648" s="200"/>
      <c r="W648" s="200"/>
      <c r="X648" s="200"/>
      <c r="Y648" s="200"/>
      <c r="Z648" s="200"/>
      <c r="AA648" s="200"/>
      <c r="AB648" s="200"/>
      <c r="AC648" s="208"/>
      <c r="AD648" s="11" t="str">
        <f t="shared" si="39"/>
        <v>3</v>
      </c>
      <c r="AF648" t="str">
        <f t="shared" si="40"/>
        <v>80.01.ZZ.03</v>
      </c>
      <c r="AH648" t="str">
        <f t="shared" si="41"/>
        <v>00 de 01</v>
      </c>
    </row>
    <row r="649" spans="1:34" ht="34.5" x14ac:dyDescent="0.25">
      <c r="A649" s="139" t="s">
        <v>116</v>
      </c>
      <c r="B649" s="105" t="s">
        <v>122</v>
      </c>
      <c r="C649" s="63">
        <v>637</v>
      </c>
      <c r="D649" s="197" t="s">
        <v>192</v>
      </c>
      <c r="E649" s="189" t="s">
        <v>862</v>
      </c>
      <c r="F649" s="190" t="s">
        <v>123</v>
      </c>
      <c r="G649" s="189" t="s">
        <v>134</v>
      </c>
      <c r="H649" s="191">
        <v>67392</v>
      </c>
      <c r="I649" s="189" t="s">
        <v>225</v>
      </c>
      <c r="J649" s="189">
        <v>0</v>
      </c>
      <c r="K649" s="189">
        <v>11301</v>
      </c>
      <c r="L649" s="191">
        <v>3</v>
      </c>
      <c r="M649" s="192">
        <v>46092</v>
      </c>
      <c r="N649" s="193">
        <v>1</v>
      </c>
      <c r="O649" s="194">
        <v>0.5</v>
      </c>
      <c r="P649" s="195"/>
      <c r="Q649" s="196" t="s">
        <v>38</v>
      </c>
      <c r="R649" s="197">
        <v>1</v>
      </c>
      <c r="S649" s="198" t="s">
        <v>33</v>
      </c>
      <c r="T649" s="199"/>
      <c r="U649" s="200"/>
      <c r="V649" s="200"/>
      <c r="W649" s="200"/>
      <c r="X649" s="200"/>
      <c r="Y649" s="200"/>
      <c r="Z649" s="200"/>
      <c r="AA649" s="200"/>
      <c r="AB649" s="200"/>
      <c r="AC649" s="208"/>
      <c r="AD649" s="11" t="str">
        <f t="shared" si="39"/>
        <v>3</v>
      </c>
      <c r="AF649" t="str">
        <f t="shared" si="40"/>
        <v>80.01.ZZ.03</v>
      </c>
      <c r="AH649" t="str">
        <f t="shared" si="41"/>
        <v>00 de 01</v>
      </c>
    </row>
    <row r="650" spans="1:34" ht="34.5" x14ac:dyDescent="0.25">
      <c r="A650" s="139" t="s">
        <v>116</v>
      </c>
      <c r="B650" s="105" t="s">
        <v>122</v>
      </c>
      <c r="C650" s="63">
        <v>638</v>
      </c>
      <c r="D650" s="197" t="s">
        <v>192</v>
      </c>
      <c r="E650" s="189" t="s">
        <v>863</v>
      </c>
      <c r="F650" s="190" t="s">
        <v>123</v>
      </c>
      <c r="G650" s="189" t="s">
        <v>134</v>
      </c>
      <c r="H650" s="191">
        <v>67392</v>
      </c>
      <c r="I650" s="189" t="s">
        <v>225</v>
      </c>
      <c r="J650" s="189">
        <v>0</v>
      </c>
      <c r="K650" s="189">
        <v>11301</v>
      </c>
      <c r="L650" s="191">
        <v>3</v>
      </c>
      <c r="M650" s="192">
        <v>46092</v>
      </c>
      <c r="N650" s="193">
        <v>1</v>
      </c>
      <c r="O650" s="194">
        <v>0.5</v>
      </c>
      <c r="P650" s="195"/>
      <c r="Q650" s="196" t="s">
        <v>38</v>
      </c>
      <c r="R650" s="197">
        <v>1</v>
      </c>
      <c r="S650" s="198" t="s">
        <v>33</v>
      </c>
      <c r="T650" s="199"/>
      <c r="U650" s="200"/>
      <c r="V650" s="200"/>
      <c r="W650" s="200"/>
      <c r="X650" s="200"/>
      <c r="Y650" s="200"/>
      <c r="Z650" s="200"/>
      <c r="AA650" s="200"/>
      <c r="AB650" s="200"/>
      <c r="AC650" s="208"/>
      <c r="AD650" s="11" t="str">
        <f t="shared" si="39"/>
        <v>3</v>
      </c>
      <c r="AF650" t="str">
        <f t="shared" si="40"/>
        <v>80.01.ZZ.03</v>
      </c>
      <c r="AH650" t="str">
        <f t="shared" si="41"/>
        <v>00 de 01</v>
      </c>
    </row>
    <row r="651" spans="1:34" ht="34.5" x14ac:dyDescent="0.25">
      <c r="A651" s="139" t="s">
        <v>116</v>
      </c>
      <c r="B651" s="105" t="s">
        <v>122</v>
      </c>
      <c r="C651" s="63">
        <v>639</v>
      </c>
      <c r="D651" s="197" t="s">
        <v>192</v>
      </c>
      <c r="E651" s="189" t="s">
        <v>864</v>
      </c>
      <c r="F651" s="190" t="s">
        <v>123</v>
      </c>
      <c r="G651" s="189" t="s">
        <v>134</v>
      </c>
      <c r="H651" s="191">
        <v>67392</v>
      </c>
      <c r="I651" s="189" t="s">
        <v>225</v>
      </c>
      <c r="J651" s="189">
        <v>0</v>
      </c>
      <c r="K651" s="189">
        <v>11301</v>
      </c>
      <c r="L651" s="191">
        <v>3</v>
      </c>
      <c r="M651" s="192">
        <v>46092</v>
      </c>
      <c r="N651" s="193">
        <v>1</v>
      </c>
      <c r="O651" s="194">
        <v>0.5</v>
      </c>
      <c r="P651" s="195"/>
      <c r="Q651" s="196" t="s">
        <v>38</v>
      </c>
      <c r="R651" s="197">
        <v>1</v>
      </c>
      <c r="S651" s="198" t="s">
        <v>33</v>
      </c>
      <c r="T651" s="199"/>
      <c r="U651" s="200"/>
      <c r="V651" s="200"/>
      <c r="W651" s="200"/>
      <c r="X651" s="200"/>
      <c r="Y651" s="200"/>
      <c r="Z651" s="200"/>
      <c r="AA651" s="200"/>
      <c r="AB651" s="200"/>
      <c r="AC651" s="208"/>
      <c r="AD651" s="11" t="str">
        <f t="shared" si="39"/>
        <v>3</v>
      </c>
      <c r="AF651" t="str">
        <f t="shared" si="40"/>
        <v>80.01.ZZ.03</v>
      </c>
      <c r="AH651" t="str">
        <f t="shared" si="41"/>
        <v>00 de 01</v>
      </c>
    </row>
    <row r="652" spans="1:34" ht="34.5" x14ac:dyDescent="0.25">
      <c r="A652" s="139" t="s">
        <v>116</v>
      </c>
      <c r="B652" s="105" t="s">
        <v>122</v>
      </c>
      <c r="C652" s="63">
        <v>640</v>
      </c>
      <c r="D652" s="197" t="s">
        <v>192</v>
      </c>
      <c r="E652" s="189" t="s">
        <v>865</v>
      </c>
      <c r="F652" s="190" t="s">
        <v>123</v>
      </c>
      <c r="G652" s="189" t="s">
        <v>134</v>
      </c>
      <c r="H652" s="191">
        <v>67392</v>
      </c>
      <c r="I652" s="189" t="s">
        <v>225</v>
      </c>
      <c r="J652" s="189">
        <v>0</v>
      </c>
      <c r="K652" s="189">
        <v>11301</v>
      </c>
      <c r="L652" s="191">
        <v>3</v>
      </c>
      <c r="M652" s="192">
        <v>46092</v>
      </c>
      <c r="N652" s="193">
        <v>1</v>
      </c>
      <c r="O652" s="194">
        <v>0.5</v>
      </c>
      <c r="P652" s="195"/>
      <c r="Q652" s="196" t="s">
        <v>38</v>
      </c>
      <c r="R652" s="197">
        <v>1</v>
      </c>
      <c r="S652" s="198" t="s">
        <v>33</v>
      </c>
      <c r="T652" s="199"/>
      <c r="U652" s="200"/>
      <c r="V652" s="200"/>
      <c r="W652" s="200"/>
      <c r="X652" s="200"/>
      <c r="Y652" s="200"/>
      <c r="Z652" s="200"/>
      <c r="AA652" s="200"/>
      <c r="AB652" s="200"/>
      <c r="AC652" s="208"/>
      <c r="AD652" s="11" t="str">
        <f t="shared" si="39"/>
        <v>3</v>
      </c>
      <c r="AF652" t="str">
        <f t="shared" si="40"/>
        <v>80.01.ZZ.03</v>
      </c>
      <c r="AH652" t="str">
        <f t="shared" si="41"/>
        <v>00 de 01</v>
      </c>
    </row>
    <row r="653" spans="1:34" ht="34.5" x14ac:dyDescent="0.25">
      <c r="A653" s="139" t="s">
        <v>116</v>
      </c>
      <c r="B653" s="105" t="s">
        <v>122</v>
      </c>
      <c r="C653" s="63">
        <v>641</v>
      </c>
      <c r="D653" s="197" t="s">
        <v>192</v>
      </c>
      <c r="E653" s="189" t="s">
        <v>866</v>
      </c>
      <c r="F653" s="190" t="s">
        <v>123</v>
      </c>
      <c r="G653" s="189" t="s">
        <v>134</v>
      </c>
      <c r="H653" s="191">
        <v>67392</v>
      </c>
      <c r="I653" s="189" t="s">
        <v>225</v>
      </c>
      <c r="J653" s="189">
        <v>0</v>
      </c>
      <c r="K653" s="189">
        <v>11301</v>
      </c>
      <c r="L653" s="191">
        <v>3</v>
      </c>
      <c r="M653" s="192">
        <v>46092</v>
      </c>
      <c r="N653" s="193">
        <v>1</v>
      </c>
      <c r="O653" s="194">
        <v>0.5</v>
      </c>
      <c r="P653" s="195"/>
      <c r="Q653" s="196" t="s">
        <v>38</v>
      </c>
      <c r="R653" s="197">
        <v>1</v>
      </c>
      <c r="S653" s="198" t="s">
        <v>33</v>
      </c>
      <c r="T653" s="199"/>
      <c r="U653" s="200"/>
      <c r="V653" s="200"/>
      <c r="W653" s="200"/>
      <c r="X653" s="200"/>
      <c r="Y653" s="200"/>
      <c r="Z653" s="200"/>
      <c r="AA653" s="200"/>
      <c r="AB653" s="200"/>
      <c r="AC653" s="208"/>
      <c r="AD653" s="11" t="str">
        <f t="shared" si="39"/>
        <v>3</v>
      </c>
      <c r="AF653" t="str">
        <f t="shared" si="40"/>
        <v>80.01.ZZ.03</v>
      </c>
      <c r="AH653" t="str">
        <f t="shared" si="41"/>
        <v>00 de 01</v>
      </c>
    </row>
    <row r="654" spans="1:34" ht="34.5" x14ac:dyDescent="0.25">
      <c r="A654" s="139" t="s">
        <v>116</v>
      </c>
      <c r="B654" s="105" t="s">
        <v>122</v>
      </c>
      <c r="C654" s="63">
        <v>642</v>
      </c>
      <c r="D654" s="197" t="s">
        <v>192</v>
      </c>
      <c r="E654" s="189" t="s">
        <v>867</v>
      </c>
      <c r="F654" s="190" t="s">
        <v>123</v>
      </c>
      <c r="G654" s="189" t="s">
        <v>134</v>
      </c>
      <c r="H654" s="191">
        <v>67392</v>
      </c>
      <c r="I654" s="189" t="s">
        <v>225</v>
      </c>
      <c r="J654" s="189">
        <v>0</v>
      </c>
      <c r="K654" s="189">
        <v>11301</v>
      </c>
      <c r="L654" s="191">
        <v>3</v>
      </c>
      <c r="M654" s="192">
        <v>46092</v>
      </c>
      <c r="N654" s="193">
        <v>1</v>
      </c>
      <c r="O654" s="194">
        <v>0.5</v>
      </c>
      <c r="P654" s="195"/>
      <c r="Q654" s="196" t="s">
        <v>38</v>
      </c>
      <c r="R654" s="197">
        <v>1</v>
      </c>
      <c r="S654" s="198" t="s">
        <v>33</v>
      </c>
      <c r="T654" s="199"/>
      <c r="U654" s="200"/>
      <c r="V654" s="200"/>
      <c r="W654" s="200"/>
      <c r="X654" s="200"/>
      <c r="Y654" s="200"/>
      <c r="Z654" s="200"/>
      <c r="AA654" s="200"/>
      <c r="AB654" s="200"/>
      <c r="AC654" s="208"/>
      <c r="AD654" s="11" t="str">
        <f t="shared" si="39"/>
        <v>3</v>
      </c>
      <c r="AF654" t="str">
        <f t="shared" si="40"/>
        <v>80.01.ZZ.03</v>
      </c>
      <c r="AH654" t="str">
        <f t="shared" si="41"/>
        <v>00 de 01</v>
      </c>
    </row>
    <row r="655" spans="1:34" ht="34.5" x14ac:dyDescent="0.25">
      <c r="A655" s="139" t="s">
        <v>116</v>
      </c>
      <c r="B655" s="105" t="s">
        <v>122</v>
      </c>
      <c r="C655" s="63">
        <v>643</v>
      </c>
      <c r="D655" s="197" t="s">
        <v>192</v>
      </c>
      <c r="E655" s="189" t="s">
        <v>868</v>
      </c>
      <c r="F655" s="190" t="s">
        <v>123</v>
      </c>
      <c r="G655" s="189" t="s">
        <v>134</v>
      </c>
      <c r="H655" s="191">
        <v>67392</v>
      </c>
      <c r="I655" s="189" t="s">
        <v>225</v>
      </c>
      <c r="J655" s="189">
        <v>0</v>
      </c>
      <c r="K655" s="189">
        <v>11301</v>
      </c>
      <c r="L655" s="191">
        <v>3</v>
      </c>
      <c r="M655" s="192">
        <v>46092</v>
      </c>
      <c r="N655" s="193">
        <v>1</v>
      </c>
      <c r="O655" s="194">
        <v>0.5</v>
      </c>
      <c r="P655" s="195"/>
      <c r="Q655" s="196" t="s">
        <v>38</v>
      </c>
      <c r="R655" s="197">
        <v>1</v>
      </c>
      <c r="S655" s="198" t="s">
        <v>33</v>
      </c>
      <c r="T655" s="199"/>
      <c r="U655" s="200"/>
      <c r="V655" s="200"/>
      <c r="W655" s="200"/>
      <c r="X655" s="200"/>
      <c r="Y655" s="200"/>
      <c r="Z655" s="200"/>
      <c r="AA655" s="200"/>
      <c r="AB655" s="200"/>
      <c r="AC655" s="208"/>
      <c r="AD655" s="11" t="str">
        <f t="shared" si="39"/>
        <v>3</v>
      </c>
      <c r="AF655" t="str">
        <f t="shared" si="40"/>
        <v>80.01.ZZ.03</v>
      </c>
      <c r="AH655" t="str">
        <f t="shared" si="41"/>
        <v>00 de 01</v>
      </c>
    </row>
    <row r="656" spans="1:34" ht="34.5" x14ac:dyDescent="0.25">
      <c r="A656" s="139" t="s">
        <v>116</v>
      </c>
      <c r="B656" s="105" t="s">
        <v>122</v>
      </c>
      <c r="C656" s="63">
        <v>644</v>
      </c>
      <c r="D656" s="197" t="s">
        <v>192</v>
      </c>
      <c r="E656" s="189" t="s">
        <v>869</v>
      </c>
      <c r="F656" s="190" t="s">
        <v>123</v>
      </c>
      <c r="G656" s="189" t="s">
        <v>134</v>
      </c>
      <c r="H656" s="191">
        <v>67392</v>
      </c>
      <c r="I656" s="189" t="s">
        <v>225</v>
      </c>
      <c r="J656" s="189">
        <v>0</v>
      </c>
      <c r="K656" s="189">
        <v>11301</v>
      </c>
      <c r="L656" s="191">
        <v>3</v>
      </c>
      <c r="M656" s="192">
        <v>46092</v>
      </c>
      <c r="N656" s="193">
        <v>1</v>
      </c>
      <c r="O656" s="194">
        <v>0.5</v>
      </c>
      <c r="P656" s="195"/>
      <c r="Q656" s="196" t="s">
        <v>38</v>
      </c>
      <c r="R656" s="197">
        <v>1</v>
      </c>
      <c r="S656" s="198" t="s">
        <v>33</v>
      </c>
      <c r="T656" s="199"/>
      <c r="U656" s="200"/>
      <c r="V656" s="200"/>
      <c r="W656" s="200"/>
      <c r="X656" s="200"/>
      <c r="Y656" s="200"/>
      <c r="Z656" s="200"/>
      <c r="AA656" s="200"/>
      <c r="AB656" s="200"/>
      <c r="AC656" s="208"/>
      <c r="AD656" s="11" t="str">
        <f t="shared" si="39"/>
        <v>3</v>
      </c>
      <c r="AF656" t="str">
        <f t="shared" si="40"/>
        <v>80.01.ZZ.03</v>
      </c>
      <c r="AH656" t="str">
        <f t="shared" si="41"/>
        <v>00 de 01</v>
      </c>
    </row>
    <row r="657" spans="1:34" ht="34.5" x14ac:dyDescent="0.25">
      <c r="A657" s="139" t="s">
        <v>116</v>
      </c>
      <c r="B657" s="105" t="s">
        <v>122</v>
      </c>
      <c r="C657" s="63">
        <v>645</v>
      </c>
      <c r="D657" s="197" t="s">
        <v>192</v>
      </c>
      <c r="E657" s="189" t="s">
        <v>870</v>
      </c>
      <c r="F657" s="190" t="s">
        <v>123</v>
      </c>
      <c r="G657" s="189" t="s">
        <v>134</v>
      </c>
      <c r="H657" s="191">
        <v>67392</v>
      </c>
      <c r="I657" s="189" t="s">
        <v>225</v>
      </c>
      <c r="J657" s="189">
        <v>0</v>
      </c>
      <c r="K657" s="189">
        <v>11301</v>
      </c>
      <c r="L657" s="191">
        <v>3</v>
      </c>
      <c r="M657" s="192">
        <v>46092</v>
      </c>
      <c r="N657" s="193">
        <v>1</v>
      </c>
      <c r="O657" s="194">
        <v>0.5</v>
      </c>
      <c r="P657" s="195"/>
      <c r="Q657" s="196" t="s">
        <v>38</v>
      </c>
      <c r="R657" s="197">
        <v>1</v>
      </c>
      <c r="S657" s="198" t="s">
        <v>33</v>
      </c>
      <c r="T657" s="199"/>
      <c r="U657" s="200"/>
      <c r="V657" s="200"/>
      <c r="W657" s="200"/>
      <c r="X657" s="200"/>
      <c r="Y657" s="200"/>
      <c r="Z657" s="200"/>
      <c r="AA657" s="200"/>
      <c r="AB657" s="200"/>
      <c r="AC657" s="208"/>
      <c r="AD657" s="11" t="str">
        <f t="shared" si="39"/>
        <v>3</v>
      </c>
      <c r="AF657" t="str">
        <f t="shared" si="40"/>
        <v>80.01.ZZ.03</v>
      </c>
      <c r="AH657" t="str">
        <f t="shared" si="41"/>
        <v>00 de 01</v>
      </c>
    </row>
    <row r="658" spans="1:34" ht="34.5" x14ac:dyDescent="0.25">
      <c r="A658" s="139" t="s">
        <v>116</v>
      </c>
      <c r="B658" s="105" t="s">
        <v>122</v>
      </c>
      <c r="C658" s="63">
        <v>646</v>
      </c>
      <c r="D658" s="197" t="s">
        <v>192</v>
      </c>
      <c r="E658" s="189" t="s">
        <v>871</v>
      </c>
      <c r="F658" s="190" t="s">
        <v>123</v>
      </c>
      <c r="G658" s="189" t="s">
        <v>134</v>
      </c>
      <c r="H658" s="191">
        <v>67392</v>
      </c>
      <c r="I658" s="189" t="s">
        <v>225</v>
      </c>
      <c r="J658" s="189">
        <v>0</v>
      </c>
      <c r="K658" s="189">
        <v>11301</v>
      </c>
      <c r="L658" s="191">
        <v>3</v>
      </c>
      <c r="M658" s="192">
        <v>46092</v>
      </c>
      <c r="N658" s="193">
        <v>1</v>
      </c>
      <c r="O658" s="194">
        <v>0.5</v>
      </c>
      <c r="P658" s="195"/>
      <c r="Q658" s="196" t="s">
        <v>38</v>
      </c>
      <c r="R658" s="197">
        <v>1</v>
      </c>
      <c r="S658" s="198" t="s">
        <v>33</v>
      </c>
      <c r="T658" s="199"/>
      <c r="U658" s="200"/>
      <c r="V658" s="200"/>
      <c r="W658" s="200"/>
      <c r="X658" s="200"/>
      <c r="Y658" s="200"/>
      <c r="Z658" s="200"/>
      <c r="AA658" s="200"/>
      <c r="AB658" s="200"/>
      <c r="AC658" s="208"/>
      <c r="AD658" s="11" t="str">
        <f t="shared" si="39"/>
        <v>3</v>
      </c>
      <c r="AF658" t="str">
        <f t="shared" si="40"/>
        <v>80.01.ZZ.03</v>
      </c>
      <c r="AH658" t="str">
        <f t="shared" si="41"/>
        <v>00 de 01</v>
      </c>
    </row>
    <row r="659" spans="1:34" ht="34.5" x14ac:dyDescent="0.25">
      <c r="A659" s="139" t="s">
        <v>116</v>
      </c>
      <c r="B659" s="105" t="s">
        <v>122</v>
      </c>
      <c r="C659" s="63">
        <v>647</v>
      </c>
      <c r="D659" s="197" t="s">
        <v>192</v>
      </c>
      <c r="E659" s="189" t="s">
        <v>872</v>
      </c>
      <c r="F659" s="190" t="s">
        <v>123</v>
      </c>
      <c r="G659" s="189" t="s">
        <v>134</v>
      </c>
      <c r="H659" s="191">
        <v>67392</v>
      </c>
      <c r="I659" s="189" t="s">
        <v>225</v>
      </c>
      <c r="J659" s="189">
        <v>0</v>
      </c>
      <c r="K659" s="189">
        <v>11301</v>
      </c>
      <c r="L659" s="191">
        <v>3</v>
      </c>
      <c r="M659" s="192">
        <v>46092</v>
      </c>
      <c r="N659" s="193">
        <v>1</v>
      </c>
      <c r="O659" s="194">
        <v>0.5</v>
      </c>
      <c r="P659" s="195"/>
      <c r="Q659" s="196" t="s">
        <v>38</v>
      </c>
      <c r="R659" s="197">
        <v>1</v>
      </c>
      <c r="S659" s="198" t="s">
        <v>33</v>
      </c>
      <c r="T659" s="199"/>
      <c r="U659" s="200"/>
      <c r="V659" s="200"/>
      <c r="W659" s="200"/>
      <c r="X659" s="200"/>
      <c r="Y659" s="200"/>
      <c r="Z659" s="200"/>
      <c r="AA659" s="200"/>
      <c r="AB659" s="200"/>
      <c r="AC659" s="208"/>
      <c r="AD659" s="11" t="str">
        <f t="shared" si="39"/>
        <v>3</v>
      </c>
      <c r="AF659" t="str">
        <f t="shared" si="40"/>
        <v>80.01.ZZ.03</v>
      </c>
      <c r="AH659" t="str">
        <f t="shared" si="41"/>
        <v>00 de 01</v>
      </c>
    </row>
    <row r="660" spans="1:34" ht="34.5" x14ac:dyDescent="0.25">
      <c r="A660" s="139" t="s">
        <v>116</v>
      </c>
      <c r="B660" s="105" t="s">
        <v>122</v>
      </c>
      <c r="C660" s="63">
        <v>648</v>
      </c>
      <c r="D660" s="197" t="s">
        <v>192</v>
      </c>
      <c r="E660" s="189" t="s">
        <v>873</v>
      </c>
      <c r="F660" s="190" t="s">
        <v>123</v>
      </c>
      <c r="G660" s="189" t="s">
        <v>134</v>
      </c>
      <c r="H660" s="191">
        <v>67392</v>
      </c>
      <c r="I660" s="189" t="s">
        <v>225</v>
      </c>
      <c r="J660" s="189">
        <v>0</v>
      </c>
      <c r="K660" s="189">
        <v>11301</v>
      </c>
      <c r="L660" s="191">
        <v>3</v>
      </c>
      <c r="M660" s="192">
        <v>46092</v>
      </c>
      <c r="N660" s="193">
        <v>1</v>
      </c>
      <c r="O660" s="194">
        <v>0.5</v>
      </c>
      <c r="P660" s="195"/>
      <c r="Q660" s="196" t="s">
        <v>38</v>
      </c>
      <c r="R660" s="197">
        <v>1</v>
      </c>
      <c r="S660" s="198" t="s">
        <v>33</v>
      </c>
      <c r="T660" s="199"/>
      <c r="U660" s="200"/>
      <c r="V660" s="200"/>
      <c r="W660" s="200"/>
      <c r="X660" s="200"/>
      <c r="Y660" s="200"/>
      <c r="Z660" s="200"/>
      <c r="AA660" s="200"/>
      <c r="AB660" s="200"/>
      <c r="AC660" s="208"/>
      <c r="AD660" s="11" t="str">
        <f t="shared" si="39"/>
        <v>3</v>
      </c>
      <c r="AF660" t="str">
        <f t="shared" si="40"/>
        <v>80.01.ZZ.03</v>
      </c>
      <c r="AH660" t="str">
        <f t="shared" si="41"/>
        <v>00 de 01</v>
      </c>
    </row>
    <row r="661" spans="1:34" ht="34.5" x14ac:dyDescent="0.25">
      <c r="A661" s="139" t="s">
        <v>116</v>
      </c>
      <c r="B661" s="105" t="s">
        <v>122</v>
      </c>
      <c r="C661" s="63">
        <v>649</v>
      </c>
      <c r="D661" s="197" t="s">
        <v>192</v>
      </c>
      <c r="E661" s="189" t="s">
        <v>874</v>
      </c>
      <c r="F661" s="190" t="s">
        <v>123</v>
      </c>
      <c r="G661" s="189" t="s">
        <v>134</v>
      </c>
      <c r="H661" s="191">
        <v>67392</v>
      </c>
      <c r="I661" s="189" t="s">
        <v>225</v>
      </c>
      <c r="J661" s="189">
        <v>0</v>
      </c>
      <c r="K661" s="189">
        <v>11301</v>
      </c>
      <c r="L661" s="191">
        <v>3</v>
      </c>
      <c r="M661" s="192">
        <v>46092</v>
      </c>
      <c r="N661" s="193">
        <v>1</v>
      </c>
      <c r="O661" s="194">
        <v>0.5</v>
      </c>
      <c r="P661" s="195"/>
      <c r="Q661" s="196" t="s">
        <v>38</v>
      </c>
      <c r="R661" s="197">
        <v>1</v>
      </c>
      <c r="S661" s="198" t="s">
        <v>33</v>
      </c>
      <c r="T661" s="199"/>
      <c r="U661" s="200"/>
      <c r="V661" s="200"/>
      <c r="W661" s="200"/>
      <c r="X661" s="200"/>
      <c r="Y661" s="200"/>
      <c r="Z661" s="200"/>
      <c r="AA661" s="200"/>
      <c r="AB661" s="200"/>
      <c r="AC661" s="208"/>
      <c r="AD661" s="11" t="str">
        <f t="shared" si="39"/>
        <v>3</v>
      </c>
      <c r="AF661" t="str">
        <f t="shared" si="40"/>
        <v>80.01.ZZ.03</v>
      </c>
      <c r="AH661" t="str">
        <f t="shared" si="41"/>
        <v>00 de 01</v>
      </c>
    </row>
    <row r="662" spans="1:34" ht="34.5" x14ac:dyDescent="0.25">
      <c r="A662" s="139" t="s">
        <v>116</v>
      </c>
      <c r="B662" s="105" t="s">
        <v>122</v>
      </c>
      <c r="C662" s="63">
        <v>650</v>
      </c>
      <c r="D662" s="197" t="s">
        <v>192</v>
      </c>
      <c r="E662" s="189" t="s">
        <v>875</v>
      </c>
      <c r="F662" s="190" t="s">
        <v>123</v>
      </c>
      <c r="G662" s="189" t="s">
        <v>134</v>
      </c>
      <c r="H662" s="191">
        <v>67392</v>
      </c>
      <c r="I662" s="189" t="s">
        <v>225</v>
      </c>
      <c r="J662" s="189">
        <v>0</v>
      </c>
      <c r="K662" s="189">
        <v>11301</v>
      </c>
      <c r="L662" s="191">
        <v>3</v>
      </c>
      <c r="M662" s="192">
        <v>46092</v>
      </c>
      <c r="N662" s="193">
        <v>1</v>
      </c>
      <c r="O662" s="194">
        <v>0.5</v>
      </c>
      <c r="P662" s="195"/>
      <c r="Q662" s="196" t="s">
        <v>38</v>
      </c>
      <c r="R662" s="197">
        <v>1</v>
      </c>
      <c r="S662" s="198" t="s">
        <v>33</v>
      </c>
      <c r="T662" s="199"/>
      <c r="U662" s="200"/>
      <c r="V662" s="200"/>
      <c r="W662" s="200"/>
      <c r="X662" s="200"/>
      <c r="Y662" s="200"/>
      <c r="Z662" s="200"/>
      <c r="AA662" s="200"/>
      <c r="AB662" s="200"/>
      <c r="AC662" s="208"/>
      <c r="AD662" s="11" t="str">
        <f t="shared" si="39"/>
        <v>3</v>
      </c>
      <c r="AF662" t="str">
        <f t="shared" si="40"/>
        <v>80.01.ZZ.03</v>
      </c>
      <c r="AH662" t="str">
        <f t="shared" si="41"/>
        <v>00 de 01</v>
      </c>
    </row>
    <row r="663" spans="1:34" ht="34.5" x14ac:dyDescent="0.25">
      <c r="A663" s="139" t="s">
        <v>116</v>
      </c>
      <c r="B663" s="105" t="s">
        <v>122</v>
      </c>
      <c r="C663" s="63">
        <v>651</v>
      </c>
      <c r="D663" s="197" t="s">
        <v>192</v>
      </c>
      <c r="E663" s="189" t="s">
        <v>876</v>
      </c>
      <c r="F663" s="190" t="s">
        <v>123</v>
      </c>
      <c r="G663" s="189" t="s">
        <v>134</v>
      </c>
      <c r="H663" s="191">
        <v>67392</v>
      </c>
      <c r="I663" s="189" t="s">
        <v>225</v>
      </c>
      <c r="J663" s="189">
        <v>0</v>
      </c>
      <c r="K663" s="189">
        <v>11301</v>
      </c>
      <c r="L663" s="191">
        <v>3</v>
      </c>
      <c r="M663" s="192">
        <v>46092</v>
      </c>
      <c r="N663" s="193">
        <v>1</v>
      </c>
      <c r="O663" s="194">
        <v>0.5</v>
      </c>
      <c r="P663" s="195"/>
      <c r="Q663" s="196" t="s">
        <v>38</v>
      </c>
      <c r="R663" s="197">
        <v>1</v>
      </c>
      <c r="S663" s="198" t="s">
        <v>33</v>
      </c>
      <c r="T663" s="199"/>
      <c r="U663" s="200"/>
      <c r="V663" s="200"/>
      <c r="W663" s="200"/>
      <c r="X663" s="200"/>
      <c r="Y663" s="200"/>
      <c r="Z663" s="200"/>
      <c r="AA663" s="200"/>
      <c r="AB663" s="200"/>
      <c r="AC663" s="208"/>
      <c r="AD663" s="11" t="str">
        <f t="shared" si="39"/>
        <v>3</v>
      </c>
      <c r="AF663" t="str">
        <f t="shared" si="40"/>
        <v>80.01.ZZ.03</v>
      </c>
      <c r="AH663" t="str">
        <f t="shared" si="41"/>
        <v>00 de 01</v>
      </c>
    </row>
    <row r="664" spans="1:34" ht="34.5" x14ac:dyDescent="0.25">
      <c r="A664" s="139" t="s">
        <v>116</v>
      </c>
      <c r="B664" s="105" t="s">
        <v>122</v>
      </c>
      <c r="C664" s="63">
        <v>652</v>
      </c>
      <c r="D664" s="197" t="s">
        <v>192</v>
      </c>
      <c r="E664" s="189" t="s">
        <v>877</v>
      </c>
      <c r="F664" s="190" t="s">
        <v>123</v>
      </c>
      <c r="G664" s="189" t="s">
        <v>134</v>
      </c>
      <c r="H664" s="191">
        <v>67392</v>
      </c>
      <c r="I664" s="189" t="s">
        <v>225</v>
      </c>
      <c r="J664" s="189">
        <v>0</v>
      </c>
      <c r="K664" s="189">
        <v>11301</v>
      </c>
      <c r="L664" s="191">
        <v>3</v>
      </c>
      <c r="M664" s="192">
        <v>46092</v>
      </c>
      <c r="N664" s="193">
        <v>1</v>
      </c>
      <c r="O664" s="194">
        <v>0.5</v>
      </c>
      <c r="P664" s="195"/>
      <c r="Q664" s="196" t="s">
        <v>38</v>
      </c>
      <c r="R664" s="197">
        <v>1</v>
      </c>
      <c r="S664" s="198" t="s">
        <v>33</v>
      </c>
      <c r="T664" s="199"/>
      <c r="U664" s="200"/>
      <c r="V664" s="200"/>
      <c r="W664" s="200"/>
      <c r="X664" s="200"/>
      <c r="Y664" s="200"/>
      <c r="Z664" s="200"/>
      <c r="AA664" s="200"/>
      <c r="AB664" s="200"/>
      <c r="AC664" s="208"/>
      <c r="AD664" s="11" t="str">
        <f t="shared" si="39"/>
        <v>3</v>
      </c>
      <c r="AF664" t="str">
        <f t="shared" si="40"/>
        <v>80.01.ZZ.03</v>
      </c>
      <c r="AH664" t="str">
        <f t="shared" si="41"/>
        <v>00 de 01</v>
      </c>
    </row>
    <row r="665" spans="1:34" ht="34.5" x14ac:dyDescent="0.25">
      <c r="A665" s="139" t="s">
        <v>116</v>
      </c>
      <c r="B665" s="105" t="s">
        <v>122</v>
      </c>
      <c r="C665" s="63">
        <v>653</v>
      </c>
      <c r="D665" s="197" t="s">
        <v>192</v>
      </c>
      <c r="E665" s="189" t="s">
        <v>878</v>
      </c>
      <c r="F665" s="190" t="s">
        <v>123</v>
      </c>
      <c r="G665" s="189" t="s">
        <v>134</v>
      </c>
      <c r="H665" s="191">
        <v>67392</v>
      </c>
      <c r="I665" s="189" t="s">
        <v>225</v>
      </c>
      <c r="J665" s="189">
        <v>0</v>
      </c>
      <c r="K665" s="189">
        <v>11301</v>
      </c>
      <c r="L665" s="191">
        <v>3</v>
      </c>
      <c r="M665" s="192">
        <v>46092</v>
      </c>
      <c r="N665" s="193">
        <v>1</v>
      </c>
      <c r="O665" s="194">
        <v>0.5</v>
      </c>
      <c r="P665" s="195"/>
      <c r="Q665" s="196" t="s">
        <v>38</v>
      </c>
      <c r="R665" s="197">
        <v>1</v>
      </c>
      <c r="S665" s="198" t="s">
        <v>33</v>
      </c>
      <c r="T665" s="199"/>
      <c r="U665" s="200"/>
      <c r="V665" s="200"/>
      <c r="W665" s="200"/>
      <c r="X665" s="200"/>
      <c r="Y665" s="200"/>
      <c r="Z665" s="200"/>
      <c r="AA665" s="200"/>
      <c r="AB665" s="200"/>
      <c r="AC665" s="208"/>
      <c r="AD665" s="11" t="str">
        <f t="shared" si="39"/>
        <v>3</v>
      </c>
      <c r="AF665" t="str">
        <f t="shared" si="40"/>
        <v>80.01.ZZ.03</v>
      </c>
      <c r="AH665" t="str">
        <f t="shared" si="41"/>
        <v>00 de 01</v>
      </c>
    </row>
    <row r="666" spans="1:34" ht="34.5" x14ac:dyDescent="0.25">
      <c r="A666" s="139" t="s">
        <v>116</v>
      </c>
      <c r="B666" s="105" t="s">
        <v>122</v>
      </c>
      <c r="C666" s="63">
        <v>654</v>
      </c>
      <c r="D666" s="197" t="s">
        <v>192</v>
      </c>
      <c r="E666" s="189" t="s">
        <v>879</v>
      </c>
      <c r="F666" s="190" t="s">
        <v>123</v>
      </c>
      <c r="G666" s="189" t="s">
        <v>134</v>
      </c>
      <c r="H666" s="191">
        <v>67392</v>
      </c>
      <c r="I666" s="189" t="s">
        <v>225</v>
      </c>
      <c r="J666" s="189">
        <v>0</v>
      </c>
      <c r="K666" s="189">
        <v>11301</v>
      </c>
      <c r="L666" s="191">
        <v>3</v>
      </c>
      <c r="M666" s="192">
        <v>46092</v>
      </c>
      <c r="N666" s="193">
        <v>1</v>
      </c>
      <c r="O666" s="194">
        <v>0.5</v>
      </c>
      <c r="P666" s="195"/>
      <c r="Q666" s="196" t="s">
        <v>38</v>
      </c>
      <c r="R666" s="197">
        <v>1</v>
      </c>
      <c r="S666" s="198" t="s">
        <v>33</v>
      </c>
      <c r="T666" s="199"/>
      <c r="U666" s="200"/>
      <c r="V666" s="200"/>
      <c r="W666" s="200"/>
      <c r="X666" s="200"/>
      <c r="Y666" s="200"/>
      <c r="Z666" s="200"/>
      <c r="AA666" s="200"/>
      <c r="AB666" s="200"/>
      <c r="AC666" s="208"/>
      <c r="AD666" s="11" t="str">
        <f t="shared" si="39"/>
        <v>3</v>
      </c>
      <c r="AF666" t="str">
        <f t="shared" si="40"/>
        <v>80.01.ZZ.03</v>
      </c>
      <c r="AH666" t="str">
        <f t="shared" si="41"/>
        <v>00 de 01</v>
      </c>
    </row>
    <row r="667" spans="1:34" ht="34.5" x14ac:dyDescent="0.25">
      <c r="A667" s="139" t="s">
        <v>116</v>
      </c>
      <c r="B667" s="105" t="s">
        <v>122</v>
      </c>
      <c r="C667" s="63">
        <v>655</v>
      </c>
      <c r="D667" s="197" t="s">
        <v>192</v>
      </c>
      <c r="E667" s="189" t="s">
        <v>258</v>
      </c>
      <c r="F667" s="190" t="s">
        <v>123</v>
      </c>
      <c r="G667" s="189" t="s">
        <v>134</v>
      </c>
      <c r="H667" s="191">
        <v>67392</v>
      </c>
      <c r="I667" s="189" t="s">
        <v>225</v>
      </c>
      <c r="J667" s="189">
        <v>0</v>
      </c>
      <c r="K667" s="189">
        <v>11101</v>
      </c>
      <c r="L667" s="191">
        <v>3</v>
      </c>
      <c r="M667" s="192">
        <v>46092</v>
      </c>
      <c r="N667" s="193">
        <v>1</v>
      </c>
      <c r="O667" s="194">
        <v>0.5</v>
      </c>
      <c r="P667" s="195"/>
      <c r="Q667" s="196" t="s">
        <v>38</v>
      </c>
      <c r="R667" s="197">
        <v>1</v>
      </c>
      <c r="S667" s="198" t="s">
        <v>33</v>
      </c>
      <c r="T667" s="199"/>
      <c r="U667" s="200"/>
      <c r="V667" s="200"/>
      <c r="W667" s="200"/>
      <c r="X667" s="200"/>
      <c r="Y667" s="200"/>
      <c r="Z667" s="200"/>
      <c r="AA667" s="200"/>
      <c r="AB667" s="200"/>
      <c r="AC667" s="208"/>
      <c r="AD667" s="11" t="str">
        <f t="shared" si="39"/>
        <v>3</v>
      </c>
      <c r="AF667" t="str">
        <f t="shared" si="40"/>
        <v>80.01.ZZ.03</v>
      </c>
      <c r="AH667" t="str">
        <f t="shared" si="41"/>
        <v>00 de 01</v>
      </c>
    </row>
    <row r="668" spans="1:34" ht="34.5" x14ac:dyDescent="0.25">
      <c r="A668" s="139" t="s">
        <v>116</v>
      </c>
      <c r="B668" s="105" t="s">
        <v>122</v>
      </c>
      <c r="C668" s="63">
        <v>656</v>
      </c>
      <c r="D668" s="197" t="s">
        <v>192</v>
      </c>
      <c r="E668" s="189" t="s">
        <v>880</v>
      </c>
      <c r="F668" s="190" t="s">
        <v>123</v>
      </c>
      <c r="G668" s="189" t="s">
        <v>134</v>
      </c>
      <c r="H668" s="191">
        <v>67392</v>
      </c>
      <c r="I668" s="189" t="s">
        <v>225</v>
      </c>
      <c r="J668" s="189">
        <v>0</v>
      </c>
      <c r="K668" s="189">
        <v>11101</v>
      </c>
      <c r="L668" s="191">
        <v>3</v>
      </c>
      <c r="M668" s="192">
        <v>46092</v>
      </c>
      <c r="N668" s="193">
        <v>1</v>
      </c>
      <c r="O668" s="194">
        <v>0.5</v>
      </c>
      <c r="P668" s="195"/>
      <c r="Q668" s="196" t="s">
        <v>38</v>
      </c>
      <c r="R668" s="197">
        <v>1</v>
      </c>
      <c r="S668" s="198" t="s">
        <v>33</v>
      </c>
      <c r="T668" s="199"/>
      <c r="U668" s="200"/>
      <c r="V668" s="200"/>
      <c r="W668" s="200"/>
      <c r="X668" s="200"/>
      <c r="Y668" s="200"/>
      <c r="Z668" s="200"/>
      <c r="AA668" s="200"/>
      <c r="AB668" s="200"/>
      <c r="AC668" s="208"/>
      <c r="AD668" s="11" t="str">
        <f t="shared" si="39"/>
        <v>3</v>
      </c>
      <c r="AF668" t="str">
        <f t="shared" si="40"/>
        <v>80.01.ZZ.03</v>
      </c>
      <c r="AH668" t="str">
        <f t="shared" si="41"/>
        <v>00 de 01</v>
      </c>
    </row>
    <row r="669" spans="1:34" ht="34.5" x14ac:dyDescent="0.25">
      <c r="A669" s="139" t="s">
        <v>116</v>
      </c>
      <c r="B669" s="105" t="s">
        <v>122</v>
      </c>
      <c r="C669" s="63">
        <v>657</v>
      </c>
      <c r="D669" s="197" t="s">
        <v>192</v>
      </c>
      <c r="E669" s="189" t="s">
        <v>881</v>
      </c>
      <c r="F669" s="190" t="s">
        <v>123</v>
      </c>
      <c r="G669" s="189" t="s">
        <v>134</v>
      </c>
      <c r="H669" s="191">
        <v>67392</v>
      </c>
      <c r="I669" s="189" t="s">
        <v>225</v>
      </c>
      <c r="J669" s="189">
        <v>0</v>
      </c>
      <c r="K669" s="189">
        <v>11101</v>
      </c>
      <c r="L669" s="191">
        <v>3</v>
      </c>
      <c r="M669" s="192">
        <v>46092</v>
      </c>
      <c r="N669" s="193">
        <v>1</v>
      </c>
      <c r="O669" s="194">
        <v>0.5</v>
      </c>
      <c r="P669" s="195"/>
      <c r="Q669" s="196" t="s">
        <v>38</v>
      </c>
      <c r="R669" s="197">
        <v>1</v>
      </c>
      <c r="S669" s="198" t="s">
        <v>33</v>
      </c>
      <c r="T669" s="199"/>
      <c r="U669" s="200"/>
      <c r="V669" s="200"/>
      <c r="W669" s="200"/>
      <c r="X669" s="200"/>
      <c r="Y669" s="200"/>
      <c r="Z669" s="200"/>
      <c r="AA669" s="200"/>
      <c r="AB669" s="200"/>
      <c r="AC669" s="208"/>
      <c r="AD669" s="11" t="str">
        <f t="shared" si="39"/>
        <v>3</v>
      </c>
      <c r="AF669" t="str">
        <f t="shared" si="40"/>
        <v>80.01.ZZ.03</v>
      </c>
      <c r="AH669" t="str">
        <f t="shared" si="41"/>
        <v>00 de 01</v>
      </c>
    </row>
    <row r="670" spans="1:34" ht="34.5" x14ac:dyDescent="0.25">
      <c r="A670" s="139" t="s">
        <v>116</v>
      </c>
      <c r="B670" s="105" t="s">
        <v>122</v>
      </c>
      <c r="C670" s="63">
        <v>658</v>
      </c>
      <c r="D670" s="197" t="s">
        <v>192</v>
      </c>
      <c r="E670" s="189" t="s">
        <v>882</v>
      </c>
      <c r="F670" s="190" t="s">
        <v>123</v>
      </c>
      <c r="G670" s="189" t="s">
        <v>134</v>
      </c>
      <c r="H670" s="191">
        <v>67392</v>
      </c>
      <c r="I670" s="189" t="s">
        <v>225</v>
      </c>
      <c r="J670" s="189">
        <v>0</v>
      </c>
      <c r="K670" s="189">
        <v>11101</v>
      </c>
      <c r="L670" s="191">
        <v>3</v>
      </c>
      <c r="M670" s="192">
        <v>46092</v>
      </c>
      <c r="N670" s="193">
        <v>1</v>
      </c>
      <c r="O670" s="194">
        <v>0.5</v>
      </c>
      <c r="P670" s="195"/>
      <c r="Q670" s="196" t="s">
        <v>38</v>
      </c>
      <c r="R670" s="197">
        <v>1</v>
      </c>
      <c r="S670" s="198" t="s">
        <v>33</v>
      </c>
      <c r="T670" s="199"/>
      <c r="U670" s="200"/>
      <c r="V670" s="200"/>
      <c r="W670" s="200"/>
      <c r="X670" s="200"/>
      <c r="Y670" s="200"/>
      <c r="Z670" s="200"/>
      <c r="AA670" s="200"/>
      <c r="AB670" s="200"/>
      <c r="AC670" s="208"/>
      <c r="AD670" s="11" t="str">
        <f t="shared" si="39"/>
        <v>3</v>
      </c>
      <c r="AF670" t="str">
        <f t="shared" si="40"/>
        <v>80.01.ZZ.03</v>
      </c>
      <c r="AH670" t="str">
        <f t="shared" si="41"/>
        <v>00 de 01</v>
      </c>
    </row>
    <row r="671" spans="1:34" ht="34.5" x14ac:dyDescent="0.25">
      <c r="A671" s="139" t="s">
        <v>116</v>
      </c>
      <c r="B671" s="105" t="s">
        <v>122</v>
      </c>
      <c r="C671" s="63">
        <v>659</v>
      </c>
      <c r="D671" s="197" t="s">
        <v>192</v>
      </c>
      <c r="E671" s="189" t="s">
        <v>883</v>
      </c>
      <c r="F671" s="190" t="s">
        <v>123</v>
      </c>
      <c r="G671" s="189" t="s">
        <v>134</v>
      </c>
      <c r="H671" s="191">
        <v>67392</v>
      </c>
      <c r="I671" s="189" t="s">
        <v>225</v>
      </c>
      <c r="J671" s="189">
        <v>0</v>
      </c>
      <c r="K671" s="189">
        <v>11101</v>
      </c>
      <c r="L671" s="191">
        <v>3</v>
      </c>
      <c r="M671" s="192">
        <v>46092</v>
      </c>
      <c r="N671" s="193">
        <v>1</v>
      </c>
      <c r="O671" s="194">
        <v>0.5</v>
      </c>
      <c r="P671" s="195"/>
      <c r="Q671" s="196" t="s">
        <v>38</v>
      </c>
      <c r="R671" s="197">
        <v>1</v>
      </c>
      <c r="S671" s="198" t="s">
        <v>33</v>
      </c>
      <c r="T671" s="199"/>
      <c r="U671" s="200"/>
      <c r="V671" s="200"/>
      <c r="W671" s="200"/>
      <c r="X671" s="200"/>
      <c r="Y671" s="200"/>
      <c r="Z671" s="200"/>
      <c r="AA671" s="200"/>
      <c r="AB671" s="200"/>
      <c r="AC671" s="208"/>
      <c r="AD671" s="11" t="str">
        <f t="shared" si="39"/>
        <v>3</v>
      </c>
      <c r="AF671" t="str">
        <f t="shared" si="40"/>
        <v>80.01.ZZ.03</v>
      </c>
      <c r="AH671" t="str">
        <f t="shared" si="41"/>
        <v>00 de 01</v>
      </c>
    </row>
    <row r="672" spans="1:34" ht="34.5" x14ac:dyDescent="0.25">
      <c r="A672" s="139" t="s">
        <v>116</v>
      </c>
      <c r="B672" s="105" t="s">
        <v>122</v>
      </c>
      <c r="C672" s="63">
        <v>660</v>
      </c>
      <c r="D672" s="197" t="s">
        <v>192</v>
      </c>
      <c r="E672" s="189" t="s">
        <v>884</v>
      </c>
      <c r="F672" s="190" t="s">
        <v>123</v>
      </c>
      <c r="G672" s="189" t="s">
        <v>134</v>
      </c>
      <c r="H672" s="191">
        <v>67392</v>
      </c>
      <c r="I672" s="189" t="s">
        <v>225</v>
      </c>
      <c r="J672" s="189">
        <v>0</v>
      </c>
      <c r="K672" s="189">
        <v>11101</v>
      </c>
      <c r="L672" s="191">
        <v>3</v>
      </c>
      <c r="M672" s="192">
        <v>46092</v>
      </c>
      <c r="N672" s="193">
        <v>1</v>
      </c>
      <c r="O672" s="194">
        <v>0.5</v>
      </c>
      <c r="P672" s="195"/>
      <c r="Q672" s="196" t="s">
        <v>38</v>
      </c>
      <c r="R672" s="197">
        <v>1</v>
      </c>
      <c r="S672" s="198" t="s">
        <v>33</v>
      </c>
      <c r="T672" s="199"/>
      <c r="U672" s="200"/>
      <c r="V672" s="200"/>
      <c r="W672" s="200"/>
      <c r="X672" s="200"/>
      <c r="Y672" s="200"/>
      <c r="Z672" s="200"/>
      <c r="AA672" s="200"/>
      <c r="AB672" s="200"/>
      <c r="AC672" s="208"/>
      <c r="AD672" s="11" t="str">
        <f t="shared" si="39"/>
        <v>3</v>
      </c>
      <c r="AF672" t="str">
        <f t="shared" si="40"/>
        <v>80.01.ZZ.03</v>
      </c>
      <c r="AH672" t="str">
        <f t="shared" si="41"/>
        <v>00 de 01</v>
      </c>
    </row>
    <row r="673" spans="1:34" ht="34.5" x14ac:dyDescent="0.25">
      <c r="A673" s="139" t="s">
        <v>116</v>
      </c>
      <c r="B673" s="105" t="s">
        <v>122</v>
      </c>
      <c r="C673" s="63">
        <v>661</v>
      </c>
      <c r="D673" s="197" t="s">
        <v>192</v>
      </c>
      <c r="E673" s="189" t="s">
        <v>885</v>
      </c>
      <c r="F673" s="190" t="s">
        <v>123</v>
      </c>
      <c r="G673" s="189" t="s">
        <v>134</v>
      </c>
      <c r="H673" s="191">
        <v>67392</v>
      </c>
      <c r="I673" s="189" t="s">
        <v>225</v>
      </c>
      <c r="J673" s="189">
        <v>0</v>
      </c>
      <c r="K673" s="189">
        <v>11101</v>
      </c>
      <c r="L673" s="191">
        <v>3</v>
      </c>
      <c r="M673" s="192">
        <v>46092</v>
      </c>
      <c r="N673" s="193">
        <v>1</v>
      </c>
      <c r="O673" s="194">
        <v>0.5</v>
      </c>
      <c r="P673" s="195"/>
      <c r="Q673" s="196" t="s">
        <v>38</v>
      </c>
      <c r="R673" s="197">
        <v>1</v>
      </c>
      <c r="S673" s="198" t="s">
        <v>33</v>
      </c>
      <c r="T673" s="199"/>
      <c r="U673" s="200"/>
      <c r="V673" s="200"/>
      <c r="W673" s="200"/>
      <c r="X673" s="200"/>
      <c r="Y673" s="200"/>
      <c r="Z673" s="200"/>
      <c r="AA673" s="200"/>
      <c r="AB673" s="200"/>
      <c r="AC673" s="208"/>
      <c r="AD673" s="11" t="str">
        <f t="shared" si="39"/>
        <v>3</v>
      </c>
      <c r="AF673" t="str">
        <f t="shared" si="40"/>
        <v>80.01.ZZ.03</v>
      </c>
      <c r="AH673" t="str">
        <f t="shared" si="41"/>
        <v>00 de 01</v>
      </c>
    </row>
    <row r="674" spans="1:34" ht="34.5" x14ac:dyDescent="0.25">
      <c r="A674" s="139" t="s">
        <v>116</v>
      </c>
      <c r="B674" s="105" t="s">
        <v>122</v>
      </c>
      <c r="C674" s="63">
        <v>662</v>
      </c>
      <c r="D674" s="197" t="s">
        <v>192</v>
      </c>
      <c r="E674" s="189" t="s">
        <v>886</v>
      </c>
      <c r="F674" s="190" t="s">
        <v>123</v>
      </c>
      <c r="G674" s="189" t="s">
        <v>134</v>
      </c>
      <c r="H674" s="191">
        <v>67392</v>
      </c>
      <c r="I674" s="189" t="s">
        <v>225</v>
      </c>
      <c r="J674" s="189">
        <v>0</v>
      </c>
      <c r="K674" s="189">
        <v>11101</v>
      </c>
      <c r="L674" s="191">
        <v>3</v>
      </c>
      <c r="M674" s="192">
        <v>46092</v>
      </c>
      <c r="N674" s="193">
        <v>1</v>
      </c>
      <c r="O674" s="194">
        <v>0.5</v>
      </c>
      <c r="P674" s="195"/>
      <c r="Q674" s="196" t="s">
        <v>38</v>
      </c>
      <c r="R674" s="197">
        <v>1</v>
      </c>
      <c r="S674" s="198" t="s">
        <v>33</v>
      </c>
      <c r="T674" s="199"/>
      <c r="U674" s="200"/>
      <c r="V674" s="200"/>
      <c r="W674" s="200"/>
      <c r="X674" s="200"/>
      <c r="Y674" s="200"/>
      <c r="Z674" s="200"/>
      <c r="AA674" s="200"/>
      <c r="AB674" s="200"/>
      <c r="AC674" s="208"/>
      <c r="AD674" s="11" t="str">
        <f t="shared" si="39"/>
        <v>3</v>
      </c>
      <c r="AF674" t="str">
        <f t="shared" si="40"/>
        <v>80.01.ZZ.03</v>
      </c>
      <c r="AH674" t="str">
        <f t="shared" si="41"/>
        <v>00 de 01</v>
      </c>
    </row>
    <row r="675" spans="1:34" ht="34.5" x14ac:dyDescent="0.25">
      <c r="A675" s="139" t="s">
        <v>116</v>
      </c>
      <c r="B675" s="105" t="s">
        <v>122</v>
      </c>
      <c r="C675" s="63">
        <v>663</v>
      </c>
      <c r="D675" s="197" t="s">
        <v>192</v>
      </c>
      <c r="E675" s="189" t="s">
        <v>887</v>
      </c>
      <c r="F675" s="190" t="s">
        <v>123</v>
      </c>
      <c r="G675" s="189" t="s">
        <v>134</v>
      </c>
      <c r="H675" s="191">
        <v>67392</v>
      </c>
      <c r="I675" s="189" t="s">
        <v>225</v>
      </c>
      <c r="J675" s="189">
        <v>0</v>
      </c>
      <c r="K675" s="189">
        <v>11101</v>
      </c>
      <c r="L675" s="191">
        <v>3</v>
      </c>
      <c r="M675" s="192">
        <v>46092</v>
      </c>
      <c r="N675" s="193">
        <v>1</v>
      </c>
      <c r="O675" s="194">
        <v>0.5</v>
      </c>
      <c r="P675" s="195"/>
      <c r="Q675" s="196" t="s">
        <v>38</v>
      </c>
      <c r="R675" s="197">
        <v>1</v>
      </c>
      <c r="S675" s="198" t="s">
        <v>33</v>
      </c>
      <c r="T675" s="199"/>
      <c r="U675" s="200"/>
      <c r="V675" s="200"/>
      <c r="W675" s="200"/>
      <c r="X675" s="200"/>
      <c r="Y675" s="200"/>
      <c r="Z675" s="200"/>
      <c r="AA675" s="200"/>
      <c r="AB675" s="200"/>
      <c r="AC675" s="208"/>
      <c r="AD675" s="11" t="str">
        <f t="shared" si="39"/>
        <v>3</v>
      </c>
      <c r="AF675" t="str">
        <f t="shared" si="40"/>
        <v>80.01.ZZ.03</v>
      </c>
      <c r="AH675" t="str">
        <f t="shared" si="41"/>
        <v>00 de 01</v>
      </c>
    </row>
    <row r="676" spans="1:34" ht="34.5" x14ac:dyDescent="0.25">
      <c r="A676" s="139" t="s">
        <v>116</v>
      </c>
      <c r="B676" s="105" t="s">
        <v>122</v>
      </c>
      <c r="C676" s="63">
        <v>664</v>
      </c>
      <c r="D676" s="197" t="s">
        <v>192</v>
      </c>
      <c r="E676" s="189" t="s">
        <v>888</v>
      </c>
      <c r="F676" s="190" t="s">
        <v>123</v>
      </c>
      <c r="G676" s="189" t="s">
        <v>134</v>
      </c>
      <c r="H676" s="191">
        <v>67392</v>
      </c>
      <c r="I676" s="189" t="s">
        <v>225</v>
      </c>
      <c r="J676" s="189">
        <v>0</v>
      </c>
      <c r="K676" s="189">
        <v>11101</v>
      </c>
      <c r="L676" s="191">
        <v>3</v>
      </c>
      <c r="M676" s="192">
        <v>46092</v>
      </c>
      <c r="N676" s="193">
        <v>1</v>
      </c>
      <c r="O676" s="194">
        <v>0.5</v>
      </c>
      <c r="P676" s="195"/>
      <c r="Q676" s="196" t="s">
        <v>38</v>
      </c>
      <c r="R676" s="197">
        <v>1</v>
      </c>
      <c r="S676" s="198" t="s">
        <v>33</v>
      </c>
      <c r="T676" s="199"/>
      <c r="U676" s="200"/>
      <c r="V676" s="200"/>
      <c r="W676" s="200"/>
      <c r="X676" s="200"/>
      <c r="Y676" s="200"/>
      <c r="Z676" s="200"/>
      <c r="AA676" s="200"/>
      <c r="AB676" s="200"/>
      <c r="AC676" s="208"/>
      <c r="AD676" s="11" t="str">
        <f t="shared" si="39"/>
        <v>3</v>
      </c>
      <c r="AF676" t="str">
        <f t="shared" si="40"/>
        <v>80.01.ZZ.03</v>
      </c>
      <c r="AH676" t="str">
        <f t="shared" si="41"/>
        <v>00 de 01</v>
      </c>
    </row>
    <row r="677" spans="1:34" ht="34.5" x14ac:dyDescent="0.25">
      <c r="A677" s="139" t="s">
        <v>116</v>
      </c>
      <c r="B677" s="105" t="s">
        <v>122</v>
      </c>
      <c r="C677" s="63">
        <v>665</v>
      </c>
      <c r="D677" s="197" t="s">
        <v>192</v>
      </c>
      <c r="E677" s="189" t="s">
        <v>889</v>
      </c>
      <c r="F677" s="190" t="s">
        <v>123</v>
      </c>
      <c r="G677" s="189" t="s">
        <v>134</v>
      </c>
      <c r="H677" s="191">
        <v>67392</v>
      </c>
      <c r="I677" s="189" t="s">
        <v>225</v>
      </c>
      <c r="J677" s="189">
        <v>0</v>
      </c>
      <c r="K677" s="189">
        <v>11101</v>
      </c>
      <c r="L677" s="191">
        <v>3</v>
      </c>
      <c r="M677" s="192">
        <v>46092</v>
      </c>
      <c r="N677" s="193">
        <v>1</v>
      </c>
      <c r="O677" s="194">
        <v>0.5</v>
      </c>
      <c r="P677" s="195"/>
      <c r="Q677" s="196" t="s">
        <v>38</v>
      </c>
      <c r="R677" s="197">
        <v>1</v>
      </c>
      <c r="S677" s="198" t="s">
        <v>33</v>
      </c>
      <c r="T677" s="199"/>
      <c r="U677" s="200"/>
      <c r="V677" s="200"/>
      <c r="W677" s="200"/>
      <c r="X677" s="200"/>
      <c r="Y677" s="200"/>
      <c r="Z677" s="200"/>
      <c r="AA677" s="200"/>
      <c r="AB677" s="200"/>
      <c r="AC677" s="208"/>
      <c r="AD677" s="11" t="str">
        <f t="shared" si="39"/>
        <v>3</v>
      </c>
      <c r="AF677" t="str">
        <f t="shared" si="40"/>
        <v>80.01.ZZ.03</v>
      </c>
      <c r="AH677" t="str">
        <f t="shared" si="41"/>
        <v>00 de 01</v>
      </c>
    </row>
    <row r="678" spans="1:34" ht="34.5" x14ac:dyDescent="0.25">
      <c r="A678" s="139" t="s">
        <v>116</v>
      </c>
      <c r="B678" s="105" t="s">
        <v>122</v>
      </c>
      <c r="C678" s="63">
        <v>666</v>
      </c>
      <c r="D678" s="197" t="s">
        <v>192</v>
      </c>
      <c r="E678" s="189" t="s">
        <v>890</v>
      </c>
      <c r="F678" s="190" t="s">
        <v>123</v>
      </c>
      <c r="G678" s="189" t="s">
        <v>134</v>
      </c>
      <c r="H678" s="191">
        <v>67392</v>
      </c>
      <c r="I678" s="189" t="s">
        <v>225</v>
      </c>
      <c r="J678" s="189">
        <v>0</v>
      </c>
      <c r="K678" s="189">
        <v>11101</v>
      </c>
      <c r="L678" s="191">
        <v>3</v>
      </c>
      <c r="M678" s="192">
        <v>46092</v>
      </c>
      <c r="N678" s="193">
        <v>1</v>
      </c>
      <c r="O678" s="194">
        <v>0.5</v>
      </c>
      <c r="P678" s="195"/>
      <c r="Q678" s="196" t="s">
        <v>38</v>
      </c>
      <c r="R678" s="197">
        <v>1</v>
      </c>
      <c r="S678" s="198" t="s">
        <v>33</v>
      </c>
      <c r="T678" s="199"/>
      <c r="U678" s="200"/>
      <c r="V678" s="200"/>
      <c r="W678" s="200"/>
      <c r="X678" s="200"/>
      <c r="Y678" s="200"/>
      <c r="Z678" s="200"/>
      <c r="AA678" s="200"/>
      <c r="AB678" s="200"/>
      <c r="AC678" s="208"/>
      <c r="AD678" s="11" t="str">
        <f t="shared" si="39"/>
        <v>3</v>
      </c>
      <c r="AF678" t="str">
        <f t="shared" si="40"/>
        <v>80.01.ZZ.03</v>
      </c>
      <c r="AH678" t="str">
        <f t="shared" si="41"/>
        <v>00 de 01</v>
      </c>
    </row>
    <row r="679" spans="1:34" ht="34.5" x14ac:dyDescent="0.25">
      <c r="A679" s="139" t="s">
        <v>116</v>
      </c>
      <c r="B679" s="105" t="s">
        <v>122</v>
      </c>
      <c r="C679" s="63">
        <v>667</v>
      </c>
      <c r="D679" s="197" t="s">
        <v>192</v>
      </c>
      <c r="E679" s="189" t="s">
        <v>891</v>
      </c>
      <c r="F679" s="190" t="s">
        <v>123</v>
      </c>
      <c r="G679" s="189" t="s">
        <v>134</v>
      </c>
      <c r="H679" s="191">
        <v>67392</v>
      </c>
      <c r="I679" s="189" t="s">
        <v>225</v>
      </c>
      <c r="J679" s="189">
        <v>0</v>
      </c>
      <c r="K679" s="189">
        <v>11101</v>
      </c>
      <c r="L679" s="191">
        <v>3</v>
      </c>
      <c r="M679" s="192">
        <v>46092</v>
      </c>
      <c r="N679" s="193">
        <v>1</v>
      </c>
      <c r="O679" s="194">
        <v>0.5</v>
      </c>
      <c r="P679" s="195"/>
      <c r="Q679" s="196" t="s">
        <v>38</v>
      </c>
      <c r="R679" s="197">
        <v>1</v>
      </c>
      <c r="S679" s="198" t="s">
        <v>33</v>
      </c>
      <c r="T679" s="199"/>
      <c r="U679" s="200"/>
      <c r="V679" s="200"/>
      <c r="W679" s="200"/>
      <c r="X679" s="200"/>
      <c r="Y679" s="200"/>
      <c r="Z679" s="200"/>
      <c r="AA679" s="200"/>
      <c r="AB679" s="200"/>
      <c r="AC679" s="208"/>
      <c r="AD679" s="11" t="str">
        <f t="shared" si="39"/>
        <v>3</v>
      </c>
      <c r="AF679" t="str">
        <f t="shared" si="40"/>
        <v>80.01.ZZ.03</v>
      </c>
      <c r="AH679" t="str">
        <f t="shared" si="41"/>
        <v>00 de 01</v>
      </c>
    </row>
    <row r="680" spans="1:34" ht="34.5" x14ac:dyDescent="0.25">
      <c r="A680" s="139" t="s">
        <v>116</v>
      </c>
      <c r="B680" s="105" t="s">
        <v>122</v>
      </c>
      <c r="C680" s="63">
        <v>668</v>
      </c>
      <c r="D680" s="197" t="s">
        <v>192</v>
      </c>
      <c r="E680" s="189" t="s">
        <v>892</v>
      </c>
      <c r="F680" s="190" t="s">
        <v>123</v>
      </c>
      <c r="G680" s="189" t="s">
        <v>134</v>
      </c>
      <c r="H680" s="191">
        <v>67392</v>
      </c>
      <c r="I680" s="189" t="s">
        <v>225</v>
      </c>
      <c r="J680" s="189">
        <v>0</v>
      </c>
      <c r="K680" s="189">
        <v>11101</v>
      </c>
      <c r="L680" s="191">
        <v>3</v>
      </c>
      <c r="M680" s="192">
        <v>46092</v>
      </c>
      <c r="N680" s="193">
        <v>1</v>
      </c>
      <c r="O680" s="194">
        <v>0.5</v>
      </c>
      <c r="P680" s="195"/>
      <c r="Q680" s="196" t="s">
        <v>38</v>
      </c>
      <c r="R680" s="197">
        <v>1</v>
      </c>
      <c r="S680" s="198" t="s">
        <v>33</v>
      </c>
      <c r="T680" s="199"/>
      <c r="U680" s="200"/>
      <c r="V680" s="200"/>
      <c r="W680" s="200"/>
      <c r="X680" s="200"/>
      <c r="Y680" s="200"/>
      <c r="Z680" s="200"/>
      <c r="AA680" s="200"/>
      <c r="AB680" s="200"/>
      <c r="AC680" s="208"/>
      <c r="AD680" s="11" t="str">
        <f t="shared" si="39"/>
        <v>3</v>
      </c>
      <c r="AF680" t="str">
        <f t="shared" si="40"/>
        <v>80.01.ZZ.03</v>
      </c>
      <c r="AH680" t="str">
        <f t="shared" si="41"/>
        <v>00 de 01</v>
      </c>
    </row>
    <row r="681" spans="1:34" ht="34.5" x14ac:dyDescent="0.25">
      <c r="A681" s="139" t="s">
        <v>116</v>
      </c>
      <c r="B681" s="105" t="s">
        <v>122</v>
      </c>
      <c r="C681" s="63">
        <v>669</v>
      </c>
      <c r="D681" s="197" t="s">
        <v>192</v>
      </c>
      <c r="E681" s="189" t="s">
        <v>259</v>
      </c>
      <c r="F681" s="190" t="s">
        <v>123</v>
      </c>
      <c r="G681" s="189" t="s">
        <v>134</v>
      </c>
      <c r="H681" s="191">
        <v>67392</v>
      </c>
      <c r="I681" s="189" t="s">
        <v>225</v>
      </c>
      <c r="J681" s="189">
        <v>0</v>
      </c>
      <c r="K681" s="189">
        <v>11501</v>
      </c>
      <c r="L681" s="191">
        <v>3</v>
      </c>
      <c r="M681" s="192">
        <v>46092</v>
      </c>
      <c r="N681" s="193">
        <v>1</v>
      </c>
      <c r="O681" s="194">
        <v>0.5</v>
      </c>
      <c r="P681" s="195"/>
      <c r="Q681" s="196" t="s">
        <v>38</v>
      </c>
      <c r="R681" s="197">
        <v>1</v>
      </c>
      <c r="S681" s="198" t="s">
        <v>33</v>
      </c>
      <c r="T681" s="199"/>
      <c r="U681" s="200"/>
      <c r="V681" s="200"/>
      <c r="W681" s="200"/>
      <c r="X681" s="200"/>
      <c r="Y681" s="200"/>
      <c r="Z681" s="200"/>
      <c r="AA681" s="200"/>
      <c r="AB681" s="200"/>
      <c r="AC681" s="208"/>
      <c r="AD681" s="11" t="str">
        <f t="shared" si="39"/>
        <v>3</v>
      </c>
      <c r="AF681" t="str">
        <f t="shared" si="40"/>
        <v>80.01.ZZ.03</v>
      </c>
      <c r="AH681" t="str">
        <f t="shared" si="41"/>
        <v>00 de 01</v>
      </c>
    </row>
    <row r="682" spans="1:34" ht="34.5" x14ac:dyDescent="0.25">
      <c r="A682" s="139" t="s">
        <v>116</v>
      </c>
      <c r="B682" s="105" t="s">
        <v>122</v>
      </c>
      <c r="C682" s="63">
        <v>670</v>
      </c>
      <c r="D682" s="197" t="s">
        <v>192</v>
      </c>
      <c r="E682" s="189" t="s">
        <v>893</v>
      </c>
      <c r="F682" s="190" t="s">
        <v>123</v>
      </c>
      <c r="G682" s="189" t="s">
        <v>134</v>
      </c>
      <c r="H682" s="191">
        <v>67392</v>
      </c>
      <c r="I682" s="189" t="s">
        <v>225</v>
      </c>
      <c r="J682" s="189">
        <v>0</v>
      </c>
      <c r="K682" s="189">
        <v>11501</v>
      </c>
      <c r="L682" s="191">
        <v>3</v>
      </c>
      <c r="M682" s="192">
        <v>46092</v>
      </c>
      <c r="N682" s="193">
        <v>1</v>
      </c>
      <c r="O682" s="194">
        <v>0.5</v>
      </c>
      <c r="P682" s="195"/>
      <c r="Q682" s="196" t="s">
        <v>38</v>
      </c>
      <c r="R682" s="197">
        <v>1</v>
      </c>
      <c r="S682" s="198" t="s">
        <v>33</v>
      </c>
      <c r="T682" s="199"/>
      <c r="U682" s="200"/>
      <c r="V682" s="200"/>
      <c r="W682" s="200"/>
      <c r="X682" s="200"/>
      <c r="Y682" s="200"/>
      <c r="Z682" s="200"/>
      <c r="AA682" s="200"/>
      <c r="AB682" s="200"/>
      <c r="AC682" s="208"/>
      <c r="AD682" s="11" t="str">
        <f t="shared" si="39"/>
        <v>3</v>
      </c>
      <c r="AF682" t="str">
        <f t="shared" si="40"/>
        <v>80.01.ZZ.03</v>
      </c>
      <c r="AH682" t="str">
        <f t="shared" si="41"/>
        <v>00 de 01</v>
      </c>
    </row>
    <row r="683" spans="1:34" ht="34.5" x14ac:dyDescent="0.25">
      <c r="A683" s="139" t="s">
        <v>116</v>
      </c>
      <c r="B683" s="105" t="s">
        <v>122</v>
      </c>
      <c r="C683" s="63">
        <v>671</v>
      </c>
      <c r="D683" s="197" t="s">
        <v>192</v>
      </c>
      <c r="E683" s="189" t="s">
        <v>894</v>
      </c>
      <c r="F683" s="190" t="s">
        <v>123</v>
      </c>
      <c r="G683" s="189" t="s">
        <v>134</v>
      </c>
      <c r="H683" s="191">
        <v>67392</v>
      </c>
      <c r="I683" s="189" t="s">
        <v>225</v>
      </c>
      <c r="J683" s="189">
        <v>0</v>
      </c>
      <c r="K683" s="189">
        <v>11501</v>
      </c>
      <c r="L683" s="191">
        <v>3</v>
      </c>
      <c r="M683" s="192">
        <v>46092</v>
      </c>
      <c r="N683" s="193">
        <v>1</v>
      </c>
      <c r="O683" s="194">
        <v>0.5</v>
      </c>
      <c r="P683" s="195"/>
      <c r="Q683" s="196" t="s">
        <v>38</v>
      </c>
      <c r="R683" s="197">
        <v>1</v>
      </c>
      <c r="S683" s="198" t="s">
        <v>33</v>
      </c>
      <c r="T683" s="199"/>
      <c r="U683" s="200"/>
      <c r="V683" s="200"/>
      <c r="W683" s="200"/>
      <c r="X683" s="200"/>
      <c r="Y683" s="200"/>
      <c r="Z683" s="200"/>
      <c r="AA683" s="200"/>
      <c r="AB683" s="200"/>
      <c r="AC683" s="208"/>
      <c r="AD683" s="11" t="str">
        <f t="shared" si="39"/>
        <v>3</v>
      </c>
      <c r="AF683" t="str">
        <f t="shared" si="40"/>
        <v>80.01.ZZ.03</v>
      </c>
      <c r="AH683" t="str">
        <f t="shared" si="41"/>
        <v>00 de 01</v>
      </c>
    </row>
    <row r="684" spans="1:34" ht="34.5" x14ac:dyDescent="0.25">
      <c r="A684" s="139" t="s">
        <v>116</v>
      </c>
      <c r="B684" s="105" t="s">
        <v>122</v>
      </c>
      <c r="C684" s="63">
        <v>672</v>
      </c>
      <c r="D684" s="197" t="s">
        <v>192</v>
      </c>
      <c r="E684" s="189" t="s">
        <v>895</v>
      </c>
      <c r="F684" s="190" t="s">
        <v>123</v>
      </c>
      <c r="G684" s="189" t="s">
        <v>134</v>
      </c>
      <c r="H684" s="191">
        <v>67392</v>
      </c>
      <c r="I684" s="189" t="s">
        <v>225</v>
      </c>
      <c r="J684" s="189">
        <v>0</v>
      </c>
      <c r="K684" s="189">
        <v>11501</v>
      </c>
      <c r="L684" s="191">
        <v>3</v>
      </c>
      <c r="M684" s="192">
        <v>46092</v>
      </c>
      <c r="N684" s="193">
        <v>1</v>
      </c>
      <c r="O684" s="194">
        <v>0.5</v>
      </c>
      <c r="P684" s="195"/>
      <c r="Q684" s="196" t="s">
        <v>38</v>
      </c>
      <c r="R684" s="197">
        <v>1</v>
      </c>
      <c r="S684" s="198" t="s">
        <v>33</v>
      </c>
      <c r="T684" s="199"/>
      <c r="U684" s="200"/>
      <c r="V684" s="200"/>
      <c r="W684" s="200"/>
      <c r="X684" s="200"/>
      <c r="Y684" s="200"/>
      <c r="Z684" s="200"/>
      <c r="AA684" s="200"/>
      <c r="AB684" s="200"/>
      <c r="AC684" s="208"/>
      <c r="AD684" s="11" t="str">
        <f t="shared" si="39"/>
        <v>3</v>
      </c>
      <c r="AF684" t="str">
        <f t="shared" si="40"/>
        <v>80.01.ZZ.03</v>
      </c>
      <c r="AH684" t="str">
        <f t="shared" si="41"/>
        <v>00 de 01</v>
      </c>
    </row>
    <row r="685" spans="1:34" ht="34.5" x14ac:dyDescent="0.25">
      <c r="A685" s="139" t="s">
        <v>116</v>
      </c>
      <c r="B685" s="105" t="s">
        <v>122</v>
      </c>
      <c r="C685" s="63">
        <v>673</v>
      </c>
      <c r="D685" s="197" t="s">
        <v>192</v>
      </c>
      <c r="E685" s="189" t="s">
        <v>896</v>
      </c>
      <c r="F685" s="190" t="s">
        <v>123</v>
      </c>
      <c r="G685" s="189" t="s">
        <v>134</v>
      </c>
      <c r="H685" s="191">
        <v>67392</v>
      </c>
      <c r="I685" s="189" t="s">
        <v>225</v>
      </c>
      <c r="J685" s="189">
        <v>0</v>
      </c>
      <c r="K685" s="189">
        <v>11501</v>
      </c>
      <c r="L685" s="191">
        <v>3</v>
      </c>
      <c r="M685" s="192">
        <v>46092</v>
      </c>
      <c r="N685" s="193">
        <v>1</v>
      </c>
      <c r="O685" s="194">
        <v>0.5</v>
      </c>
      <c r="P685" s="195"/>
      <c r="Q685" s="196" t="s">
        <v>38</v>
      </c>
      <c r="R685" s="197">
        <v>1</v>
      </c>
      <c r="S685" s="198" t="s">
        <v>33</v>
      </c>
      <c r="T685" s="199"/>
      <c r="U685" s="200"/>
      <c r="V685" s="200"/>
      <c r="W685" s="200"/>
      <c r="X685" s="200"/>
      <c r="Y685" s="200"/>
      <c r="Z685" s="200"/>
      <c r="AA685" s="200"/>
      <c r="AB685" s="200"/>
      <c r="AC685" s="208"/>
      <c r="AD685" s="11" t="str">
        <f t="shared" si="39"/>
        <v>3</v>
      </c>
      <c r="AF685" t="str">
        <f t="shared" si="40"/>
        <v>80.01.ZZ.03</v>
      </c>
      <c r="AH685" t="str">
        <f t="shared" si="41"/>
        <v>00 de 01</v>
      </c>
    </row>
    <row r="686" spans="1:34" ht="34.5" x14ac:dyDescent="0.25">
      <c r="A686" s="139" t="s">
        <v>116</v>
      </c>
      <c r="B686" s="105" t="s">
        <v>122</v>
      </c>
      <c r="C686" s="63">
        <v>674</v>
      </c>
      <c r="D686" s="197" t="s">
        <v>192</v>
      </c>
      <c r="E686" s="189" t="s">
        <v>897</v>
      </c>
      <c r="F686" s="190" t="s">
        <v>123</v>
      </c>
      <c r="G686" s="189" t="s">
        <v>134</v>
      </c>
      <c r="H686" s="191">
        <v>67392</v>
      </c>
      <c r="I686" s="189" t="s">
        <v>225</v>
      </c>
      <c r="J686" s="189">
        <v>0</v>
      </c>
      <c r="K686" s="189">
        <v>11501</v>
      </c>
      <c r="L686" s="191">
        <v>3</v>
      </c>
      <c r="M686" s="192">
        <v>46092</v>
      </c>
      <c r="N686" s="193">
        <v>1</v>
      </c>
      <c r="O686" s="194">
        <v>0.5</v>
      </c>
      <c r="P686" s="195"/>
      <c r="Q686" s="196" t="s">
        <v>38</v>
      </c>
      <c r="R686" s="197">
        <v>1</v>
      </c>
      <c r="S686" s="198" t="s">
        <v>33</v>
      </c>
      <c r="T686" s="199"/>
      <c r="U686" s="200"/>
      <c r="V686" s="200"/>
      <c r="W686" s="200"/>
      <c r="X686" s="200"/>
      <c r="Y686" s="200"/>
      <c r="Z686" s="200"/>
      <c r="AA686" s="200"/>
      <c r="AB686" s="200"/>
      <c r="AC686" s="208"/>
      <c r="AD686" s="11" t="str">
        <f t="shared" si="39"/>
        <v>3</v>
      </c>
      <c r="AF686" t="str">
        <f t="shared" si="40"/>
        <v>80.01.ZZ.03</v>
      </c>
      <c r="AH686" t="str">
        <f t="shared" si="41"/>
        <v>00 de 01</v>
      </c>
    </row>
    <row r="687" spans="1:34" ht="34.5" x14ac:dyDescent="0.25">
      <c r="A687" s="139" t="s">
        <v>116</v>
      </c>
      <c r="B687" s="105" t="s">
        <v>122</v>
      </c>
      <c r="C687" s="63">
        <v>675</v>
      </c>
      <c r="D687" s="197" t="s">
        <v>192</v>
      </c>
      <c r="E687" s="189" t="s">
        <v>898</v>
      </c>
      <c r="F687" s="190" t="s">
        <v>123</v>
      </c>
      <c r="G687" s="189" t="s">
        <v>134</v>
      </c>
      <c r="H687" s="191">
        <v>67392</v>
      </c>
      <c r="I687" s="189" t="s">
        <v>225</v>
      </c>
      <c r="J687" s="189">
        <v>0</v>
      </c>
      <c r="K687" s="189">
        <v>11501</v>
      </c>
      <c r="L687" s="191">
        <v>3</v>
      </c>
      <c r="M687" s="192">
        <v>46092</v>
      </c>
      <c r="N687" s="193">
        <v>1</v>
      </c>
      <c r="O687" s="194">
        <v>0.5</v>
      </c>
      <c r="P687" s="195"/>
      <c r="Q687" s="196" t="s">
        <v>38</v>
      </c>
      <c r="R687" s="197">
        <v>1</v>
      </c>
      <c r="S687" s="198" t="s">
        <v>33</v>
      </c>
      <c r="T687" s="199"/>
      <c r="U687" s="200"/>
      <c r="V687" s="200"/>
      <c r="W687" s="200"/>
      <c r="X687" s="200"/>
      <c r="Y687" s="200"/>
      <c r="Z687" s="200"/>
      <c r="AA687" s="200"/>
      <c r="AB687" s="200"/>
      <c r="AC687" s="208"/>
      <c r="AD687" s="11" t="str">
        <f t="shared" si="39"/>
        <v>3</v>
      </c>
      <c r="AF687" t="str">
        <f t="shared" si="40"/>
        <v>80.01.ZZ.03</v>
      </c>
      <c r="AH687" t="str">
        <f t="shared" si="41"/>
        <v>00 de 01</v>
      </c>
    </row>
    <row r="688" spans="1:34" ht="34.5" x14ac:dyDescent="0.25">
      <c r="A688" s="139" t="s">
        <v>116</v>
      </c>
      <c r="B688" s="105" t="s">
        <v>122</v>
      </c>
      <c r="C688" s="63">
        <v>676</v>
      </c>
      <c r="D688" s="197" t="s">
        <v>192</v>
      </c>
      <c r="E688" s="189" t="s">
        <v>899</v>
      </c>
      <c r="F688" s="190" t="s">
        <v>123</v>
      </c>
      <c r="G688" s="189" t="s">
        <v>134</v>
      </c>
      <c r="H688" s="191">
        <v>67392</v>
      </c>
      <c r="I688" s="189" t="s">
        <v>225</v>
      </c>
      <c r="J688" s="189">
        <v>0</v>
      </c>
      <c r="K688" s="189">
        <v>11501</v>
      </c>
      <c r="L688" s="191">
        <v>3</v>
      </c>
      <c r="M688" s="192">
        <v>46092</v>
      </c>
      <c r="N688" s="193">
        <v>1</v>
      </c>
      <c r="O688" s="194">
        <v>0.5</v>
      </c>
      <c r="P688" s="195"/>
      <c r="Q688" s="196" t="s">
        <v>38</v>
      </c>
      <c r="R688" s="197">
        <v>1</v>
      </c>
      <c r="S688" s="198" t="s">
        <v>33</v>
      </c>
      <c r="T688" s="199"/>
      <c r="U688" s="200"/>
      <c r="V688" s="200"/>
      <c r="W688" s="200"/>
      <c r="X688" s="200"/>
      <c r="Y688" s="200"/>
      <c r="Z688" s="200"/>
      <c r="AA688" s="200"/>
      <c r="AB688" s="200"/>
      <c r="AC688" s="208"/>
      <c r="AD688" s="11" t="str">
        <f t="shared" si="39"/>
        <v>3</v>
      </c>
      <c r="AF688" t="str">
        <f t="shared" si="40"/>
        <v>80.01.ZZ.03</v>
      </c>
      <c r="AH688" t="str">
        <f t="shared" si="41"/>
        <v>00 de 01</v>
      </c>
    </row>
    <row r="689" spans="1:34" ht="34.5" x14ac:dyDescent="0.25">
      <c r="A689" s="139" t="s">
        <v>116</v>
      </c>
      <c r="B689" s="105" t="s">
        <v>122</v>
      </c>
      <c r="C689" s="63">
        <v>677</v>
      </c>
      <c r="D689" s="197" t="s">
        <v>192</v>
      </c>
      <c r="E689" s="189" t="s">
        <v>900</v>
      </c>
      <c r="F689" s="190" t="s">
        <v>123</v>
      </c>
      <c r="G689" s="189" t="s">
        <v>134</v>
      </c>
      <c r="H689" s="191">
        <v>67392</v>
      </c>
      <c r="I689" s="189" t="s">
        <v>225</v>
      </c>
      <c r="J689" s="189">
        <v>0</v>
      </c>
      <c r="K689" s="189">
        <v>11501</v>
      </c>
      <c r="L689" s="191">
        <v>3</v>
      </c>
      <c r="M689" s="192">
        <v>46092</v>
      </c>
      <c r="N689" s="193">
        <v>1</v>
      </c>
      <c r="O689" s="194">
        <v>0.5</v>
      </c>
      <c r="P689" s="195"/>
      <c r="Q689" s="196" t="s">
        <v>38</v>
      </c>
      <c r="R689" s="197">
        <v>1</v>
      </c>
      <c r="S689" s="198" t="s">
        <v>33</v>
      </c>
      <c r="T689" s="199"/>
      <c r="U689" s="200"/>
      <c r="V689" s="200"/>
      <c r="W689" s="200"/>
      <c r="X689" s="200"/>
      <c r="Y689" s="200"/>
      <c r="Z689" s="200"/>
      <c r="AA689" s="200"/>
      <c r="AB689" s="200"/>
      <c r="AC689" s="208"/>
      <c r="AD689" s="11" t="str">
        <f t="shared" si="39"/>
        <v>3</v>
      </c>
      <c r="AF689" t="str">
        <f t="shared" si="40"/>
        <v>80.01.ZZ.03</v>
      </c>
      <c r="AH689" t="str">
        <f t="shared" si="41"/>
        <v>00 de 01</v>
      </c>
    </row>
    <row r="690" spans="1:34" ht="34.5" x14ac:dyDescent="0.25">
      <c r="A690" s="139" t="s">
        <v>116</v>
      </c>
      <c r="B690" s="105" t="s">
        <v>122</v>
      </c>
      <c r="C690" s="63">
        <v>678</v>
      </c>
      <c r="D690" s="197" t="s">
        <v>192</v>
      </c>
      <c r="E690" s="189" t="s">
        <v>901</v>
      </c>
      <c r="F690" s="190" t="s">
        <v>123</v>
      </c>
      <c r="G690" s="189" t="s">
        <v>134</v>
      </c>
      <c r="H690" s="191">
        <v>67392</v>
      </c>
      <c r="I690" s="189" t="s">
        <v>225</v>
      </c>
      <c r="J690" s="189">
        <v>0</v>
      </c>
      <c r="K690" s="189">
        <v>11501</v>
      </c>
      <c r="L690" s="191">
        <v>3</v>
      </c>
      <c r="M690" s="192">
        <v>46092</v>
      </c>
      <c r="N690" s="193">
        <v>1</v>
      </c>
      <c r="O690" s="194">
        <v>0.5</v>
      </c>
      <c r="P690" s="195"/>
      <c r="Q690" s="196" t="s">
        <v>38</v>
      </c>
      <c r="R690" s="197">
        <v>1</v>
      </c>
      <c r="S690" s="198" t="s">
        <v>33</v>
      </c>
      <c r="T690" s="199"/>
      <c r="U690" s="200"/>
      <c r="V690" s="200"/>
      <c r="W690" s="200"/>
      <c r="X690" s="200"/>
      <c r="Y690" s="200"/>
      <c r="Z690" s="200"/>
      <c r="AA690" s="200"/>
      <c r="AB690" s="200"/>
      <c r="AC690" s="208"/>
      <c r="AD690" s="11" t="str">
        <f t="shared" si="39"/>
        <v>3</v>
      </c>
      <c r="AF690" t="str">
        <f t="shared" si="40"/>
        <v>80.01.ZZ.03</v>
      </c>
      <c r="AH690" t="str">
        <f t="shared" si="41"/>
        <v>00 de 01</v>
      </c>
    </row>
    <row r="691" spans="1:34" ht="34.5" x14ac:dyDescent="0.25">
      <c r="A691" s="139" t="s">
        <v>116</v>
      </c>
      <c r="B691" s="105" t="s">
        <v>122</v>
      </c>
      <c r="C691" s="63">
        <v>679</v>
      </c>
      <c r="D691" s="197" t="s">
        <v>192</v>
      </c>
      <c r="E691" s="189" t="s">
        <v>902</v>
      </c>
      <c r="F691" s="190" t="s">
        <v>123</v>
      </c>
      <c r="G691" s="189" t="s">
        <v>134</v>
      </c>
      <c r="H691" s="191">
        <v>67392</v>
      </c>
      <c r="I691" s="189" t="s">
        <v>225</v>
      </c>
      <c r="J691" s="189">
        <v>0</v>
      </c>
      <c r="K691" s="189">
        <v>11501</v>
      </c>
      <c r="L691" s="191">
        <v>3</v>
      </c>
      <c r="M691" s="192">
        <v>46092</v>
      </c>
      <c r="N691" s="193">
        <v>1</v>
      </c>
      <c r="O691" s="194">
        <v>0.5</v>
      </c>
      <c r="P691" s="195"/>
      <c r="Q691" s="196" t="s">
        <v>38</v>
      </c>
      <c r="R691" s="197">
        <v>1</v>
      </c>
      <c r="S691" s="198" t="s">
        <v>33</v>
      </c>
      <c r="T691" s="199"/>
      <c r="U691" s="200"/>
      <c r="V691" s="200"/>
      <c r="W691" s="200"/>
      <c r="X691" s="200"/>
      <c r="Y691" s="200"/>
      <c r="Z691" s="200"/>
      <c r="AA691" s="200"/>
      <c r="AB691" s="200"/>
      <c r="AC691" s="208"/>
      <c r="AD691" s="11" t="str">
        <f t="shared" si="39"/>
        <v>3</v>
      </c>
      <c r="AF691" t="str">
        <f t="shared" si="40"/>
        <v>80.01.ZZ.03</v>
      </c>
      <c r="AH691" t="str">
        <f t="shared" si="41"/>
        <v>00 de 01</v>
      </c>
    </row>
    <row r="692" spans="1:34" ht="34.5" x14ac:dyDescent="0.25">
      <c r="A692" s="139" t="s">
        <v>116</v>
      </c>
      <c r="B692" s="105" t="s">
        <v>122</v>
      </c>
      <c r="C692" s="63">
        <v>680</v>
      </c>
      <c r="D692" s="197" t="s">
        <v>192</v>
      </c>
      <c r="E692" s="189" t="s">
        <v>903</v>
      </c>
      <c r="F692" s="190" t="s">
        <v>123</v>
      </c>
      <c r="G692" s="189" t="s">
        <v>134</v>
      </c>
      <c r="H692" s="191">
        <v>67392</v>
      </c>
      <c r="I692" s="189" t="s">
        <v>225</v>
      </c>
      <c r="J692" s="189">
        <v>0</v>
      </c>
      <c r="K692" s="189">
        <v>11501</v>
      </c>
      <c r="L692" s="191">
        <v>3</v>
      </c>
      <c r="M692" s="192">
        <v>46092</v>
      </c>
      <c r="N692" s="193">
        <v>1</v>
      </c>
      <c r="O692" s="194">
        <v>0.5</v>
      </c>
      <c r="P692" s="195"/>
      <c r="Q692" s="196" t="s">
        <v>38</v>
      </c>
      <c r="R692" s="197">
        <v>1</v>
      </c>
      <c r="S692" s="198" t="s">
        <v>33</v>
      </c>
      <c r="T692" s="199"/>
      <c r="U692" s="200"/>
      <c r="V692" s="200"/>
      <c r="W692" s="200"/>
      <c r="X692" s="200"/>
      <c r="Y692" s="200"/>
      <c r="Z692" s="200"/>
      <c r="AA692" s="200"/>
      <c r="AB692" s="200"/>
      <c r="AC692" s="208"/>
      <c r="AD692" s="11" t="str">
        <f t="shared" si="39"/>
        <v>3</v>
      </c>
      <c r="AF692" t="str">
        <f t="shared" si="40"/>
        <v>80.01.ZZ.03</v>
      </c>
      <c r="AH692" t="str">
        <f t="shared" si="41"/>
        <v>00 de 01</v>
      </c>
    </row>
    <row r="693" spans="1:34" ht="34.5" x14ac:dyDescent="0.25">
      <c r="A693" s="139" t="s">
        <v>116</v>
      </c>
      <c r="B693" s="105" t="s">
        <v>122</v>
      </c>
      <c r="C693" s="63">
        <v>681</v>
      </c>
      <c r="D693" s="197" t="s">
        <v>192</v>
      </c>
      <c r="E693" s="189" t="s">
        <v>904</v>
      </c>
      <c r="F693" s="190" t="s">
        <v>123</v>
      </c>
      <c r="G693" s="189" t="s">
        <v>134</v>
      </c>
      <c r="H693" s="191">
        <v>67392</v>
      </c>
      <c r="I693" s="189" t="s">
        <v>225</v>
      </c>
      <c r="J693" s="189">
        <v>0</v>
      </c>
      <c r="K693" s="189">
        <v>11501</v>
      </c>
      <c r="L693" s="191">
        <v>3</v>
      </c>
      <c r="M693" s="192">
        <v>46092</v>
      </c>
      <c r="N693" s="193">
        <v>1</v>
      </c>
      <c r="O693" s="194">
        <v>0.5</v>
      </c>
      <c r="P693" s="195"/>
      <c r="Q693" s="196" t="s">
        <v>38</v>
      </c>
      <c r="R693" s="197">
        <v>1</v>
      </c>
      <c r="S693" s="198" t="s">
        <v>33</v>
      </c>
      <c r="T693" s="199"/>
      <c r="U693" s="200"/>
      <c r="V693" s="200"/>
      <c r="W693" s="200"/>
      <c r="X693" s="200"/>
      <c r="Y693" s="200"/>
      <c r="Z693" s="200"/>
      <c r="AA693" s="200"/>
      <c r="AB693" s="200"/>
      <c r="AC693" s="208"/>
      <c r="AD693" s="11" t="str">
        <f t="shared" si="39"/>
        <v>3</v>
      </c>
      <c r="AF693" t="str">
        <f t="shared" si="40"/>
        <v>80.01.ZZ.03</v>
      </c>
      <c r="AH693" t="str">
        <f t="shared" si="41"/>
        <v>00 de 01</v>
      </c>
    </row>
    <row r="694" spans="1:34" ht="34.5" x14ac:dyDescent="0.25">
      <c r="A694" s="139" t="s">
        <v>116</v>
      </c>
      <c r="B694" s="105" t="s">
        <v>122</v>
      </c>
      <c r="C694" s="63">
        <v>682</v>
      </c>
      <c r="D694" s="197" t="s">
        <v>192</v>
      </c>
      <c r="E694" s="189" t="s">
        <v>905</v>
      </c>
      <c r="F694" s="190" t="s">
        <v>123</v>
      </c>
      <c r="G694" s="189" t="s">
        <v>134</v>
      </c>
      <c r="H694" s="191">
        <v>67392</v>
      </c>
      <c r="I694" s="189" t="s">
        <v>225</v>
      </c>
      <c r="J694" s="189">
        <v>0</v>
      </c>
      <c r="K694" s="189">
        <v>11501</v>
      </c>
      <c r="L694" s="191">
        <v>3</v>
      </c>
      <c r="M694" s="192">
        <v>46092</v>
      </c>
      <c r="N694" s="193">
        <v>1</v>
      </c>
      <c r="O694" s="194">
        <v>0.5</v>
      </c>
      <c r="P694" s="195"/>
      <c r="Q694" s="196" t="s">
        <v>38</v>
      </c>
      <c r="R694" s="197">
        <v>1</v>
      </c>
      <c r="S694" s="198" t="s">
        <v>33</v>
      </c>
      <c r="T694" s="199"/>
      <c r="U694" s="200"/>
      <c r="V694" s="200"/>
      <c r="W694" s="200"/>
      <c r="X694" s="200"/>
      <c r="Y694" s="200"/>
      <c r="Z694" s="200"/>
      <c r="AA694" s="200"/>
      <c r="AB694" s="200"/>
      <c r="AC694" s="208"/>
      <c r="AD694" s="11" t="str">
        <f t="shared" si="39"/>
        <v>3</v>
      </c>
      <c r="AF694" t="str">
        <f t="shared" si="40"/>
        <v>80.01.ZZ.03</v>
      </c>
      <c r="AH694" t="str">
        <f t="shared" si="41"/>
        <v>00 de 01</v>
      </c>
    </row>
    <row r="695" spans="1:34" ht="34.5" x14ac:dyDescent="0.25">
      <c r="A695" s="139" t="s">
        <v>116</v>
      </c>
      <c r="B695" s="105" t="s">
        <v>122</v>
      </c>
      <c r="C695" s="63">
        <v>683</v>
      </c>
      <c r="D695" s="197"/>
      <c r="E695" s="189"/>
      <c r="F695" s="190" t="s">
        <v>123</v>
      </c>
      <c r="G695" s="189"/>
      <c r="H695" s="191"/>
      <c r="I695" s="189"/>
      <c r="J695" s="189"/>
      <c r="K695" s="189"/>
      <c r="L695" s="191"/>
      <c r="M695" s="192"/>
      <c r="N695" s="193"/>
      <c r="O695" s="194"/>
      <c r="P695" s="195"/>
      <c r="Q695" s="196" t="s">
        <v>38</v>
      </c>
      <c r="R695" s="197">
        <v>1</v>
      </c>
      <c r="S695" s="198" t="s">
        <v>33</v>
      </c>
      <c r="T695" s="199"/>
      <c r="U695" s="200"/>
      <c r="V695" s="200"/>
      <c r="W695" s="200"/>
      <c r="X695" s="200"/>
      <c r="Y695" s="200"/>
      <c r="Z695" s="200"/>
      <c r="AA695" s="200"/>
      <c r="AB695" s="200"/>
      <c r="AC695" s="208"/>
      <c r="AD695" s="11" t="str">
        <f t="shared" si="39"/>
        <v/>
      </c>
      <c r="AF695" t="str">
        <f t="shared" si="40"/>
        <v>80.01.ZZ.0</v>
      </c>
      <c r="AH695" t="str">
        <f t="shared" si="41"/>
        <v>00 de 01</v>
      </c>
    </row>
    <row r="696" spans="1:34" ht="34.5" x14ac:dyDescent="0.25">
      <c r="A696" s="139" t="s">
        <v>116</v>
      </c>
      <c r="B696" s="105" t="s">
        <v>122</v>
      </c>
      <c r="C696" s="63">
        <v>684</v>
      </c>
      <c r="D696" s="197"/>
      <c r="E696" s="189"/>
      <c r="F696" s="190" t="s">
        <v>123</v>
      </c>
      <c r="G696" s="189"/>
      <c r="H696" s="191"/>
      <c r="I696" s="189"/>
      <c r="J696" s="189"/>
      <c r="K696" s="189"/>
      <c r="L696" s="191"/>
      <c r="M696" s="192"/>
      <c r="N696" s="193"/>
      <c r="O696" s="194"/>
      <c r="P696" s="195"/>
      <c r="Q696" s="196" t="s">
        <v>38</v>
      </c>
      <c r="R696" s="197">
        <v>1</v>
      </c>
      <c r="S696" s="198" t="s">
        <v>33</v>
      </c>
      <c r="T696" s="199"/>
      <c r="U696" s="200"/>
      <c r="V696" s="200"/>
      <c r="W696" s="200"/>
      <c r="X696" s="200"/>
      <c r="Y696" s="200"/>
      <c r="Z696" s="200"/>
      <c r="AA696" s="200"/>
      <c r="AB696" s="200"/>
      <c r="AC696" s="208"/>
      <c r="AD696" s="11" t="str">
        <f t="shared" si="39"/>
        <v/>
      </c>
      <c r="AF696" t="str">
        <f t="shared" si="40"/>
        <v>80.01.ZZ.0</v>
      </c>
      <c r="AH696" t="str">
        <f t="shared" si="41"/>
        <v>00 de 01</v>
      </c>
    </row>
    <row r="697" spans="1:34" ht="34.5" x14ac:dyDescent="0.25">
      <c r="A697" s="139" t="s">
        <v>116</v>
      </c>
      <c r="B697" s="105" t="s">
        <v>122</v>
      </c>
      <c r="C697" s="63">
        <v>685</v>
      </c>
      <c r="D697" s="197"/>
      <c r="E697" s="189"/>
      <c r="F697" s="190" t="s">
        <v>123</v>
      </c>
      <c r="G697" s="189"/>
      <c r="H697" s="191"/>
      <c r="I697" s="189"/>
      <c r="J697" s="189"/>
      <c r="K697" s="189"/>
      <c r="L697" s="191"/>
      <c r="M697" s="192"/>
      <c r="N697" s="193"/>
      <c r="O697" s="194"/>
      <c r="P697" s="195"/>
      <c r="Q697" s="196" t="s">
        <v>38</v>
      </c>
      <c r="R697" s="197">
        <v>1</v>
      </c>
      <c r="S697" s="198" t="s">
        <v>33</v>
      </c>
      <c r="T697" s="199"/>
      <c r="U697" s="200"/>
      <c r="V697" s="200"/>
      <c r="W697" s="200"/>
      <c r="X697" s="200"/>
      <c r="Y697" s="200"/>
      <c r="Z697" s="200"/>
      <c r="AA697" s="200"/>
      <c r="AB697" s="200"/>
      <c r="AC697" s="208"/>
      <c r="AD697" s="11" t="str">
        <f t="shared" si="39"/>
        <v/>
      </c>
      <c r="AF697" t="str">
        <f t="shared" si="40"/>
        <v>80.01.ZZ.0</v>
      </c>
      <c r="AH697" t="str">
        <f t="shared" si="41"/>
        <v>00 de 01</v>
      </c>
    </row>
    <row r="698" spans="1:34" ht="34.5" x14ac:dyDescent="0.25">
      <c r="A698" s="139" t="s">
        <v>116</v>
      </c>
      <c r="B698" s="105" t="s">
        <v>122</v>
      </c>
      <c r="C698" s="63">
        <v>686</v>
      </c>
      <c r="D698" s="197"/>
      <c r="E698" s="189"/>
      <c r="F698" s="190" t="s">
        <v>123</v>
      </c>
      <c r="G698" s="189"/>
      <c r="H698" s="191"/>
      <c r="I698" s="189"/>
      <c r="J698" s="189"/>
      <c r="K698" s="189"/>
      <c r="L698" s="191"/>
      <c r="M698" s="192"/>
      <c r="N698" s="193"/>
      <c r="O698" s="194"/>
      <c r="P698" s="195"/>
      <c r="Q698" s="196" t="s">
        <v>38</v>
      </c>
      <c r="R698" s="197">
        <v>1</v>
      </c>
      <c r="S698" s="198" t="s">
        <v>33</v>
      </c>
      <c r="T698" s="199"/>
      <c r="U698" s="200"/>
      <c r="V698" s="200"/>
      <c r="W698" s="200"/>
      <c r="X698" s="200"/>
      <c r="Y698" s="200"/>
      <c r="Z698" s="200"/>
      <c r="AA698" s="200"/>
      <c r="AB698" s="200"/>
      <c r="AC698" s="208"/>
      <c r="AD698" s="11" t="str">
        <f t="shared" si="39"/>
        <v/>
      </c>
      <c r="AF698" t="str">
        <f t="shared" si="40"/>
        <v>80.01.ZZ.0</v>
      </c>
      <c r="AH698" t="str">
        <f t="shared" si="41"/>
        <v>00 de 01</v>
      </c>
    </row>
    <row r="699" spans="1:34" ht="34.5" x14ac:dyDescent="0.25">
      <c r="A699" s="139" t="s">
        <v>116</v>
      </c>
      <c r="B699" s="105" t="s">
        <v>122</v>
      </c>
      <c r="C699" s="63">
        <v>687</v>
      </c>
      <c r="D699" s="197"/>
      <c r="E699" s="189"/>
      <c r="F699" s="190" t="s">
        <v>123</v>
      </c>
      <c r="G699" s="189"/>
      <c r="H699" s="191"/>
      <c r="I699" s="189"/>
      <c r="J699" s="189"/>
      <c r="K699" s="189"/>
      <c r="L699" s="191"/>
      <c r="M699" s="192"/>
      <c r="N699" s="193"/>
      <c r="O699" s="194"/>
      <c r="P699" s="195"/>
      <c r="Q699" s="196" t="s">
        <v>38</v>
      </c>
      <c r="R699" s="197">
        <v>1</v>
      </c>
      <c r="S699" s="198" t="s">
        <v>33</v>
      </c>
      <c r="T699" s="199"/>
      <c r="U699" s="200"/>
      <c r="V699" s="200"/>
      <c r="W699" s="200"/>
      <c r="X699" s="200"/>
      <c r="Y699" s="200"/>
      <c r="Z699" s="200"/>
      <c r="AA699" s="200"/>
      <c r="AB699" s="200"/>
      <c r="AC699" s="208"/>
      <c r="AD699" s="11" t="str">
        <f t="shared" si="39"/>
        <v/>
      </c>
      <c r="AF699" t="str">
        <f t="shared" si="40"/>
        <v>80.01.ZZ.0</v>
      </c>
      <c r="AH699" t="str">
        <f t="shared" si="41"/>
        <v>00 de 01</v>
      </c>
    </row>
    <row r="700" spans="1:34" ht="33.950000000000003" customHeight="1" thickBot="1" x14ac:dyDescent="0.3">
      <c r="A700" s="139" t="s">
        <v>116</v>
      </c>
      <c r="B700" s="105" t="s">
        <v>122</v>
      </c>
      <c r="C700" s="162">
        <v>688</v>
      </c>
      <c r="D700" s="172"/>
      <c r="E700" s="172"/>
      <c r="F700" s="201" t="s">
        <v>123</v>
      </c>
      <c r="G700" s="172"/>
      <c r="H700" s="202"/>
      <c r="I700" s="202"/>
      <c r="J700" s="172"/>
      <c r="K700" s="172"/>
      <c r="L700" s="202"/>
      <c r="M700" s="171"/>
      <c r="N700" s="203"/>
      <c r="O700" s="203"/>
      <c r="P700" s="173"/>
      <c r="Q700" s="174" t="s">
        <v>38</v>
      </c>
      <c r="R700" s="172">
        <v>1</v>
      </c>
      <c r="S700" s="216" t="s">
        <v>33</v>
      </c>
      <c r="T700" s="204"/>
      <c r="U700" s="176"/>
      <c r="V700" s="176"/>
      <c r="W700" s="176"/>
      <c r="X700" s="176"/>
      <c r="Y700" s="176"/>
      <c r="Z700" s="176"/>
      <c r="AA700" s="176"/>
      <c r="AB700" s="176"/>
      <c r="AC700" s="64"/>
      <c r="AD700" s="11" t="str">
        <f>RIGHT(L700,2)</f>
        <v/>
      </c>
      <c r="AF700" t="str">
        <f>CONCATENATE("80.01.ZZ.0",L700)</f>
        <v>80.01.ZZ.0</v>
      </c>
      <c r="AH700" t="str">
        <f>CONCATENATE("00 de 0",R700)</f>
        <v>00 de 01</v>
      </c>
    </row>
    <row r="701" spans="1:34" x14ac:dyDescent="0.3">
      <c r="L701" s="294" t="s">
        <v>37</v>
      </c>
      <c r="M701" s="294"/>
      <c r="O701" s="58"/>
      <c r="P701" s="58">
        <v>0.7</v>
      </c>
      <c r="Q701" s="59"/>
      <c r="R701" s="67">
        <f>SUM($R$13:R700)</f>
        <v>688</v>
      </c>
    </row>
    <row r="702" spans="1:34" ht="18" thickBot="1" x14ac:dyDescent="0.35">
      <c r="L702" s="294"/>
      <c r="M702" s="294"/>
      <c r="O702" s="58"/>
      <c r="P702" s="58"/>
      <c r="Q702" s="11"/>
      <c r="R702" s="11"/>
    </row>
    <row r="703" spans="1:34" x14ac:dyDescent="0.3">
      <c r="R703" s="107" t="s">
        <v>122</v>
      </c>
      <c r="S703" s="120" t="s">
        <v>86</v>
      </c>
      <c r="T703" s="121" t="s">
        <v>90</v>
      </c>
      <c r="U703" s="122" t="s">
        <v>87</v>
      </c>
      <c r="V703" s="123"/>
      <c r="W703" s="124"/>
      <c r="X703" s="121" t="s">
        <v>88</v>
      </c>
      <c r="Y703" s="121" t="s">
        <v>89</v>
      </c>
      <c r="Z703" s="121" t="s">
        <v>91</v>
      </c>
      <c r="AA703" s="125" t="s">
        <v>92</v>
      </c>
      <c r="AB703" s="131" t="s">
        <v>94</v>
      </c>
    </row>
    <row r="704" spans="1:34" x14ac:dyDescent="0.3">
      <c r="M704" s="163" t="s">
        <v>111</v>
      </c>
      <c r="Q704" s="150" t="e">
        <f>#REF!</f>
        <v>#REF!</v>
      </c>
      <c r="R704"/>
      <c r="S704" s="109">
        <v>3</v>
      </c>
      <c r="T704" s="222">
        <v>291.70999999999998</v>
      </c>
      <c r="U704" s="223" t="s">
        <v>80</v>
      </c>
      <c r="V704" s="224"/>
      <c r="W704" s="225"/>
      <c r="X704" s="222">
        <f t="shared" ref="X704:X718" si="42">SUMIFS($R$13:$R$700,$AD$13:$AD$700,S704,$B$13:$B$700,$R$703)</f>
        <v>682</v>
      </c>
      <c r="Y704" s="226">
        <f t="shared" ref="Y704:Y717" si="43">SUMIFS($P$13:$P$700,$AD$13:$AD$700,S704,$B$13:$B$700,$R$703)</f>
        <v>0</v>
      </c>
      <c r="Z704" s="227">
        <f>Y704*T704</f>
        <v>0</v>
      </c>
      <c r="AA704" s="181">
        <f>Z704/44</f>
        <v>0</v>
      </c>
      <c r="AB704" s="126">
        <f>X704/5</f>
        <v>136.4</v>
      </c>
    </row>
    <row r="705" spans="1:35" x14ac:dyDescent="0.3">
      <c r="L705" s="56" t="s">
        <v>36</v>
      </c>
      <c r="M705" s="165" t="e">
        <f>#REF!</f>
        <v>#REF!</v>
      </c>
      <c r="Q705" s="149" t="e">
        <f>#REF!</f>
        <v>#REF!</v>
      </c>
      <c r="R705"/>
      <c r="S705" s="109">
        <v>4</v>
      </c>
      <c r="T705" s="222">
        <v>300.41000000000003</v>
      </c>
      <c r="U705" s="223" t="s">
        <v>83</v>
      </c>
      <c r="V705" s="224"/>
      <c r="W705" s="225"/>
      <c r="X705" s="222">
        <f t="shared" si="42"/>
        <v>0</v>
      </c>
      <c r="Y705" s="226">
        <f t="shared" si="43"/>
        <v>0</v>
      </c>
      <c r="Z705" s="227">
        <f t="shared" ref="Z705:Z718" si="44">Y705*T705</f>
        <v>0</v>
      </c>
      <c r="AA705" s="181">
        <f t="shared" ref="AA705:AA718" si="45">Z705/44</f>
        <v>0</v>
      </c>
      <c r="AB705" s="126">
        <f t="shared" ref="AB705:AB718" si="46">X705/5</f>
        <v>0</v>
      </c>
    </row>
    <row r="706" spans="1:35" x14ac:dyDescent="0.3">
      <c r="M706"/>
      <c r="R706"/>
      <c r="S706" s="111">
        <v>5</v>
      </c>
      <c r="T706" s="222">
        <v>386.76</v>
      </c>
      <c r="U706" s="223" t="s">
        <v>84</v>
      </c>
      <c r="V706" s="224"/>
      <c r="W706" s="225"/>
      <c r="X706" s="222">
        <f t="shared" si="42"/>
        <v>0</v>
      </c>
      <c r="Y706" s="226">
        <f t="shared" si="43"/>
        <v>0</v>
      </c>
      <c r="Z706" s="227">
        <f t="shared" si="44"/>
        <v>0</v>
      </c>
      <c r="AA706" s="181">
        <f t="shared" si="45"/>
        <v>0</v>
      </c>
      <c r="AB706" s="126">
        <f t="shared" si="46"/>
        <v>0</v>
      </c>
    </row>
    <row r="707" spans="1:35" x14ac:dyDescent="0.3">
      <c r="M707" s="163" t="s">
        <v>112</v>
      </c>
      <c r="Q707" s="150" t="e">
        <f>#REF!</f>
        <v>#REF!</v>
      </c>
      <c r="R707"/>
      <c r="S707" s="111">
        <v>6</v>
      </c>
      <c r="T707" s="222">
        <v>218.76</v>
      </c>
      <c r="U707" s="223" t="s">
        <v>85</v>
      </c>
      <c r="V707" s="224"/>
      <c r="W707" s="225"/>
      <c r="X707" s="222">
        <f t="shared" si="42"/>
        <v>0</v>
      </c>
      <c r="Y707" s="226">
        <f t="shared" si="43"/>
        <v>0</v>
      </c>
      <c r="Z707" s="227">
        <f t="shared" si="44"/>
        <v>0</v>
      </c>
      <c r="AA707" s="181">
        <f t="shared" si="45"/>
        <v>0</v>
      </c>
      <c r="AB707" s="126">
        <f t="shared" si="46"/>
        <v>0</v>
      </c>
    </row>
    <row r="708" spans="1:35" x14ac:dyDescent="0.3">
      <c r="M708" s="219" t="e">
        <f>#REF!</f>
        <v>#REF!</v>
      </c>
      <c r="N708" s="50"/>
      <c r="O708" s="220"/>
      <c r="P708" s="220"/>
      <c r="Q708" s="221" t="e">
        <f>#REF!</f>
        <v>#REF!</v>
      </c>
      <c r="R708"/>
      <c r="S708" s="111">
        <v>7</v>
      </c>
      <c r="T708" s="222">
        <v>222.66</v>
      </c>
      <c r="U708" s="228" t="s">
        <v>124</v>
      </c>
      <c r="V708" s="224"/>
      <c r="W708" s="225"/>
      <c r="X708" s="222">
        <f t="shared" si="42"/>
        <v>0</v>
      </c>
      <c r="Y708" s="226">
        <f t="shared" si="43"/>
        <v>0</v>
      </c>
      <c r="Z708" s="227">
        <f t="shared" si="44"/>
        <v>0</v>
      </c>
      <c r="AA708" s="181">
        <f t="shared" si="45"/>
        <v>0</v>
      </c>
      <c r="AB708" s="126">
        <f t="shared" si="46"/>
        <v>0</v>
      </c>
    </row>
    <row r="709" spans="1:35" x14ac:dyDescent="0.3">
      <c r="R709"/>
      <c r="S709" s="109">
        <v>8</v>
      </c>
      <c r="T709" s="222">
        <v>242.33</v>
      </c>
      <c r="U709" s="228" t="s">
        <v>125</v>
      </c>
      <c r="V709" s="224"/>
      <c r="W709" s="225"/>
      <c r="X709" s="222">
        <f t="shared" si="42"/>
        <v>0</v>
      </c>
      <c r="Y709" s="226">
        <f t="shared" si="43"/>
        <v>0</v>
      </c>
      <c r="Z709" s="227">
        <f t="shared" si="44"/>
        <v>0</v>
      </c>
      <c r="AA709" s="181">
        <f t="shared" si="45"/>
        <v>0</v>
      </c>
      <c r="AB709" s="126">
        <f t="shared" si="46"/>
        <v>0</v>
      </c>
    </row>
    <row r="710" spans="1:35" x14ac:dyDescent="0.3">
      <c r="R710"/>
      <c r="S710" s="109">
        <v>9</v>
      </c>
      <c r="T710" s="222">
        <v>191.9</v>
      </c>
      <c r="U710" s="228" t="s">
        <v>97</v>
      </c>
      <c r="V710" s="224"/>
      <c r="W710" s="225"/>
      <c r="X710" s="222">
        <f t="shared" si="42"/>
        <v>0</v>
      </c>
      <c r="Y710" s="226">
        <f t="shared" si="43"/>
        <v>0</v>
      </c>
      <c r="Z710" s="227">
        <f t="shared" si="44"/>
        <v>0</v>
      </c>
      <c r="AA710" s="181">
        <f t="shared" si="45"/>
        <v>0</v>
      </c>
      <c r="AB710" s="126">
        <f t="shared" si="46"/>
        <v>0</v>
      </c>
    </row>
    <row r="711" spans="1:35" x14ac:dyDescent="0.3">
      <c r="R711"/>
      <c r="S711" s="109">
        <v>10</v>
      </c>
      <c r="T711" s="222">
        <v>272.74</v>
      </c>
      <c r="U711" s="228" t="s">
        <v>126</v>
      </c>
      <c r="V711" s="224"/>
      <c r="W711" s="225"/>
      <c r="X711" s="222">
        <f t="shared" si="42"/>
        <v>0</v>
      </c>
      <c r="Y711" s="226">
        <f t="shared" si="43"/>
        <v>0</v>
      </c>
      <c r="Z711" s="227">
        <f t="shared" si="44"/>
        <v>0</v>
      </c>
      <c r="AA711" s="181">
        <f t="shared" si="45"/>
        <v>0</v>
      </c>
      <c r="AB711" s="126">
        <f t="shared" si="46"/>
        <v>0</v>
      </c>
    </row>
    <row r="712" spans="1:35" x14ac:dyDescent="0.3">
      <c r="R712"/>
      <c r="S712" s="109">
        <v>12</v>
      </c>
      <c r="T712" s="222">
        <v>207.2</v>
      </c>
      <c r="U712" s="228" t="s">
        <v>127</v>
      </c>
      <c r="V712" s="224"/>
      <c r="W712" s="225"/>
      <c r="X712" s="222">
        <f t="shared" si="42"/>
        <v>0</v>
      </c>
      <c r="Y712" s="226">
        <f t="shared" si="43"/>
        <v>0</v>
      </c>
      <c r="Z712" s="227">
        <f t="shared" si="44"/>
        <v>0</v>
      </c>
      <c r="AA712" s="181">
        <f t="shared" si="45"/>
        <v>0</v>
      </c>
      <c r="AB712" s="126">
        <f t="shared" si="46"/>
        <v>0</v>
      </c>
    </row>
    <row r="713" spans="1:35" x14ac:dyDescent="0.3">
      <c r="R713"/>
      <c r="S713" s="109">
        <v>13</v>
      </c>
      <c r="T713" s="222">
        <v>253.81</v>
      </c>
      <c r="U713" s="228" t="s">
        <v>131</v>
      </c>
      <c r="V713" s="224"/>
      <c r="W713" s="225"/>
      <c r="X713" s="222">
        <f t="shared" si="42"/>
        <v>0</v>
      </c>
      <c r="Y713" s="226">
        <f t="shared" si="43"/>
        <v>0</v>
      </c>
      <c r="Z713" s="227">
        <f t="shared" si="44"/>
        <v>0</v>
      </c>
      <c r="AA713" s="181">
        <f t="shared" si="45"/>
        <v>0</v>
      </c>
      <c r="AB713" s="126">
        <f t="shared" si="46"/>
        <v>0</v>
      </c>
    </row>
    <row r="714" spans="1:35" x14ac:dyDescent="0.3">
      <c r="R714"/>
      <c r="S714" s="109">
        <v>14</v>
      </c>
      <c r="T714" s="222">
        <v>211.48</v>
      </c>
      <c r="U714" s="228" t="s">
        <v>132</v>
      </c>
      <c r="V714" s="224"/>
      <c r="W714" s="225"/>
      <c r="X714" s="222">
        <f t="shared" si="42"/>
        <v>0</v>
      </c>
      <c r="Y714" s="226">
        <f t="shared" si="43"/>
        <v>0</v>
      </c>
      <c r="Z714" s="227">
        <f t="shared" si="44"/>
        <v>0</v>
      </c>
      <c r="AA714" s="181">
        <f t="shared" si="45"/>
        <v>0</v>
      </c>
      <c r="AB714" s="126">
        <f t="shared" si="46"/>
        <v>0</v>
      </c>
    </row>
    <row r="715" spans="1:35" s="56" customFormat="1" x14ac:dyDescent="0.3">
      <c r="A715" s="167"/>
      <c r="B715" s="140"/>
      <c r="N715"/>
      <c r="O715" s="57"/>
      <c r="P715" s="57"/>
      <c r="R715"/>
      <c r="S715" s="109">
        <v>15</v>
      </c>
      <c r="T715" s="222">
        <v>184.1</v>
      </c>
      <c r="U715" s="228" t="s">
        <v>128</v>
      </c>
      <c r="V715" s="224"/>
      <c r="W715" s="225"/>
      <c r="X715" s="222">
        <f t="shared" si="42"/>
        <v>0</v>
      </c>
      <c r="Y715" s="226">
        <f t="shared" si="43"/>
        <v>0</v>
      </c>
      <c r="Z715" s="227">
        <f t="shared" si="44"/>
        <v>0</v>
      </c>
      <c r="AA715" s="181">
        <f t="shared" si="45"/>
        <v>0</v>
      </c>
      <c r="AB715" s="126">
        <f t="shared" si="46"/>
        <v>0</v>
      </c>
      <c r="AD715"/>
      <c r="AE715"/>
      <c r="AF715"/>
      <c r="AG715"/>
      <c r="AH715"/>
      <c r="AI715"/>
    </row>
    <row r="716" spans="1:35" s="56" customFormat="1" x14ac:dyDescent="0.3">
      <c r="A716" s="167"/>
      <c r="B716" s="140"/>
      <c r="N716"/>
      <c r="O716" s="57"/>
      <c r="P716" s="57"/>
      <c r="R716"/>
      <c r="S716" s="109">
        <v>28</v>
      </c>
      <c r="T716" s="222">
        <v>297.54000000000002</v>
      </c>
      <c r="U716" s="228" t="s">
        <v>100</v>
      </c>
      <c r="V716" s="224"/>
      <c r="W716" s="225"/>
      <c r="X716" s="222">
        <f t="shared" si="42"/>
        <v>0</v>
      </c>
      <c r="Y716" s="226">
        <f t="shared" si="43"/>
        <v>0</v>
      </c>
      <c r="Z716" s="227">
        <f t="shared" si="44"/>
        <v>0</v>
      </c>
      <c r="AA716" s="181">
        <f t="shared" si="45"/>
        <v>0</v>
      </c>
      <c r="AB716" s="126">
        <f t="shared" si="46"/>
        <v>0</v>
      </c>
      <c r="AD716"/>
      <c r="AE716"/>
      <c r="AF716"/>
      <c r="AG716"/>
      <c r="AH716"/>
      <c r="AI716"/>
    </row>
    <row r="717" spans="1:35" s="56" customFormat="1" x14ac:dyDescent="0.3">
      <c r="A717" s="167"/>
      <c r="B717" s="140"/>
      <c r="N717"/>
      <c r="O717" s="57"/>
      <c r="P717" s="57"/>
      <c r="R717"/>
      <c r="S717" s="109">
        <v>29</v>
      </c>
      <c r="T717" s="222">
        <v>323.57</v>
      </c>
      <c r="U717" s="228" t="s">
        <v>129</v>
      </c>
      <c r="V717" s="224"/>
      <c r="W717" s="225"/>
      <c r="X717" s="222">
        <f t="shared" si="42"/>
        <v>0</v>
      </c>
      <c r="Y717" s="226">
        <f t="shared" si="43"/>
        <v>0</v>
      </c>
      <c r="Z717" s="227">
        <f t="shared" si="44"/>
        <v>0</v>
      </c>
      <c r="AA717" s="181">
        <f t="shared" si="45"/>
        <v>0</v>
      </c>
      <c r="AB717" s="126">
        <f t="shared" si="46"/>
        <v>0</v>
      </c>
      <c r="AD717"/>
      <c r="AE717"/>
      <c r="AF717"/>
      <c r="AG717"/>
      <c r="AH717"/>
      <c r="AI717"/>
    </row>
    <row r="718" spans="1:35" s="56" customFormat="1" ht="18" thickBot="1" x14ac:dyDescent="0.35">
      <c r="A718" s="167"/>
      <c r="B718" s="140"/>
      <c r="N718"/>
      <c r="O718" s="57"/>
      <c r="P718" s="57"/>
      <c r="R718"/>
      <c r="S718" s="112">
        <v>30</v>
      </c>
      <c r="T718" s="185">
        <v>294.95</v>
      </c>
      <c r="U718" s="186" t="s">
        <v>130</v>
      </c>
      <c r="V718" s="114"/>
      <c r="W718" s="116"/>
      <c r="X718" s="185">
        <f t="shared" si="42"/>
        <v>0</v>
      </c>
      <c r="Y718" s="229">
        <f>SUMIFS($P$13:$P$742,$AD$13:$AD$742,S718,$B$13:$B$742,$R$745)</f>
        <v>0</v>
      </c>
      <c r="Z718" s="188">
        <f t="shared" si="44"/>
        <v>0</v>
      </c>
      <c r="AA718" s="119">
        <f t="shared" si="45"/>
        <v>0</v>
      </c>
      <c r="AB718" s="126">
        <f t="shared" si="46"/>
        <v>0</v>
      </c>
      <c r="AD718"/>
      <c r="AE718"/>
      <c r="AF718"/>
      <c r="AG718"/>
      <c r="AH718"/>
      <c r="AI718"/>
    </row>
    <row r="719" spans="1:35" s="56" customFormat="1" x14ac:dyDescent="0.3">
      <c r="A719" s="167"/>
      <c r="B719" s="140"/>
      <c r="N719"/>
      <c r="O719" s="57"/>
      <c r="P719" s="57"/>
      <c r="R719"/>
      <c r="S719"/>
      <c r="T719"/>
      <c r="U719"/>
      <c r="V719"/>
      <c r="W719"/>
      <c r="X719" s="106">
        <f>SUM(X704:X718)</f>
        <v>682</v>
      </c>
      <c r="Y719" s="136">
        <f>SUM(Y704:Y718)</f>
        <v>0</v>
      </c>
      <c r="Z719" s="108">
        <f>SUM(Z704:Z718)</f>
        <v>0</v>
      </c>
      <c r="AA719" s="106">
        <f>SUM(AA704:AA718)</f>
        <v>0</v>
      </c>
      <c r="AD719"/>
      <c r="AE719"/>
      <c r="AF719"/>
      <c r="AG719"/>
      <c r="AH719"/>
      <c r="AI719"/>
    </row>
    <row r="720" spans="1:35" s="56" customFormat="1" hidden="1" x14ac:dyDescent="0.3">
      <c r="A720" s="167"/>
      <c r="B720" s="140"/>
      <c r="N720"/>
      <c r="O720" s="57"/>
      <c r="P720" s="57"/>
      <c r="R720"/>
      <c r="S720"/>
      <c r="T720"/>
      <c r="U720"/>
      <c r="V720"/>
      <c r="W720"/>
      <c r="X720"/>
      <c r="Y720"/>
      <c r="Z720"/>
      <c r="AA720"/>
      <c r="AD720"/>
      <c r="AE720"/>
      <c r="AF720"/>
      <c r="AG720"/>
      <c r="AH720"/>
      <c r="AI720"/>
    </row>
    <row r="721" spans="1:35" s="56" customFormat="1" hidden="1" x14ac:dyDescent="0.3">
      <c r="A721" s="167"/>
      <c r="B721" s="140"/>
      <c r="N721"/>
      <c r="O721" s="57"/>
      <c r="P721" s="57"/>
      <c r="R721" s="107"/>
      <c r="S721" s="120" t="s">
        <v>86</v>
      </c>
      <c r="T721" s="121" t="s">
        <v>90</v>
      </c>
      <c r="U721" s="122" t="s">
        <v>87</v>
      </c>
      <c r="V721" s="123"/>
      <c r="W721" s="124"/>
      <c r="X721" s="121" t="s">
        <v>88</v>
      </c>
      <c r="Y721" s="121" t="s">
        <v>89</v>
      </c>
      <c r="Z721" s="121" t="s">
        <v>91</v>
      </c>
      <c r="AA721" s="125" t="s">
        <v>92</v>
      </c>
      <c r="AB721" s="131" t="s">
        <v>94</v>
      </c>
      <c r="AD721"/>
      <c r="AE721"/>
      <c r="AF721"/>
      <c r="AG721"/>
      <c r="AH721"/>
      <c r="AI721"/>
    </row>
    <row r="722" spans="1:35" s="56" customFormat="1" hidden="1" x14ac:dyDescent="0.3">
      <c r="A722" s="167"/>
      <c r="B722" s="140"/>
      <c r="N722"/>
      <c r="O722" s="57"/>
      <c r="P722" s="57"/>
      <c r="Q722" s="150" t="e">
        <f>#REF!</f>
        <v>#REF!</v>
      </c>
      <c r="R722"/>
      <c r="S722" s="109">
        <v>3</v>
      </c>
      <c r="T722" s="128">
        <v>206</v>
      </c>
      <c r="U722" s="132" t="s">
        <v>80</v>
      </c>
      <c r="V722" s="133"/>
      <c r="W722" s="134"/>
      <c r="X722" s="128">
        <f>SUMIFS($R$13:$R$700,$AD$13:$AD$700,S722,$B$13:$B$700,$R$721)</f>
        <v>0</v>
      </c>
      <c r="Y722" s="135">
        <f>SUMIFS($P$13:$P$700,$AD$13:$AD$700,S722,$B$13:$B$700,$R$721)</f>
        <v>0</v>
      </c>
      <c r="Z722" s="130">
        <f>Y722*T722</f>
        <v>0</v>
      </c>
      <c r="AA722" s="110">
        <f>Z722/44</f>
        <v>0</v>
      </c>
      <c r="AB722" s="126">
        <f>X722/5</f>
        <v>0</v>
      </c>
      <c r="AD722"/>
      <c r="AE722"/>
      <c r="AF722"/>
      <c r="AG722"/>
      <c r="AH722"/>
      <c r="AI722"/>
    </row>
    <row r="723" spans="1:35" s="56" customFormat="1" hidden="1" x14ac:dyDescent="0.3">
      <c r="A723" s="167"/>
      <c r="B723" s="140"/>
      <c r="N723"/>
      <c r="O723" s="57"/>
      <c r="P723" s="57"/>
      <c r="Q723" s="149" t="e">
        <f>#REF!</f>
        <v>#REF!</v>
      </c>
      <c r="R723"/>
      <c r="S723" s="109">
        <v>4</v>
      </c>
      <c r="T723" s="128">
        <v>220</v>
      </c>
      <c r="U723" s="132" t="s">
        <v>83</v>
      </c>
      <c r="V723" s="133"/>
      <c r="W723" s="134"/>
      <c r="X723" s="128">
        <f>SUMIFS($R$13:$R$700,$AD$13:$AD$700,S723,$B$13:$B$700,$R$721)</f>
        <v>0</v>
      </c>
      <c r="Y723" s="135">
        <f>SUMIFS($P$13:$P$700,$AD$13:$AD$700,S723,$B$13:$B$700,$R$721)</f>
        <v>0</v>
      </c>
      <c r="Z723" s="130">
        <f t="shared" ref="Z723:Z736" si="47">Y723*T723</f>
        <v>0</v>
      </c>
      <c r="AA723" s="110">
        <f t="shared" ref="AA723:AA736" si="48">Z723/44</f>
        <v>0</v>
      </c>
      <c r="AB723" s="126">
        <f t="shared" ref="AB723:AB736" si="49">X723/5</f>
        <v>0</v>
      </c>
      <c r="AD723"/>
      <c r="AE723"/>
      <c r="AF723"/>
      <c r="AG723"/>
      <c r="AH723"/>
      <c r="AI723"/>
    </row>
    <row r="724" spans="1:35" s="56" customFormat="1" hidden="1" x14ac:dyDescent="0.3">
      <c r="A724" s="167"/>
      <c r="B724" s="140"/>
      <c r="N724"/>
      <c r="O724" s="57"/>
      <c r="P724" s="57"/>
      <c r="R724"/>
      <c r="S724" s="111">
        <v>5</v>
      </c>
      <c r="T724" s="128">
        <v>285</v>
      </c>
      <c r="U724" s="132" t="s">
        <v>84</v>
      </c>
      <c r="V724" s="133"/>
      <c r="W724" s="133"/>
      <c r="X724" s="128">
        <f>SUMIFS($R$13:$R$700,$AD$13:$AD$700,S724,$B$13:$B$700,$R$721)</f>
        <v>0</v>
      </c>
      <c r="Y724" s="135">
        <f>SUMIFS($P$13:$P$700,$AD$13:$AD$700,S724,$B$13:$B$700,$R$721)</f>
        <v>0</v>
      </c>
      <c r="Z724" s="130">
        <f t="shared" si="47"/>
        <v>0</v>
      </c>
      <c r="AA724" s="110">
        <f t="shared" si="48"/>
        <v>0</v>
      </c>
      <c r="AB724" s="126">
        <f t="shared" si="49"/>
        <v>0</v>
      </c>
      <c r="AD724"/>
      <c r="AE724"/>
      <c r="AF724"/>
      <c r="AG724"/>
      <c r="AH724"/>
      <c r="AI724"/>
    </row>
    <row r="725" spans="1:35" s="56" customFormat="1" hidden="1" x14ac:dyDescent="0.3">
      <c r="A725" s="167"/>
      <c r="B725" s="140"/>
      <c r="N725"/>
      <c r="O725" s="57"/>
      <c r="P725" s="57"/>
      <c r="Q725" s="150" t="e">
        <f>#REF!</f>
        <v>#REF!</v>
      </c>
      <c r="R725"/>
      <c r="S725" s="111">
        <v>6</v>
      </c>
      <c r="T725" s="128">
        <v>200</v>
      </c>
      <c r="U725" s="132" t="s">
        <v>85</v>
      </c>
      <c r="V725" s="133"/>
      <c r="W725" s="134"/>
      <c r="X725" s="128">
        <f>SUMIFS($R$13:$R$700,$AD$13:$AD$700,S725,$B$13:$B$700,$R$721)</f>
        <v>0</v>
      </c>
      <c r="Y725" s="135">
        <f>SUMIFS($P$13:$P$700,$AD$13:$AD$700,S725,$B$13:$B$700,$R$721)</f>
        <v>0</v>
      </c>
      <c r="Z725" s="130">
        <f t="shared" si="47"/>
        <v>0</v>
      </c>
      <c r="AA725" s="110">
        <f t="shared" si="48"/>
        <v>0</v>
      </c>
      <c r="AB725" s="126">
        <f t="shared" si="49"/>
        <v>0</v>
      </c>
      <c r="AD725"/>
      <c r="AE725"/>
      <c r="AF725"/>
      <c r="AG725"/>
      <c r="AH725"/>
      <c r="AI725"/>
    </row>
    <row r="726" spans="1:35" s="56" customFormat="1" hidden="1" x14ac:dyDescent="0.3">
      <c r="A726" s="167"/>
      <c r="B726" s="140"/>
      <c r="N726"/>
      <c r="O726" s="57"/>
      <c r="P726" s="57"/>
      <c r="Q726" s="149" t="e">
        <f>#REF!</f>
        <v>#REF!</v>
      </c>
      <c r="R726"/>
      <c r="S726" s="111">
        <v>7</v>
      </c>
      <c r="T726" s="128">
        <v>199</v>
      </c>
      <c r="U726" s="132" t="s">
        <v>98</v>
      </c>
      <c r="V726" s="133"/>
      <c r="W726" s="134"/>
      <c r="X726" s="128">
        <f>SUMIFS($R$13:$R$700,$AD$13:$AD$700,S726,$B$13:$B$700,$R$721)</f>
        <v>0</v>
      </c>
      <c r="Y726" s="135">
        <f>SUMIFS($P$13:$P$700,$AD$13:$AD$700,S726,$B$13:$B$700,$R$721)</f>
        <v>0</v>
      </c>
      <c r="Z726" s="130">
        <f t="shared" si="47"/>
        <v>0</v>
      </c>
      <c r="AA726" s="110">
        <f t="shared" si="48"/>
        <v>0</v>
      </c>
      <c r="AB726" s="126">
        <f t="shared" si="49"/>
        <v>0</v>
      </c>
      <c r="AD726"/>
      <c r="AE726"/>
      <c r="AF726"/>
      <c r="AG726"/>
      <c r="AH726"/>
      <c r="AI726"/>
    </row>
    <row r="727" spans="1:35" s="56" customFormat="1" hidden="1" x14ac:dyDescent="0.3">
      <c r="A727" s="167"/>
      <c r="B727" s="140"/>
      <c r="N727"/>
      <c r="O727" s="57"/>
      <c r="P727" s="57"/>
      <c r="R727"/>
      <c r="S727" s="109">
        <v>8</v>
      </c>
      <c r="T727" s="128">
        <v>160</v>
      </c>
      <c r="U727" s="132" t="s">
        <v>76</v>
      </c>
      <c r="V727" s="133"/>
      <c r="W727" s="134"/>
      <c r="X727" s="128">
        <f>SUMIFS($R$13:$R$700,$D$13:$D$700,U727,$B$13:$B$700,$R$721)</f>
        <v>0</v>
      </c>
      <c r="Y727" s="135">
        <f>SUMIFS($P$13:$P$700,$D$13:$D$700,U727,$B$13:$B$700,$R$721)</f>
        <v>0</v>
      </c>
      <c r="Z727" s="130">
        <f t="shared" si="47"/>
        <v>0</v>
      </c>
      <c r="AA727" s="110">
        <f t="shared" si="48"/>
        <v>0</v>
      </c>
      <c r="AB727" s="126">
        <f t="shared" si="49"/>
        <v>0</v>
      </c>
      <c r="AD727"/>
      <c r="AE727"/>
      <c r="AF727"/>
      <c r="AG727"/>
      <c r="AH727"/>
      <c r="AI727"/>
    </row>
    <row r="728" spans="1:35" s="56" customFormat="1" hidden="1" x14ac:dyDescent="0.3">
      <c r="A728" s="167"/>
      <c r="B728" s="140"/>
      <c r="N728"/>
      <c r="O728" s="57"/>
      <c r="P728" s="57"/>
      <c r="R728"/>
      <c r="S728" s="109">
        <v>8</v>
      </c>
      <c r="T728" s="128">
        <v>160</v>
      </c>
      <c r="U728" s="132" t="s">
        <v>75</v>
      </c>
      <c r="V728" s="133"/>
      <c r="W728" s="134"/>
      <c r="X728" s="128">
        <f>SUMIFS($R$13:$R$700,$D$13:$D$700,U728,$B$13:$B$700,$R$721)</f>
        <v>0</v>
      </c>
      <c r="Y728" s="135">
        <f>SUMIFS($P$13:$P$700,$D$13:$D$700,U728,$B$13:$B$700,$R$721)</f>
        <v>0</v>
      </c>
      <c r="Z728" s="130">
        <f t="shared" si="47"/>
        <v>0</v>
      </c>
      <c r="AA728" s="110">
        <f t="shared" si="48"/>
        <v>0</v>
      </c>
      <c r="AB728" s="126">
        <f t="shared" si="49"/>
        <v>0</v>
      </c>
      <c r="AD728"/>
      <c r="AE728"/>
      <c r="AF728"/>
      <c r="AG728"/>
      <c r="AH728"/>
      <c r="AI728"/>
    </row>
    <row r="729" spans="1:35" s="56" customFormat="1" hidden="1" x14ac:dyDescent="0.3">
      <c r="A729" s="167"/>
      <c r="B729" s="140"/>
      <c r="N729"/>
      <c r="O729" s="57"/>
      <c r="P729" s="57"/>
      <c r="R729"/>
      <c r="S729" s="109">
        <v>8</v>
      </c>
      <c r="T729" s="128">
        <v>160</v>
      </c>
      <c r="U729" s="132" t="s">
        <v>77</v>
      </c>
      <c r="V729" s="133"/>
      <c r="W729" s="134"/>
      <c r="X729" s="128">
        <f>SUMIFS($R$13:$R$700,$D$13:$D$700,U729,$B$13:$B$700,$R$721)</f>
        <v>0</v>
      </c>
      <c r="Y729" s="135">
        <f>SUMIFS($P$13:$P$700,$D$13:$D$700,U729,$B$13:$B$700,$R$721)</f>
        <v>0</v>
      </c>
      <c r="Z729" s="130">
        <f t="shared" si="47"/>
        <v>0</v>
      </c>
      <c r="AA729" s="110">
        <f t="shared" si="48"/>
        <v>0</v>
      </c>
      <c r="AB729" s="126">
        <f t="shared" si="49"/>
        <v>0</v>
      </c>
      <c r="AD729"/>
      <c r="AE729"/>
      <c r="AF729"/>
      <c r="AG729"/>
      <c r="AH729"/>
      <c r="AI729"/>
    </row>
    <row r="730" spans="1:35" s="56" customFormat="1" hidden="1" x14ac:dyDescent="0.3">
      <c r="A730" s="167"/>
      <c r="B730" s="140"/>
      <c r="N730"/>
      <c r="O730" s="57"/>
      <c r="P730" s="57"/>
      <c r="R730"/>
      <c r="S730" s="109">
        <v>9</v>
      </c>
      <c r="T730" s="128">
        <v>143</v>
      </c>
      <c r="U730" s="132" t="s">
        <v>97</v>
      </c>
      <c r="V730" s="133"/>
      <c r="W730" s="134"/>
      <c r="X730" s="128">
        <f t="shared" ref="X730:X736" si="50">SUMIFS($R$13:$R$700,$AD$13:$AD$700,S730,$B$13:$B$700,$R$721)</f>
        <v>0</v>
      </c>
      <c r="Y730" s="135">
        <f t="shared" ref="Y730:Y736" si="51">SUMIFS($P$13:$P$700,$AD$13:$AD$700,S730,$B$13:$B$700,$R$721)</f>
        <v>0</v>
      </c>
      <c r="Z730" s="130">
        <f t="shared" si="47"/>
        <v>0</v>
      </c>
      <c r="AA730" s="110">
        <f t="shared" si="48"/>
        <v>0</v>
      </c>
      <c r="AB730" s="126">
        <f t="shared" si="49"/>
        <v>0</v>
      </c>
      <c r="AD730"/>
      <c r="AE730"/>
      <c r="AF730"/>
      <c r="AG730"/>
      <c r="AH730"/>
      <c r="AI730"/>
    </row>
    <row r="731" spans="1:35" s="56" customFormat="1" hidden="1" x14ac:dyDescent="0.3">
      <c r="A731" s="167"/>
      <c r="B731" s="140"/>
      <c r="N731"/>
      <c r="O731" s="57"/>
      <c r="P731" s="57"/>
      <c r="R731"/>
      <c r="S731" s="109">
        <v>10</v>
      </c>
      <c r="T731" s="128">
        <v>200</v>
      </c>
      <c r="U731" s="132" t="s">
        <v>82</v>
      </c>
      <c r="V731" s="133"/>
      <c r="W731" s="134"/>
      <c r="X731" s="128">
        <f t="shared" si="50"/>
        <v>0</v>
      </c>
      <c r="Y731" s="135">
        <f t="shared" si="51"/>
        <v>0</v>
      </c>
      <c r="Z731" s="130">
        <f t="shared" si="47"/>
        <v>0</v>
      </c>
      <c r="AA731" s="110">
        <f t="shared" si="48"/>
        <v>0</v>
      </c>
      <c r="AB731" s="126">
        <f t="shared" si="49"/>
        <v>0</v>
      </c>
      <c r="AD731"/>
      <c r="AE731"/>
      <c r="AF731"/>
      <c r="AG731"/>
      <c r="AH731"/>
      <c r="AI731"/>
    </row>
    <row r="732" spans="1:35" s="56" customFormat="1" hidden="1" x14ac:dyDescent="0.3">
      <c r="A732" s="167"/>
      <c r="B732" s="140"/>
      <c r="N732"/>
      <c r="O732" s="57"/>
      <c r="P732" s="57"/>
      <c r="R732"/>
      <c r="S732" s="109">
        <v>12</v>
      </c>
      <c r="T732" s="128">
        <v>149</v>
      </c>
      <c r="U732" s="132" t="s">
        <v>78</v>
      </c>
      <c r="V732" s="133"/>
      <c r="W732" s="134"/>
      <c r="X732" s="128">
        <f t="shared" si="50"/>
        <v>0</v>
      </c>
      <c r="Y732" s="135">
        <f t="shared" si="51"/>
        <v>0</v>
      </c>
      <c r="Z732" s="130">
        <f t="shared" si="47"/>
        <v>0</v>
      </c>
      <c r="AA732" s="110">
        <f t="shared" si="48"/>
        <v>0</v>
      </c>
      <c r="AB732" s="126">
        <f t="shared" si="49"/>
        <v>0</v>
      </c>
      <c r="AD732"/>
      <c r="AE732"/>
      <c r="AF732"/>
      <c r="AG732"/>
      <c r="AH732"/>
      <c r="AI732"/>
    </row>
    <row r="733" spans="1:35" s="56" customFormat="1" hidden="1" x14ac:dyDescent="0.3">
      <c r="A733" s="167"/>
      <c r="B733" s="140"/>
      <c r="N733"/>
      <c r="O733" s="57"/>
      <c r="P733" s="57"/>
      <c r="R733"/>
      <c r="S733" s="137">
        <v>14</v>
      </c>
      <c r="T733" s="142">
        <v>172.9</v>
      </c>
      <c r="U733" s="143" t="s">
        <v>81</v>
      </c>
      <c r="V733" s="144"/>
      <c r="W733" s="145"/>
      <c r="X733" s="142">
        <f t="shared" si="50"/>
        <v>0</v>
      </c>
      <c r="Y733" s="146">
        <f t="shared" si="51"/>
        <v>0</v>
      </c>
      <c r="Z733" s="147">
        <f t="shared" si="47"/>
        <v>0</v>
      </c>
      <c r="AA733" s="138">
        <f t="shared" si="48"/>
        <v>0</v>
      </c>
      <c r="AB733" s="126">
        <f t="shared" si="49"/>
        <v>0</v>
      </c>
      <c r="AD733"/>
      <c r="AE733"/>
      <c r="AF733"/>
      <c r="AG733"/>
      <c r="AH733"/>
      <c r="AI733"/>
    </row>
    <row r="734" spans="1:35" s="56" customFormat="1" hidden="1" x14ac:dyDescent="0.3">
      <c r="A734" s="167"/>
      <c r="B734" s="140"/>
      <c r="D734"/>
      <c r="N734"/>
      <c r="O734" s="57"/>
      <c r="P734" s="57"/>
      <c r="R734"/>
      <c r="S734" s="137">
        <v>15</v>
      </c>
      <c r="T734" s="142">
        <v>55.068932038834944</v>
      </c>
      <c r="U734" s="143" t="s">
        <v>99</v>
      </c>
      <c r="V734" s="144"/>
      <c r="W734" s="145"/>
      <c r="X734" s="142">
        <f t="shared" si="50"/>
        <v>0</v>
      </c>
      <c r="Y734" s="146">
        <f t="shared" si="51"/>
        <v>0</v>
      </c>
      <c r="Z734" s="147">
        <f t="shared" si="47"/>
        <v>0</v>
      </c>
      <c r="AA734" s="138">
        <f t="shared" si="48"/>
        <v>0</v>
      </c>
      <c r="AB734" s="126">
        <f t="shared" si="49"/>
        <v>0</v>
      </c>
      <c r="AD734"/>
      <c r="AE734"/>
      <c r="AF734"/>
      <c r="AG734"/>
      <c r="AH734"/>
      <c r="AI734"/>
    </row>
    <row r="735" spans="1:35" s="56" customFormat="1" hidden="1" x14ac:dyDescent="0.3">
      <c r="A735" s="167"/>
      <c r="B735" s="140"/>
      <c r="D735"/>
      <c r="N735"/>
      <c r="O735" s="57"/>
      <c r="P735" s="57"/>
      <c r="R735"/>
      <c r="S735" s="137">
        <v>28</v>
      </c>
      <c r="T735" s="155">
        <v>200</v>
      </c>
      <c r="U735" s="156" t="s">
        <v>101</v>
      </c>
      <c r="V735" s="157"/>
      <c r="W735" s="158"/>
      <c r="X735" s="155">
        <f t="shared" si="50"/>
        <v>0</v>
      </c>
      <c r="Y735" s="166">
        <f t="shared" si="51"/>
        <v>0</v>
      </c>
      <c r="Z735" s="160">
        <f t="shared" si="47"/>
        <v>0</v>
      </c>
      <c r="AA735" s="138">
        <f t="shared" si="48"/>
        <v>0</v>
      </c>
      <c r="AB735" s="126">
        <f t="shared" si="49"/>
        <v>0</v>
      </c>
      <c r="AD735"/>
      <c r="AE735"/>
      <c r="AF735"/>
      <c r="AG735"/>
      <c r="AH735"/>
      <c r="AI735"/>
    </row>
    <row r="736" spans="1:35" s="56" customFormat="1" ht="18" hidden="1" thickBot="1" x14ac:dyDescent="0.35">
      <c r="A736" s="167"/>
      <c r="B736" s="140"/>
      <c r="D736"/>
      <c r="N736"/>
      <c r="O736" s="57"/>
      <c r="P736" s="57"/>
      <c r="R736"/>
      <c r="S736" s="112">
        <v>30</v>
      </c>
      <c r="T736" s="113">
        <v>189</v>
      </c>
      <c r="U736" s="114" t="s">
        <v>95</v>
      </c>
      <c r="V736" s="115"/>
      <c r="W736" s="116"/>
      <c r="X736" s="113">
        <f t="shared" si="50"/>
        <v>0</v>
      </c>
      <c r="Y736" s="117">
        <f t="shared" si="51"/>
        <v>0</v>
      </c>
      <c r="Z736" s="118">
        <f t="shared" si="47"/>
        <v>0</v>
      </c>
      <c r="AA736" s="119">
        <f t="shared" si="48"/>
        <v>0</v>
      </c>
      <c r="AB736" s="126">
        <f t="shared" si="49"/>
        <v>0</v>
      </c>
      <c r="AD736"/>
      <c r="AE736"/>
      <c r="AF736"/>
      <c r="AG736"/>
      <c r="AH736"/>
      <c r="AI736"/>
    </row>
    <row r="737" spans="1:35" s="56" customFormat="1" hidden="1" x14ac:dyDescent="0.3">
      <c r="A737" s="167"/>
      <c r="B737" s="140"/>
      <c r="D737"/>
      <c r="N737"/>
      <c r="O737" s="57"/>
      <c r="P737" s="57"/>
      <c r="R737"/>
      <c r="S737"/>
      <c r="T737"/>
      <c r="U737"/>
      <c r="V737"/>
      <c r="W737"/>
      <c r="X737" s="106">
        <f>SUM(X722:X736)</f>
        <v>0</v>
      </c>
      <c r="Y737" s="136">
        <f>SUM(Y722:Y736)</f>
        <v>0</v>
      </c>
      <c r="Z737" s="108">
        <f>SUM(Z722:Z736)</f>
        <v>0</v>
      </c>
      <c r="AA737" s="106">
        <f>SUM(AA722:AA736)</f>
        <v>0</v>
      </c>
      <c r="AD737"/>
      <c r="AE737"/>
      <c r="AF737"/>
      <c r="AG737"/>
      <c r="AH737"/>
      <c r="AI737"/>
    </row>
    <row r="738" spans="1:35" x14ac:dyDescent="0.3">
      <c r="D738"/>
      <c r="Y738" s="57"/>
    </row>
    <row r="739" spans="1:35" x14ac:dyDescent="0.3">
      <c r="D739"/>
    </row>
    <row r="740" spans="1:35" x14ac:dyDescent="0.3">
      <c r="D740"/>
    </row>
    <row r="741" spans="1:35" x14ac:dyDescent="0.3">
      <c r="D741"/>
    </row>
    <row r="742" spans="1:35" x14ac:dyDescent="0.3">
      <c r="D742"/>
    </row>
    <row r="743" spans="1:35" x14ac:dyDescent="0.3">
      <c r="D743"/>
    </row>
    <row r="744" spans="1:35" x14ac:dyDescent="0.3">
      <c r="D744"/>
    </row>
    <row r="745" spans="1:35" x14ac:dyDescent="0.3">
      <c r="D745"/>
    </row>
    <row r="746" spans="1:35" x14ac:dyDescent="0.3">
      <c r="D746"/>
    </row>
    <row r="747" spans="1:35" x14ac:dyDescent="0.3">
      <c r="D747"/>
    </row>
    <row r="748" spans="1:35" x14ac:dyDescent="0.3">
      <c r="D748"/>
    </row>
    <row r="749" spans="1:35" x14ac:dyDescent="0.3">
      <c r="D749"/>
    </row>
    <row r="750" spans="1:35" x14ac:dyDescent="0.3">
      <c r="D750"/>
    </row>
    <row r="751" spans="1:35" x14ac:dyDescent="0.3">
      <c r="D751"/>
    </row>
    <row r="752" spans="1:35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</sheetData>
  <autoFilter ref="A12:AN701" xr:uid="{1DA6CA8A-4A12-456D-8522-43108B0C15C6}"/>
  <mergeCells count="32">
    <mergeCell ref="C2:X3"/>
    <mergeCell ref="AA2:AC2"/>
    <mergeCell ref="AA3:AC3"/>
    <mergeCell ref="E5:F5"/>
    <mergeCell ref="G5:X8"/>
    <mergeCell ref="Y5:AB5"/>
    <mergeCell ref="E6:E7"/>
    <mergeCell ref="F6:F7"/>
    <mergeCell ref="Y8:AB8"/>
    <mergeCell ref="C10:AC10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AB11:AC11"/>
    <mergeCell ref="P11:P12"/>
    <mergeCell ref="Q11:S11"/>
    <mergeCell ref="L702:M702"/>
    <mergeCell ref="T11:U11"/>
    <mergeCell ref="V11:W11"/>
    <mergeCell ref="X11:Y11"/>
    <mergeCell ref="Z11:AA11"/>
    <mergeCell ref="L701:M701"/>
    <mergeCell ref="L11:L12"/>
    <mergeCell ref="M11:M12"/>
    <mergeCell ref="N11:N12"/>
    <mergeCell ref="O11:O12"/>
  </mergeCells>
  <pageMargins left="0.23622047244094491" right="0.23622047244094491" top="0.35433070866141736" bottom="0.35433070866141736" header="0.31496062992125984" footer="0.31496062992125984"/>
  <pageSetup paperSize="8" scale="5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991B-0BF1-4A85-85E4-B488DE4F3D0D}">
  <sheetPr>
    <tabColor theme="0"/>
    <pageSetUpPr fitToPage="1"/>
  </sheetPr>
  <dimension ref="A1:AN65"/>
  <sheetViews>
    <sheetView showGridLines="0" view="pageBreakPreview" zoomScale="70" zoomScaleNormal="60" zoomScaleSheetLayoutView="70" workbookViewId="0">
      <pane ySplit="12" topLeftCell="A13" activePane="bottomLeft" state="frozen"/>
      <selection activeCell="C26" sqref="C26"/>
      <selection pane="bottomLeft" activeCell="I22" sqref="I22"/>
    </sheetView>
  </sheetViews>
  <sheetFormatPr defaultRowHeight="15" x14ac:dyDescent="0.25"/>
  <cols>
    <col min="1" max="1" width="10.5703125" style="139" bestFit="1" customWidth="1"/>
    <col min="2" max="2" width="6.140625" style="139" customWidth="1"/>
    <col min="3" max="3" width="5" bestFit="1" customWidth="1"/>
    <col min="4" max="4" width="70.5703125" customWidth="1"/>
    <col min="5" max="5" width="21.7109375" customWidth="1"/>
    <col min="6" max="6" width="13.140625" customWidth="1"/>
    <col min="7" max="7" width="21.28515625" bestFit="1" customWidth="1"/>
    <col min="8" max="8" width="18" customWidth="1"/>
    <col min="9" max="9" width="26" bestFit="1" customWidth="1"/>
    <col min="10" max="10" width="6.85546875" customWidth="1"/>
    <col min="11" max="11" width="20.5703125" customWidth="1"/>
    <col min="12" max="12" width="15.7109375" customWidth="1"/>
    <col min="13" max="13" width="15" customWidth="1"/>
    <col min="14" max="15" width="10.42578125" customWidth="1"/>
    <col min="16" max="16" width="10.28515625" style="53" customWidth="1"/>
    <col min="17" max="17" width="14.28515625" customWidth="1"/>
    <col min="18" max="19" width="7.42578125" customWidth="1"/>
    <col min="20" max="29" width="8.7109375" customWidth="1"/>
    <col min="30" max="30" width="3.42578125" customWidth="1"/>
  </cols>
  <sheetData>
    <row r="1" spans="1:40" ht="7.5" customHeight="1" thickBot="1" x14ac:dyDescent="0.3"/>
    <row r="2" spans="1:40" ht="26.25" customHeight="1" thickBot="1" x14ac:dyDescent="0.3">
      <c r="C2" s="262" t="s">
        <v>20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1"/>
      <c r="Y2" s="2" t="s">
        <v>12</v>
      </c>
      <c r="Z2" s="8"/>
      <c r="AA2" s="268" t="e">
        <f>#REF!</f>
        <v>#REF!</v>
      </c>
      <c r="AB2" s="268"/>
      <c r="AC2" s="269"/>
    </row>
    <row r="3" spans="1:40" ht="26.25" customHeight="1" thickBot="1" x14ac:dyDescent="0.3">
      <c r="C3" s="302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7" t="s">
        <v>13</v>
      </c>
      <c r="Z3" s="6"/>
      <c r="AA3" s="268" t="e">
        <f>#REF!</f>
        <v>#REF!</v>
      </c>
      <c r="AB3" s="268"/>
      <c r="AC3" s="269"/>
      <c r="AE3" t="s">
        <v>113</v>
      </c>
    </row>
    <row r="4" spans="1:40" ht="6" customHeight="1" thickBot="1" x14ac:dyDescent="0.3"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5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40" ht="18" customHeight="1" thickBot="1" x14ac:dyDescent="0.3">
      <c r="C5" s="17" t="s">
        <v>117</v>
      </c>
      <c r="D5" s="18"/>
      <c r="E5" s="270" t="s">
        <v>31</v>
      </c>
      <c r="F5" s="271"/>
      <c r="G5" s="272" t="s">
        <v>188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40" ht="18" customHeight="1" thickBot="1" x14ac:dyDescent="0.3">
      <c r="C6" s="17" t="s">
        <v>115</v>
      </c>
      <c r="D6" s="18"/>
      <c r="E6" s="275" t="e">
        <f>#REF!</f>
        <v>#REF!</v>
      </c>
      <c r="F6" s="277">
        <f>SUMIFS($P$13:P75,$B$13:B75,E6)</f>
        <v>0</v>
      </c>
      <c r="G6" s="272"/>
      <c r="H6" s="273"/>
      <c r="I6" s="273"/>
      <c r="J6" s="273"/>
      <c r="K6" s="273"/>
      <c r="L6" s="273"/>
      <c r="M6" s="273" t="s">
        <v>23</v>
      </c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AA6" s="19"/>
      <c r="AB6" s="19"/>
      <c r="AC6" s="4"/>
    </row>
    <row r="7" spans="1:40" ht="18" customHeight="1" thickBot="1" x14ac:dyDescent="0.3">
      <c r="C7" s="20" t="s">
        <v>73</v>
      </c>
      <c r="D7" s="21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AA7" s="13"/>
      <c r="AB7" s="13"/>
      <c r="AC7" s="4"/>
    </row>
    <row r="8" spans="1:40" ht="18" customHeight="1" thickBot="1" x14ac:dyDescent="0.35">
      <c r="C8" s="17" t="e">
        <f>#REF!</f>
        <v>#REF!</v>
      </c>
      <c r="D8" s="18"/>
      <c r="E8" s="154" t="s">
        <v>19</v>
      </c>
      <c r="F8" s="153">
        <f>SUM(F6:F6)</f>
        <v>0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40" ht="18" customHeight="1" thickBot="1" x14ac:dyDescent="0.3">
      <c r="C9" s="20"/>
      <c r="D9" s="22"/>
      <c r="E9" s="102"/>
      <c r="F9" s="103"/>
      <c r="AC9" s="4"/>
    </row>
    <row r="10" spans="1:40" ht="23.25" customHeight="1" thickBot="1" x14ac:dyDescent="0.3">
      <c r="C10" s="280" t="s">
        <v>21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2"/>
    </row>
    <row r="11" spans="1:40" ht="15" customHeight="1" x14ac:dyDescent="0.25">
      <c r="C11" s="283" t="s">
        <v>5</v>
      </c>
      <c r="D11" s="285" t="s">
        <v>6</v>
      </c>
      <c r="E11" s="287" t="s">
        <v>44</v>
      </c>
      <c r="F11" s="287" t="s">
        <v>26</v>
      </c>
      <c r="G11" s="288" t="s">
        <v>15</v>
      </c>
      <c r="H11" s="288" t="s">
        <v>24</v>
      </c>
      <c r="I11" s="287" t="s">
        <v>7</v>
      </c>
      <c r="J11" s="285" t="s">
        <v>8</v>
      </c>
      <c r="K11" s="289" t="s">
        <v>169</v>
      </c>
      <c r="L11" s="285" t="s">
        <v>28</v>
      </c>
      <c r="M11" s="285" t="s">
        <v>14</v>
      </c>
      <c r="N11" s="295" t="s">
        <v>166</v>
      </c>
      <c r="O11" s="295" t="s">
        <v>167</v>
      </c>
      <c r="P11" s="292" t="s">
        <v>18</v>
      </c>
      <c r="Q11" s="293" t="s">
        <v>19</v>
      </c>
      <c r="R11" s="293"/>
      <c r="S11" s="293"/>
      <c r="T11" s="290" t="s">
        <v>4</v>
      </c>
      <c r="U11" s="290"/>
      <c r="V11" s="290" t="s">
        <v>0</v>
      </c>
      <c r="W11" s="290"/>
      <c r="X11" s="290" t="s">
        <v>1</v>
      </c>
      <c r="Y11" s="290"/>
      <c r="Z11" s="290" t="s">
        <v>2</v>
      </c>
      <c r="AA11" s="290"/>
      <c r="AB11" s="290" t="s">
        <v>3</v>
      </c>
      <c r="AC11" s="291"/>
    </row>
    <row r="12" spans="1:40" x14ac:dyDescent="0.25">
      <c r="C12" s="298"/>
      <c r="D12" s="297"/>
      <c r="E12" s="285"/>
      <c r="F12" s="285"/>
      <c r="G12" s="296"/>
      <c r="H12" s="296"/>
      <c r="I12" s="285"/>
      <c r="J12" s="297"/>
      <c r="K12" s="285"/>
      <c r="L12" s="297"/>
      <c r="M12" s="297"/>
      <c r="N12" s="296"/>
      <c r="O12" s="296"/>
      <c r="P12" s="299"/>
      <c r="Q12" s="205" t="s">
        <v>29</v>
      </c>
      <c r="R12" s="205" t="s">
        <v>30</v>
      </c>
      <c r="S12" s="205" t="s">
        <v>9</v>
      </c>
      <c r="T12" s="205" t="s">
        <v>10</v>
      </c>
      <c r="U12" s="205" t="s">
        <v>11</v>
      </c>
      <c r="V12" s="205" t="s">
        <v>10</v>
      </c>
      <c r="W12" s="205" t="s">
        <v>11</v>
      </c>
      <c r="X12" s="205" t="s">
        <v>10</v>
      </c>
      <c r="Y12" s="205" t="s">
        <v>11</v>
      </c>
      <c r="Z12" s="205" t="s">
        <v>10</v>
      </c>
      <c r="AA12" s="205" t="s">
        <v>11</v>
      </c>
      <c r="AB12" s="205" t="s">
        <v>10</v>
      </c>
      <c r="AC12" s="206" t="s">
        <v>11</v>
      </c>
    </row>
    <row r="13" spans="1:40" ht="36.75" customHeight="1" x14ac:dyDescent="0.25">
      <c r="A13" s="139" t="s">
        <v>116</v>
      </c>
      <c r="B13" s="105" t="s">
        <v>122</v>
      </c>
      <c r="C13" s="63">
        <v>1</v>
      </c>
      <c r="D13" s="197" t="s">
        <v>192</v>
      </c>
      <c r="E13" s="189" t="s">
        <v>193</v>
      </c>
      <c r="F13" s="190" t="s">
        <v>123</v>
      </c>
      <c r="G13" s="189" t="s">
        <v>74</v>
      </c>
      <c r="H13" s="191">
        <v>61792</v>
      </c>
      <c r="I13" s="189" t="s">
        <v>203</v>
      </c>
      <c r="J13" s="189">
        <v>0</v>
      </c>
      <c r="K13" s="189" t="s">
        <v>192</v>
      </c>
      <c r="L13" s="191">
        <v>3</v>
      </c>
      <c r="M13" s="192">
        <v>46071</v>
      </c>
      <c r="N13" s="193">
        <v>1</v>
      </c>
      <c r="O13" s="194">
        <v>1</v>
      </c>
      <c r="P13" s="195">
        <v>0</v>
      </c>
      <c r="Q13" s="196" t="s">
        <v>38</v>
      </c>
      <c r="R13" s="197">
        <v>1</v>
      </c>
      <c r="S13" s="198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170"/>
      <c r="AD13" s="11" t="str">
        <f t="shared" ref="AD13:AD28" si="0">RIGHT(L13,2)</f>
        <v>3</v>
      </c>
      <c r="AF13" t="str">
        <f>CONCATENATE("80.01.ZZ.0",L13)</f>
        <v>80.01.ZZ.03</v>
      </c>
      <c r="AH13" t="str">
        <f t="shared" ref="AH13:AH28" si="1">CONCATENATE("00 de 0",R13)</f>
        <v>00 de 01</v>
      </c>
      <c r="AJ13" s="86"/>
      <c r="AK13" s="85"/>
      <c r="AM13" s="161" t="s">
        <v>105</v>
      </c>
      <c r="AN13" s="52">
        <v>20</v>
      </c>
    </row>
    <row r="14" spans="1:40" ht="36.75" customHeight="1" x14ac:dyDescent="0.25">
      <c r="A14" s="139" t="s">
        <v>116</v>
      </c>
      <c r="B14" s="105" t="s">
        <v>122</v>
      </c>
      <c r="C14" s="63">
        <v>2</v>
      </c>
      <c r="D14" s="197" t="s">
        <v>192</v>
      </c>
      <c r="E14" s="189" t="s">
        <v>194</v>
      </c>
      <c r="F14" s="190" t="s">
        <v>123</v>
      </c>
      <c r="G14" s="189" t="s">
        <v>74</v>
      </c>
      <c r="H14" s="191">
        <v>61792</v>
      </c>
      <c r="I14" s="189" t="s">
        <v>203</v>
      </c>
      <c r="J14" s="189">
        <v>0</v>
      </c>
      <c r="K14" s="189" t="s">
        <v>192</v>
      </c>
      <c r="L14" s="191">
        <v>3</v>
      </c>
      <c r="M14" s="192">
        <v>46071</v>
      </c>
      <c r="N14" s="193">
        <v>1</v>
      </c>
      <c r="O14" s="194">
        <v>1</v>
      </c>
      <c r="P14" s="195">
        <v>0</v>
      </c>
      <c r="Q14" s="196" t="s">
        <v>38</v>
      </c>
      <c r="R14" s="197">
        <v>1</v>
      </c>
      <c r="S14" s="198" t="s">
        <v>33</v>
      </c>
      <c r="T14" s="199"/>
      <c r="U14" s="200"/>
      <c r="V14" s="200"/>
      <c r="W14" s="200"/>
      <c r="X14" s="200"/>
      <c r="Y14" s="200"/>
      <c r="Z14" s="200"/>
      <c r="AA14" s="200"/>
      <c r="AB14" s="200"/>
      <c r="AC14" s="170"/>
      <c r="AD14" s="11" t="str">
        <f t="shared" si="0"/>
        <v>3</v>
      </c>
      <c r="AF14" t="str">
        <f t="shared" ref="AF14:AF28" si="2">CONCATENATE("80.01.ZZ.0",L14)</f>
        <v>80.01.ZZ.03</v>
      </c>
      <c r="AH14" t="str">
        <f t="shared" si="1"/>
        <v>00 de 01</v>
      </c>
      <c r="AJ14" s="86"/>
      <c r="AK14" s="85"/>
      <c r="AM14" s="161" t="s">
        <v>106</v>
      </c>
      <c r="AN14" s="52">
        <v>21</v>
      </c>
    </row>
    <row r="15" spans="1:40" ht="36.75" customHeight="1" x14ac:dyDescent="0.25">
      <c r="A15" s="139" t="s">
        <v>116</v>
      </c>
      <c r="B15" s="105" t="s">
        <v>122</v>
      </c>
      <c r="C15" s="63">
        <v>3</v>
      </c>
      <c r="D15" s="197" t="s">
        <v>192</v>
      </c>
      <c r="E15" s="189" t="s">
        <v>195</v>
      </c>
      <c r="F15" s="190" t="s">
        <v>123</v>
      </c>
      <c r="G15" s="189" t="s">
        <v>74</v>
      </c>
      <c r="H15" s="191">
        <v>61792</v>
      </c>
      <c r="I15" s="189" t="s">
        <v>203</v>
      </c>
      <c r="J15" s="189">
        <v>0</v>
      </c>
      <c r="K15" s="189" t="s">
        <v>192</v>
      </c>
      <c r="L15" s="191">
        <v>3</v>
      </c>
      <c r="M15" s="192">
        <v>46071</v>
      </c>
      <c r="N15" s="193">
        <v>1</v>
      </c>
      <c r="O15" s="194">
        <v>1</v>
      </c>
      <c r="P15" s="195">
        <v>0</v>
      </c>
      <c r="Q15" s="196" t="s">
        <v>38</v>
      </c>
      <c r="R15" s="197">
        <v>1</v>
      </c>
      <c r="S15" s="198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170"/>
      <c r="AD15" s="11" t="str">
        <f t="shared" si="0"/>
        <v>3</v>
      </c>
      <c r="AF15" t="str">
        <f t="shared" si="2"/>
        <v>80.01.ZZ.03</v>
      </c>
      <c r="AH15" t="str">
        <f t="shared" si="1"/>
        <v>00 de 01</v>
      </c>
      <c r="AJ15" s="86"/>
      <c r="AK15" s="85"/>
      <c r="AM15" s="161" t="s">
        <v>106</v>
      </c>
      <c r="AN15" s="52">
        <v>21</v>
      </c>
    </row>
    <row r="16" spans="1:40" ht="36.75" customHeight="1" x14ac:dyDescent="0.25">
      <c r="A16" s="139" t="s">
        <v>116</v>
      </c>
      <c r="B16" s="105" t="s">
        <v>122</v>
      </c>
      <c r="C16" s="63">
        <v>4</v>
      </c>
      <c r="D16" s="197" t="s">
        <v>192</v>
      </c>
      <c r="E16" s="189" t="s">
        <v>196</v>
      </c>
      <c r="F16" s="190" t="s">
        <v>123</v>
      </c>
      <c r="G16" s="189" t="s">
        <v>74</v>
      </c>
      <c r="H16" s="191">
        <v>61792</v>
      </c>
      <c r="I16" s="189" t="s">
        <v>203</v>
      </c>
      <c r="J16" s="189">
        <v>0</v>
      </c>
      <c r="K16" s="189" t="s">
        <v>192</v>
      </c>
      <c r="L16" s="191">
        <v>3</v>
      </c>
      <c r="M16" s="192">
        <v>46071</v>
      </c>
      <c r="N16" s="193">
        <v>1</v>
      </c>
      <c r="O16" s="194">
        <v>1</v>
      </c>
      <c r="P16" s="195">
        <v>0</v>
      </c>
      <c r="Q16" s="196" t="s">
        <v>38</v>
      </c>
      <c r="R16" s="197">
        <v>1</v>
      </c>
      <c r="S16" s="198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170"/>
      <c r="AD16" s="11" t="str">
        <f t="shared" si="0"/>
        <v>3</v>
      </c>
      <c r="AF16" t="str">
        <f t="shared" si="2"/>
        <v>80.01.ZZ.03</v>
      </c>
      <c r="AH16" t="str">
        <f t="shared" si="1"/>
        <v>00 de 01</v>
      </c>
      <c r="AJ16" s="86"/>
      <c r="AK16" s="85"/>
      <c r="AM16" s="161" t="s">
        <v>106</v>
      </c>
      <c r="AN16" s="52">
        <v>21</v>
      </c>
    </row>
    <row r="17" spans="1:40" ht="36.75" customHeight="1" x14ac:dyDescent="0.25">
      <c r="A17" s="139" t="s">
        <v>116</v>
      </c>
      <c r="B17" s="105" t="s">
        <v>122</v>
      </c>
      <c r="C17" s="63">
        <v>5</v>
      </c>
      <c r="D17" s="197" t="s">
        <v>192</v>
      </c>
      <c r="E17" s="189" t="s">
        <v>197</v>
      </c>
      <c r="F17" s="190" t="s">
        <v>123</v>
      </c>
      <c r="G17" s="189" t="s">
        <v>74</v>
      </c>
      <c r="H17" s="191">
        <v>61792</v>
      </c>
      <c r="I17" s="189" t="s">
        <v>203</v>
      </c>
      <c r="J17" s="189">
        <v>0</v>
      </c>
      <c r="K17" s="189" t="s">
        <v>192</v>
      </c>
      <c r="L17" s="191">
        <v>3</v>
      </c>
      <c r="M17" s="192">
        <v>46071</v>
      </c>
      <c r="N17" s="193">
        <v>1</v>
      </c>
      <c r="O17" s="194">
        <v>1</v>
      </c>
      <c r="P17" s="195">
        <v>0</v>
      </c>
      <c r="Q17" s="196" t="s">
        <v>38</v>
      </c>
      <c r="R17" s="197">
        <v>1</v>
      </c>
      <c r="S17" s="198" t="s">
        <v>33</v>
      </c>
      <c r="T17" s="199"/>
      <c r="U17" s="200"/>
      <c r="V17" s="200"/>
      <c r="W17" s="200"/>
      <c r="X17" s="200"/>
      <c r="Y17" s="200"/>
      <c r="Z17" s="200"/>
      <c r="AA17" s="200"/>
      <c r="AB17" s="200"/>
      <c r="AC17" s="170"/>
      <c r="AD17" s="11" t="str">
        <f t="shared" si="0"/>
        <v>3</v>
      </c>
      <c r="AF17" t="str">
        <f t="shared" si="2"/>
        <v>80.01.ZZ.03</v>
      </c>
      <c r="AH17" t="str">
        <f t="shared" si="1"/>
        <v>00 de 01</v>
      </c>
      <c r="AJ17" s="86"/>
      <c r="AK17" s="85"/>
      <c r="AM17" s="161" t="s">
        <v>106</v>
      </c>
      <c r="AN17" s="52">
        <v>21</v>
      </c>
    </row>
    <row r="18" spans="1:40" ht="36.75" customHeight="1" x14ac:dyDescent="0.25">
      <c r="A18" s="139" t="s">
        <v>116</v>
      </c>
      <c r="B18" s="105" t="s">
        <v>122</v>
      </c>
      <c r="C18" s="63">
        <v>6</v>
      </c>
      <c r="D18" s="197" t="s">
        <v>192</v>
      </c>
      <c r="E18" s="189" t="s">
        <v>198</v>
      </c>
      <c r="F18" s="190" t="s">
        <v>123</v>
      </c>
      <c r="G18" s="189" t="s">
        <v>74</v>
      </c>
      <c r="H18" s="191">
        <v>61792</v>
      </c>
      <c r="I18" s="189" t="s">
        <v>203</v>
      </c>
      <c r="J18" s="189">
        <v>0</v>
      </c>
      <c r="K18" s="189" t="s">
        <v>192</v>
      </c>
      <c r="L18" s="191">
        <v>3</v>
      </c>
      <c r="M18" s="192">
        <v>46071</v>
      </c>
      <c r="N18" s="193">
        <v>1</v>
      </c>
      <c r="O18" s="194">
        <v>1</v>
      </c>
      <c r="P18" s="195">
        <v>0</v>
      </c>
      <c r="Q18" s="196" t="s">
        <v>38</v>
      </c>
      <c r="R18" s="197">
        <v>1</v>
      </c>
      <c r="S18" s="198" t="s">
        <v>33</v>
      </c>
      <c r="T18" s="199"/>
      <c r="U18" s="200"/>
      <c r="V18" s="200"/>
      <c r="W18" s="200"/>
      <c r="X18" s="200"/>
      <c r="Y18" s="200"/>
      <c r="Z18" s="200"/>
      <c r="AA18" s="200"/>
      <c r="AB18" s="200"/>
      <c r="AC18" s="170"/>
      <c r="AD18" s="11" t="str">
        <f t="shared" si="0"/>
        <v>3</v>
      </c>
      <c r="AF18" t="str">
        <f t="shared" si="2"/>
        <v>80.01.ZZ.03</v>
      </c>
      <c r="AH18" t="str">
        <f t="shared" si="1"/>
        <v>00 de 01</v>
      </c>
      <c r="AJ18" s="86"/>
      <c r="AK18" s="85"/>
      <c r="AM18" s="161" t="s">
        <v>106</v>
      </c>
      <c r="AN18" s="52">
        <v>21</v>
      </c>
    </row>
    <row r="19" spans="1:40" ht="36.75" customHeight="1" x14ac:dyDescent="0.25">
      <c r="A19" s="139" t="s">
        <v>116</v>
      </c>
      <c r="B19" s="105" t="s">
        <v>122</v>
      </c>
      <c r="C19" s="63">
        <v>7</v>
      </c>
      <c r="D19" s="197" t="s">
        <v>192</v>
      </c>
      <c r="E19" s="189" t="s">
        <v>199</v>
      </c>
      <c r="F19" s="190" t="s">
        <v>123</v>
      </c>
      <c r="G19" s="189" t="s">
        <v>74</v>
      </c>
      <c r="H19" s="191">
        <v>61792</v>
      </c>
      <c r="I19" s="189" t="s">
        <v>203</v>
      </c>
      <c r="J19" s="189">
        <v>0</v>
      </c>
      <c r="K19" s="189" t="s">
        <v>192</v>
      </c>
      <c r="L19" s="191">
        <v>3</v>
      </c>
      <c r="M19" s="192">
        <v>46071</v>
      </c>
      <c r="N19" s="193">
        <v>1</v>
      </c>
      <c r="O19" s="194">
        <v>1</v>
      </c>
      <c r="P19" s="195">
        <v>0</v>
      </c>
      <c r="Q19" s="196" t="s">
        <v>38</v>
      </c>
      <c r="R19" s="197">
        <v>1</v>
      </c>
      <c r="S19" s="198" t="s">
        <v>33</v>
      </c>
      <c r="T19" s="199"/>
      <c r="U19" s="200"/>
      <c r="V19" s="200"/>
      <c r="W19" s="200"/>
      <c r="X19" s="200"/>
      <c r="Y19" s="200"/>
      <c r="Z19" s="200"/>
      <c r="AA19" s="200"/>
      <c r="AB19" s="200"/>
      <c r="AC19" s="170"/>
      <c r="AD19" s="11" t="str">
        <f t="shared" si="0"/>
        <v>3</v>
      </c>
      <c r="AF19" t="str">
        <f t="shared" si="2"/>
        <v>80.01.ZZ.03</v>
      </c>
      <c r="AH19" t="str">
        <f t="shared" si="1"/>
        <v>00 de 01</v>
      </c>
      <c r="AJ19" s="86"/>
      <c r="AK19" s="85"/>
      <c r="AM19" s="161" t="s">
        <v>106</v>
      </c>
      <c r="AN19" s="52">
        <v>21</v>
      </c>
    </row>
    <row r="20" spans="1:40" ht="36.75" customHeight="1" x14ac:dyDescent="0.25">
      <c r="A20" s="139" t="s">
        <v>116</v>
      </c>
      <c r="B20" s="105" t="s">
        <v>122</v>
      </c>
      <c r="C20" s="63">
        <v>8</v>
      </c>
      <c r="D20" s="197" t="s">
        <v>192</v>
      </c>
      <c r="E20" s="189" t="s">
        <v>200</v>
      </c>
      <c r="F20" s="190" t="s">
        <v>123</v>
      </c>
      <c r="G20" s="189" t="s">
        <v>74</v>
      </c>
      <c r="H20" s="191">
        <v>61792</v>
      </c>
      <c r="I20" s="189" t="s">
        <v>203</v>
      </c>
      <c r="J20" s="189">
        <v>0</v>
      </c>
      <c r="K20" s="189" t="s">
        <v>192</v>
      </c>
      <c r="L20" s="191">
        <v>3</v>
      </c>
      <c r="M20" s="192">
        <v>46071</v>
      </c>
      <c r="N20" s="193">
        <v>1</v>
      </c>
      <c r="O20" s="194">
        <v>1</v>
      </c>
      <c r="P20" s="195">
        <v>0</v>
      </c>
      <c r="Q20" s="196" t="s">
        <v>38</v>
      </c>
      <c r="R20" s="197">
        <v>1</v>
      </c>
      <c r="S20" s="198" t="s">
        <v>33</v>
      </c>
      <c r="T20" s="199"/>
      <c r="U20" s="200"/>
      <c r="V20" s="200"/>
      <c r="W20" s="200"/>
      <c r="X20" s="200"/>
      <c r="Y20" s="200"/>
      <c r="Z20" s="200"/>
      <c r="AA20" s="200"/>
      <c r="AB20" s="200"/>
      <c r="AC20" s="170"/>
      <c r="AD20" s="11" t="str">
        <f t="shared" si="0"/>
        <v>3</v>
      </c>
      <c r="AF20" t="str">
        <f t="shared" si="2"/>
        <v>80.01.ZZ.03</v>
      </c>
      <c r="AH20" t="str">
        <f t="shared" si="1"/>
        <v>00 de 01</v>
      </c>
      <c r="AJ20" s="86"/>
      <c r="AK20" s="85"/>
      <c r="AM20" s="161" t="s">
        <v>106</v>
      </c>
      <c r="AN20" s="52">
        <v>21</v>
      </c>
    </row>
    <row r="21" spans="1:40" ht="36.75" customHeight="1" x14ac:dyDescent="0.25">
      <c r="A21" s="139" t="s">
        <v>116</v>
      </c>
      <c r="B21" s="105" t="s">
        <v>122</v>
      </c>
      <c r="C21" s="63">
        <v>9</v>
      </c>
      <c r="D21" s="197" t="s">
        <v>192</v>
      </c>
      <c r="E21" s="189" t="s">
        <v>201</v>
      </c>
      <c r="F21" s="190" t="s">
        <v>123</v>
      </c>
      <c r="G21" s="189" t="s">
        <v>74</v>
      </c>
      <c r="H21" s="191">
        <v>61792</v>
      </c>
      <c r="I21" s="189" t="s">
        <v>203</v>
      </c>
      <c r="J21" s="189">
        <v>0</v>
      </c>
      <c r="K21" s="189" t="s">
        <v>192</v>
      </c>
      <c r="L21" s="191">
        <v>3</v>
      </c>
      <c r="M21" s="192">
        <v>46071</v>
      </c>
      <c r="N21" s="193">
        <v>1</v>
      </c>
      <c r="O21" s="194">
        <v>1</v>
      </c>
      <c r="P21" s="195">
        <v>0</v>
      </c>
      <c r="Q21" s="196" t="s">
        <v>38</v>
      </c>
      <c r="R21" s="197">
        <v>1</v>
      </c>
      <c r="S21" s="198" t="s">
        <v>33</v>
      </c>
      <c r="T21" s="199"/>
      <c r="U21" s="200"/>
      <c r="V21" s="200"/>
      <c r="W21" s="200"/>
      <c r="X21" s="200"/>
      <c r="Y21" s="200"/>
      <c r="Z21" s="200"/>
      <c r="AA21" s="200"/>
      <c r="AB21" s="200"/>
      <c r="AC21" s="170"/>
      <c r="AD21" s="11" t="str">
        <f t="shared" si="0"/>
        <v>3</v>
      </c>
      <c r="AF21" t="str">
        <f t="shared" si="2"/>
        <v>80.01.ZZ.03</v>
      </c>
      <c r="AH21" t="str">
        <f t="shared" si="1"/>
        <v>00 de 01</v>
      </c>
      <c r="AJ21" s="86"/>
      <c r="AK21" s="85"/>
      <c r="AM21" s="161" t="s">
        <v>106</v>
      </c>
      <c r="AN21" s="52">
        <v>21</v>
      </c>
    </row>
    <row r="22" spans="1:40" ht="36.75" customHeight="1" x14ac:dyDescent="0.25">
      <c r="A22" s="139" t="s">
        <v>116</v>
      </c>
      <c r="B22" s="105" t="s">
        <v>122</v>
      </c>
      <c r="C22" s="63">
        <v>10</v>
      </c>
      <c r="D22" s="197" t="s">
        <v>192</v>
      </c>
      <c r="E22" s="189" t="s">
        <v>202</v>
      </c>
      <c r="F22" s="190" t="s">
        <v>123</v>
      </c>
      <c r="G22" s="189" t="s">
        <v>74</v>
      </c>
      <c r="H22" s="191">
        <v>61792</v>
      </c>
      <c r="I22" s="189" t="s">
        <v>203</v>
      </c>
      <c r="J22" s="189">
        <v>0</v>
      </c>
      <c r="K22" s="189" t="s">
        <v>192</v>
      </c>
      <c r="L22" s="191">
        <v>3</v>
      </c>
      <c r="M22" s="192">
        <v>46071</v>
      </c>
      <c r="N22" s="193">
        <v>1</v>
      </c>
      <c r="O22" s="194">
        <v>1</v>
      </c>
      <c r="P22" s="195">
        <v>0</v>
      </c>
      <c r="Q22" s="196" t="s">
        <v>38</v>
      </c>
      <c r="R22" s="197">
        <v>1</v>
      </c>
      <c r="S22" s="198" t="s">
        <v>33</v>
      </c>
      <c r="T22" s="199"/>
      <c r="U22" s="200"/>
      <c r="V22" s="200"/>
      <c r="W22" s="200"/>
      <c r="X22" s="200"/>
      <c r="Y22" s="200"/>
      <c r="Z22" s="200"/>
      <c r="AA22" s="200"/>
      <c r="AB22" s="200"/>
      <c r="AC22" s="170"/>
      <c r="AD22" s="11" t="str">
        <f t="shared" si="0"/>
        <v>3</v>
      </c>
      <c r="AF22" t="str">
        <f t="shared" si="2"/>
        <v>80.01.ZZ.03</v>
      </c>
      <c r="AH22" t="str">
        <f t="shared" si="1"/>
        <v>00 de 01</v>
      </c>
      <c r="AJ22" s="86"/>
      <c r="AK22" s="85"/>
      <c r="AM22" s="161" t="s">
        <v>106</v>
      </c>
      <c r="AN22" s="52">
        <v>21</v>
      </c>
    </row>
    <row r="23" spans="1:40" ht="36.75" customHeight="1" x14ac:dyDescent="0.25">
      <c r="A23" s="139" t="s">
        <v>116</v>
      </c>
      <c r="B23" s="105" t="s">
        <v>122</v>
      </c>
      <c r="C23" s="63">
        <v>11</v>
      </c>
      <c r="D23" s="197"/>
      <c r="E23" s="197"/>
      <c r="F23" s="190"/>
      <c r="G23" s="197"/>
      <c r="H23" s="197"/>
      <c r="I23" s="207"/>
      <c r="J23" s="197"/>
      <c r="K23" s="197"/>
      <c r="L23" s="197"/>
      <c r="M23" s="192"/>
      <c r="N23" s="214"/>
      <c r="O23" s="214"/>
      <c r="P23" s="212"/>
      <c r="Q23" s="196"/>
      <c r="R23" s="197"/>
      <c r="S23" s="215"/>
      <c r="T23" s="199"/>
      <c r="U23" s="200"/>
      <c r="V23" s="200"/>
      <c r="W23" s="200"/>
      <c r="X23" s="200"/>
      <c r="Y23" s="200"/>
      <c r="Z23" s="200"/>
      <c r="AA23" s="200"/>
      <c r="AB23" s="200"/>
      <c r="AC23" s="170"/>
      <c r="AD23" s="11" t="str">
        <f t="shared" si="0"/>
        <v/>
      </c>
      <c r="AF23" t="str">
        <f t="shared" si="2"/>
        <v>80.01.ZZ.0</v>
      </c>
      <c r="AH23" t="str">
        <f t="shared" si="1"/>
        <v>00 de 0</v>
      </c>
      <c r="AJ23" s="86"/>
      <c r="AK23" s="85"/>
      <c r="AM23" s="161" t="s">
        <v>106</v>
      </c>
      <c r="AN23" s="52">
        <v>21</v>
      </c>
    </row>
    <row r="24" spans="1:40" ht="36.75" customHeight="1" x14ac:dyDescent="0.25">
      <c r="A24" s="139" t="s">
        <v>116</v>
      </c>
      <c r="B24" s="105" t="s">
        <v>122</v>
      </c>
      <c r="C24" s="63">
        <v>12</v>
      </c>
      <c r="D24" s="197"/>
      <c r="E24" s="197"/>
      <c r="F24" s="190"/>
      <c r="G24" s="197"/>
      <c r="H24" s="197"/>
      <c r="I24" s="207"/>
      <c r="J24" s="197"/>
      <c r="K24" s="197"/>
      <c r="L24" s="197"/>
      <c r="M24" s="192"/>
      <c r="N24" s="214"/>
      <c r="O24" s="214"/>
      <c r="P24" s="212"/>
      <c r="Q24" s="196"/>
      <c r="R24" s="197"/>
      <c r="S24" s="215"/>
      <c r="T24" s="199"/>
      <c r="U24" s="200"/>
      <c r="V24" s="200"/>
      <c r="W24" s="200"/>
      <c r="X24" s="200"/>
      <c r="Y24" s="200"/>
      <c r="Z24" s="200"/>
      <c r="AA24" s="200"/>
      <c r="AB24" s="200"/>
      <c r="AC24" s="170"/>
      <c r="AD24" s="11" t="str">
        <f t="shared" si="0"/>
        <v/>
      </c>
      <c r="AF24" t="str">
        <f t="shared" si="2"/>
        <v>80.01.ZZ.0</v>
      </c>
      <c r="AH24" t="str">
        <f t="shared" si="1"/>
        <v>00 de 0</v>
      </c>
      <c r="AJ24" s="86"/>
      <c r="AK24" s="85"/>
      <c r="AM24" s="161" t="s">
        <v>106</v>
      </c>
      <c r="AN24" s="52">
        <v>21</v>
      </c>
    </row>
    <row r="25" spans="1:40" ht="36.75" customHeight="1" x14ac:dyDescent="0.25">
      <c r="A25" s="139" t="s">
        <v>116</v>
      </c>
      <c r="B25" s="105" t="s">
        <v>122</v>
      </c>
      <c r="C25" s="63">
        <v>13</v>
      </c>
      <c r="D25" s="197"/>
      <c r="E25" s="197"/>
      <c r="F25" s="190"/>
      <c r="G25" s="197"/>
      <c r="H25" s="197"/>
      <c r="I25" s="207"/>
      <c r="J25" s="197"/>
      <c r="K25" s="197"/>
      <c r="L25" s="197"/>
      <c r="M25" s="192"/>
      <c r="N25" s="214"/>
      <c r="O25" s="214"/>
      <c r="P25" s="212"/>
      <c r="Q25" s="196"/>
      <c r="R25" s="197"/>
      <c r="S25" s="215"/>
      <c r="T25" s="199"/>
      <c r="U25" s="200"/>
      <c r="V25" s="200"/>
      <c r="W25" s="200"/>
      <c r="X25" s="200"/>
      <c r="Y25" s="200"/>
      <c r="Z25" s="200"/>
      <c r="AA25" s="200"/>
      <c r="AB25" s="200"/>
      <c r="AC25" s="170"/>
      <c r="AD25" s="11" t="str">
        <f t="shared" si="0"/>
        <v/>
      </c>
      <c r="AF25" t="str">
        <f t="shared" si="2"/>
        <v>80.01.ZZ.0</v>
      </c>
      <c r="AH25" t="str">
        <f t="shared" si="1"/>
        <v>00 de 0</v>
      </c>
      <c r="AJ25" s="86"/>
      <c r="AK25" s="85"/>
      <c r="AM25" s="161" t="s">
        <v>106</v>
      </c>
      <c r="AN25" s="52">
        <v>21</v>
      </c>
    </row>
    <row r="26" spans="1:40" ht="36.75" customHeight="1" x14ac:dyDescent="0.25">
      <c r="A26" s="139" t="s">
        <v>116</v>
      </c>
      <c r="B26" s="105" t="s">
        <v>122</v>
      </c>
      <c r="C26" s="63">
        <v>14</v>
      </c>
      <c r="D26" s="197"/>
      <c r="E26" s="197"/>
      <c r="F26" s="190"/>
      <c r="G26" s="197"/>
      <c r="H26" s="197"/>
      <c r="I26" s="207"/>
      <c r="J26" s="197"/>
      <c r="K26" s="197"/>
      <c r="L26" s="197"/>
      <c r="M26" s="192"/>
      <c r="N26" s="214"/>
      <c r="O26" s="214"/>
      <c r="P26" s="212"/>
      <c r="Q26" s="196"/>
      <c r="R26" s="197"/>
      <c r="S26" s="215"/>
      <c r="T26" s="199"/>
      <c r="U26" s="200"/>
      <c r="V26" s="200"/>
      <c r="W26" s="200"/>
      <c r="X26" s="200"/>
      <c r="Y26" s="200"/>
      <c r="Z26" s="200"/>
      <c r="AA26" s="200"/>
      <c r="AB26" s="200"/>
      <c r="AC26" s="170"/>
      <c r="AD26" s="11" t="str">
        <f t="shared" si="0"/>
        <v/>
      </c>
      <c r="AF26" t="str">
        <f t="shared" si="2"/>
        <v>80.01.ZZ.0</v>
      </c>
      <c r="AH26" t="str">
        <f t="shared" si="1"/>
        <v>00 de 0</v>
      </c>
      <c r="AJ26" s="86"/>
      <c r="AK26" s="85"/>
      <c r="AM26" s="161" t="s">
        <v>106</v>
      </c>
      <c r="AN26" s="52">
        <v>21</v>
      </c>
    </row>
    <row r="27" spans="1:40" ht="36.75" customHeight="1" x14ac:dyDescent="0.25">
      <c r="A27" s="139" t="s">
        <v>116</v>
      </c>
      <c r="B27" s="105" t="s">
        <v>122</v>
      </c>
      <c r="C27" s="63">
        <v>15</v>
      </c>
      <c r="D27" s="197"/>
      <c r="E27" s="197"/>
      <c r="F27" s="190"/>
      <c r="G27" s="197"/>
      <c r="H27" s="197"/>
      <c r="I27" s="207"/>
      <c r="J27" s="197"/>
      <c r="K27" s="197"/>
      <c r="L27" s="197"/>
      <c r="M27" s="192"/>
      <c r="N27" s="214"/>
      <c r="O27" s="214"/>
      <c r="P27" s="212"/>
      <c r="Q27" s="196"/>
      <c r="R27" s="197"/>
      <c r="S27" s="215"/>
      <c r="T27" s="199"/>
      <c r="U27" s="200"/>
      <c r="V27" s="200"/>
      <c r="W27" s="200"/>
      <c r="X27" s="200"/>
      <c r="Y27" s="200"/>
      <c r="Z27" s="200"/>
      <c r="AA27" s="200"/>
      <c r="AB27" s="200"/>
      <c r="AC27" s="170"/>
      <c r="AD27" s="11" t="str">
        <f t="shared" si="0"/>
        <v/>
      </c>
      <c r="AF27" t="str">
        <f t="shared" si="2"/>
        <v>80.01.ZZ.0</v>
      </c>
      <c r="AH27" t="str">
        <f t="shared" si="1"/>
        <v>00 de 0</v>
      </c>
      <c r="AJ27" s="86"/>
      <c r="AK27" s="85"/>
      <c r="AM27" s="161" t="s">
        <v>106</v>
      </c>
      <c r="AN27" s="52">
        <v>21</v>
      </c>
    </row>
    <row r="28" spans="1:40" ht="36.75" customHeight="1" thickBot="1" x14ac:dyDescent="0.3">
      <c r="A28" s="139" t="s">
        <v>116</v>
      </c>
      <c r="B28" s="105" t="s">
        <v>122</v>
      </c>
      <c r="C28" s="162">
        <v>16</v>
      </c>
      <c r="D28" s="172"/>
      <c r="E28" s="172"/>
      <c r="F28" s="201"/>
      <c r="G28" s="172"/>
      <c r="H28" s="172"/>
      <c r="I28" s="202"/>
      <c r="J28" s="172"/>
      <c r="K28" s="172"/>
      <c r="L28" s="172"/>
      <c r="M28" s="174"/>
      <c r="N28" s="203"/>
      <c r="O28" s="203"/>
      <c r="P28" s="173"/>
      <c r="Q28" s="174"/>
      <c r="R28" s="172"/>
      <c r="S28" s="216"/>
      <c r="T28" s="204"/>
      <c r="U28" s="176"/>
      <c r="V28" s="176"/>
      <c r="W28" s="176"/>
      <c r="X28" s="176"/>
      <c r="Y28" s="176"/>
      <c r="Z28" s="176"/>
      <c r="AA28" s="176"/>
      <c r="AB28" s="176"/>
      <c r="AC28" s="64"/>
      <c r="AD28" s="11" t="str">
        <f t="shared" si="0"/>
        <v/>
      </c>
      <c r="AF28" t="str">
        <f t="shared" si="2"/>
        <v>80.01.ZZ.0</v>
      </c>
      <c r="AH28" t="str">
        <f t="shared" si="1"/>
        <v>00 de 0</v>
      </c>
      <c r="AJ28" s="86"/>
      <c r="AK28" s="85"/>
    </row>
    <row r="29" spans="1:40" ht="15.75" x14ac:dyDescent="0.25">
      <c r="L29" s="294"/>
      <c r="M29" s="294"/>
      <c r="P29" s="60"/>
      <c r="Q29" s="11"/>
      <c r="R29" s="61">
        <f>SUM($R$13:R28)</f>
        <v>10</v>
      </c>
    </row>
    <row r="30" spans="1:40" ht="16.5" thickBot="1" x14ac:dyDescent="0.3">
      <c r="L30" s="68"/>
      <c r="M30" s="68"/>
      <c r="P30" s="60"/>
      <c r="Q30" s="11"/>
      <c r="R30" s="61"/>
    </row>
    <row r="31" spans="1:40" ht="15.75" thickBot="1" x14ac:dyDescent="0.3">
      <c r="I31" s="50"/>
      <c r="R31" s="107" t="s">
        <v>122</v>
      </c>
      <c r="S31" s="230" t="s">
        <v>86</v>
      </c>
      <c r="T31" s="231" t="s">
        <v>90</v>
      </c>
      <c r="U31" s="122" t="s">
        <v>87</v>
      </c>
      <c r="V31" s="123"/>
      <c r="W31" s="124"/>
      <c r="X31" s="231" t="s">
        <v>88</v>
      </c>
      <c r="Y31" s="231" t="s">
        <v>89</v>
      </c>
      <c r="Z31" s="231" t="s">
        <v>91</v>
      </c>
      <c r="AA31" s="232" t="s">
        <v>92</v>
      </c>
      <c r="AB31" s="131" t="s">
        <v>94</v>
      </c>
    </row>
    <row r="32" spans="1:40" x14ac:dyDescent="0.25">
      <c r="M32" s="163" t="e">
        <f>#REF!</f>
        <v>#REF!</v>
      </c>
      <c r="Q32" s="148" t="e">
        <f>#REF!</f>
        <v>#REF!</v>
      </c>
      <c r="S32" s="233">
        <v>3</v>
      </c>
      <c r="T32" s="234">
        <v>291.70999999999998</v>
      </c>
      <c r="U32" s="235" t="s">
        <v>80</v>
      </c>
      <c r="V32" s="236"/>
      <c r="W32" s="237"/>
      <c r="X32" s="234">
        <f t="shared" ref="X32:X46" si="3">SUMIFS($R$13:$R$28,$AD$13:$AD$28,S32,$B$13:$B$28,$R$31)</f>
        <v>10</v>
      </c>
      <c r="Y32" s="238">
        <f t="shared" ref="Y32:Y46" si="4">SUMIFS($P$13:$P$28,$AD$13:$AD$28,S32,$B$13:$B$28,$R$31)</f>
        <v>0</v>
      </c>
      <c r="Z32" s="239">
        <f>Y32*T32</f>
        <v>0</v>
      </c>
      <c r="AA32" s="240">
        <f>Z32/44</f>
        <v>0</v>
      </c>
      <c r="AB32" s="126">
        <f>X32/5</f>
        <v>2</v>
      </c>
    </row>
    <row r="33" spans="8:28" ht="15.75" x14ac:dyDescent="0.25">
      <c r="M33" s="164" t="e">
        <f>#REF!</f>
        <v>#REF!</v>
      </c>
      <c r="Q33" s="152" t="e">
        <f>#REF!</f>
        <v>#REF!</v>
      </c>
      <c r="S33" s="109">
        <v>4</v>
      </c>
      <c r="T33" s="222">
        <v>300.41000000000003</v>
      </c>
      <c r="U33" s="223" t="s">
        <v>83</v>
      </c>
      <c r="V33" s="224"/>
      <c r="W33" s="225"/>
      <c r="X33" s="222">
        <f t="shared" si="3"/>
        <v>0</v>
      </c>
      <c r="Y33" s="241">
        <f t="shared" si="4"/>
        <v>0</v>
      </c>
      <c r="Z33" s="227">
        <f t="shared" ref="Z33:Z46" si="5">Y33*T33</f>
        <v>0</v>
      </c>
      <c r="AA33" s="181">
        <f t="shared" ref="AA33:AA46" si="6">Z33/44</f>
        <v>0</v>
      </c>
      <c r="AB33" s="126">
        <f t="shared" ref="AB33:AB46" si="7">X33/5</f>
        <v>0</v>
      </c>
    </row>
    <row r="34" spans="8:28" x14ac:dyDescent="0.25">
      <c r="S34" s="111">
        <v>5</v>
      </c>
      <c r="T34" s="222">
        <v>386.76</v>
      </c>
      <c r="U34" s="223" t="s">
        <v>84</v>
      </c>
      <c r="V34" s="224"/>
      <c r="W34" s="225"/>
      <c r="X34" s="222">
        <f t="shared" si="3"/>
        <v>0</v>
      </c>
      <c r="Y34" s="241">
        <f t="shared" si="4"/>
        <v>0</v>
      </c>
      <c r="Z34" s="227">
        <f t="shared" si="5"/>
        <v>0</v>
      </c>
      <c r="AA34" s="181">
        <f t="shared" si="6"/>
        <v>0</v>
      </c>
      <c r="AB34" s="126">
        <f t="shared" si="7"/>
        <v>0</v>
      </c>
    </row>
    <row r="35" spans="8:28" x14ac:dyDescent="0.25">
      <c r="M35" s="163" t="e">
        <f>#REF!</f>
        <v>#REF!</v>
      </c>
      <c r="Q35" s="148" t="e">
        <f>#REF!</f>
        <v>#REF!</v>
      </c>
      <c r="S35" s="111">
        <v>6</v>
      </c>
      <c r="T35" s="222">
        <v>218.76</v>
      </c>
      <c r="U35" s="223" t="s">
        <v>85</v>
      </c>
      <c r="V35" s="224"/>
      <c r="W35" s="225"/>
      <c r="X35" s="222">
        <f t="shared" si="3"/>
        <v>0</v>
      </c>
      <c r="Y35" s="241">
        <f t="shared" si="4"/>
        <v>0</v>
      </c>
      <c r="Z35" s="227">
        <f t="shared" si="5"/>
        <v>0</v>
      </c>
      <c r="AA35" s="181">
        <f t="shared" si="6"/>
        <v>0</v>
      </c>
      <c r="AB35" s="126">
        <f t="shared" si="7"/>
        <v>0</v>
      </c>
    </row>
    <row r="36" spans="8:28" ht="15.75" x14ac:dyDescent="0.25">
      <c r="H36" s="53"/>
      <c r="M36" s="217" t="e">
        <f>#REF!</f>
        <v>#REF!</v>
      </c>
      <c r="Q36" s="218" t="e">
        <f>#REF!</f>
        <v>#REF!</v>
      </c>
      <c r="S36" s="111">
        <v>7</v>
      </c>
      <c r="T36" s="222">
        <v>222.66</v>
      </c>
      <c r="U36" s="228" t="s">
        <v>124</v>
      </c>
      <c r="V36" s="224"/>
      <c r="W36" s="225"/>
      <c r="X36" s="222">
        <f t="shared" si="3"/>
        <v>0</v>
      </c>
      <c r="Y36" s="241">
        <f t="shared" si="4"/>
        <v>0</v>
      </c>
      <c r="Z36" s="227">
        <f t="shared" si="5"/>
        <v>0</v>
      </c>
      <c r="AA36" s="181">
        <f t="shared" si="6"/>
        <v>0</v>
      </c>
      <c r="AB36" s="126">
        <f t="shared" si="7"/>
        <v>0</v>
      </c>
    </row>
    <row r="37" spans="8:28" x14ac:dyDescent="0.25">
      <c r="H37" s="53"/>
      <c r="S37" s="109">
        <v>8</v>
      </c>
      <c r="T37" s="222">
        <v>242.33</v>
      </c>
      <c r="U37" s="228" t="s">
        <v>125</v>
      </c>
      <c r="V37" s="224"/>
      <c r="W37" s="225"/>
      <c r="X37" s="222">
        <f t="shared" si="3"/>
        <v>0</v>
      </c>
      <c r="Y37" s="241">
        <f t="shared" si="4"/>
        <v>0</v>
      </c>
      <c r="Z37" s="227">
        <f t="shared" si="5"/>
        <v>0</v>
      </c>
      <c r="AA37" s="181">
        <f t="shared" si="6"/>
        <v>0</v>
      </c>
      <c r="AB37" s="126">
        <f t="shared" si="7"/>
        <v>0</v>
      </c>
    </row>
    <row r="38" spans="8:28" x14ac:dyDescent="0.25">
      <c r="S38" s="109">
        <v>9</v>
      </c>
      <c r="T38" s="222">
        <v>191.9</v>
      </c>
      <c r="U38" s="228" t="s">
        <v>97</v>
      </c>
      <c r="V38" s="224"/>
      <c r="W38" s="225"/>
      <c r="X38" s="222">
        <f t="shared" si="3"/>
        <v>0</v>
      </c>
      <c r="Y38" s="241">
        <f t="shared" si="4"/>
        <v>0</v>
      </c>
      <c r="Z38" s="227">
        <f t="shared" si="5"/>
        <v>0</v>
      </c>
      <c r="AA38" s="181">
        <f t="shared" si="6"/>
        <v>0</v>
      </c>
      <c r="AB38" s="126">
        <f t="shared" si="7"/>
        <v>0</v>
      </c>
    </row>
    <row r="39" spans="8:28" x14ac:dyDescent="0.25">
      <c r="S39" s="109">
        <v>10</v>
      </c>
      <c r="T39" s="222">
        <v>272.74</v>
      </c>
      <c r="U39" s="228" t="s">
        <v>126</v>
      </c>
      <c r="V39" s="224"/>
      <c r="W39" s="225"/>
      <c r="X39" s="222">
        <f t="shared" si="3"/>
        <v>0</v>
      </c>
      <c r="Y39" s="241">
        <f t="shared" si="4"/>
        <v>0</v>
      </c>
      <c r="Z39" s="227">
        <f t="shared" si="5"/>
        <v>0</v>
      </c>
      <c r="AA39" s="181">
        <f t="shared" si="6"/>
        <v>0</v>
      </c>
      <c r="AB39" s="126">
        <f t="shared" si="7"/>
        <v>0</v>
      </c>
    </row>
    <row r="40" spans="8:28" x14ac:dyDescent="0.25">
      <c r="S40" s="109">
        <v>12</v>
      </c>
      <c r="T40" s="222">
        <v>207.2</v>
      </c>
      <c r="U40" s="228" t="s">
        <v>127</v>
      </c>
      <c r="V40" s="224"/>
      <c r="W40" s="225"/>
      <c r="X40" s="222">
        <f t="shared" si="3"/>
        <v>0</v>
      </c>
      <c r="Y40" s="241">
        <f t="shared" si="4"/>
        <v>0</v>
      </c>
      <c r="Z40" s="227">
        <f t="shared" si="5"/>
        <v>0</v>
      </c>
      <c r="AA40" s="181">
        <f t="shared" si="6"/>
        <v>0</v>
      </c>
      <c r="AB40" s="126">
        <f t="shared" si="7"/>
        <v>0</v>
      </c>
    </row>
    <row r="41" spans="8:28" x14ac:dyDescent="0.25">
      <c r="S41" s="109">
        <v>13</v>
      </c>
      <c r="T41" s="222">
        <v>253.81</v>
      </c>
      <c r="U41" s="228" t="s">
        <v>131</v>
      </c>
      <c r="V41" s="224"/>
      <c r="W41" s="225"/>
      <c r="X41" s="222">
        <f t="shared" si="3"/>
        <v>0</v>
      </c>
      <c r="Y41" s="241">
        <f t="shared" si="4"/>
        <v>0</v>
      </c>
      <c r="Z41" s="227">
        <f t="shared" si="5"/>
        <v>0</v>
      </c>
      <c r="AA41" s="181">
        <f t="shared" si="6"/>
        <v>0</v>
      </c>
      <c r="AB41" s="126">
        <f t="shared" si="7"/>
        <v>0</v>
      </c>
    </row>
    <row r="42" spans="8:28" x14ac:dyDescent="0.25">
      <c r="S42" s="109">
        <v>14</v>
      </c>
      <c r="T42" s="222">
        <v>211.48</v>
      </c>
      <c r="U42" s="228" t="s">
        <v>132</v>
      </c>
      <c r="V42" s="224"/>
      <c r="W42" s="225"/>
      <c r="X42" s="222">
        <f t="shared" si="3"/>
        <v>0</v>
      </c>
      <c r="Y42" s="241">
        <f t="shared" si="4"/>
        <v>0</v>
      </c>
      <c r="Z42" s="227">
        <f t="shared" si="5"/>
        <v>0</v>
      </c>
      <c r="AA42" s="181">
        <f t="shared" si="6"/>
        <v>0</v>
      </c>
      <c r="AB42" s="126">
        <f t="shared" si="7"/>
        <v>0</v>
      </c>
    </row>
    <row r="43" spans="8:28" x14ac:dyDescent="0.25">
      <c r="S43" s="109">
        <v>15</v>
      </c>
      <c r="T43" s="222">
        <v>184.1</v>
      </c>
      <c r="U43" s="228" t="s">
        <v>128</v>
      </c>
      <c r="V43" s="224"/>
      <c r="W43" s="225"/>
      <c r="X43" s="222">
        <f t="shared" si="3"/>
        <v>0</v>
      </c>
      <c r="Y43" s="241">
        <f t="shared" si="4"/>
        <v>0</v>
      </c>
      <c r="Z43" s="242">
        <f t="shared" si="5"/>
        <v>0</v>
      </c>
      <c r="AA43" s="243">
        <f t="shared" si="6"/>
        <v>0</v>
      </c>
      <c r="AB43" s="126">
        <f t="shared" si="7"/>
        <v>0</v>
      </c>
    </row>
    <row r="44" spans="8:28" x14ac:dyDescent="0.25">
      <c r="S44" s="109">
        <v>28</v>
      </c>
      <c r="T44" s="222">
        <v>297.54000000000002</v>
      </c>
      <c r="U44" s="228" t="s">
        <v>100</v>
      </c>
      <c r="V44" s="224"/>
      <c r="W44" s="225"/>
      <c r="X44" s="222">
        <f t="shared" si="3"/>
        <v>0</v>
      </c>
      <c r="Y44" s="241">
        <f t="shared" si="4"/>
        <v>0</v>
      </c>
      <c r="Z44" s="242">
        <f t="shared" si="5"/>
        <v>0</v>
      </c>
      <c r="AA44" s="243">
        <f t="shared" si="6"/>
        <v>0</v>
      </c>
      <c r="AB44" s="126">
        <f t="shared" si="7"/>
        <v>0</v>
      </c>
    </row>
    <row r="45" spans="8:28" x14ac:dyDescent="0.25">
      <c r="S45" s="109">
        <v>29</v>
      </c>
      <c r="T45" s="222">
        <v>323.57</v>
      </c>
      <c r="U45" s="228" t="s">
        <v>129</v>
      </c>
      <c r="V45" s="224"/>
      <c r="W45" s="225"/>
      <c r="X45" s="222">
        <f t="shared" si="3"/>
        <v>0</v>
      </c>
      <c r="Y45" s="241">
        <f t="shared" si="4"/>
        <v>0</v>
      </c>
      <c r="Z45" s="242">
        <f t="shared" si="5"/>
        <v>0</v>
      </c>
      <c r="AA45" s="243">
        <f t="shared" si="6"/>
        <v>0</v>
      </c>
      <c r="AB45" s="126">
        <f t="shared" si="7"/>
        <v>0</v>
      </c>
    </row>
    <row r="46" spans="8:28" ht="15.75" thickBot="1" x14ac:dyDescent="0.3">
      <c r="S46" s="112">
        <v>30</v>
      </c>
      <c r="T46" s="185">
        <v>294.95</v>
      </c>
      <c r="U46" s="186" t="s">
        <v>130</v>
      </c>
      <c r="V46" s="114"/>
      <c r="W46" s="116"/>
      <c r="X46" s="185">
        <f t="shared" si="3"/>
        <v>0</v>
      </c>
      <c r="Y46" s="187">
        <f t="shared" si="4"/>
        <v>0</v>
      </c>
      <c r="Z46" s="188">
        <f t="shared" si="5"/>
        <v>0</v>
      </c>
      <c r="AA46" s="119">
        <f t="shared" si="6"/>
        <v>0</v>
      </c>
      <c r="AB46" s="126">
        <f t="shared" si="7"/>
        <v>0</v>
      </c>
    </row>
    <row r="47" spans="8:28" x14ac:dyDescent="0.25">
      <c r="X47" s="106">
        <f>SUM(X32:X46)</f>
        <v>10</v>
      </c>
      <c r="Y47" s="136">
        <f>SUM(Y32:Y46)</f>
        <v>0</v>
      </c>
      <c r="Z47" s="108">
        <f>SUM(Z32:Z46)</f>
        <v>0</v>
      </c>
      <c r="AA47" s="106">
        <f>SUM(AA32:AA46)</f>
        <v>0</v>
      </c>
    </row>
    <row r="48" spans="8:28" hidden="1" x14ac:dyDescent="0.25"/>
    <row r="49" spans="17:28" hidden="1" x14ac:dyDescent="0.25">
      <c r="R49" s="107"/>
      <c r="S49" s="120" t="s">
        <v>86</v>
      </c>
      <c r="T49" s="121" t="s">
        <v>90</v>
      </c>
      <c r="U49" s="122" t="s">
        <v>87</v>
      </c>
      <c r="V49" s="123"/>
      <c r="W49" s="124"/>
      <c r="X49" s="121" t="s">
        <v>88</v>
      </c>
      <c r="Y49" s="121" t="s">
        <v>89</v>
      </c>
      <c r="Z49" s="121" t="s">
        <v>91</v>
      </c>
      <c r="AA49" s="125" t="s">
        <v>92</v>
      </c>
      <c r="AB49" s="131" t="s">
        <v>94</v>
      </c>
    </row>
    <row r="50" spans="17:28" hidden="1" x14ac:dyDescent="0.25">
      <c r="Q50" s="148" t="e">
        <f>#REF!</f>
        <v>#REF!</v>
      </c>
      <c r="S50" s="109">
        <v>3</v>
      </c>
      <c r="T50" s="128">
        <v>206</v>
      </c>
      <c r="U50" s="132" t="s">
        <v>80</v>
      </c>
      <c r="V50" s="133"/>
      <c r="W50" s="134"/>
      <c r="X50" s="128">
        <f>SUMIFS($R$13:$R$28,$AD$13:$AD$28,S50,$B$13:$B$28,$R$49)</f>
        <v>0</v>
      </c>
      <c r="Y50" s="129">
        <f>SUMIFS($P$13:P$28,$AD$13:AD$28,S50,$B$13:B$28,$R$49)</f>
        <v>0</v>
      </c>
      <c r="Z50" s="130">
        <f>Y50*T50</f>
        <v>0</v>
      </c>
      <c r="AA50" s="110">
        <f>Z50/44</f>
        <v>0</v>
      </c>
      <c r="AB50" s="126">
        <f>X50/5</f>
        <v>0</v>
      </c>
    </row>
    <row r="51" spans="17:28" ht="15.75" hidden="1" x14ac:dyDescent="0.25">
      <c r="Q51" s="152" t="e">
        <f>#REF!</f>
        <v>#REF!</v>
      </c>
      <c r="S51" s="109">
        <v>4</v>
      </c>
      <c r="T51" s="128">
        <v>220</v>
      </c>
      <c r="U51" s="132" t="s">
        <v>83</v>
      </c>
      <c r="V51" s="133"/>
      <c r="W51" s="134"/>
      <c r="X51" s="128">
        <f>SUMIFS($R$13:$R$28,$AD$13:$AD$28,S51,$B$13:$B$28,$R$49)</f>
        <v>0</v>
      </c>
      <c r="Y51" s="129">
        <f>SUMIFS($P$13:P$28,$AD$13:AD$28,S51,$B$13:B$28,$R$49)</f>
        <v>0</v>
      </c>
      <c r="Z51" s="130">
        <f t="shared" ref="Z51:Z64" si="8">Y51*T51</f>
        <v>0</v>
      </c>
      <c r="AA51" s="110">
        <f t="shared" ref="AA51:AA64" si="9">Z51/44</f>
        <v>0</v>
      </c>
      <c r="AB51" s="126">
        <f t="shared" ref="AB51:AB65" si="10">X51/5</f>
        <v>0</v>
      </c>
    </row>
    <row r="52" spans="17:28" hidden="1" x14ac:dyDescent="0.25">
      <c r="S52" s="111">
        <v>5</v>
      </c>
      <c r="T52" s="128">
        <v>285</v>
      </c>
      <c r="U52" s="132" t="s">
        <v>84</v>
      </c>
      <c r="V52" s="133"/>
      <c r="W52" s="133"/>
      <c r="X52" s="128">
        <f>SUMIFS($R$13:$R$28,$AD$13:$AD$28,S52,$B$13:$B$28,$R$49)</f>
        <v>0</v>
      </c>
      <c r="Y52" s="129">
        <f>SUMIFS($P$13:P$28,$AD$13:AD$28,S52,$B$13:B$28,$R$49)</f>
        <v>0</v>
      </c>
      <c r="Z52" s="130">
        <f t="shared" si="8"/>
        <v>0</v>
      </c>
      <c r="AA52" s="110">
        <f t="shared" si="9"/>
        <v>0</v>
      </c>
      <c r="AB52" s="126">
        <f t="shared" si="10"/>
        <v>0</v>
      </c>
    </row>
    <row r="53" spans="17:28" hidden="1" x14ac:dyDescent="0.25">
      <c r="Q53" s="148" t="e">
        <f>#REF!</f>
        <v>#REF!</v>
      </c>
      <c r="S53" s="111">
        <v>6</v>
      </c>
      <c r="T53" s="128">
        <v>200</v>
      </c>
      <c r="U53" s="132" t="s">
        <v>85</v>
      </c>
      <c r="V53" s="133"/>
      <c r="W53" s="134"/>
      <c r="X53" s="128">
        <f>SUMIFS($R$13:$R$28,$AD$13:$AD$28,S53,$B$13:$B$28,$R$49)</f>
        <v>0</v>
      </c>
      <c r="Y53" s="129">
        <f>SUMIFS($P$13:P$28,$AD$13:AD$28,S53,$B$13:B$28,$R$49)</f>
        <v>0</v>
      </c>
      <c r="Z53" s="130">
        <f t="shared" si="8"/>
        <v>0</v>
      </c>
      <c r="AA53" s="110">
        <f t="shared" si="9"/>
        <v>0</v>
      </c>
      <c r="AB53" s="126">
        <f t="shared" si="10"/>
        <v>0</v>
      </c>
    </row>
    <row r="54" spans="17:28" ht="15.75" hidden="1" x14ac:dyDescent="0.25">
      <c r="Q54" s="152" t="e">
        <f>#REF!</f>
        <v>#REF!</v>
      </c>
      <c r="S54" s="111">
        <v>7</v>
      </c>
      <c r="T54" s="128">
        <v>199</v>
      </c>
      <c r="U54" s="132" t="s">
        <v>98</v>
      </c>
      <c r="V54" s="133"/>
      <c r="W54" s="134"/>
      <c r="X54" s="128">
        <f>SUMIFS($R$13:$R$28,$AD$13:$AD$28,S54,$B$13:$B$28,$R$49)</f>
        <v>0</v>
      </c>
      <c r="Y54" s="129">
        <f>SUMIFS($P$13:P$28,$AD$13:AD$28,S54,$B$13:B$28,$R$49)</f>
        <v>0</v>
      </c>
      <c r="Z54" s="130">
        <f t="shared" si="8"/>
        <v>0</v>
      </c>
      <c r="AA54" s="110">
        <f t="shared" si="9"/>
        <v>0</v>
      </c>
      <c r="AB54" s="126">
        <f t="shared" si="10"/>
        <v>0</v>
      </c>
    </row>
    <row r="55" spans="17:28" hidden="1" x14ac:dyDescent="0.25">
      <c r="S55" s="109">
        <v>8</v>
      </c>
      <c r="T55" s="128">
        <v>160</v>
      </c>
      <c r="U55" s="132" t="s">
        <v>76</v>
      </c>
      <c r="V55" s="133"/>
      <c r="W55" s="134"/>
      <c r="X55" s="128">
        <f>SUMIFS($R$13:$R$28,$D$13:$D$28,U55,$B$13:$B$28,$R$49)</f>
        <v>0</v>
      </c>
      <c r="Y55" s="129">
        <f>SUMIFS($P$13:P$28,$D$13:D$28,U55,$B$13:B$28,$R$49)</f>
        <v>0</v>
      </c>
      <c r="Z55" s="130">
        <f t="shared" si="8"/>
        <v>0</v>
      </c>
      <c r="AA55" s="110">
        <f t="shared" si="9"/>
        <v>0</v>
      </c>
      <c r="AB55" s="126">
        <f t="shared" si="10"/>
        <v>0</v>
      </c>
    </row>
    <row r="56" spans="17:28" hidden="1" x14ac:dyDescent="0.25">
      <c r="S56" s="109">
        <v>8</v>
      </c>
      <c r="T56" s="128">
        <v>160</v>
      </c>
      <c r="U56" s="132" t="s">
        <v>75</v>
      </c>
      <c r="V56" s="133"/>
      <c r="W56" s="134"/>
      <c r="X56" s="128">
        <f>SUMIFS($R$13:$R$28,$D$13:$D$28,U56,$B$13:$B$28,$R$49)</f>
        <v>0</v>
      </c>
      <c r="Y56" s="129">
        <f>SUMIFS($P$13:P$28,$D$13:D$28,U56,$B$13:B$28,$R$49)</f>
        <v>0</v>
      </c>
      <c r="Z56" s="130">
        <f t="shared" si="8"/>
        <v>0</v>
      </c>
      <c r="AA56" s="110">
        <f t="shared" si="9"/>
        <v>0</v>
      </c>
      <c r="AB56" s="126">
        <f t="shared" si="10"/>
        <v>0</v>
      </c>
    </row>
    <row r="57" spans="17:28" hidden="1" x14ac:dyDescent="0.25">
      <c r="S57" s="109">
        <v>8</v>
      </c>
      <c r="T57" s="128">
        <v>160</v>
      </c>
      <c r="U57" s="132" t="s">
        <v>77</v>
      </c>
      <c r="V57" s="133"/>
      <c r="W57" s="134"/>
      <c r="X57" s="128">
        <f>SUMIFS($R$13:$R$28,$D$13:$D$28,U57,$B$13:$B$28,$R$49)</f>
        <v>0</v>
      </c>
      <c r="Y57" s="129">
        <f>SUMIFS($P$13:P$28,$D$13:D$28,U57,$B$13:B$28,$R$49)</f>
        <v>0</v>
      </c>
      <c r="Z57" s="130">
        <f t="shared" si="8"/>
        <v>0</v>
      </c>
      <c r="AA57" s="110">
        <f t="shared" si="9"/>
        <v>0</v>
      </c>
      <c r="AB57" s="126">
        <f t="shared" si="10"/>
        <v>0</v>
      </c>
    </row>
    <row r="58" spans="17:28" hidden="1" x14ac:dyDescent="0.25">
      <c r="S58" s="109">
        <v>9</v>
      </c>
      <c r="T58" s="128">
        <v>200</v>
      </c>
      <c r="U58" s="132" t="s">
        <v>97</v>
      </c>
      <c r="V58" s="133"/>
      <c r="W58" s="134"/>
      <c r="X58" s="128">
        <f t="shared" ref="X58:X64" si="11">SUMIFS($R$13:$R$28,$AD$13:$AD$28,S58,$B$13:$B$28,$R$49)</f>
        <v>0</v>
      </c>
      <c r="Y58" s="129">
        <f>SUMIFS($P$13:P$28,$AD$13:AD$28,S58,$B$13:B$28,$R$49)</f>
        <v>0</v>
      </c>
      <c r="Z58" s="130">
        <f t="shared" si="8"/>
        <v>0</v>
      </c>
      <c r="AA58" s="110">
        <f t="shared" si="9"/>
        <v>0</v>
      </c>
      <c r="AB58" s="126">
        <f t="shared" si="10"/>
        <v>0</v>
      </c>
    </row>
    <row r="59" spans="17:28" hidden="1" x14ac:dyDescent="0.25">
      <c r="S59" s="109">
        <v>10</v>
      </c>
      <c r="T59" s="128">
        <v>200</v>
      </c>
      <c r="U59" s="132" t="s">
        <v>82</v>
      </c>
      <c r="V59" s="133"/>
      <c r="W59" s="134"/>
      <c r="X59" s="128">
        <f t="shared" si="11"/>
        <v>0</v>
      </c>
      <c r="Y59" s="129">
        <f>SUMIFS($P$13:P$28,$AD$13:AD$28,S59,$B$13:B$28,$R$49)</f>
        <v>0</v>
      </c>
      <c r="Z59" s="130">
        <f t="shared" si="8"/>
        <v>0</v>
      </c>
      <c r="AA59" s="110">
        <f t="shared" si="9"/>
        <v>0</v>
      </c>
      <c r="AB59" s="126">
        <f t="shared" si="10"/>
        <v>0</v>
      </c>
    </row>
    <row r="60" spans="17:28" hidden="1" x14ac:dyDescent="0.25">
      <c r="S60" s="109">
        <v>12</v>
      </c>
      <c r="T60" s="128">
        <v>149</v>
      </c>
      <c r="U60" s="132" t="s">
        <v>78</v>
      </c>
      <c r="V60" s="133"/>
      <c r="W60" s="134"/>
      <c r="X60" s="128">
        <f t="shared" si="11"/>
        <v>0</v>
      </c>
      <c r="Y60" s="129">
        <f>SUMIFS($P$13:P$28,$AD$13:AD$28,S60,$B$13:B$28,$R$49)</f>
        <v>0</v>
      </c>
      <c r="Z60" s="130">
        <f t="shared" si="8"/>
        <v>0</v>
      </c>
      <c r="AA60" s="110">
        <f t="shared" si="9"/>
        <v>0</v>
      </c>
      <c r="AB60" s="126">
        <f t="shared" si="10"/>
        <v>0</v>
      </c>
    </row>
    <row r="61" spans="17:28" hidden="1" x14ac:dyDescent="0.25">
      <c r="S61" s="137">
        <v>14</v>
      </c>
      <c r="T61" s="142">
        <v>172.9</v>
      </c>
      <c r="U61" s="143" t="s">
        <v>81</v>
      </c>
      <c r="V61" s="144"/>
      <c r="W61" s="145"/>
      <c r="X61" s="142">
        <f t="shared" si="11"/>
        <v>0</v>
      </c>
      <c r="Y61" s="151">
        <f>SUMIFS($P$13:P$28,$AD$13:AD$28,S61,$B$13:B$28,$R$49)</f>
        <v>0</v>
      </c>
      <c r="Z61" s="147">
        <f t="shared" si="8"/>
        <v>0</v>
      </c>
      <c r="AA61" s="138">
        <f t="shared" si="9"/>
        <v>0</v>
      </c>
      <c r="AB61" s="126">
        <f t="shared" si="10"/>
        <v>0</v>
      </c>
    </row>
    <row r="62" spans="17:28" hidden="1" x14ac:dyDescent="0.25">
      <c r="S62" s="137">
        <v>28</v>
      </c>
      <c r="T62" s="155">
        <v>200</v>
      </c>
      <c r="U62" s="156" t="s">
        <v>101</v>
      </c>
      <c r="V62" s="157"/>
      <c r="W62" s="158"/>
      <c r="X62" s="155">
        <f t="shared" si="11"/>
        <v>0</v>
      </c>
      <c r="Y62" s="159">
        <f>SUMIFS($P$13:P$28,$AD$13:AD$28,S62,$B$13:B$28,$R$49)</f>
        <v>0</v>
      </c>
      <c r="Z62" s="160">
        <f t="shared" si="8"/>
        <v>0</v>
      </c>
      <c r="AA62" s="138">
        <f t="shared" si="9"/>
        <v>0</v>
      </c>
      <c r="AB62" s="126">
        <f t="shared" si="10"/>
        <v>0</v>
      </c>
    </row>
    <row r="63" spans="17:28" hidden="1" x14ac:dyDescent="0.25">
      <c r="S63" s="137">
        <v>15</v>
      </c>
      <c r="T63" s="155">
        <v>55</v>
      </c>
      <c r="U63" s="156" t="s">
        <v>101</v>
      </c>
      <c r="V63" s="157"/>
      <c r="W63" s="158"/>
      <c r="X63" s="155">
        <f t="shared" si="11"/>
        <v>0</v>
      </c>
      <c r="Y63" s="159">
        <f>SUMIFS($P$13:P$28,$AD$13:AD$28,S63,$B$13:B$28,$R$49)</f>
        <v>0</v>
      </c>
      <c r="Z63" s="160">
        <f t="shared" si="8"/>
        <v>0</v>
      </c>
      <c r="AA63" s="138">
        <f t="shared" si="9"/>
        <v>0</v>
      </c>
      <c r="AB63" s="126">
        <f t="shared" si="10"/>
        <v>0</v>
      </c>
    </row>
    <row r="64" spans="17:28" ht="15.75" hidden="1" thickBot="1" x14ac:dyDescent="0.3">
      <c r="S64" s="112">
        <v>30</v>
      </c>
      <c r="T64" s="113">
        <v>189</v>
      </c>
      <c r="U64" s="114" t="s">
        <v>95</v>
      </c>
      <c r="V64" s="115"/>
      <c r="W64" s="116"/>
      <c r="X64" s="113">
        <f t="shared" si="11"/>
        <v>0</v>
      </c>
      <c r="Y64" s="127">
        <f>SUMIFS($P$13:P$28,$AD$13:AD$28,S64,$B$13:B$28,$R$49)</f>
        <v>0</v>
      </c>
      <c r="Z64" s="118">
        <f t="shared" si="8"/>
        <v>0</v>
      </c>
      <c r="AA64" s="119">
        <f t="shared" si="9"/>
        <v>0</v>
      </c>
      <c r="AB64" s="126">
        <f t="shared" si="10"/>
        <v>0</v>
      </c>
    </row>
    <row r="65" spans="24:28" hidden="1" x14ac:dyDescent="0.25">
      <c r="X65" s="106">
        <f>SUM(X50:X64)</f>
        <v>0</v>
      </c>
      <c r="Y65" s="136">
        <f>SUM(Y50:Y64)</f>
        <v>0</v>
      </c>
      <c r="Z65" s="108">
        <f>SUM(Z50:Z64)</f>
        <v>0</v>
      </c>
      <c r="AA65" s="106">
        <f>SUM(AA50:AA64)</f>
        <v>0</v>
      </c>
      <c r="AB65" s="126">
        <f t="shared" si="10"/>
        <v>0</v>
      </c>
    </row>
  </sheetData>
  <autoFilter ref="A12:AN29" xr:uid="{00000000-0001-0000-0200-000000000000}"/>
  <mergeCells count="31">
    <mergeCell ref="C2:X3"/>
    <mergeCell ref="AA2:AC2"/>
    <mergeCell ref="AA3:AC3"/>
    <mergeCell ref="E5:F5"/>
    <mergeCell ref="G5:X8"/>
    <mergeCell ref="Y5:AB5"/>
    <mergeCell ref="E6:E7"/>
    <mergeCell ref="F6:F7"/>
    <mergeCell ref="Y8:AB8"/>
    <mergeCell ref="C10:AC10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T11:U11"/>
    <mergeCell ref="V11:W11"/>
    <mergeCell ref="X11:Y11"/>
    <mergeCell ref="Z11:AA11"/>
    <mergeCell ref="AB11:AC11"/>
    <mergeCell ref="P11:P12"/>
    <mergeCell ref="Q11:S11"/>
    <mergeCell ref="L29:M29"/>
    <mergeCell ref="L11:L12"/>
    <mergeCell ref="M11:M12"/>
    <mergeCell ref="N11:N12"/>
    <mergeCell ref="O11:O12"/>
  </mergeCells>
  <pageMargins left="0.23622047244094491" right="0.23622047244094491" top="0.35433070866141736" bottom="0.35433070866141736" header="0.31496062992125984" footer="0.31496062992125984"/>
  <pageSetup paperSize="8" scale="52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A853-2E66-477E-BB85-004B3599DA70}">
  <sheetPr>
    <tabColor rgb="FFFF0000"/>
    <pageSetUpPr fitToPage="1"/>
  </sheetPr>
  <dimension ref="A1:AK49"/>
  <sheetViews>
    <sheetView showGridLines="0" view="pageBreakPreview" zoomScale="70" zoomScaleNormal="60" zoomScaleSheetLayoutView="70" workbookViewId="0">
      <pane ySplit="12" topLeftCell="A13" activePane="bottomLeft" state="frozen"/>
      <selection activeCell="N11" sqref="N11:P12"/>
      <selection pane="bottomLeft" activeCell="N11" sqref="N11:P12"/>
    </sheetView>
  </sheetViews>
  <sheetFormatPr defaultRowHeight="15" x14ac:dyDescent="0.25"/>
  <cols>
    <col min="1" max="1" width="10.5703125" style="139" bestFit="1" customWidth="1"/>
    <col min="2" max="2" width="5.5703125" style="104" customWidth="1"/>
    <col min="3" max="3" width="6" bestFit="1" customWidth="1"/>
    <col min="4" max="4" width="70.5703125" customWidth="1"/>
    <col min="5" max="5" width="21.7109375" bestFit="1" customWidth="1"/>
    <col min="6" max="6" width="13.85546875" customWidth="1"/>
    <col min="7" max="7" width="19" bestFit="1" customWidth="1"/>
    <col min="8" max="8" width="18" customWidth="1"/>
    <col min="9" max="9" width="29.5703125" customWidth="1"/>
    <col min="10" max="10" width="7.28515625" style="52" customWidth="1"/>
    <col min="11" max="11" width="20.5703125" style="52" customWidth="1"/>
    <col min="12" max="12" width="16.28515625" customWidth="1"/>
    <col min="13" max="13" width="14.42578125" customWidth="1"/>
    <col min="14" max="14" width="10.42578125" customWidth="1"/>
    <col min="15" max="15" width="9.140625" bestFit="1" customWidth="1"/>
    <col min="16" max="16" width="10.28515625" customWidth="1"/>
    <col min="17" max="17" width="12.28515625" customWidth="1"/>
    <col min="18" max="18" width="7.42578125" customWidth="1"/>
    <col min="19" max="19" width="7.85546875" customWidth="1"/>
    <col min="20" max="25" width="8.85546875" customWidth="1"/>
    <col min="26" max="26" width="9.42578125" customWidth="1"/>
    <col min="27" max="27" width="10.42578125" customWidth="1"/>
    <col min="28" max="29" width="8.85546875" customWidth="1"/>
    <col min="30" max="30" width="5.42578125" customWidth="1"/>
    <col min="31" max="31" width="9.140625" style="52"/>
    <col min="32" max="32" width="24.28515625" bestFit="1" customWidth="1"/>
    <col min="37" max="37" width="9.140625" style="141"/>
  </cols>
  <sheetData>
    <row r="1" spans="1:37" ht="7.5" customHeight="1" thickBot="1" x14ac:dyDescent="0.3"/>
    <row r="2" spans="1:37" ht="26.25" customHeight="1" thickBot="1" x14ac:dyDescent="0.3">
      <c r="C2" s="262" t="s">
        <v>20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1"/>
      <c r="Y2" s="2" t="s">
        <v>12</v>
      </c>
      <c r="Z2" s="169"/>
      <c r="AA2" s="268" t="s">
        <v>120</v>
      </c>
      <c r="AB2" s="268"/>
      <c r="AC2" s="269"/>
    </row>
    <row r="3" spans="1:37" ht="26.25" customHeight="1" thickBot="1" x14ac:dyDescent="0.3">
      <c r="C3" s="302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7" t="s">
        <v>13</v>
      </c>
      <c r="Z3" s="169"/>
      <c r="AA3" s="268">
        <v>2552</v>
      </c>
      <c r="AB3" s="268"/>
      <c r="AC3" s="269"/>
    </row>
    <row r="4" spans="1:37" ht="6" customHeight="1" thickBot="1" x14ac:dyDescent="0.3">
      <c r="C4" s="14"/>
      <c r="D4" s="15"/>
      <c r="E4" s="15"/>
      <c r="F4" s="15"/>
      <c r="G4" s="15"/>
      <c r="H4" s="15"/>
      <c r="I4" s="15"/>
      <c r="J4" s="62"/>
      <c r="K4" s="62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37" ht="18" customHeight="1" thickBot="1" x14ac:dyDescent="0.3">
      <c r="C5" s="17" t="s">
        <v>114</v>
      </c>
      <c r="D5" s="18"/>
      <c r="E5" s="270" t="s">
        <v>31</v>
      </c>
      <c r="F5" s="271"/>
      <c r="G5" s="272" t="s">
        <v>22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37" ht="18" customHeight="1" thickBot="1" x14ac:dyDescent="0.3">
      <c r="C6" s="17" t="s">
        <v>39</v>
      </c>
      <c r="D6" s="30"/>
      <c r="E6" s="275" t="s">
        <v>122</v>
      </c>
      <c r="F6" s="277">
        <f>SUMIFS($P$13:P28,$B$13:B28,E6)</f>
        <v>0.39957375000000001</v>
      </c>
      <c r="G6" s="272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AA6" s="19"/>
      <c r="AB6" s="19"/>
      <c r="AC6" s="4"/>
    </row>
    <row r="7" spans="1:37" ht="18" customHeight="1" thickBot="1" x14ac:dyDescent="0.3">
      <c r="C7" s="20" t="s">
        <v>73</v>
      </c>
      <c r="D7" s="22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AA7" s="13"/>
      <c r="AB7" s="13"/>
      <c r="AC7" s="4"/>
    </row>
    <row r="8" spans="1:37" ht="18" customHeight="1" thickBot="1" x14ac:dyDescent="0.3">
      <c r="C8" s="17" t="s">
        <v>121</v>
      </c>
      <c r="D8" s="30"/>
      <c r="E8" s="70" t="s">
        <v>19</v>
      </c>
      <c r="F8" s="168">
        <f>SUM(F5:F6)</f>
        <v>0.39957375000000001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37" ht="18" customHeight="1" thickBot="1" x14ac:dyDescent="0.3">
      <c r="C9" s="17"/>
      <c r="D9" s="30"/>
      <c r="E9" s="101"/>
      <c r="F9" s="100"/>
      <c r="G9" s="53"/>
      <c r="Y9" s="311"/>
      <c r="Z9" s="311"/>
      <c r="AA9" s="311"/>
      <c r="AB9" s="311"/>
      <c r="AC9" s="4"/>
    </row>
    <row r="10" spans="1:37" ht="23.25" customHeight="1" thickBot="1" x14ac:dyDescent="0.3">
      <c r="C10" s="312"/>
      <c r="D10" s="313"/>
      <c r="E10" s="72"/>
      <c r="F10" s="65"/>
      <c r="G10" s="65"/>
      <c r="H10" s="65"/>
      <c r="I10" s="65" t="s">
        <v>21</v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6"/>
    </row>
    <row r="11" spans="1:37" ht="15" customHeight="1" x14ac:dyDescent="0.25">
      <c r="C11" s="314" t="s">
        <v>5</v>
      </c>
      <c r="D11" s="315" t="s">
        <v>6</v>
      </c>
      <c r="E11" s="315" t="s">
        <v>44</v>
      </c>
      <c r="F11" s="315" t="s">
        <v>25</v>
      </c>
      <c r="G11" s="306" t="s">
        <v>15</v>
      </c>
      <c r="H11" s="306" t="s">
        <v>24</v>
      </c>
      <c r="I11" s="315" t="s">
        <v>7</v>
      </c>
      <c r="J11" s="315" t="s">
        <v>8</v>
      </c>
      <c r="K11" s="289" t="s">
        <v>169</v>
      </c>
      <c r="L11" s="315" t="s">
        <v>28</v>
      </c>
      <c r="M11" s="306" t="s">
        <v>35</v>
      </c>
      <c r="N11" s="306" t="s">
        <v>166</v>
      </c>
      <c r="O11" s="306" t="s">
        <v>167</v>
      </c>
      <c r="P11" s="308" t="s">
        <v>18</v>
      </c>
      <c r="Q11" s="310" t="s">
        <v>19</v>
      </c>
      <c r="R11" s="310"/>
      <c r="S11" s="310"/>
      <c r="T11" s="305" t="s">
        <v>4</v>
      </c>
      <c r="U11" s="305"/>
      <c r="V11" s="305" t="s">
        <v>0</v>
      </c>
      <c r="W11" s="305"/>
      <c r="X11" s="305" t="s">
        <v>1</v>
      </c>
      <c r="Y11" s="305"/>
      <c r="Z11" s="305" t="s">
        <v>2</v>
      </c>
      <c r="AA11" s="305"/>
      <c r="AB11" s="305" t="s">
        <v>3</v>
      </c>
      <c r="AC11" s="316"/>
    </row>
    <row r="12" spans="1:37" x14ac:dyDescent="0.25">
      <c r="C12" s="298"/>
      <c r="D12" s="297"/>
      <c r="E12" s="297"/>
      <c r="F12" s="297"/>
      <c r="G12" s="307"/>
      <c r="H12" s="307"/>
      <c r="I12" s="297"/>
      <c r="J12" s="297"/>
      <c r="K12" s="285"/>
      <c r="L12" s="297"/>
      <c r="M12" s="307"/>
      <c r="N12" s="307"/>
      <c r="O12" s="307"/>
      <c r="P12" s="309"/>
      <c r="Q12" s="205" t="s">
        <v>29</v>
      </c>
      <c r="R12" s="205"/>
      <c r="S12" s="205" t="s">
        <v>9</v>
      </c>
      <c r="T12" s="205" t="s">
        <v>10</v>
      </c>
      <c r="U12" s="205" t="s">
        <v>11</v>
      </c>
      <c r="V12" s="205" t="s">
        <v>10</v>
      </c>
      <c r="W12" s="205" t="s">
        <v>11</v>
      </c>
      <c r="X12" s="205" t="s">
        <v>10</v>
      </c>
      <c r="Y12" s="205" t="s">
        <v>11</v>
      </c>
      <c r="Z12" s="205" t="s">
        <v>10</v>
      </c>
      <c r="AA12" s="205" t="s">
        <v>11</v>
      </c>
      <c r="AB12" s="205" t="s">
        <v>10</v>
      </c>
      <c r="AC12" s="206" t="s">
        <v>11</v>
      </c>
    </row>
    <row r="13" spans="1:37" ht="36.75" customHeight="1" x14ac:dyDescent="0.25">
      <c r="A13" s="139" t="s">
        <v>116</v>
      </c>
      <c r="B13" s="105" t="s">
        <v>122</v>
      </c>
      <c r="C13" s="63">
        <v>1</v>
      </c>
      <c r="D13" s="197" t="s">
        <v>133</v>
      </c>
      <c r="E13" s="197" t="s">
        <v>139</v>
      </c>
      <c r="F13" s="190" t="s">
        <v>123</v>
      </c>
      <c r="G13" s="197" t="s">
        <v>134</v>
      </c>
      <c r="H13" s="207">
        <v>39792</v>
      </c>
      <c r="I13" s="197" t="s">
        <v>136</v>
      </c>
      <c r="J13" s="197" t="s">
        <v>137</v>
      </c>
      <c r="K13" s="197" t="s">
        <v>174</v>
      </c>
      <c r="L13" s="207">
        <v>10</v>
      </c>
      <c r="M13" s="192">
        <v>46022</v>
      </c>
      <c r="N13" s="214">
        <v>0.5</v>
      </c>
      <c r="O13" s="214">
        <v>0.5</v>
      </c>
      <c r="P13" s="212">
        <v>1.97775E-2</v>
      </c>
      <c r="Q13" s="196" t="s">
        <v>38</v>
      </c>
      <c r="R13" s="197">
        <v>1</v>
      </c>
      <c r="S13" s="198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170"/>
      <c r="AD13" s="11" t="str">
        <f t="shared" ref="AD13:AD21" si="0">RIGHT(L13,2)</f>
        <v>10</v>
      </c>
      <c r="AE13"/>
      <c r="AF13" t="str">
        <f t="shared" ref="AF13:AF21" si="1">CONCATENATE("80.01.ZZ.",L13)</f>
        <v>80.01.ZZ.10</v>
      </c>
      <c r="AH13" t="str">
        <f t="shared" ref="AH13:AH21" si="2">CONCATENATE("00 de 0",R13)</f>
        <v>00 de 01</v>
      </c>
      <c r="AK13"/>
    </row>
    <row r="14" spans="1:37" ht="36.75" customHeight="1" x14ac:dyDescent="0.25">
      <c r="A14" s="139" t="s">
        <v>116</v>
      </c>
      <c r="B14" s="105" t="s">
        <v>122</v>
      </c>
      <c r="C14" s="63">
        <v>2</v>
      </c>
      <c r="D14" s="197" t="s">
        <v>133</v>
      </c>
      <c r="E14" s="197" t="s">
        <v>140</v>
      </c>
      <c r="F14" s="190" t="s">
        <v>123</v>
      </c>
      <c r="G14" s="197" t="s">
        <v>134</v>
      </c>
      <c r="H14" s="207">
        <v>39792</v>
      </c>
      <c r="I14" s="207" t="s">
        <v>136</v>
      </c>
      <c r="J14" s="197" t="s">
        <v>137</v>
      </c>
      <c r="K14" s="197" t="s">
        <v>175</v>
      </c>
      <c r="L14" s="207">
        <v>10</v>
      </c>
      <c r="M14" s="192">
        <v>46022</v>
      </c>
      <c r="N14" s="214">
        <v>0.5</v>
      </c>
      <c r="O14" s="214">
        <v>0.5</v>
      </c>
      <c r="P14" s="212">
        <v>2.7684E-2</v>
      </c>
      <c r="Q14" s="196" t="s">
        <v>38</v>
      </c>
      <c r="R14" s="197">
        <v>1</v>
      </c>
      <c r="S14" s="198" t="s">
        <v>33</v>
      </c>
      <c r="T14" s="200"/>
      <c r="U14" s="200"/>
      <c r="V14" s="200"/>
      <c r="W14" s="200"/>
      <c r="X14" s="200"/>
      <c r="Y14" s="200"/>
      <c r="Z14" s="200"/>
      <c r="AA14" s="200"/>
      <c r="AB14" s="200"/>
      <c r="AC14" s="170"/>
      <c r="AD14" s="11" t="str">
        <f t="shared" si="0"/>
        <v>10</v>
      </c>
      <c r="AF14" t="str">
        <f t="shared" si="1"/>
        <v>80.01.ZZ.10</v>
      </c>
      <c r="AH14" t="str">
        <f t="shared" si="2"/>
        <v>00 de 01</v>
      </c>
      <c r="AJ14" s="86"/>
      <c r="AK14" s="85"/>
    </row>
    <row r="15" spans="1:37" ht="36.75" customHeight="1" x14ac:dyDescent="0.25">
      <c r="A15" s="139" t="s">
        <v>116</v>
      </c>
      <c r="B15" s="105" t="s">
        <v>122</v>
      </c>
      <c r="C15" s="63">
        <v>3</v>
      </c>
      <c r="D15" s="197" t="s">
        <v>133</v>
      </c>
      <c r="E15" s="197" t="s">
        <v>141</v>
      </c>
      <c r="F15" s="190" t="s">
        <v>123</v>
      </c>
      <c r="G15" s="197" t="s">
        <v>134</v>
      </c>
      <c r="H15" s="207">
        <v>39792</v>
      </c>
      <c r="I15" s="207" t="s">
        <v>136</v>
      </c>
      <c r="J15" s="197" t="s">
        <v>137</v>
      </c>
      <c r="K15" s="197" t="s">
        <v>176</v>
      </c>
      <c r="L15" s="207">
        <v>10</v>
      </c>
      <c r="M15" s="192">
        <v>46022</v>
      </c>
      <c r="N15" s="214">
        <v>0.5</v>
      </c>
      <c r="O15" s="214">
        <v>0.5</v>
      </c>
      <c r="P15" s="212">
        <v>1.97775E-2</v>
      </c>
      <c r="Q15" s="196" t="s">
        <v>38</v>
      </c>
      <c r="R15" s="197">
        <v>1</v>
      </c>
      <c r="S15" s="198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170"/>
      <c r="AD15" s="11" t="str">
        <f t="shared" si="0"/>
        <v>10</v>
      </c>
      <c r="AF15" t="str">
        <f t="shared" si="1"/>
        <v>80.01.ZZ.10</v>
      </c>
      <c r="AH15" t="str">
        <f t="shared" si="2"/>
        <v>00 de 01</v>
      </c>
      <c r="AJ15" s="86"/>
      <c r="AK15" s="85"/>
    </row>
    <row r="16" spans="1:37" ht="36.75" customHeight="1" x14ac:dyDescent="0.25">
      <c r="A16" s="139" t="s">
        <v>116</v>
      </c>
      <c r="B16" s="105" t="s">
        <v>122</v>
      </c>
      <c r="C16" s="63">
        <v>4</v>
      </c>
      <c r="D16" s="197" t="s">
        <v>133</v>
      </c>
      <c r="E16" s="197" t="s">
        <v>142</v>
      </c>
      <c r="F16" s="190" t="s">
        <v>123</v>
      </c>
      <c r="G16" s="197" t="s">
        <v>134</v>
      </c>
      <c r="H16" s="207">
        <v>39792</v>
      </c>
      <c r="I16" s="207" t="s">
        <v>136</v>
      </c>
      <c r="J16" s="197" t="s">
        <v>137</v>
      </c>
      <c r="K16" s="197" t="s">
        <v>177</v>
      </c>
      <c r="L16" s="207">
        <v>10</v>
      </c>
      <c r="M16" s="192">
        <v>46022</v>
      </c>
      <c r="N16" s="214">
        <v>0.5</v>
      </c>
      <c r="O16" s="214">
        <v>0.5</v>
      </c>
      <c r="P16" s="212">
        <v>2.7684E-2</v>
      </c>
      <c r="Q16" s="196" t="s">
        <v>38</v>
      </c>
      <c r="R16" s="197">
        <v>1</v>
      </c>
      <c r="S16" s="198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170"/>
      <c r="AD16" s="11" t="str">
        <f t="shared" si="0"/>
        <v>10</v>
      </c>
      <c r="AE16"/>
      <c r="AF16" t="str">
        <f t="shared" si="1"/>
        <v>80.01.ZZ.10</v>
      </c>
      <c r="AH16" t="str">
        <f t="shared" si="2"/>
        <v>00 de 01</v>
      </c>
      <c r="AK16"/>
    </row>
    <row r="17" spans="1:37" ht="36.75" customHeight="1" x14ac:dyDescent="0.25">
      <c r="A17" s="139" t="s">
        <v>116</v>
      </c>
      <c r="B17" s="105" t="s">
        <v>122</v>
      </c>
      <c r="C17" s="63">
        <v>5</v>
      </c>
      <c r="D17" s="197" t="s">
        <v>133</v>
      </c>
      <c r="E17" s="197" t="s">
        <v>162</v>
      </c>
      <c r="F17" s="190" t="s">
        <v>123</v>
      </c>
      <c r="G17" s="197" t="s">
        <v>135</v>
      </c>
      <c r="H17" s="207">
        <v>39792</v>
      </c>
      <c r="I17" s="207" t="s">
        <v>144</v>
      </c>
      <c r="J17" s="197" t="s">
        <v>137</v>
      </c>
      <c r="K17" s="197" t="s">
        <v>178</v>
      </c>
      <c r="L17" s="207">
        <v>10</v>
      </c>
      <c r="M17" s="192">
        <v>46022</v>
      </c>
      <c r="N17" s="214">
        <v>0.5</v>
      </c>
      <c r="O17" s="214">
        <v>0.5</v>
      </c>
      <c r="P17" s="212">
        <v>4.3244999999999999E-2</v>
      </c>
      <c r="Q17" s="196" t="s">
        <v>38</v>
      </c>
      <c r="R17" s="197">
        <v>1</v>
      </c>
      <c r="S17" s="198" t="s">
        <v>33</v>
      </c>
      <c r="T17" s="199"/>
      <c r="U17" s="200"/>
      <c r="V17" s="200"/>
      <c r="W17" s="200"/>
      <c r="X17" s="200"/>
      <c r="Y17" s="200"/>
      <c r="Z17" s="200"/>
      <c r="AA17" s="200"/>
      <c r="AB17" s="200"/>
      <c r="AC17" s="170"/>
      <c r="AD17" s="11" t="str">
        <f t="shared" si="0"/>
        <v>10</v>
      </c>
      <c r="AE17"/>
      <c r="AF17" t="str">
        <f t="shared" si="1"/>
        <v>80.01.ZZ.10</v>
      </c>
      <c r="AH17" t="str">
        <f t="shared" si="2"/>
        <v>00 de 01</v>
      </c>
      <c r="AK17"/>
    </row>
    <row r="18" spans="1:37" ht="36.75" customHeight="1" x14ac:dyDescent="0.25">
      <c r="A18" s="139" t="s">
        <v>116</v>
      </c>
      <c r="B18" s="105" t="s">
        <v>122</v>
      </c>
      <c r="C18" s="63">
        <v>6</v>
      </c>
      <c r="D18" s="197" t="s">
        <v>133</v>
      </c>
      <c r="E18" s="197" t="s">
        <v>163</v>
      </c>
      <c r="F18" s="190" t="s">
        <v>123</v>
      </c>
      <c r="G18" s="197" t="s">
        <v>135</v>
      </c>
      <c r="H18" s="207">
        <v>39792</v>
      </c>
      <c r="I18" s="207" t="s">
        <v>144</v>
      </c>
      <c r="J18" s="197" t="s">
        <v>137</v>
      </c>
      <c r="K18" s="197" t="s">
        <v>179</v>
      </c>
      <c r="L18" s="207">
        <v>10</v>
      </c>
      <c r="M18" s="192">
        <v>46022</v>
      </c>
      <c r="N18" s="214">
        <v>0.5</v>
      </c>
      <c r="O18" s="214">
        <v>0.5</v>
      </c>
      <c r="P18" s="212">
        <v>7.1254499999999985E-2</v>
      </c>
      <c r="Q18" s="196" t="s">
        <v>38</v>
      </c>
      <c r="R18" s="197">
        <v>1</v>
      </c>
      <c r="S18" s="198" t="s">
        <v>33</v>
      </c>
      <c r="T18" s="199"/>
      <c r="U18" s="200"/>
      <c r="V18" s="200"/>
      <c r="W18" s="200"/>
      <c r="X18" s="200"/>
      <c r="Y18" s="200"/>
      <c r="Z18" s="200"/>
      <c r="AA18" s="200"/>
      <c r="AB18" s="200"/>
      <c r="AC18" s="170"/>
      <c r="AD18" s="11" t="str">
        <f t="shared" si="0"/>
        <v>10</v>
      </c>
      <c r="AE18"/>
      <c r="AF18" t="str">
        <f t="shared" si="1"/>
        <v>80.01.ZZ.10</v>
      </c>
      <c r="AH18" t="str">
        <f t="shared" si="2"/>
        <v>00 de 01</v>
      </c>
      <c r="AK18"/>
    </row>
    <row r="19" spans="1:37" ht="36.75" customHeight="1" x14ac:dyDescent="0.25">
      <c r="A19" s="139" t="s">
        <v>116</v>
      </c>
      <c r="B19" s="105" t="s">
        <v>122</v>
      </c>
      <c r="C19" s="63">
        <v>7</v>
      </c>
      <c r="D19" s="197" t="s">
        <v>133</v>
      </c>
      <c r="E19" s="197" t="s">
        <v>164</v>
      </c>
      <c r="F19" s="190" t="s">
        <v>123</v>
      </c>
      <c r="G19" s="197" t="s">
        <v>135</v>
      </c>
      <c r="H19" s="207">
        <v>39792</v>
      </c>
      <c r="I19" s="197" t="s">
        <v>144</v>
      </c>
      <c r="J19" s="197" t="s">
        <v>137</v>
      </c>
      <c r="K19" s="197" t="s">
        <v>180</v>
      </c>
      <c r="L19" s="207">
        <v>10</v>
      </c>
      <c r="M19" s="192">
        <v>46022</v>
      </c>
      <c r="N19" s="214">
        <v>0.5</v>
      </c>
      <c r="O19" s="214">
        <v>0.5</v>
      </c>
      <c r="P19" s="212">
        <v>6.0305999999999998E-2</v>
      </c>
      <c r="Q19" s="196" t="s">
        <v>38</v>
      </c>
      <c r="R19" s="197">
        <v>1</v>
      </c>
      <c r="S19" s="198" t="s">
        <v>33</v>
      </c>
      <c r="T19" s="199"/>
      <c r="U19" s="200"/>
      <c r="V19" s="200"/>
      <c r="W19" s="200"/>
      <c r="X19" s="200"/>
      <c r="Y19" s="200"/>
      <c r="Z19" s="200"/>
      <c r="AA19" s="200"/>
      <c r="AB19" s="200"/>
      <c r="AC19" s="170"/>
      <c r="AD19" s="11" t="str">
        <f t="shared" si="0"/>
        <v>10</v>
      </c>
      <c r="AE19"/>
      <c r="AF19" t="str">
        <f t="shared" si="1"/>
        <v>80.01.ZZ.10</v>
      </c>
      <c r="AH19" t="str">
        <f t="shared" si="2"/>
        <v>00 de 01</v>
      </c>
      <c r="AK19"/>
    </row>
    <row r="20" spans="1:37" ht="36.75" customHeight="1" x14ac:dyDescent="0.25">
      <c r="A20" s="139" t="s">
        <v>116</v>
      </c>
      <c r="B20" s="105" t="s">
        <v>122</v>
      </c>
      <c r="C20" s="63">
        <v>8</v>
      </c>
      <c r="D20" s="197" t="s">
        <v>133</v>
      </c>
      <c r="E20" s="197" t="s">
        <v>165</v>
      </c>
      <c r="F20" s="190" t="s">
        <v>123</v>
      </c>
      <c r="G20" s="197" t="s">
        <v>135</v>
      </c>
      <c r="H20" s="207">
        <v>39792</v>
      </c>
      <c r="I20" s="207" t="s">
        <v>144</v>
      </c>
      <c r="J20" s="197" t="s">
        <v>137</v>
      </c>
      <c r="K20" s="197" t="s">
        <v>181</v>
      </c>
      <c r="L20" s="207">
        <v>10</v>
      </c>
      <c r="M20" s="192">
        <v>46022</v>
      </c>
      <c r="N20" s="214">
        <v>0.5</v>
      </c>
      <c r="O20" s="214">
        <v>0.5</v>
      </c>
      <c r="P20" s="212">
        <v>4.3244999999999999E-2</v>
      </c>
      <c r="Q20" s="196" t="s">
        <v>38</v>
      </c>
      <c r="R20" s="197">
        <v>1</v>
      </c>
      <c r="S20" s="198" t="s">
        <v>33</v>
      </c>
      <c r="T20" s="199"/>
      <c r="U20" s="200"/>
      <c r="V20" s="200"/>
      <c r="W20" s="200"/>
      <c r="X20" s="200"/>
      <c r="Y20" s="200"/>
      <c r="Z20" s="200"/>
      <c r="AA20" s="200"/>
      <c r="AB20" s="200"/>
      <c r="AC20" s="170"/>
      <c r="AD20" s="11" t="str">
        <f t="shared" si="0"/>
        <v>10</v>
      </c>
      <c r="AE20"/>
      <c r="AF20" t="str">
        <f t="shared" si="1"/>
        <v>80.01.ZZ.10</v>
      </c>
      <c r="AH20" t="str">
        <f t="shared" si="2"/>
        <v>00 de 01</v>
      </c>
      <c r="AK20"/>
    </row>
    <row r="21" spans="1:37" ht="36.75" customHeight="1" x14ac:dyDescent="0.25">
      <c r="A21" s="139" t="s">
        <v>116</v>
      </c>
      <c r="B21" s="105" t="s">
        <v>122</v>
      </c>
      <c r="C21" s="63">
        <v>9</v>
      </c>
      <c r="D21" s="197" t="s">
        <v>133</v>
      </c>
      <c r="E21" s="197" t="s">
        <v>172</v>
      </c>
      <c r="F21" s="190" t="s">
        <v>123</v>
      </c>
      <c r="G21" s="197" t="s">
        <v>183</v>
      </c>
      <c r="H21" s="207">
        <v>39792</v>
      </c>
      <c r="I21" s="197" t="s">
        <v>168</v>
      </c>
      <c r="J21" s="197">
        <v>0</v>
      </c>
      <c r="K21" s="197" t="s">
        <v>182</v>
      </c>
      <c r="L21" s="207">
        <v>10</v>
      </c>
      <c r="M21" s="192">
        <v>46022</v>
      </c>
      <c r="N21" s="214">
        <v>1</v>
      </c>
      <c r="O21" s="214">
        <v>0.55000000000000004</v>
      </c>
      <c r="P21" s="212">
        <v>8.6600250000000004E-2</v>
      </c>
      <c r="Q21" s="196" t="s">
        <v>38</v>
      </c>
      <c r="R21" s="197">
        <v>1</v>
      </c>
      <c r="S21" s="198" t="s">
        <v>33</v>
      </c>
      <c r="T21" s="199"/>
      <c r="U21" s="200"/>
      <c r="V21" s="200"/>
      <c r="W21" s="200"/>
      <c r="X21" s="200"/>
      <c r="Y21" s="200"/>
      <c r="Z21" s="200"/>
      <c r="AA21" s="200"/>
      <c r="AB21" s="200"/>
      <c r="AC21" s="170"/>
      <c r="AD21" s="11" t="str">
        <f t="shared" si="0"/>
        <v>10</v>
      </c>
      <c r="AE21"/>
      <c r="AF21" t="str">
        <f t="shared" si="1"/>
        <v>80.01.ZZ.10</v>
      </c>
      <c r="AH21" t="str">
        <f t="shared" si="2"/>
        <v>00 de 01</v>
      </c>
      <c r="AK21"/>
    </row>
    <row r="22" spans="1:37" ht="36.75" customHeight="1" x14ac:dyDescent="0.25">
      <c r="B22" s="105" t="s">
        <v>122</v>
      </c>
      <c r="C22" s="63">
        <v>10</v>
      </c>
      <c r="D22" s="197"/>
      <c r="E22" s="197"/>
      <c r="F22" s="190" t="s">
        <v>123</v>
      </c>
      <c r="G22" s="197"/>
      <c r="H22" s="207"/>
      <c r="I22" s="207"/>
      <c r="J22" s="197"/>
      <c r="K22" s="197"/>
      <c r="L22" s="207"/>
      <c r="M22" s="192"/>
      <c r="N22" s="214"/>
      <c r="O22" s="214"/>
      <c r="P22" s="212"/>
      <c r="Q22" s="196"/>
      <c r="R22" s="197">
        <v>1</v>
      </c>
      <c r="S22" s="198" t="s">
        <v>33</v>
      </c>
      <c r="T22" s="199"/>
      <c r="U22" s="200"/>
      <c r="V22" s="200"/>
      <c r="W22" s="200"/>
      <c r="X22" s="200"/>
      <c r="Y22" s="200"/>
      <c r="Z22" s="200"/>
      <c r="AA22" s="200"/>
      <c r="AB22" s="200"/>
      <c r="AC22" s="170"/>
      <c r="AD22" s="11" t="str">
        <f t="shared" ref="AD22:AD28" si="3">RIGHT(L22,2)</f>
        <v/>
      </c>
      <c r="AE22"/>
      <c r="AF22" t="str">
        <f t="shared" ref="AF22:AF28" si="4">CONCATENATE("80.01.ZZ.",L22)</f>
        <v>80.01.ZZ.</v>
      </c>
      <c r="AH22" t="str">
        <f t="shared" ref="AH22:AH28" si="5">CONCATENATE("00 de 0",R22)</f>
        <v>00 de 01</v>
      </c>
      <c r="AK22"/>
    </row>
    <row r="23" spans="1:37" ht="36.75" customHeight="1" x14ac:dyDescent="0.25">
      <c r="B23" s="105" t="s">
        <v>122</v>
      </c>
      <c r="C23" s="63">
        <v>11</v>
      </c>
      <c r="D23" s="197"/>
      <c r="E23" s="197"/>
      <c r="F23" s="190" t="s">
        <v>123</v>
      </c>
      <c r="G23" s="197"/>
      <c r="H23" s="207"/>
      <c r="I23" s="207"/>
      <c r="J23" s="197"/>
      <c r="K23" s="197"/>
      <c r="L23" s="207"/>
      <c r="M23" s="192"/>
      <c r="N23" s="214"/>
      <c r="O23" s="214"/>
      <c r="P23" s="212"/>
      <c r="Q23" s="196"/>
      <c r="R23" s="197"/>
      <c r="S23" s="198" t="s">
        <v>33</v>
      </c>
      <c r="T23" s="199"/>
      <c r="U23" s="200"/>
      <c r="V23" s="200"/>
      <c r="W23" s="200"/>
      <c r="X23" s="200"/>
      <c r="Y23" s="200"/>
      <c r="Z23" s="200"/>
      <c r="AA23" s="200"/>
      <c r="AB23" s="200"/>
      <c r="AC23" s="170"/>
      <c r="AD23" s="11" t="str">
        <f t="shared" si="3"/>
        <v/>
      </c>
      <c r="AE23"/>
      <c r="AF23" t="str">
        <f t="shared" si="4"/>
        <v>80.01.ZZ.</v>
      </c>
      <c r="AH23" t="str">
        <f t="shared" si="5"/>
        <v>00 de 0</v>
      </c>
      <c r="AK23"/>
    </row>
    <row r="24" spans="1:37" ht="36.75" customHeight="1" x14ac:dyDescent="0.25">
      <c r="B24" s="105" t="s">
        <v>122</v>
      </c>
      <c r="C24" s="63">
        <v>12</v>
      </c>
      <c r="D24" s="197"/>
      <c r="E24" s="197"/>
      <c r="F24" s="190" t="s">
        <v>123</v>
      </c>
      <c r="G24" s="197"/>
      <c r="H24" s="207"/>
      <c r="I24" s="207"/>
      <c r="J24" s="197"/>
      <c r="K24" s="197"/>
      <c r="L24" s="207"/>
      <c r="M24" s="192"/>
      <c r="N24" s="214"/>
      <c r="O24" s="214"/>
      <c r="P24" s="212"/>
      <c r="Q24" s="196"/>
      <c r="R24" s="197"/>
      <c r="S24" s="198" t="s">
        <v>33</v>
      </c>
      <c r="T24" s="199"/>
      <c r="U24" s="200"/>
      <c r="V24" s="200"/>
      <c r="W24" s="200"/>
      <c r="X24" s="200"/>
      <c r="Y24" s="200"/>
      <c r="Z24" s="200"/>
      <c r="AA24" s="200"/>
      <c r="AB24" s="200"/>
      <c r="AC24" s="170"/>
      <c r="AD24" s="11" t="str">
        <f t="shared" si="3"/>
        <v/>
      </c>
      <c r="AE24"/>
      <c r="AF24" t="str">
        <f t="shared" si="4"/>
        <v>80.01.ZZ.</v>
      </c>
      <c r="AH24" t="str">
        <f t="shared" si="5"/>
        <v>00 de 0</v>
      </c>
      <c r="AK24"/>
    </row>
    <row r="25" spans="1:37" ht="36.75" customHeight="1" x14ac:dyDescent="0.25">
      <c r="B25" s="105" t="s">
        <v>122</v>
      </c>
      <c r="C25" s="63">
        <v>13</v>
      </c>
      <c r="D25" s="197"/>
      <c r="E25" s="197"/>
      <c r="F25" s="190" t="s">
        <v>123</v>
      </c>
      <c r="G25" s="197"/>
      <c r="H25" s="207"/>
      <c r="I25" s="207"/>
      <c r="J25" s="197"/>
      <c r="K25" s="197"/>
      <c r="L25" s="207"/>
      <c r="M25" s="192"/>
      <c r="N25" s="214"/>
      <c r="O25" s="214"/>
      <c r="P25" s="212"/>
      <c r="Q25" s="196"/>
      <c r="R25" s="197"/>
      <c r="S25" s="198" t="s">
        <v>33</v>
      </c>
      <c r="T25" s="199"/>
      <c r="U25" s="200"/>
      <c r="V25" s="200"/>
      <c r="W25" s="200"/>
      <c r="X25" s="200"/>
      <c r="Y25" s="200"/>
      <c r="Z25" s="200"/>
      <c r="AA25" s="200"/>
      <c r="AB25" s="200"/>
      <c r="AC25" s="170"/>
      <c r="AD25" s="11" t="str">
        <f t="shared" si="3"/>
        <v/>
      </c>
      <c r="AE25"/>
      <c r="AF25" t="str">
        <f t="shared" si="4"/>
        <v>80.01.ZZ.</v>
      </c>
      <c r="AH25" t="str">
        <f t="shared" si="5"/>
        <v>00 de 0</v>
      </c>
      <c r="AK25"/>
    </row>
    <row r="26" spans="1:37" ht="36.75" customHeight="1" x14ac:dyDescent="0.25">
      <c r="B26" s="105" t="s">
        <v>122</v>
      </c>
      <c r="C26" s="63">
        <v>14</v>
      </c>
      <c r="D26" s="197"/>
      <c r="E26" s="197"/>
      <c r="F26" s="190" t="s">
        <v>123</v>
      </c>
      <c r="G26" s="197"/>
      <c r="H26" s="207"/>
      <c r="I26" s="207"/>
      <c r="J26" s="197"/>
      <c r="K26" s="197"/>
      <c r="L26" s="207"/>
      <c r="M26" s="192"/>
      <c r="N26" s="214"/>
      <c r="O26" s="214"/>
      <c r="P26" s="212"/>
      <c r="Q26" s="196"/>
      <c r="R26" s="197"/>
      <c r="S26" s="198" t="s">
        <v>33</v>
      </c>
      <c r="T26" s="199"/>
      <c r="U26" s="200"/>
      <c r="V26" s="200"/>
      <c r="W26" s="200"/>
      <c r="X26" s="200"/>
      <c r="Y26" s="200"/>
      <c r="Z26" s="200"/>
      <c r="AA26" s="200"/>
      <c r="AB26" s="200"/>
      <c r="AC26" s="170"/>
      <c r="AD26" s="11" t="str">
        <f t="shared" si="3"/>
        <v/>
      </c>
      <c r="AE26"/>
      <c r="AF26" t="str">
        <f t="shared" si="4"/>
        <v>80.01.ZZ.</v>
      </c>
      <c r="AH26" t="str">
        <f t="shared" si="5"/>
        <v>00 de 0</v>
      </c>
      <c r="AK26"/>
    </row>
    <row r="27" spans="1:37" ht="36.75" customHeight="1" x14ac:dyDescent="0.25">
      <c r="B27" s="105" t="s">
        <v>122</v>
      </c>
      <c r="C27" s="63">
        <v>15</v>
      </c>
      <c r="D27" s="197"/>
      <c r="E27" s="197"/>
      <c r="F27" s="190" t="s">
        <v>123</v>
      </c>
      <c r="G27" s="197"/>
      <c r="H27" s="207"/>
      <c r="I27" s="207"/>
      <c r="J27" s="197"/>
      <c r="K27" s="197"/>
      <c r="L27" s="207"/>
      <c r="M27" s="192"/>
      <c r="N27" s="214"/>
      <c r="O27" s="214"/>
      <c r="P27" s="212"/>
      <c r="Q27" s="196"/>
      <c r="R27" s="197"/>
      <c r="S27" s="198" t="s">
        <v>33</v>
      </c>
      <c r="T27" s="199"/>
      <c r="U27" s="200"/>
      <c r="V27" s="200"/>
      <c r="W27" s="200"/>
      <c r="X27" s="200"/>
      <c r="Y27" s="200"/>
      <c r="Z27" s="200"/>
      <c r="AA27" s="200"/>
      <c r="AB27" s="200"/>
      <c r="AC27" s="170"/>
      <c r="AD27" s="11" t="str">
        <f t="shared" si="3"/>
        <v/>
      </c>
      <c r="AE27"/>
      <c r="AF27" t="str">
        <f t="shared" si="4"/>
        <v>80.01.ZZ.</v>
      </c>
      <c r="AH27" t="str">
        <f t="shared" si="5"/>
        <v>00 de 0</v>
      </c>
      <c r="AK27"/>
    </row>
    <row r="28" spans="1:37" ht="36.75" customHeight="1" thickBot="1" x14ac:dyDescent="0.3">
      <c r="B28" s="105" t="s">
        <v>122</v>
      </c>
      <c r="C28" s="162">
        <v>16</v>
      </c>
      <c r="D28" s="172"/>
      <c r="E28" s="172"/>
      <c r="F28" s="201" t="s">
        <v>123</v>
      </c>
      <c r="G28" s="172"/>
      <c r="H28" s="202"/>
      <c r="I28" s="202"/>
      <c r="J28" s="172"/>
      <c r="K28" s="172"/>
      <c r="L28" s="202"/>
      <c r="M28" s="171"/>
      <c r="N28" s="203"/>
      <c r="O28" s="203"/>
      <c r="P28" s="173"/>
      <c r="Q28" s="174"/>
      <c r="R28" s="172"/>
      <c r="S28" s="175" t="s">
        <v>33</v>
      </c>
      <c r="T28" s="204"/>
      <c r="U28" s="176"/>
      <c r="V28" s="176"/>
      <c r="W28" s="176"/>
      <c r="X28" s="176"/>
      <c r="Y28" s="176"/>
      <c r="Z28" s="176"/>
      <c r="AA28" s="176"/>
      <c r="AB28" s="176"/>
      <c r="AC28" s="64"/>
      <c r="AD28" s="11" t="str">
        <f t="shared" si="3"/>
        <v/>
      </c>
      <c r="AE28"/>
      <c r="AF28" t="str">
        <f t="shared" si="4"/>
        <v>80.01.ZZ.</v>
      </c>
      <c r="AH28" t="str">
        <f t="shared" si="5"/>
        <v>00 de 0</v>
      </c>
      <c r="AK28"/>
    </row>
    <row r="29" spans="1:37" ht="15.75" x14ac:dyDescent="0.25">
      <c r="L29" s="294" t="s">
        <v>37</v>
      </c>
      <c r="M29" s="294"/>
      <c r="N29" s="68"/>
      <c r="O29" s="68"/>
      <c r="P29" s="58">
        <f>SUM($P$13:P28)</f>
        <v>0.39957375000000001</v>
      </c>
      <c r="Q29" s="59"/>
      <c r="R29" s="67">
        <f>SUM($R$13:R28)</f>
        <v>10</v>
      </c>
    </row>
    <row r="30" spans="1:37" ht="16.5" thickBot="1" x14ac:dyDescent="0.3">
      <c r="L30" s="68"/>
      <c r="M30" s="68"/>
      <c r="N30" s="68"/>
      <c r="O30" s="68"/>
      <c r="P30" s="58"/>
      <c r="Q30" s="59"/>
      <c r="R30" s="67"/>
    </row>
    <row r="31" spans="1:37" x14ac:dyDescent="0.25">
      <c r="R31" s="107" t="s">
        <v>122</v>
      </c>
      <c r="S31" s="120" t="s">
        <v>86</v>
      </c>
      <c r="T31" s="121" t="s">
        <v>90</v>
      </c>
      <c r="U31" s="122" t="s">
        <v>87</v>
      </c>
      <c r="V31" s="123"/>
      <c r="W31" s="124"/>
      <c r="X31" s="121" t="s">
        <v>88</v>
      </c>
      <c r="Y31" s="121" t="s">
        <v>89</v>
      </c>
      <c r="Z31" s="121" t="s">
        <v>91</v>
      </c>
      <c r="AA31" s="125" t="s">
        <v>92</v>
      </c>
      <c r="AB31" s="131" t="s">
        <v>94</v>
      </c>
    </row>
    <row r="32" spans="1:37" x14ac:dyDescent="0.25">
      <c r="M32" s="163" t="s">
        <v>111</v>
      </c>
      <c r="Q32" s="148" t="s">
        <v>170</v>
      </c>
      <c r="S32" s="109">
        <v>3</v>
      </c>
      <c r="T32" s="178">
        <v>291.70999999999998</v>
      </c>
      <c r="U32" s="177" t="s">
        <v>80</v>
      </c>
      <c r="V32" s="183"/>
      <c r="W32" s="184"/>
      <c r="X32" s="178">
        <f t="shared" ref="X32:X46" si="6">SUMIFS($R$13:$R$28,$AD$13:$AD$28,S32,$B$13:$B$28,$R$31)</f>
        <v>0</v>
      </c>
      <c r="Y32" s="179">
        <f t="shared" ref="Y32:Y46" si="7">SUMIFS($P$13:$P$28,$AD$13:$AD$28,S32,$B$13:$B$28,$R$31)</f>
        <v>0</v>
      </c>
      <c r="Z32" s="180">
        <f t="shared" ref="Z32:Z46" si="8">Y32*T32</f>
        <v>0</v>
      </c>
      <c r="AA32" s="181">
        <f>Z32/44</f>
        <v>0</v>
      </c>
      <c r="AB32" s="126">
        <f>X32/5</f>
        <v>0</v>
      </c>
    </row>
    <row r="33" spans="4:28" ht="15.75" x14ac:dyDescent="0.25">
      <c r="M33" s="164">
        <f>Q33</f>
        <v>0</v>
      </c>
      <c r="Q33" s="152">
        <v>0</v>
      </c>
      <c r="S33" s="109">
        <v>4</v>
      </c>
      <c r="T33" s="178">
        <v>300.41000000000003</v>
      </c>
      <c r="U33" s="177" t="s">
        <v>83</v>
      </c>
      <c r="V33" s="183"/>
      <c r="W33" s="184"/>
      <c r="X33" s="178">
        <f t="shared" si="6"/>
        <v>0</v>
      </c>
      <c r="Y33" s="179">
        <f t="shared" si="7"/>
        <v>0</v>
      </c>
      <c r="Z33" s="180">
        <f t="shared" si="8"/>
        <v>0</v>
      </c>
      <c r="AA33" s="181">
        <f t="shared" ref="AA33:AA46" si="9">Z33/44</f>
        <v>0</v>
      </c>
      <c r="AB33" s="126">
        <f t="shared" ref="AB33:AB46" si="10">X33/5</f>
        <v>0</v>
      </c>
    </row>
    <row r="34" spans="4:28" x14ac:dyDescent="0.25">
      <c r="S34" s="111">
        <v>5</v>
      </c>
      <c r="T34" s="178">
        <v>386.76</v>
      </c>
      <c r="U34" s="177" t="s">
        <v>84</v>
      </c>
      <c r="V34" s="183"/>
      <c r="W34" s="184"/>
      <c r="X34" s="178">
        <f t="shared" si="6"/>
        <v>0</v>
      </c>
      <c r="Y34" s="179">
        <f t="shared" si="7"/>
        <v>0</v>
      </c>
      <c r="Z34" s="180">
        <f t="shared" si="8"/>
        <v>0</v>
      </c>
      <c r="AA34" s="181">
        <f t="shared" si="9"/>
        <v>0</v>
      </c>
      <c r="AB34" s="126">
        <f t="shared" si="10"/>
        <v>0</v>
      </c>
    </row>
    <row r="35" spans="4:28" x14ac:dyDescent="0.25">
      <c r="M35" s="163" t="s">
        <v>112</v>
      </c>
      <c r="Q35" s="107" t="s">
        <v>171</v>
      </c>
      <c r="S35" s="111">
        <v>6</v>
      </c>
      <c r="T35" s="178">
        <v>218.76</v>
      </c>
      <c r="U35" s="177" t="s">
        <v>85</v>
      </c>
      <c r="V35" s="183"/>
      <c r="W35" s="184"/>
      <c r="X35" s="178">
        <f t="shared" si="6"/>
        <v>0</v>
      </c>
      <c r="Y35" s="179">
        <f t="shared" si="7"/>
        <v>0</v>
      </c>
      <c r="Z35" s="180">
        <f t="shared" si="8"/>
        <v>0</v>
      </c>
      <c r="AA35" s="181">
        <f t="shared" si="9"/>
        <v>0</v>
      </c>
      <c r="AB35" s="126">
        <f t="shared" si="10"/>
        <v>0</v>
      </c>
    </row>
    <row r="36" spans="4:28" ht="15.75" x14ac:dyDescent="0.25">
      <c r="M36" s="217" t="e">
        <f>Q36</f>
        <v>#REF!</v>
      </c>
      <c r="Q36" s="218" t="e">
        <f>P29+#REF!+' SOLDA-END RESUMIDO'!P175</f>
        <v>#REF!</v>
      </c>
      <c r="S36" s="111">
        <v>7</v>
      </c>
      <c r="T36" s="178">
        <v>222.66</v>
      </c>
      <c r="U36" s="182" t="s">
        <v>124</v>
      </c>
      <c r="V36" s="183"/>
      <c r="W36" s="184"/>
      <c r="X36" s="178">
        <f t="shared" si="6"/>
        <v>0</v>
      </c>
      <c r="Y36" s="179">
        <f t="shared" si="7"/>
        <v>0</v>
      </c>
      <c r="Z36" s="180">
        <f t="shared" si="8"/>
        <v>0</v>
      </c>
      <c r="AA36" s="181">
        <f t="shared" si="9"/>
        <v>0</v>
      </c>
      <c r="AB36" s="126">
        <f t="shared" si="10"/>
        <v>0</v>
      </c>
    </row>
    <row r="37" spans="4:28" x14ac:dyDescent="0.25">
      <c r="S37" s="109">
        <v>8</v>
      </c>
      <c r="T37" s="178">
        <v>242.33</v>
      </c>
      <c r="U37" s="182" t="s">
        <v>125</v>
      </c>
      <c r="V37" s="183"/>
      <c r="W37" s="184"/>
      <c r="X37" s="178">
        <f t="shared" si="6"/>
        <v>0</v>
      </c>
      <c r="Y37" s="179">
        <f t="shared" si="7"/>
        <v>0</v>
      </c>
      <c r="Z37" s="180">
        <f t="shared" si="8"/>
        <v>0</v>
      </c>
      <c r="AA37" s="181">
        <f t="shared" si="9"/>
        <v>0</v>
      </c>
      <c r="AB37" s="126">
        <f t="shared" si="10"/>
        <v>0</v>
      </c>
    </row>
    <row r="38" spans="4:28" x14ac:dyDescent="0.25">
      <c r="S38" s="109">
        <v>9</v>
      </c>
      <c r="T38" s="178">
        <v>191.9</v>
      </c>
      <c r="U38" s="182" t="s">
        <v>97</v>
      </c>
      <c r="V38" s="183"/>
      <c r="W38" s="184"/>
      <c r="X38" s="178">
        <f t="shared" si="6"/>
        <v>0</v>
      </c>
      <c r="Y38" s="179">
        <f t="shared" si="7"/>
        <v>0</v>
      </c>
      <c r="Z38" s="180">
        <f t="shared" si="8"/>
        <v>0</v>
      </c>
      <c r="AA38" s="181">
        <f t="shared" si="9"/>
        <v>0</v>
      </c>
      <c r="AB38" s="126">
        <f t="shared" si="10"/>
        <v>0</v>
      </c>
    </row>
    <row r="39" spans="4:28" x14ac:dyDescent="0.25">
      <c r="S39" s="109">
        <v>10</v>
      </c>
      <c r="T39" s="178">
        <v>272.74</v>
      </c>
      <c r="U39" s="182" t="s">
        <v>126</v>
      </c>
      <c r="V39" s="183"/>
      <c r="W39" s="184"/>
      <c r="X39" s="178">
        <f t="shared" si="6"/>
        <v>9</v>
      </c>
      <c r="Y39" s="179">
        <f t="shared" si="7"/>
        <v>0.39957375000000001</v>
      </c>
      <c r="Z39" s="180">
        <f t="shared" si="8"/>
        <v>108.979744575</v>
      </c>
      <c r="AA39" s="181">
        <f t="shared" si="9"/>
        <v>2.4768123767045456</v>
      </c>
      <c r="AB39" s="126">
        <f t="shared" si="10"/>
        <v>1.8</v>
      </c>
    </row>
    <row r="40" spans="4:28" x14ac:dyDescent="0.25">
      <c r="S40" s="109">
        <v>12</v>
      </c>
      <c r="T40" s="178">
        <v>207.2</v>
      </c>
      <c r="U40" s="182" t="s">
        <v>127</v>
      </c>
      <c r="V40" s="183"/>
      <c r="W40" s="184"/>
      <c r="X40" s="178">
        <f t="shared" si="6"/>
        <v>0</v>
      </c>
      <c r="Y40" s="179">
        <f t="shared" si="7"/>
        <v>0</v>
      </c>
      <c r="Z40" s="180">
        <f t="shared" si="8"/>
        <v>0</v>
      </c>
      <c r="AA40" s="181">
        <f t="shared" si="9"/>
        <v>0</v>
      </c>
      <c r="AB40" s="126">
        <f t="shared" si="10"/>
        <v>0</v>
      </c>
    </row>
    <row r="41" spans="4:28" x14ac:dyDescent="0.25">
      <c r="S41" s="109">
        <v>13</v>
      </c>
      <c r="T41" s="178">
        <v>253.81</v>
      </c>
      <c r="U41" s="182" t="s">
        <v>131</v>
      </c>
      <c r="V41" s="183"/>
      <c r="W41" s="184"/>
      <c r="X41" s="178">
        <f t="shared" si="6"/>
        <v>0</v>
      </c>
      <c r="Y41" s="179">
        <f t="shared" si="7"/>
        <v>0</v>
      </c>
      <c r="Z41" s="180">
        <f t="shared" si="8"/>
        <v>0</v>
      </c>
      <c r="AA41" s="181">
        <f t="shared" si="9"/>
        <v>0</v>
      </c>
      <c r="AB41" s="126">
        <f t="shared" si="10"/>
        <v>0</v>
      </c>
    </row>
    <row r="42" spans="4:28" x14ac:dyDescent="0.25">
      <c r="S42" s="109">
        <v>14</v>
      </c>
      <c r="T42" s="178">
        <v>211.48</v>
      </c>
      <c r="U42" s="182" t="s">
        <v>132</v>
      </c>
      <c r="V42" s="183"/>
      <c r="W42" s="184"/>
      <c r="X42" s="178">
        <f t="shared" si="6"/>
        <v>0</v>
      </c>
      <c r="Y42" s="179">
        <f t="shared" si="7"/>
        <v>0</v>
      </c>
      <c r="Z42" s="180">
        <f t="shared" si="8"/>
        <v>0</v>
      </c>
      <c r="AA42" s="181">
        <f t="shared" si="9"/>
        <v>0</v>
      </c>
      <c r="AB42" s="126">
        <f t="shared" si="10"/>
        <v>0</v>
      </c>
    </row>
    <row r="43" spans="4:28" x14ac:dyDescent="0.25">
      <c r="S43" s="109">
        <v>15</v>
      </c>
      <c r="T43" s="178">
        <v>184.1</v>
      </c>
      <c r="U43" s="182" t="s">
        <v>128</v>
      </c>
      <c r="V43" s="183"/>
      <c r="W43" s="184"/>
      <c r="X43" s="178">
        <f t="shared" si="6"/>
        <v>0</v>
      </c>
      <c r="Y43" s="179">
        <f t="shared" si="7"/>
        <v>0</v>
      </c>
      <c r="Z43" s="180">
        <f t="shared" si="8"/>
        <v>0</v>
      </c>
      <c r="AA43" s="181">
        <f t="shared" si="9"/>
        <v>0</v>
      </c>
      <c r="AB43" s="126">
        <f t="shared" si="10"/>
        <v>0</v>
      </c>
    </row>
    <row r="44" spans="4:28" x14ac:dyDescent="0.25">
      <c r="S44" s="109">
        <v>28</v>
      </c>
      <c r="T44" s="178">
        <v>297.54000000000002</v>
      </c>
      <c r="U44" s="182" t="s">
        <v>100</v>
      </c>
      <c r="V44" s="183"/>
      <c r="W44" s="184"/>
      <c r="X44" s="178">
        <f t="shared" si="6"/>
        <v>0</v>
      </c>
      <c r="Y44" s="179">
        <f t="shared" si="7"/>
        <v>0</v>
      </c>
      <c r="Z44" s="180">
        <f t="shared" si="8"/>
        <v>0</v>
      </c>
      <c r="AA44" s="181">
        <f t="shared" si="9"/>
        <v>0</v>
      </c>
      <c r="AB44" s="126">
        <f t="shared" si="10"/>
        <v>0</v>
      </c>
    </row>
    <row r="45" spans="4:28" x14ac:dyDescent="0.25">
      <c r="S45" s="109">
        <v>29</v>
      </c>
      <c r="T45" s="178">
        <v>323.57</v>
      </c>
      <c r="U45" s="182" t="s">
        <v>129</v>
      </c>
      <c r="V45" s="183"/>
      <c r="W45" s="184"/>
      <c r="X45" s="178">
        <f t="shared" si="6"/>
        <v>0</v>
      </c>
      <c r="Y45" s="179">
        <f t="shared" si="7"/>
        <v>0</v>
      </c>
      <c r="Z45" s="180">
        <f t="shared" si="8"/>
        <v>0</v>
      </c>
      <c r="AA45" s="181">
        <f t="shared" si="9"/>
        <v>0</v>
      </c>
      <c r="AB45" s="126">
        <f t="shared" si="10"/>
        <v>0</v>
      </c>
    </row>
    <row r="46" spans="4:28" ht="15" customHeight="1" thickBot="1" x14ac:dyDescent="0.35">
      <c r="D46" s="56"/>
      <c r="S46" s="112">
        <v>30</v>
      </c>
      <c r="T46" s="185">
        <v>294.95</v>
      </c>
      <c r="U46" s="186" t="s">
        <v>130</v>
      </c>
      <c r="V46" s="114"/>
      <c r="W46" s="116"/>
      <c r="X46" s="185">
        <f t="shared" si="6"/>
        <v>0</v>
      </c>
      <c r="Y46" s="187">
        <f t="shared" si="7"/>
        <v>0</v>
      </c>
      <c r="Z46" s="188">
        <f t="shared" si="8"/>
        <v>0</v>
      </c>
      <c r="AA46" s="119">
        <f t="shared" si="9"/>
        <v>0</v>
      </c>
      <c r="AB46" s="126">
        <f t="shared" si="10"/>
        <v>0</v>
      </c>
    </row>
    <row r="47" spans="4:28" x14ac:dyDescent="0.25">
      <c r="X47" s="106">
        <f>SUM(X32:X46)</f>
        <v>9</v>
      </c>
      <c r="Y47" s="108">
        <f>SUM(Y32:Y46)</f>
        <v>0.39957375000000001</v>
      </c>
      <c r="Z47" s="108">
        <f>SUM(Z32:Z46)</f>
        <v>108.979744575</v>
      </c>
      <c r="AA47" s="106">
        <f>SUM(AA32:AA46)</f>
        <v>2.4768123767045456</v>
      </c>
    </row>
    <row r="49" spans="25:25" x14ac:dyDescent="0.25">
      <c r="Y49" s="53"/>
    </row>
  </sheetData>
  <autoFilter ref="A12:AL29" xr:uid="{00000000-0001-0000-0000-000000000000}"/>
  <mergeCells count="32">
    <mergeCell ref="C2:X3"/>
    <mergeCell ref="AA2:AC2"/>
    <mergeCell ref="AA3:AC3"/>
    <mergeCell ref="E5:F5"/>
    <mergeCell ref="G5:X8"/>
    <mergeCell ref="Y5:AB5"/>
    <mergeCell ref="E6:E7"/>
    <mergeCell ref="F6:F7"/>
    <mergeCell ref="Y8:AB8"/>
    <mergeCell ref="Y9:AB9"/>
    <mergeCell ref="C10:D10"/>
    <mergeCell ref="C11:C12"/>
    <mergeCell ref="D11:D12"/>
    <mergeCell ref="E11:E12"/>
    <mergeCell ref="F11:F12"/>
    <mergeCell ref="G11:G12"/>
    <mergeCell ref="H11:H12"/>
    <mergeCell ref="I11:I12"/>
    <mergeCell ref="J11:J12"/>
    <mergeCell ref="Z11:AA11"/>
    <mergeCell ref="AB11:AC11"/>
    <mergeCell ref="K11:K12"/>
    <mergeCell ref="L11:L12"/>
    <mergeCell ref="M11:M12"/>
    <mergeCell ref="N11:N12"/>
    <mergeCell ref="V11:W11"/>
    <mergeCell ref="X11:Y11"/>
    <mergeCell ref="O11:O12"/>
    <mergeCell ref="P11:P12"/>
    <mergeCell ref="L29:M29"/>
    <mergeCell ref="Q11:S11"/>
    <mergeCell ref="T11:U11"/>
  </mergeCells>
  <pageMargins left="0.23622047244094491" right="0.23622047244094491" top="0.35433070866141736" bottom="0.35433070866141736" header="0.31496062992125984" footer="0.31496062992125984"/>
  <pageSetup paperSize="8" scale="5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6D7A-17AF-4934-9958-0956E1A4193A}">
  <sheetPr>
    <tabColor rgb="FF00B050"/>
    <pageSetUpPr fitToPage="1"/>
  </sheetPr>
  <dimension ref="A1:AN172"/>
  <sheetViews>
    <sheetView showGridLines="0" view="pageBreakPreview" zoomScale="70" zoomScaleNormal="60" zoomScaleSheetLayoutView="70" workbookViewId="0">
      <pane ySplit="12" topLeftCell="A30" activePane="bottomLeft" state="frozen"/>
      <selection activeCell="N11" sqref="N11:P12"/>
      <selection pane="bottomLeft" activeCell="N11" sqref="N11:P12"/>
    </sheetView>
  </sheetViews>
  <sheetFormatPr defaultRowHeight="17.25" x14ac:dyDescent="0.3"/>
  <cols>
    <col min="1" max="1" width="10.5703125" style="139" bestFit="1" customWidth="1"/>
    <col min="2" max="2" width="5.5703125" style="140" customWidth="1"/>
    <col min="3" max="3" width="5.7109375" style="56" bestFit="1" customWidth="1"/>
    <col min="4" max="4" width="72.5703125" style="56" customWidth="1"/>
    <col min="5" max="5" width="21.7109375" style="56" customWidth="1"/>
    <col min="6" max="6" width="12.5703125" style="56" customWidth="1"/>
    <col min="7" max="7" width="21.28515625" style="56" bestFit="1" customWidth="1"/>
    <col min="8" max="8" width="18" style="56" customWidth="1"/>
    <col min="9" max="9" width="26" style="56" bestFit="1" customWidth="1"/>
    <col min="10" max="10" width="7.5703125" style="56" customWidth="1"/>
    <col min="11" max="11" width="20.5703125" style="56" customWidth="1"/>
    <col min="12" max="12" width="14.42578125" style="56" customWidth="1"/>
    <col min="13" max="13" width="15" style="56" customWidth="1"/>
    <col min="14" max="14" width="10.42578125" customWidth="1"/>
    <col min="15" max="16" width="10.28515625" style="57" customWidth="1"/>
    <col min="17" max="17" width="12.42578125" style="56" customWidth="1"/>
    <col min="18" max="19" width="7.42578125" style="56" customWidth="1"/>
    <col min="20" max="29" width="8.7109375" style="56" customWidth="1"/>
    <col min="30" max="30" width="3.42578125" customWidth="1"/>
    <col min="32" max="32" width="20.42578125" customWidth="1"/>
  </cols>
  <sheetData>
    <row r="1" spans="1:34" ht="7.5" customHeight="1" thickBot="1" x14ac:dyDescent="0.3">
      <c r="B1" s="10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55"/>
      <c r="P1" s="5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34" ht="26.25" customHeight="1" thickBot="1" x14ac:dyDescent="0.3">
      <c r="B2" s="104"/>
      <c r="C2" s="262" t="s">
        <v>20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4"/>
      <c r="Y2" s="2" t="s">
        <v>12</v>
      </c>
      <c r="Z2" s="8"/>
      <c r="AA2" s="268" t="e">
        <f>#REF!</f>
        <v>#REF!</v>
      </c>
      <c r="AB2" s="268"/>
      <c r="AC2" s="269"/>
    </row>
    <row r="3" spans="1:34" ht="26.25" customHeight="1" thickBot="1" x14ac:dyDescent="0.3">
      <c r="B3" s="104"/>
      <c r="C3" s="265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7"/>
      <c r="Y3" s="7" t="s">
        <v>13</v>
      </c>
      <c r="Z3" s="6"/>
      <c r="AA3" s="268" t="e">
        <f>#REF!</f>
        <v>#REF!</v>
      </c>
      <c r="AB3" s="268"/>
      <c r="AC3" s="269"/>
    </row>
    <row r="4" spans="1:34" ht="6" customHeight="1" thickBot="1" x14ac:dyDescent="0.3">
      <c r="B4" s="104"/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54"/>
      <c r="P4" s="5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34" ht="18" customHeight="1" thickBot="1" x14ac:dyDescent="0.3">
      <c r="B5" s="104"/>
      <c r="C5" s="17" t="s">
        <v>119</v>
      </c>
      <c r="D5" s="18"/>
      <c r="E5" s="270" t="s">
        <v>31</v>
      </c>
      <c r="F5" s="271"/>
      <c r="G5" s="272" t="s">
        <v>32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34" ht="18" customHeight="1" thickBot="1" x14ac:dyDescent="0.3">
      <c r="B6" s="104"/>
      <c r="C6" s="17" t="s">
        <v>115</v>
      </c>
      <c r="D6" s="18"/>
      <c r="E6" s="275" t="e">
        <f>#REF!</f>
        <v>#REF!</v>
      </c>
      <c r="F6" s="277">
        <f>SUMIFS($P$13:P44,$B$13:B44,E6)</f>
        <v>0</v>
      </c>
      <c r="G6" s="272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Z6"/>
      <c r="AA6" s="19"/>
      <c r="AB6" s="19"/>
      <c r="AC6" s="4"/>
      <c r="AF6" t="s">
        <v>72</v>
      </c>
    </row>
    <row r="7" spans="1:34" ht="18" customHeight="1" thickBot="1" x14ac:dyDescent="0.3">
      <c r="B7" s="104"/>
      <c r="C7" s="20" t="s">
        <v>73</v>
      </c>
      <c r="D7" s="21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Z7"/>
      <c r="AA7" s="13"/>
      <c r="AB7" s="13"/>
      <c r="AC7" s="4"/>
    </row>
    <row r="8" spans="1:34" ht="18" customHeight="1" thickBot="1" x14ac:dyDescent="0.3">
      <c r="B8" s="104"/>
      <c r="C8" s="17" t="e">
        <f>#REF!</f>
        <v>#REF!</v>
      </c>
      <c r="D8" s="30"/>
      <c r="E8" s="99" t="s">
        <v>19</v>
      </c>
      <c r="F8" s="71">
        <f>SUM(F6:F6)</f>
        <v>0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34" ht="18" customHeight="1" thickBot="1" x14ac:dyDescent="0.3">
      <c r="B9" s="104"/>
      <c r="C9" s="20"/>
      <c r="D9" s="22"/>
      <c r="E9" s="102"/>
      <c r="F9" s="103"/>
      <c r="G9" s="53"/>
      <c r="H9"/>
      <c r="I9"/>
      <c r="J9"/>
      <c r="K9"/>
      <c r="L9"/>
      <c r="M9"/>
      <c r="O9" s="53"/>
      <c r="P9" s="53"/>
      <c r="Q9"/>
      <c r="R9"/>
      <c r="S9"/>
      <c r="T9"/>
      <c r="U9"/>
      <c r="V9"/>
      <c r="W9"/>
      <c r="X9"/>
      <c r="Y9"/>
      <c r="Z9"/>
      <c r="AA9"/>
      <c r="AB9"/>
      <c r="AC9" s="4"/>
    </row>
    <row r="10" spans="1:34" ht="23.25" customHeight="1" thickBot="1" x14ac:dyDescent="0.3">
      <c r="B10" s="104"/>
      <c r="C10" s="280" t="s">
        <v>21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2"/>
    </row>
    <row r="11" spans="1:34" ht="15" customHeight="1" x14ac:dyDescent="0.25">
      <c r="B11" s="104"/>
      <c r="C11" s="283" t="s">
        <v>5</v>
      </c>
      <c r="D11" s="285" t="s">
        <v>6</v>
      </c>
      <c r="E11" s="287" t="s">
        <v>44</v>
      </c>
      <c r="F11" s="287" t="s">
        <v>25</v>
      </c>
      <c r="G11" s="288" t="s">
        <v>15</v>
      </c>
      <c r="H11" s="288" t="s">
        <v>24</v>
      </c>
      <c r="I11" s="287" t="s">
        <v>7</v>
      </c>
      <c r="J11" s="285" t="s">
        <v>8</v>
      </c>
      <c r="K11" s="289" t="s">
        <v>169</v>
      </c>
      <c r="L11" s="285" t="s">
        <v>28</v>
      </c>
      <c r="M11" s="285" t="s">
        <v>14</v>
      </c>
      <c r="N11" s="295" t="s">
        <v>166</v>
      </c>
      <c r="O11" s="295" t="s">
        <v>167</v>
      </c>
      <c r="P11" s="292" t="s">
        <v>18</v>
      </c>
      <c r="Q11" s="293" t="s">
        <v>19</v>
      </c>
      <c r="R11" s="293"/>
      <c r="S11" s="293"/>
      <c r="T11" s="290" t="s">
        <v>4</v>
      </c>
      <c r="U11" s="290"/>
      <c r="V11" s="290" t="s">
        <v>0</v>
      </c>
      <c r="W11" s="290"/>
      <c r="X11" s="290" t="s">
        <v>1</v>
      </c>
      <c r="Y11" s="290"/>
      <c r="Z11" s="290" t="s">
        <v>2</v>
      </c>
      <c r="AA11" s="290"/>
      <c r="AB11" s="290" t="s">
        <v>3</v>
      </c>
      <c r="AC11" s="291"/>
    </row>
    <row r="12" spans="1:34" ht="15" x14ac:dyDescent="0.25">
      <c r="B12" s="104"/>
      <c r="C12" s="284"/>
      <c r="D12" s="286"/>
      <c r="E12" s="285"/>
      <c r="F12" s="287"/>
      <c r="G12" s="288"/>
      <c r="H12" s="288"/>
      <c r="I12" s="287"/>
      <c r="J12" s="286"/>
      <c r="K12" s="285"/>
      <c r="L12" s="286"/>
      <c r="M12" s="286"/>
      <c r="N12" s="296"/>
      <c r="O12" s="296"/>
      <c r="P12" s="292"/>
      <c r="Q12" s="210" t="s">
        <v>29</v>
      </c>
      <c r="R12" s="210" t="s">
        <v>30</v>
      </c>
      <c r="S12" s="210" t="s">
        <v>9</v>
      </c>
      <c r="T12" s="210" t="s">
        <v>10</v>
      </c>
      <c r="U12" s="210" t="s">
        <v>11</v>
      </c>
      <c r="V12" s="210" t="s">
        <v>10</v>
      </c>
      <c r="W12" s="210" t="s">
        <v>11</v>
      </c>
      <c r="X12" s="210" t="s">
        <v>10</v>
      </c>
      <c r="Y12" s="210" t="s">
        <v>11</v>
      </c>
      <c r="Z12" s="210" t="s">
        <v>10</v>
      </c>
      <c r="AA12" s="210" t="s">
        <v>11</v>
      </c>
      <c r="AB12" s="210" t="s">
        <v>10</v>
      </c>
      <c r="AC12" s="211" t="s">
        <v>11</v>
      </c>
    </row>
    <row r="13" spans="1:34" ht="34.5" x14ac:dyDescent="0.25">
      <c r="A13" s="139" t="s">
        <v>116</v>
      </c>
      <c r="B13" s="105" t="s">
        <v>122</v>
      </c>
      <c r="C13" s="63">
        <v>1</v>
      </c>
      <c r="D13" s="197" t="s">
        <v>145</v>
      </c>
      <c r="E13" s="197" t="s">
        <v>146</v>
      </c>
      <c r="F13" s="190" t="s">
        <v>123</v>
      </c>
      <c r="G13" s="197" t="s">
        <v>74</v>
      </c>
      <c r="H13" s="207">
        <v>56192</v>
      </c>
      <c r="I13" s="207" t="s">
        <v>143</v>
      </c>
      <c r="J13" s="197">
        <v>0</v>
      </c>
      <c r="K13" s="197" t="s">
        <v>184</v>
      </c>
      <c r="L13" s="207">
        <v>10</v>
      </c>
      <c r="M13" s="192">
        <v>46022</v>
      </c>
      <c r="N13" s="209"/>
      <c r="O13" s="209"/>
      <c r="P13" s="212">
        <v>9.0665999999999993E-3</v>
      </c>
      <c r="Q13" s="196" t="s">
        <v>38</v>
      </c>
      <c r="R13" s="197">
        <v>1</v>
      </c>
      <c r="S13" s="198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208"/>
      <c r="AD13" s="11" t="str">
        <f t="shared" ref="AD13:AD43" si="0">RIGHT(L13,2)</f>
        <v>10</v>
      </c>
      <c r="AF13" t="str">
        <f t="shared" ref="AF13:AF43" si="1">CONCATENATE("80.01.ZZ.0",L13)</f>
        <v>80.01.ZZ.010</v>
      </c>
      <c r="AH13" t="str">
        <f t="shared" ref="AH13:AH43" si="2">CONCATENATE("00 de 0",R13)</f>
        <v>00 de 01</v>
      </c>
    </row>
    <row r="14" spans="1:34" ht="34.5" x14ac:dyDescent="0.25">
      <c r="A14" s="139" t="s">
        <v>116</v>
      </c>
      <c r="B14" s="105" t="s">
        <v>122</v>
      </c>
      <c r="C14" s="63">
        <v>2</v>
      </c>
      <c r="D14" s="197" t="s">
        <v>145</v>
      </c>
      <c r="E14" s="197" t="s">
        <v>147</v>
      </c>
      <c r="F14" s="190" t="s">
        <v>123</v>
      </c>
      <c r="G14" s="197" t="s">
        <v>74</v>
      </c>
      <c r="H14" s="207">
        <v>56192</v>
      </c>
      <c r="I14" s="207" t="s">
        <v>143</v>
      </c>
      <c r="J14" s="197">
        <v>0</v>
      </c>
      <c r="K14" s="197" t="s">
        <v>184</v>
      </c>
      <c r="L14" s="207">
        <v>10</v>
      </c>
      <c r="M14" s="192">
        <v>46022</v>
      </c>
      <c r="N14" s="209"/>
      <c r="O14" s="209"/>
      <c r="P14" s="212">
        <v>4.9445999999999986E-3</v>
      </c>
      <c r="Q14" s="196" t="s">
        <v>38</v>
      </c>
      <c r="R14" s="197">
        <v>1</v>
      </c>
      <c r="S14" s="198" t="s">
        <v>33</v>
      </c>
      <c r="T14" s="199"/>
      <c r="U14" s="200"/>
      <c r="V14" s="200"/>
      <c r="W14" s="200"/>
      <c r="X14" s="200"/>
      <c r="Y14" s="200"/>
      <c r="Z14" s="200"/>
      <c r="AA14" s="200"/>
      <c r="AB14" s="200"/>
      <c r="AC14" s="208"/>
      <c r="AD14" s="11" t="str">
        <f t="shared" si="0"/>
        <v>10</v>
      </c>
      <c r="AF14" t="str">
        <f t="shared" si="1"/>
        <v>80.01.ZZ.010</v>
      </c>
      <c r="AH14" t="str">
        <f t="shared" si="2"/>
        <v>00 de 01</v>
      </c>
    </row>
    <row r="15" spans="1:34" ht="34.5" x14ac:dyDescent="0.25">
      <c r="A15" s="139" t="s">
        <v>116</v>
      </c>
      <c r="B15" s="105" t="s">
        <v>122</v>
      </c>
      <c r="C15" s="63">
        <v>3</v>
      </c>
      <c r="D15" s="197" t="s">
        <v>145</v>
      </c>
      <c r="E15" s="197" t="s">
        <v>148</v>
      </c>
      <c r="F15" s="190" t="s">
        <v>123</v>
      </c>
      <c r="G15" s="197" t="s">
        <v>74</v>
      </c>
      <c r="H15" s="207">
        <v>56192</v>
      </c>
      <c r="I15" s="207" t="s">
        <v>143</v>
      </c>
      <c r="J15" s="197">
        <v>0</v>
      </c>
      <c r="K15" s="197" t="s">
        <v>184</v>
      </c>
      <c r="L15" s="207">
        <v>10</v>
      </c>
      <c r="M15" s="192">
        <v>46022</v>
      </c>
      <c r="N15" s="209"/>
      <c r="O15" s="209"/>
      <c r="P15" s="212">
        <v>9.0665999999999993E-3</v>
      </c>
      <c r="Q15" s="196" t="s">
        <v>38</v>
      </c>
      <c r="R15" s="197">
        <v>1</v>
      </c>
      <c r="S15" s="198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208"/>
      <c r="AD15" s="11" t="str">
        <f t="shared" si="0"/>
        <v>10</v>
      </c>
      <c r="AF15" t="str">
        <f t="shared" si="1"/>
        <v>80.01.ZZ.010</v>
      </c>
      <c r="AH15" t="str">
        <f t="shared" si="2"/>
        <v>00 de 01</v>
      </c>
    </row>
    <row r="16" spans="1:34" ht="34.5" x14ac:dyDescent="0.25">
      <c r="A16" s="139" t="s">
        <v>116</v>
      </c>
      <c r="B16" s="105" t="s">
        <v>122</v>
      </c>
      <c r="C16" s="63">
        <v>4</v>
      </c>
      <c r="D16" s="197" t="s">
        <v>145</v>
      </c>
      <c r="E16" s="197" t="s">
        <v>149</v>
      </c>
      <c r="F16" s="190" t="s">
        <v>123</v>
      </c>
      <c r="G16" s="197" t="s">
        <v>74</v>
      </c>
      <c r="H16" s="207">
        <v>56192</v>
      </c>
      <c r="I16" s="207" t="s">
        <v>143</v>
      </c>
      <c r="J16" s="197">
        <v>0</v>
      </c>
      <c r="K16" s="197" t="s">
        <v>184</v>
      </c>
      <c r="L16" s="207">
        <v>10</v>
      </c>
      <c r="M16" s="192">
        <v>46022</v>
      </c>
      <c r="N16" s="213"/>
      <c r="O16" s="214"/>
      <c r="P16" s="212">
        <v>4.9445999999999986E-3</v>
      </c>
      <c r="Q16" s="196" t="s">
        <v>38</v>
      </c>
      <c r="R16" s="197">
        <v>1</v>
      </c>
      <c r="S16" s="198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208"/>
      <c r="AD16" s="11" t="str">
        <f t="shared" si="0"/>
        <v>10</v>
      </c>
      <c r="AF16" t="str">
        <f t="shared" si="1"/>
        <v>80.01.ZZ.010</v>
      </c>
      <c r="AH16" t="str">
        <f t="shared" si="2"/>
        <v>00 de 01</v>
      </c>
    </row>
    <row r="17" spans="1:40" ht="34.5" x14ac:dyDescent="0.25">
      <c r="A17" s="139" t="s">
        <v>116</v>
      </c>
      <c r="B17" s="105" t="s">
        <v>122</v>
      </c>
      <c r="C17" s="63">
        <v>5</v>
      </c>
      <c r="D17" s="197" t="s">
        <v>145</v>
      </c>
      <c r="E17" s="197" t="s">
        <v>150</v>
      </c>
      <c r="F17" s="190" t="s">
        <v>123</v>
      </c>
      <c r="G17" s="197" t="s">
        <v>74</v>
      </c>
      <c r="H17" s="207">
        <v>56192</v>
      </c>
      <c r="I17" s="197" t="s">
        <v>143</v>
      </c>
      <c r="J17" s="197">
        <v>0</v>
      </c>
      <c r="K17" s="197" t="s">
        <v>185</v>
      </c>
      <c r="L17" s="207">
        <v>10</v>
      </c>
      <c r="M17" s="192">
        <v>46022</v>
      </c>
      <c r="N17" s="213"/>
      <c r="O17" s="214"/>
      <c r="P17" s="212">
        <v>8.3376000000000006E-3</v>
      </c>
      <c r="Q17" s="196" t="s">
        <v>38</v>
      </c>
      <c r="R17" s="197">
        <v>1</v>
      </c>
      <c r="S17" s="198" t="s">
        <v>33</v>
      </c>
      <c r="T17" s="199"/>
      <c r="U17" s="200"/>
      <c r="V17" s="200"/>
      <c r="W17" s="200"/>
      <c r="X17" s="200"/>
      <c r="Y17" s="200"/>
      <c r="Z17" s="200"/>
      <c r="AA17" s="200"/>
      <c r="AB17" s="200"/>
      <c r="AC17" s="208"/>
      <c r="AD17" s="11" t="str">
        <f t="shared" si="0"/>
        <v>10</v>
      </c>
      <c r="AF17" t="str">
        <f t="shared" si="1"/>
        <v>80.01.ZZ.010</v>
      </c>
      <c r="AH17" t="str">
        <f t="shared" si="2"/>
        <v>00 de 01</v>
      </c>
    </row>
    <row r="18" spans="1:40" ht="34.5" x14ac:dyDescent="0.25">
      <c r="A18" s="139" t="s">
        <v>116</v>
      </c>
      <c r="B18" s="105" t="s">
        <v>122</v>
      </c>
      <c r="C18" s="63">
        <v>6</v>
      </c>
      <c r="D18" s="197" t="s">
        <v>145</v>
      </c>
      <c r="E18" s="197" t="s">
        <v>151</v>
      </c>
      <c r="F18" s="190" t="s">
        <v>123</v>
      </c>
      <c r="G18" s="197" t="s">
        <v>74</v>
      </c>
      <c r="H18" s="207">
        <v>56192</v>
      </c>
      <c r="I18" s="207" t="s">
        <v>143</v>
      </c>
      <c r="J18" s="197">
        <v>0</v>
      </c>
      <c r="K18" s="197" t="s">
        <v>185</v>
      </c>
      <c r="L18" s="207">
        <v>10</v>
      </c>
      <c r="M18" s="192">
        <v>46022</v>
      </c>
      <c r="N18" s="213"/>
      <c r="O18" s="214"/>
      <c r="P18" s="212">
        <v>8.3376000000000006E-3</v>
      </c>
      <c r="Q18" s="196" t="s">
        <v>38</v>
      </c>
      <c r="R18" s="197">
        <v>1</v>
      </c>
      <c r="S18" s="198" t="s">
        <v>33</v>
      </c>
      <c r="T18" s="199"/>
      <c r="U18" s="200"/>
      <c r="V18" s="200"/>
      <c r="W18" s="200"/>
      <c r="X18" s="200"/>
      <c r="Y18" s="200"/>
      <c r="Z18" s="200"/>
      <c r="AA18" s="200"/>
      <c r="AB18" s="200"/>
      <c r="AC18" s="208"/>
      <c r="AD18" s="11" t="str">
        <f t="shared" si="0"/>
        <v>10</v>
      </c>
      <c r="AF18" t="str">
        <f t="shared" si="1"/>
        <v>80.01.ZZ.010</v>
      </c>
      <c r="AH18" t="str">
        <f t="shared" si="2"/>
        <v>00 de 01</v>
      </c>
      <c r="AM18" t="s">
        <v>104</v>
      </c>
      <c r="AN18">
        <v>19</v>
      </c>
    </row>
    <row r="19" spans="1:40" ht="34.5" x14ac:dyDescent="0.25">
      <c r="A19" s="139" t="s">
        <v>116</v>
      </c>
      <c r="B19" s="105" t="s">
        <v>122</v>
      </c>
      <c r="C19" s="63">
        <v>7</v>
      </c>
      <c r="D19" s="197" t="s">
        <v>145</v>
      </c>
      <c r="E19" s="197" t="s">
        <v>152</v>
      </c>
      <c r="F19" s="190" t="s">
        <v>123</v>
      </c>
      <c r="G19" s="197" t="s">
        <v>74</v>
      </c>
      <c r="H19" s="207">
        <v>56192</v>
      </c>
      <c r="I19" s="207" t="s">
        <v>143</v>
      </c>
      <c r="J19" s="197">
        <v>0</v>
      </c>
      <c r="K19" s="197" t="s">
        <v>185</v>
      </c>
      <c r="L19" s="207">
        <v>10</v>
      </c>
      <c r="M19" s="192">
        <v>46022</v>
      </c>
      <c r="N19" s="214"/>
      <c r="O19" s="209"/>
      <c r="P19" s="212">
        <v>8.3376000000000006E-3</v>
      </c>
      <c r="Q19" s="196" t="s">
        <v>38</v>
      </c>
      <c r="R19" s="197">
        <v>1</v>
      </c>
      <c r="S19" s="198" t="s">
        <v>33</v>
      </c>
      <c r="T19" s="199"/>
      <c r="U19" s="200"/>
      <c r="V19" s="200"/>
      <c r="W19" s="200"/>
      <c r="X19" s="200"/>
      <c r="Y19" s="200"/>
      <c r="Z19" s="200"/>
      <c r="AA19" s="200"/>
      <c r="AB19" s="200"/>
      <c r="AC19" s="208"/>
      <c r="AD19" s="11" t="str">
        <f t="shared" si="0"/>
        <v>10</v>
      </c>
      <c r="AF19" t="str">
        <f t="shared" si="1"/>
        <v>80.01.ZZ.010</v>
      </c>
      <c r="AH19" t="str">
        <f t="shared" si="2"/>
        <v>00 de 01</v>
      </c>
    </row>
    <row r="20" spans="1:40" ht="34.5" x14ac:dyDescent="0.25">
      <c r="A20" s="139" t="s">
        <v>116</v>
      </c>
      <c r="B20" s="105" t="s">
        <v>122</v>
      </c>
      <c r="C20" s="63">
        <v>8</v>
      </c>
      <c r="D20" s="197" t="s">
        <v>145</v>
      </c>
      <c r="E20" s="197" t="s">
        <v>153</v>
      </c>
      <c r="F20" s="190" t="s">
        <v>123</v>
      </c>
      <c r="G20" s="197" t="s">
        <v>74</v>
      </c>
      <c r="H20" s="207">
        <v>56192</v>
      </c>
      <c r="I20" s="207" t="s">
        <v>143</v>
      </c>
      <c r="J20" s="197">
        <v>0</v>
      </c>
      <c r="K20" s="197" t="s">
        <v>185</v>
      </c>
      <c r="L20" s="207">
        <v>10</v>
      </c>
      <c r="M20" s="192">
        <v>46022</v>
      </c>
      <c r="N20" s="213"/>
      <c r="O20" s="214"/>
      <c r="P20" s="212">
        <v>8.3376000000000006E-3</v>
      </c>
      <c r="Q20" s="196" t="s">
        <v>38</v>
      </c>
      <c r="R20" s="197">
        <v>1</v>
      </c>
      <c r="S20" s="198" t="s">
        <v>33</v>
      </c>
      <c r="T20" s="199"/>
      <c r="U20" s="200"/>
      <c r="V20" s="200"/>
      <c r="W20" s="200"/>
      <c r="X20" s="200"/>
      <c r="Y20" s="200"/>
      <c r="Z20" s="200"/>
      <c r="AA20" s="200"/>
      <c r="AB20" s="200"/>
      <c r="AC20" s="208"/>
      <c r="AD20" s="11" t="str">
        <f t="shared" si="0"/>
        <v>10</v>
      </c>
      <c r="AF20" t="str">
        <f t="shared" si="1"/>
        <v>80.01.ZZ.010</v>
      </c>
      <c r="AH20" t="str">
        <f t="shared" si="2"/>
        <v>00 de 01</v>
      </c>
    </row>
    <row r="21" spans="1:40" ht="34.5" x14ac:dyDescent="0.25">
      <c r="A21" s="139" t="s">
        <v>116</v>
      </c>
      <c r="B21" s="105" t="s">
        <v>122</v>
      </c>
      <c r="C21" s="63">
        <v>9</v>
      </c>
      <c r="D21" s="197" t="s">
        <v>145</v>
      </c>
      <c r="E21" s="197" t="s">
        <v>154</v>
      </c>
      <c r="F21" s="190" t="s">
        <v>123</v>
      </c>
      <c r="G21" s="197" t="s">
        <v>74</v>
      </c>
      <c r="H21" s="207">
        <v>56192</v>
      </c>
      <c r="I21" s="207" t="s">
        <v>143</v>
      </c>
      <c r="J21" s="197">
        <v>0</v>
      </c>
      <c r="K21" s="197" t="s">
        <v>186</v>
      </c>
      <c r="L21" s="207">
        <v>10</v>
      </c>
      <c r="M21" s="192">
        <v>46022</v>
      </c>
      <c r="N21" s="209"/>
      <c r="O21" s="214"/>
      <c r="P21" s="212">
        <v>9.0665999999999993E-3</v>
      </c>
      <c r="Q21" s="196" t="s">
        <v>38</v>
      </c>
      <c r="R21" s="197">
        <v>1</v>
      </c>
      <c r="S21" s="198" t="s">
        <v>33</v>
      </c>
      <c r="T21" s="199"/>
      <c r="U21" s="200"/>
      <c r="V21" s="200"/>
      <c r="W21" s="200"/>
      <c r="X21" s="200"/>
      <c r="Y21" s="200"/>
      <c r="Z21" s="200"/>
      <c r="AA21" s="200"/>
      <c r="AB21" s="200"/>
      <c r="AC21" s="208"/>
      <c r="AD21" s="11" t="str">
        <f t="shared" si="0"/>
        <v>10</v>
      </c>
      <c r="AF21" t="str">
        <f t="shared" si="1"/>
        <v>80.01.ZZ.010</v>
      </c>
      <c r="AH21" t="str">
        <f t="shared" si="2"/>
        <v>00 de 01</v>
      </c>
    </row>
    <row r="22" spans="1:40" ht="34.5" x14ac:dyDescent="0.25">
      <c r="A22" s="139" t="s">
        <v>116</v>
      </c>
      <c r="B22" s="105" t="s">
        <v>122</v>
      </c>
      <c r="C22" s="63">
        <v>10</v>
      </c>
      <c r="D22" s="197" t="s">
        <v>145</v>
      </c>
      <c r="E22" s="197" t="s">
        <v>155</v>
      </c>
      <c r="F22" s="190" t="s">
        <v>123</v>
      </c>
      <c r="G22" s="197" t="s">
        <v>74</v>
      </c>
      <c r="H22" s="207">
        <v>56192</v>
      </c>
      <c r="I22" s="207" t="s">
        <v>143</v>
      </c>
      <c r="J22" s="197">
        <v>0</v>
      </c>
      <c r="K22" s="197" t="s">
        <v>186</v>
      </c>
      <c r="L22" s="207">
        <v>10</v>
      </c>
      <c r="M22" s="192">
        <v>46022</v>
      </c>
      <c r="N22" s="213"/>
      <c r="O22" s="214"/>
      <c r="P22" s="212">
        <v>4.9445999999999986E-3</v>
      </c>
      <c r="Q22" s="196" t="s">
        <v>38</v>
      </c>
      <c r="R22" s="197">
        <v>1</v>
      </c>
      <c r="S22" s="198" t="s">
        <v>33</v>
      </c>
      <c r="T22" s="199"/>
      <c r="U22" s="200"/>
      <c r="V22" s="200"/>
      <c r="W22" s="200"/>
      <c r="X22" s="200"/>
      <c r="Y22" s="200"/>
      <c r="Z22" s="200"/>
      <c r="AA22" s="200"/>
      <c r="AB22" s="200"/>
      <c r="AC22" s="208"/>
      <c r="AD22" s="11" t="str">
        <f t="shared" si="0"/>
        <v>10</v>
      </c>
      <c r="AF22" t="str">
        <f t="shared" si="1"/>
        <v>80.01.ZZ.010</v>
      </c>
      <c r="AH22" t="str">
        <f t="shared" si="2"/>
        <v>00 de 01</v>
      </c>
      <c r="AM22" t="s">
        <v>104</v>
      </c>
      <c r="AN22">
        <v>19</v>
      </c>
    </row>
    <row r="23" spans="1:40" ht="34.5" x14ac:dyDescent="0.25">
      <c r="A23" s="139" t="s">
        <v>116</v>
      </c>
      <c r="B23" s="105" t="s">
        <v>122</v>
      </c>
      <c r="C23" s="63">
        <v>11</v>
      </c>
      <c r="D23" s="197" t="s">
        <v>145</v>
      </c>
      <c r="E23" s="197" t="s">
        <v>156</v>
      </c>
      <c r="F23" s="190" t="s">
        <v>123</v>
      </c>
      <c r="G23" s="197" t="s">
        <v>74</v>
      </c>
      <c r="H23" s="207">
        <v>56192</v>
      </c>
      <c r="I23" s="197" t="s">
        <v>143</v>
      </c>
      <c r="J23" s="197">
        <v>0</v>
      </c>
      <c r="K23" s="197" t="s">
        <v>186</v>
      </c>
      <c r="L23" s="207">
        <v>10</v>
      </c>
      <c r="M23" s="192">
        <v>46022</v>
      </c>
      <c r="N23" s="214"/>
      <c r="O23" s="214"/>
      <c r="P23" s="212">
        <v>9.0665999999999993E-3</v>
      </c>
      <c r="Q23" s="196" t="s">
        <v>38</v>
      </c>
      <c r="R23" s="197">
        <v>1</v>
      </c>
      <c r="S23" s="198" t="s">
        <v>33</v>
      </c>
      <c r="T23" s="199"/>
      <c r="U23" s="200"/>
      <c r="V23" s="200"/>
      <c r="W23" s="200"/>
      <c r="X23" s="200"/>
      <c r="Y23" s="200"/>
      <c r="Z23" s="200"/>
      <c r="AA23" s="200"/>
      <c r="AB23" s="200"/>
      <c r="AC23" s="208"/>
      <c r="AD23" s="11" t="str">
        <f t="shared" si="0"/>
        <v>10</v>
      </c>
      <c r="AF23" t="str">
        <f t="shared" si="1"/>
        <v>80.01.ZZ.010</v>
      </c>
      <c r="AH23" t="str">
        <f t="shared" si="2"/>
        <v>00 de 01</v>
      </c>
    </row>
    <row r="24" spans="1:40" ht="34.5" x14ac:dyDescent="0.25">
      <c r="A24" s="139" t="s">
        <v>116</v>
      </c>
      <c r="B24" s="105" t="s">
        <v>122</v>
      </c>
      <c r="C24" s="63">
        <v>12</v>
      </c>
      <c r="D24" s="197" t="s">
        <v>145</v>
      </c>
      <c r="E24" s="197" t="s">
        <v>157</v>
      </c>
      <c r="F24" s="190" t="s">
        <v>123</v>
      </c>
      <c r="G24" s="197" t="s">
        <v>74</v>
      </c>
      <c r="H24" s="207">
        <v>56192</v>
      </c>
      <c r="I24" s="207" t="s">
        <v>143</v>
      </c>
      <c r="J24" s="197">
        <v>0</v>
      </c>
      <c r="K24" s="197" t="s">
        <v>186</v>
      </c>
      <c r="L24" s="207">
        <v>10</v>
      </c>
      <c r="M24" s="192">
        <v>46022</v>
      </c>
      <c r="N24" s="214"/>
      <c r="O24" s="214"/>
      <c r="P24" s="212">
        <v>4.9445999999999986E-3</v>
      </c>
      <c r="Q24" s="196" t="s">
        <v>38</v>
      </c>
      <c r="R24" s="197">
        <v>1</v>
      </c>
      <c r="S24" s="198" t="s">
        <v>33</v>
      </c>
      <c r="T24" s="199"/>
      <c r="U24" s="200"/>
      <c r="V24" s="200"/>
      <c r="W24" s="200"/>
      <c r="X24" s="200"/>
      <c r="Y24" s="200"/>
      <c r="Z24" s="200"/>
      <c r="AA24" s="200"/>
      <c r="AB24" s="200"/>
      <c r="AC24" s="208"/>
      <c r="AD24" s="11" t="str">
        <f t="shared" si="0"/>
        <v>10</v>
      </c>
      <c r="AF24" t="str">
        <f t="shared" si="1"/>
        <v>80.01.ZZ.010</v>
      </c>
      <c r="AH24" t="str">
        <f t="shared" si="2"/>
        <v>00 de 01</v>
      </c>
    </row>
    <row r="25" spans="1:40" ht="34.5" x14ac:dyDescent="0.25">
      <c r="A25" s="139" t="s">
        <v>116</v>
      </c>
      <c r="B25" s="105" t="s">
        <v>122</v>
      </c>
      <c r="C25" s="63">
        <v>13</v>
      </c>
      <c r="D25" s="197" t="s">
        <v>145</v>
      </c>
      <c r="E25" s="197" t="s">
        <v>158</v>
      </c>
      <c r="F25" s="190" t="s">
        <v>123</v>
      </c>
      <c r="G25" s="197" t="s">
        <v>74</v>
      </c>
      <c r="H25" s="207">
        <v>56192</v>
      </c>
      <c r="I25" s="197" t="s">
        <v>143</v>
      </c>
      <c r="J25" s="197">
        <v>0</v>
      </c>
      <c r="K25" s="197" t="s">
        <v>187</v>
      </c>
      <c r="L25" s="207">
        <v>10</v>
      </c>
      <c r="M25" s="192">
        <v>46022</v>
      </c>
      <c r="N25" s="214"/>
      <c r="O25" s="214"/>
      <c r="P25" s="212">
        <v>8.3376000000000006E-3</v>
      </c>
      <c r="Q25" s="196" t="s">
        <v>38</v>
      </c>
      <c r="R25" s="197">
        <v>1</v>
      </c>
      <c r="S25" s="198" t="s">
        <v>33</v>
      </c>
      <c r="T25" s="199"/>
      <c r="U25" s="200"/>
      <c r="V25" s="200"/>
      <c r="W25" s="200"/>
      <c r="X25" s="200"/>
      <c r="Y25" s="200"/>
      <c r="Z25" s="200"/>
      <c r="AA25" s="200"/>
      <c r="AB25" s="200"/>
      <c r="AC25" s="208"/>
      <c r="AD25" s="11" t="str">
        <f t="shared" si="0"/>
        <v>10</v>
      </c>
      <c r="AF25" t="str">
        <f t="shared" si="1"/>
        <v>80.01.ZZ.010</v>
      </c>
      <c r="AH25" t="str">
        <f t="shared" si="2"/>
        <v>00 de 01</v>
      </c>
    </row>
    <row r="26" spans="1:40" ht="34.5" x14ac:dyDescent="0.25">
      <c r="A26" s="139" t="s">
        <v>116</v>
      </c>
      <c r="B26" s="105" t="s">
        <v>122</v>
      </c>
      <c r="C26" s="63">
        <v>14</v>
      </c>
      <c r="D26" s="197" t="s">
        <v>145</v>
      </c>
      <c r="E26" s="197" t="s">
        <v>159</v>
      </c>
      <c r="F26" s="190" t="s">
        <v>123</v>
      </c>
      <c r="G26" s="197" t="s">
        <v>74</v>
      </c>
      <c r="H26" s="207">
        <v>56192</v>
      </c>
      <c r="I26" s="207" t="s">
        <v>143</v>
      </c>
      <c r="J26" s="197">
        <v>0</v>
      </c>
      <c r="K26" s="197" t="s">
        <v>187</v>
      </c>
      <c r="L26" s="207">
        <v>10</v>
      </c>
      <c r="M26" s="192">
        <v>46022</v>
      </c>
      <c r="N26" s="214"/>
      <c r="O26" s="214"/>
      <c r="P26" s="212">
        <v>8.3376000000000006E-3</v>
      </c>
      <c r="Q26" s="196" t="s">
        <v>38</v>
      </c>
      <c r="R26" s="197">
        <v>1</v>
      </c>
      <c r="S26" s="198" t="s">
        <v>33</v>
      </c>
      <c r="T26" s="199"/>
      <c r="U26" s="200"/>
      <c r="V26" s="200"/>
      <c r="W26" s="200"/>
      <c r="X26" s="200"/>
      <c r="Y26" s="200"/>
      <c r="Z26" s="200"/>
      <c r="AA26" s="200"/>
      <c r="AB26" s="200"/>
      <c r="AC26" s="208"/>
      <c r="AD26" s="11" t="str">
        <f t="shared" si="0"/>
        <v>10</v>
      </c>
      <c r="AF26" t="str">
        <f t="shared" si="1"/>
        <v>80.01.ZZ.010</v>
      </c>
      <c r="AH26" t="str">
        <f t="shared" si="2"/>
        <v>00 de 01</v>
      </c>
      <c r="AM26" t="s">
        <v>104</v>
      </c>
      <c r="AN26">
        <v>19</v>
      </c>
    </row>
    <row r="27" spans="1:40" ht="34.5" x14ac:dyDescent="0.25">
      <c r="A27" s="139" t="s">
        <v>116</v>
      </c>
      <c r="B27" s="105" t="s">
        <v>122</v>
      </c>
      <c r="C27" s="63">
        <v>15</v>
      </c>
      <c r="D27" s="197" t="s">
        <v>145</v>
      </c>
      <c r="E27" s="197" t="s">
        <v>160</v>
      </c>
      <c r="F27" s="190" t="s">
        <v>123</v>
      </c>
      <c r="G27" s="197" t="s">
        <v>74</v>
      </c>
      <c r="H27" s="207">
        <v>56192</v>
      </c>
      <c r="I27" s="207" t="s">
        <v>143</v>
      </c>
      <c r="J27" s="197">
        <v>0</v>
      </c>
      <c r="K27" s="197" t="s">
        <v>187</v>
      </c>
      <c r="L27" s="207">
        <v>10</v>
      </c>
      <c r="M27" s="192">
        <v>46022</v>
      </c>
      <c r="N27" s="209"/>
      <c r="O27" s="209"/>
      <c r="P27" s="212">
        <v>8.3376000000000006E-3</v>
      </c>
      <c r="Q27" s="196" t="s">
        <v>38</v>
      </c>
      <c r="R27" s="197">
        <v>1</v>
      </c>
      <c r="S27" s="198" t="s">
        <v>33</v>
      </c>
      <c r="T27" s="199"/>
      <c r="U27" s="200"/>
      <c r="V27" s="200"/>
      <c r="W27" s="200"/>
      <c r="X27" s="200"/>
      <c r="Y27" s="200"/>
      <c r="Z27" s="200"/>
      <c r="AA27" s="200"/>
      <c r="AB27" s="200"/>
      <c r="AC27" s="208"/>
      <c r="AD27" s="11" t="str">
        <f t="shared" si="0"/>
        <v>10</v>
      </c>
      <c r="AF27" t="str">
        <f t="shared" si="1"/>
        <v>80.01.ZZ.010</v>
      </c>
      <c r="AH27" t="str">
        <f t="shared" si="2"/>
        <v>00 de 01</v>
      </c>
    </row>
    <row r="28" spans="1:40" ht="34.5" x14ac:dyDescent="0.25">
      <c r="A28" s="139" t="s">
        <v>116</v>
      </c>
      <c r="B28" s="105" t="s">
        <v>122</v>
      </c>
      <c r="C28" s="63">
        <v>16</v>
      </c>
      <c r="D28" s="197" t="s">
        <v>145</v>
      </c>
      <c r="E28" s="197" t="s">
        <v>161</v>
      </c>
      <c r="F28" s="190" t="s">
        <v>123</v>
      </c>
      <c r="G28" s="197" t="s">
        <v>74</v>
      </c>
      <c r="H28" s="207">
        <v>56192</v>
      </c>
      <c r="I28" s="207" t="s">
        <v>143</v>
      </c>
      <c r="J28" s="197">
        <v>0</v>
      </c>
      <c r="K28" s="197" t="s">
        <v>187</v>
      </c>
      <c r="L28" s="207">
        <v>10</v>
      </c>
      <c r="M28" s="192">
        <v>46022</v>
      </c>
      <c r="N28" s="209"/>
      <c r="O28" s="214"/>
      <c r="P28" s="212">
        <v>8.3376000000000006E-3</v>
      </c>
      <c r="Q28" s="196" t="s">
        <v>38</v>
      </c>
      <c r="R28" s="197">
        <v>1</v>
      </c>
      <c r="S28" s="198" t="s">
        <v>33</v>
      </c>
      <c r="T28" s="199"/>
      <c r="U28" s="200"/>
      <c r="V28" s="200"/>
      <c r="W28" s="200"/>
      <c r="X28" s="200"/>
      <c r="Y28" s="200"/>
      <c r="Z28" s="200"/>
      <c r="AA28" s="200"/>
      <c r="AB28" s="200"/>
      <c r="AC28" s="208"/>
      <c r="AD28" s="11" t="str">
        <f t="shared" si="0"/>
        <v>10</v>
      </c>
      <c r="AF28" t="str">
        <f t="shared" si="1"/>
        <v>80.01.ZZ.010</v>
      </c>
      <c r="AH28" t="str">
        <f t="shared" si="2"/>
        <v>00 de 01</v>
      </c>
    </row>
    <row r="29" spans="1:40" ht="34.5" x14ac:dyDescent="0.25">
      <c r="A29" s="139" t="s">
        <v>116</v>
      </c>
      <c r="B29" s="105" t="s">
        <v>122</v>
      </c>
      <c r="C29" s="63">
        <v>17</v>
      </c>
      <c r="D29" s="197" t="s">
        <v>133</v>
      </c>
      <c r="E29" s="197" t="s">
        <v>138</v>
      </c>
      <c r="F29" s="190" t="s">
        <v>123</v>
      </c>
      <c r="G29" s="197" t="s">
        <v>134</v>
      </c>
      <c r="H29" s="207">
        <v>39792</v>
      </c>
      <c r="I29" s="207" t="s">
        <v>136</v>
      </c>
      <c r="J29" s="197" t="s">
        <v>137</v>
      </c>
      <c r="K29" s="197" t="s">
        <v>173</v>
      </c>
      <c r="L29" s="207">
        <v>10</v>
      </c>
      <c r="M29" s="192">
        <v>46022</v>
      </c>
      <c r="N29" s="209"/>
      <c r="O29" s="214"/>
      <c r="P29" s="212">
        <v>3.0668550000000003E-2</v>
      </c>
      <c r="Q29" s="196" t="s">
        <v>38</v>
      </c>
      <c r="R29" s="197">
        <v>1</v>
      </c>
      <c r="S29" s="198" t="s">
        <v>33</v>
      </c>
      <c r="T29" s="199"/>
      <c r="U29" s="200"/>
      <c r="V29" s="200"/>
      <c r="W29" s="200"/>
      <c r="X29" s="200"/>
      <c r="Y29" s="200"/>
      <c r="Z29" s="200"/>
      <c r="AA29" s="200"/>
      <c r="AB29" s="200"/>
      <c r="AC29" s="208"/>
      <c r="AD29" s="11" t="str">
        <f t="shared" si="0"/>
        <v>10</v>
      </c>
      <c r="AF29" t="str">
        <f t="shared" si="1"/>
        <v>80.01.ZZ.010</v>
      </c>
      <c r="AH29" t="str">
        <f t="shared" si="2"/>
        <v>00 de 01</v>
      </c>
    </row>
    <row r="30" spans="1:40" ht="34.5" x14ac:dyDescent="0.25">
      <c r="A30" s="139" t="s">
        <v>116</v>
      </c>
      <c r="B30" s="105" t="s">
        <v>122</v>
      </c>
      <c r="C30" s="63">
        <v>18</v>
      </c>
      <c r="D30" s="197" t="s">
        <v>133</v>
      </c>
      <c r="E30" s="197" t="s">
        <v>139</v>
      </c>
      <c r="F30" s="190" t="s">
        <v>123</v>
      </c>
      <c r="G30" s="197" t="s">
        <v>134</v>
      </c>
      <c r="H30" s="207">
        <v>39792</v>
      </c>
      <c r="I30" s="207" t="s">
        <v>136</v>
      </c>
      <c r="J30" s="197" t="s">
        <v>137</v>
      </c>
      <c r="K30" s="197" t="s">
        <v>174</v>
      </c>
      <c r="L30" s="207">
        <v>10</v>
      </c>
      <c r="M30" s="192">
        <v>46022</v>
      </c>
      <c r="N30" s="209"/>
      <c r="O30" s="214"/>
      <c r="P30" s="212">
        <v>2.175525E-2</v>
      </c>
      <c r="Q30" s="196" t="s">
        <v>38</v>
      </c>
      <c r="R30" s="197">
        <v>1</v>
      </c>
      <c r="S30" s="198" t="s">
        <v>33</v>
      </c>
      <c r="T30" s="199"/>
      <c r="U30" s="200"/>
      <c r="V30" s="200"/>
      <c r="W30" s="200"/>
      <c r="X30" s="200"/>
      <c r="Y30" s="200"/>
      <c r="Z30" s="200"/>
      <c r="AA30" s="200"/>
      <c r="AB30" s="200"/>
      <c r="AC30" s="208"/>
      <c r="AD30" s="11" t="str">
        <f t="shared" si="0"/>
        <v>10</v>
      </c>
      <c r="AF30" t="str">
        <f t="shared" si="1"/>
        <v>80.01.ZZ.010</v>
      </c>
      <c r="AH30" t="str">
        <f t="shared" si="2"/>
        <v>00 de 01</v>
      </c>
    </row>
    <row r="31" spans="1:40" ht="34.5" x14ac:dyDescent="0.25">
      <c r="A31" s="139" t="s">
        <v>118</v>
      </c>
      <c r="B31" s="105" t="s">
        <v>122</v>
      </c>
      <c r="C31" s="63">
        <v>19</v>
      </c>
      <c r="D31" s="197" t="s">
        <v>133</v>
      </c>
      <c r="E31" s="197" t="s">
        <v>140</v>
      </c>
      <c r="F31" s="190" t="s">
        <v>123</v>
      </c>
      <c r="G31" s="197" t="s">
        <v>134</v>
      </c>
      <c r="H31" s="207">
        <v>39792</v>
      </c>
      <c r="I31" s="197" t="s">
        <v>136</v>
      </c>
      <c r="J31" s="197" t="s">
        <v>137</v>
      </c>
      <c r="K31" s="197" t="s">
        <v>175</v>
      </c>
      <c r="L31" s="207">
        <v>10</v>
      </c>
      <c r="M31" s="192">
        <v>46022</v>
      </c>
      <c r="N31" s="209"/>
      <c r="O31" s="214"/>
      <c r="P31" s="212">
        <v>3.0452400000000004E-2</v>
      </c>
      <c r="Q31" s="196" t="s">
        <v>38</v>
      </c>
      <c r="R31" s="197">
        <v>1</v>
      </c>
      <c r="S31" s="198" t="s">
        <v>33</v>
      </c>
      <c r="T31" s="199"/>
      <c r="U31" s="200"/>
      <c r="V31" s="200"/>
      <c r="W31" s="200"/>
      <c r="X31" s="200"/>
      <c r="Y31" s="200"/>
      <c r="Z31" s="200"/>
      <c r="AA31" s="200"/>
      <c r="AB31" s="200"/>
      <c r="AC31" s="208"/>
      <c r="AD31" s="11" t="str">
        <f t="shared" si="0"/>
        <v>10</v>
      </c>
      <c r="AF31" t="str">
        <f t="shared" si="1"/>
        <v>80.01.ZZ.010</v>
      </c>
      <c r="AH31" t="str">
        <f t="shared" si="2"/>
        <v>00 de 01</v>
      </c>
    </row>
    <row r="32" spans="1:40" ht="34.5" x14ac:dyDescent="0.25">
      <c r="A32" s="139" t="s">
        <v>116</v>
      </c>
      <c r="B32" s="105" t="s">
        <v>122</v>
      </c>
      <c r="C32" s="63">
        <v>20</v>
      </c>
      <c r="D32" s="197" t="s">
        <v>133</v>
      </c>
      <c r="E32" s="197" t="s">
        <v>141</v>
      </c>
      <c r="F32" s="190" t="s">
        <v>123</v>
      </c>
      <c r="G32" s="197" t="s">
        <v>134</v>
      </c>
      <c r="H32" s="207">
        <v>39792</v>
      </c>
      <c r="I32" s="207" t="s">
        <v>136</v>
      </c>
      <c r="J32" s="197" t="s">
        <v>137</v>
      </c>
      <c r="K32" s="197" t="s">
        <v>176</v>
      </c>
      <c r="L32" s="207">
        <v>10</v>
      </c>
      <c r="M32" s="192">
        <v>46022</v>
      </c>
      <c r="N32" s="209"/>
      <c r="O32" s="214"/>
      <c r="P32" s="212">
        <v>2.175525E-2</v>
      </c>
      <c r="Q32" s="196" t="s">
        <v>38</v>
      </c>
      <c r="R32" s="197">
        <v>1</v>
      </c>
      <c r="S32" s="198" t="s">
        <v>33</v>
      </c>
      <c r="T32" s="199"/>
      <c r="U32" s="200"/>
      <c r="V32" s="200"/>
      <c r="W32" s="200"/>
      <c r="X32" s="200"/>
      <c r="Y32" s="200"/>
      <c r="Z32" s="200"/>
      <c r="AA32" s="200"/>
      <c r="AB32" s="200"/>
      <c r="AC32" s="170"/>
      <c r="AD32" s="11" t="str">
        <f t="shared" si="0"/>
        <v>10</v>
      </c>
      <c r="AF32" t="str">
        <f t="shared" si="1"/>
        <v>80.01.ZZ.010</v>
      </c>
      <c r="AH32" t="str">
        <f t="shared" si="2"/>
        <v>00 de 01</v>
      </c>
    </row>
    <row r="33" spans="1:34" ht="34.5" x14ac:dyDescent="0.25">
      <c r="A33" s="139" t="s">
        <v>116</v>
      </c>
      <c r="B33" s="105" t="s">
        <v>122</v>
      </c>
      <c r="C33" s="63">
        <v>21</v>
      </c>
      <c r="D33" s="197" t="s">
        <v>133</v>
      </c>
      <c r="E33" s="197" t="s">
        <v>142</v>
      </c>
      <c r="F33" s="190" t="s">
        <v>123</v>
      </c>
      <c r="G33" s="197" t="s">
        <v>134</v>
      </c>
      <c r="H33" s="207">
        <v>39792</v>
      </c>
      <c r="I33" s="197" t="s">
        <v>136</v>
      </c>
      <c r="J33" s="197" t="s">
        <v>137</v>
      </c>
      <c r="K33" s="197" t="s">
        <v>177</v>
      </c>
      <c r="L33" s="207">
        <v>10</v>
      </c>
      <c r="M33" s="192">
        <v>46022</v>
      </c>
      <c r="N33" s="214"/>
      <c r="O33" s="214"/>
      <c r="P33" s="212">
        <v>3.0452400000000004E-2</v>
      </c>
      <c r="Q33" s="196" t="s">
        <v>38</v>
      </c>
      <c r="R33" s="197">
        <v>1</v>
      </c>
      <c r="S33" s="198" t="s">
        <v>33</v>
      </c>
      <c r="T33" s="199"/>
      <c r="U33" s="200"/>
      <c r="V33" s="200"/>
      <c r="W33" s="200"/>
      <c r="X33" s="200"/>
      <c r="Y33" s="200"/>
      <c r="Z33" s="200"/>
      <c r="AA33" s="200"/>
      <c r="AB33" s="200"/>
      <c r="AC33" s="170"/>
      <c r="AD33" s="11" t="str">
        <f t="shared" si="0"/>
        <v>10</v>
      </c>
      <c r="AF33" t="str">
        <f t="shared" si="1"/>
        <v>80.01.ZZ.010</v>
      </c>
      <c r="AH33" t="str">
        <f t="shared" si="2"/>
        <v>00 de 01</v>
      </c>
    </row>
    <row r="34" spans="1:34" ht="34.5" x14ac:dyDescent="0.25">
      <c r="A34" s="139" t="s">
        <v>116</v>
      </c>
      <c r="B34" s="105" t="s">
        <v>122</v>
      </c>
      <c r="C34" s="63">
        <v>22</v>
      </c>
      <c r="D34" s="197"/>
      <c r="E34" s="197"/>
      <c r="F34" s="190" t="s">
        <v>123</v>
      </c>
      <c r="G34" s="197"/>
      <c r="H34" s="207"/>
      <c r="I34" s="207"/>
      <c r="J34" s="197"/>
      <c r="K34" s="197"/>
      <c r="L34" s="207"/>
      <c r="M34" s="192"/>
      <c r="N34" s="214"/>
      <c r="O34" s="214"/>
      <c r="P34" s="212"/>
      <c r="Q34" s="196"/>
      <c r="R34" s="197"/>
      <c r="S34" s="198"/>
      <c r="T34" s="199"/>
      <c r="U34" s="200"/>
      <c r="V34" s="200"/>
      <c r="W34" s="200"/>
      <c r="X34" s="200"/>
      <c r="Y34" s="200"/>
      <c r="Z34" s="200"/>
      <c r="AA34" s="200"/>
      <c r="AB34" s="200"/>
      <c r="AC34" s="208"/>
      <c r="AD34" s="11" t="str">
        <f t="shared" si="0"/>
        <v/>
      </c>
      <c r="AF34" t="str">
        <f t="shared" si="1"/>
        <v>80.01.ZZ.0</v>
      </c>
      <c r="AH34" t="str">
        <f t="shared" si="2"/>
        <v>00 de 0</v>
      </c>
    </row>
    <row r="35" spans="1:34" ht="34.5" x14ac:dyDescent="0.25">
      <c r="A35" s="139" t="s">
        <v>116</v>
      </c>
      <c r="B35" s="105" t="s">
        <v>122</v>
      </c>
      <c r="C35" s="63">
        <v>23</v>
      </c>
      <c r="D35" s="197"/>
      <c r="E35" s="197"/>
      <c r="F35" s="190" t="s">
        <v>123</v>
      </c>
      <c r="G35" s="197"/>
      <c r="H35" s="207"/>
      <c r="I35" s="207"/>
      <c r="J35" s="197"/>
      <c r="K35" s="197"/>
      <c r="L35" s="207"/>
      <c r="M35" s="192"/>
      <c r="N35" s="209"/>
      <c r="O35" s="214"/>
      <c r="P35" s="212"/>
      <c r="Q35" s="196"/>
      <c r="R35" s="197"/>
      <c r="S35" s="215"/>
      <c r="T35" s="199"/>
      <c r="U35" s="200"/>
      <c r="V35" s="200"/>
      <c r="W35" s="200"/>
      <c r="X35" s="200"/>
      <c r="Y35" s="200"/>
      <c r="Z35" s="200"/>
      <c r="AA35" s="200"/>
      <c r="AB35" s="200"/>
      <c r="AC35" s="170"/>
      <c r="AD35" s="11" t="str">
        <f t="shared" si="0"/>
        <v/>
      </c>
      <c r="AF35" t="str">
        <f t="shared" si="1"/>
        <v>80.01.ZZ.0</v>
      </c>
      <c r="AH35" t="str">
        <f t="shared" si="2"/>
        <v>00 de 0</v>
      </c>
    </row>
    <row r="36" spans="1:34" ht="34.5" x14ac:dyDescent="0.25">
      <c r="A36" s="139" t="s">
        <v>116</v>
      </c>
      <c r="B36" s="105" t="s">
        <v>122</v>
      </c>
      <c r="C36" s="63">
        <v>24</v>
      </c>
      <c r="D36" s="197"/>
      <c r="E36" s="197"/>
      <c r="F36" s="190" t="s">
        <v>123</v>
      </c>
      <c r="G36" s="197"/>
      <c r="H36" s="207"/>
      <c r="I36" s="207"/>
      <c r="J36" s="197"/>
      <c r="K36" s="197"/>
      <c r="L36" s="207"/>
      <c r="M36" s="192"/>
      <c r="N36" s="214"/>
      <c r="O36" s="214"/>
      <c r="P36" s="212"/>
      <c r="Q36" s="196"/>
      <c r="R36" s="197"/>
      <c r="S36" s="215"/>
      <c r="T36" s="199"/>
      <c r="U36" s="200"/>
      <c r="V36" s="200"/>
      <c r="W36" s="200"/>
      <c r="X36" s="200"/>
      <c r="Y36" s="200"/>
      <c r="Z36" s="200"/>
      <c r="AA36" s="200"/>
      <c r="AB36" s="200"/>
      <c r="AC36" s="170"/>
      <c r="AD36" s="11" t="str">
        <f t="shared" si="0"/>
        <v/>
      </c>
      <c r="AF36" t="str">
        <f t="shared" si="1"/>
        <v>80.01.ZZ.0</v>
      </c>
      <c r="AH36" t="str">
        <f t="shared" si="2"/>
        <v>00 de 0</v>
      </c>
    </row>
    <row r="37" spans="1:34" ht="34.5" x14ac:dyDescent="0.25">
      <c r="A37" s="139" t="s">
        <v>116</v>
      </c>
      <c r="B37" s="105" t="s">
        <v>122</v>
      </c>
      <c r="C37" s="63">
        <v>25</v>
      </c>
      <c r="D37" s="197"/>
      <c r="E37" s="197"/>
      <c r="F37" s="190" t="s">
        <v>123</v>
      </c>
      <c r="G37" s="207"/>
      <c r="H37" s="207"/>
      <c r="I37" s="197"/>
      <c r="J37" s="197"/>
      <c r="K37" s="197"/>
      <c r="L37" s="207"/>
      <c r="M37" s="192"/>
      <c r="N37" s="214"/>
      <c r="O37" s="214"/>
      <c r="P37" s="212"/>
      <c r="Q37" s="196"/>
      <c r="R37" s="197"/>
      <c r="S37" s="198"/>
      <c r="T37" s="199"/>
      <c r="U37" s="200"/>
      <c r="V37" s="200"/>
      <c r="W37" s="200"/>
      <c r="X37" s="200"/>
      <c r="Y37" s="200"/>
      <c r="Z37" s="200"/>
      <c r="AA37" s="200"/>
      <c r="AB37" s="200"/>
      <c r="AC37" s="170"/>
      <c r="AD37" s="11" t="str">
        <f t="shared" si="0"/>
        <v/>
      </c>
      <c r="AF37" t="str">
        <f t="shared" si="1"/>
        <v>80.01.ZZ.0</v>
      </c>
      <c r="AH37" t="str">
        <f t="shared" si="2"/>
        <v>00 de 0</v>
      </c>
    </row>
    <row r="38" spans="1:34" ht="34.5" x14ac:dyDescent="0.25">
      <c r="A38" s="139" t="s">
        <v>116</v>
      </c>
      <c r="B38" s="105" t="s">
        <v>122</v>
      </c>
      <c r="C38" s="63">
        <v>26</v>
      </c>
      <c r="D38" s="197"/>
      <c r="E38" s="197"/>
      <c r="F38" s="190" t="s">
        <v>123</v>
      </c>
      <c r="G38" s="197"/>
      <c r="H38" s="207"/>
      <c r="I38" s="207"/>
      <c r="J38" s="197"/>
      <c r="K38" s="197"/>
      <c r="L38" s="207"/>
      <c r="M38" s="192"/>
      <c r="N38" s="214"/>
      <c r="O38" s="214"/>
      <c r="P38" s="212"/>
      <c r="Q38" s="196"/>
      <c r="R38" s="197"/>
      <c r="S38" s="215"/>
      <c r="T38" s="199"/>
      <c r="U38" s="200"/>
      <c r="V38" s="200"/>
      <c r="W38" s="200"/>
      <c r="X38" s="200"/>
      <c r="Y38" s="200"/>
      <c r="Z38" s="200"/>
      <c r="AA38" s="200"/>
      <c r="AB38" s="200"/>
      <c r="AC38" s="170"/>
      <c r="AD38" s="11" t="str">
        <f t="shared" si="0"/>
        <v/>
      </c>
      <c r="AF38" t="str">
        <f t="shared" si="1"/>
        <v>80.01.ZZ.0</v>
      </c>
      <c r="AH38" t="str">
        <f t="shared" si="2"/>
        <v>00 de 0</v>
      </c>
    </row>
    <row r="39" spans="1:34" ht="34.5" x14ac:dyDescent="0.25">
      <c r="A39" s="139" t="s">
        <v>116</v>
      </c>
      <c r="B39" s="105" t="s">
        <v>122</v>
      </c>
      <c r="C39" s="63">
        <v>27</v>
      </c>
      <c r="D39" s="197"/>
      <c r="E39" s="197"/>
      <c r="F39" s="190" t="s">
        <v>123</v>
      </c>
      <c r="G39" s="197"/>
      <c r="H39" s="207"/>
      <c r="I39" s="207"/>
      <c r="J39" s="197"/>
      <c r="K39" s="197"/>
      <c r="L39" s="207"/>
      <c r="M39" s="192"/>
      <c r="N39" s="214"/>
      <c r="O39" s="214"/>
      <c r="P39" s="212"/>
      <c r="Q39" s="196"/>
      <c r="R39" s="197"/>
      <c r="S39" s="215"/>
      <c r="T39" s="199"/>
      <c r="U39" s="200"/>
      <c r="V39" s="200"/>
      <c r="W39" s="200"/>
      <c r="X39" s="200"/>
      <c r="Y39" s="200"/>
      <c r="Z39" s="200"/>
      <c r="AA39" s="200"/>
      <c r="AB39" s="200"/>
      <c r="AC39" s="170"/>
      <c r="AD39" s="11" t="str">
        <f t="shared" si="0"/>
        <v/>
      </c>
      <c r="AF39" t="str">
        <f t="shared" si="1"/>
        <v>80.01.ZZ.0</v>
      </c>
      <c r="AH39" t="str">
        <f t="shared" si="2"/>
        <v>00 de 0</v>
      </c>
    </row>
    <row r="40" spans="1:34" ht="34.5" x14ac:dyDescent="0.25">
      <c r="A40" s="139" t="s">
        <v>116</v>
      </c>
      <c r="B40" s="105" t="s">
        <v>122</v>
      </c>
      <c r="C40" s="63">
        <v>28</v>
      </c>
      <c r="D40" s="197"/>
      <c r="E40" s="197"/>
      <c r="F40" s="190" t="s">
        <v>123</v>
      </c>
      <c r="G40" s="197"/>
      <c r="H40" s="207"/>
      <c r="I40" s="207"/>
      <c r="J40" s="197"/>
      <c r="K40" s="197"/>
      <c r="L40" s="207"/>
      <c r="M40" s="192"/>
      <c r="N40" s="214"/>
      <c r="O40" s="214"/>
      <c r="P40" s="212"/>
      <c r="Q40" s="196"/>
      <c r="R40" s="197"/>
      <c r="S40" s="215"/>
      <c r="T40" s="199"/>
      <c r="U40" s="200"/>
      <c r="V40" s="200"/>
      <c r="W40" s="200"/>
      <c r="X40" s="200"/>
      <c r="Y40" s="200"/>
      <c r="Z40" s="200"/>
      <c r="AA40" s="200"/>
      <c r="AB40" s="200"/>
      <c r="AC40" s="170"/>
      <c r="AD40" s="11" t="str">
        <f t="shared" si="0"/>
        <v/>
      </c>
      <c r="AF40" t="str">
        <f t="shared" si="1"/>
        <v>80.01.ZZ.0</v>
      </c>
      <c r="AH40" t="str">
        <f t="shared" si="2"/>
        <v>00 de 0</v>
      </c>
    </row>
    <row r="41" spans="1:34" ht="34.5" x14ac:dyDescent="0.25">
      <c r="A41" s="139" t="s">
        <v>116</v>
      </c>
      <c r="B41" s="105" t="s">
        <v>122</v>
      </c>
      <c r="C41" s="63">
        <v>29</v>
      </c>
      <c r="D41" s="197"/>
      <c r="E41" s="197"/>
      <c r="F41" s="190" t="s">
        <v>123</v>
      </c>
      <c r="G41" s="197"/>
      <c r="H41" s="207"/>
      <c r="I41" s="207"/>
      <c r="J41" s="197"/>
      <c r="K41" s="197"/>
      <c r="L41" s="207"/>
      <c r="M41" s="192"/>
      <c r="N41" s="213"/>
      <c r="O41" s="214"/>
      <c r="P41" s="212"/>
      <c r="Q41" s="196"/>
      <c r="R41" s="197"/>
      <c r="S41" s="215"/>
      <c r="T41" s="199"/>
      <c r="U41" s="200"/>
      <c r="V41" s="200"/>
      <c r="W41" s="200"/>
      <c r="X41" s="200"/>
      <c r="Y41" s="200"/>
      <c r="Z41" s="200"/>
      <c r="AA41" s="200"/>
      <c r="AB41" s="200"/>
      <c r="AC41" s="170"/>
      <c r="AD41" s="11" t="str">
        <f t="shared" si="0"/>
        <v/>
      </c>
      <c r="AF41" t="str">
        <f t="shared" si="1"/>
        <v>80.01.ZZ.0</v>
      </c>
      <c r="AH41" t="str">
        <f t="shared" si="2"/>
        <v>00 de 0</v>
      </c>
    </row>
    <row r="42" spans="1:34" ht="34.5" x14ac:dyDescent="0.25">
      <c r="A42" s="139" t="s">
        <v>116</v>
      </c>
      <c r="B42" s="105" t="s">
        <v>122</v>
      </c>
      <c r="C42" s="63">
        <v>30</v>
      </c>
      <c r="D42" s="197"/>
      <c r="E42" s="197"/>
      <c r="F42" s="190" t="s">
        <v>123</v>
      </c>
      <c r="G42" s="197"/>
      <c r="H42" s="207"/>
      <c r="I42" s="207"/>
      <c r="J42" s="197"/>
      <c r="K42" s="197"/>
      <c r="L42" s="207"/>
      <c r="M42" s="192"/>
      <c r="N42" s="214"/>
      <c r="O42" s="214"/>
      <c r="P42" s="212"/>
      <c r="Q42" s="196"/>
      <c r="R42" s="197"/>
      <c r="S42" s="215"/>
      <c r="T42" s="199"/>
      <c r="U42" s="200"/>
      <c r="V42" s="200"/>
      <c r="W42" s="200"/>
      <c r="X42" s="200"/>
      <c r="Y42" s="200"/>
      <c r="Z42" s="200"/>
      <c r="AA42" s="200"/>
      <c r="AB42" s="200"/>
      <c r="AC42" s="170"/>
      <c r="AD42" s="11" t="str">
        <f t="shared" si="0"/>
        <v/>
      </c>
      <c r="AF42" t="str">
        <f t="shared" si="1"/>
        <v>80.01.ZZ.0</v>
      </c>
      <c r="AH42" t="str">
        <f t="shared" si="2"/>
        <v>00 de 0</v>
      </c>
    </row>
    <row r="43" spans="1:34" ht="34.5" x14ac:dyDescent="0.25">
      <c r="A43" s="139" t="s">
        <v>116</v>
      </c>
      <c r="B43" s="105" t="s">
        <v>122</v>
      </c>
      <c r="C43" s="63">
        <v>31</v>
      </c>
      <c r="D43" s="197"/>
      <c r="E43" s="197"/>
      <c r="F43" s="190" t="s">
        <v>123</v>
      </c>
      <c r="G43" s="197"/>
      <c r="H43" s="207"/>
      <c r="I43" s="207"/>
      <c r="J43" s="197"/>
      <c r="K43" s="197"/>
      <c r="L43" s="207"/>
      <c r="M43" s="192"/>
      <c r="N43" s="214"/>
      <c r="O43" s="214"/>
      <c r="P43" s="212"/>
      <c r="Q43" s="196"/>
      <c r="R43" s="197"/>
      <c r="S43" s="215"/>
      <c r="T43" s="199"/>
      <c r="U43" s="200"/>
      <c r="V43" s="200"/>
      <c r="W43" s="200"/>
      <c r="X43" s="200"/>
      <c r="Y43" s="200"/>
      <c r="Z43" s="200"/>
      <c r="AA43" s="200"/>
      <c r="AB43" s="200"/>
      <c r="AC43" s="170"/>
      <c r="AD43" s="11" t="str">
        <f t="shared" si="0"/>
        <v/>
      </c>
      <c r="AF43" t="str">
        <f t="shared" si="1"/>
        <v>80.01.ZZ.0</v>
      </c>
      <c r="AH43" t="str">
        <f t="shared" si="2"/>
        <v>00 de 0</v>
      </c>
    </row>
    <row r="44" spans="1:34" ht="33.950000000000003" customHeight="1" thickBot="1" x14ac:dyDescent="0.3">
      <c r="A44" s="139" t="s">
        <v>116</v>
      </c>
      <c r="B44" s="105" t="s">
        <v>122</v>
      </c>
      <c r="C44" s="162">
        <v>32</v>
      </c>
      <c r="D44" s="172"/>
      <c r="E44" s="172"/>
      <c r="F44" s="201" t="s">
        <v>123</v>
      </c>
      <c r="G44" s="172"/>
      <c r="H44" s="202"/>
      <c r="I44" s="202"/>
      <c r="J44" s="172"/>
      <c r="K44" s="172"/>
      <c r="L44" s="202"/>
      <c r="M44" s="171"/>
      <c r="N44" s="203"/>
      <c r="O44" s="203"/>
      <c r="P44" s="173"/>
      <c r="Q44" s="174"/>
      <c r="R44" s="172"/>
      <c r="S44" s="216"/>
      <c r="T44" s="204"/>
      <c r="U44" s="176"/>
      <c r="V44" s="176"/>
      <c r="W44" s="176"/>
      <c r="X44" s="176"/>
      <c r="Y44" s="176"/>
      <c r="Z44" s="176"/>
      <c r="AA44" s="176"/>
      <c r="AB44" s="176"/>
      <c r="AC44" s="64"/>
      <c r="AD44" s="11" t="str">
        <f>RIGHT(L44,2)</f>
        <v/>
      </c>
      <c r="AF44" t="str">
        <f>CONCATENATE("80.01.ZZ.0",L44)</f>
        <v>80.01.ZZ.0</v>
      </c>
      <c r="AH44" t="str">
        <f>CONCATENATE("00 de 0",R44)</f>
        <v>00 de 0</v>
      </c>
    </row>
    <row r="45" spans="1:34" x14ac:dyDescent="0.3">
      <c r="L45" s="294" t="s">
        <v>37</v>
      </c>
      <c r="M45" s="294"/>
      <c r="O45" s="58"/>
      <c r="P45" s="58">
        <f>SUM(P13:P44)</f>
        <v>0.25782944999999996</v>
      </c>
      <c r="Q45" s="59"/>
      <c r="R45" s="67">
        <f>SUM($R$13:R44)</f>
        <v>21</v>
      </c>
    </row>
    <row r="46" spans="1:34" ht="18" thickBot="1" x14ac:dyDescent="0.35">
      <c r="L46" s="294"/>
      <c r="M46" s="294"/>
      <c r="O46" s="58"/>
      <c r="P46" s="58"/>
      <c r="Q46" s="11"/>
      <c r="R46" s="11"/>
    </row>
    <row r="47" spans="1:34" x14ac:dyDescent="0.3">
      <c r="R47" s="107" t="s">
        <v>122</v>
      </c>
      <c r="S47" s="120" t="s">
        <v>86</v>
      </c>
      <c r="T47" s="121" t="s">
        <v>90</v>
      </c>
      <c r="U47" s="122" t="s">
        <v>87</v>
      </c>
      <c r="V47" s="123"/>
      <c r="W47" s="124"/>
      <c r="X47" s="121" t="s">
        <v>88</v>
      </c>
      <c r="Y47" s="121" t="s">
        <v>89</v>
      </c>
      <c r="Z47" s="121" t="s">
        <v>91</v>
      </c>
      <c r="AA47" s="125" t="s">
        <v>92</v>
      </c>
      <c r="AB47" s="131" t="s">
        <v>94</v>
      </c>
    </row>
    <row r="48" spans="1:34" x14ac:dyDescent="0.3">
      <c r="M48" s="163" t="s">
        <v>111</v>
      </c>
      <c r="Q48" s="150" t="e">
        <f>#REF!</f>
        <v>#REF!</v>
      </c>
      <c r="R48"/>
      <c r="S48" s="109">
        <v>3</v>
      </c>
      <c r="T48" s="222">
        <v>291.70999999999998</v>
      </c>
      <c r="U48" s="223" t="s">
        <v>80</v>
      </c>
      <c r="V48" s="224"/>
      <c r="W48" s="225"/>
      <c r="X48" s="222">
        <f t="shared" ref="X48:X62" si="3">SUMIFS($R$13:$R$44,$AD$13:$AD$44,S48,$B$13:$B$44,$R$47)</f>
        <v>0</v>
      </c>
      <c r="Y48" s="226">
        <f t="shared" ref="Y48:Y61" si="4">SUMIFS($P$13:$P$44,$AD$13:$AD$44,S48,$B$13:$B$44,$R$47)</f>
        <v>0</v>
      </c>
      <c r="Z48" s="227">
        <f>Y48*T48</f>
        <v>0</v>
      </c>
      <c r="AA48" s="181">
        <f>Z48/44</f>
        <v>0</v>
      </c>
      <c r="AB48" s="126">
        <f>X48/5</f>
        <v>0</v>
      </c>
    </row>
    <row r="49" spans="1:35" x14ac:dyDescent="0.3">
      <c r="L49" s="56" t="s">
        <v>36</v>
      </c>
      <c r="M49" s="165" t="e">
        <f>#REF!</f>
        <v>#REF!</v>
      </c>
      <c r="Q49" s="149" t="e">
        <f>#REF!</f>
        <v>#REF!</v>
      </c>
      <c r="R49"/>
      <c r="S49" s="109">
        <v>4</v>
      </c>
      <c r="T49" s="222">
        <v>300.41000000000003</v>
      </c>
      <c r="U49" s="223" t="s">
        <v>83</v>
      </c>
      <c r="V49" s="224"/>
      <c r="W49" s="225"/>
      <c r="X49" s="222">
        <f t="shared" si="3"/>
        <v>0</v>
      </c>
      <c r="Y49" s="226">
        <f t="shared" si="4"/>
        <v>0</v>
      </c>
      <c r="Z49" s="227">
        <f t="shared" ref="Z49:Z62" si="5">Y49*T49</f>
        <v>0</v>
      </c>
      <c r="AA49" s="181">
        <f t="shared" ref="AA49:AA62" si="6">Z49/44</f>
        <v>0</v>
      </c>
      <c r="AB49" s="126">
        <f t="shared" ref="AB49:AB62" si="7">X49/5</f>
        <v>0</v>
      </c>
    </row>
    <row r="50" spans="1:35" x14ac:dyDescent="0.3">
      <c r="M50"/>
      <c r="R50"/>
      <c r="S50" s="111">
        <v>5</v>
      </c>
      <c r="T50" s="222">
        <v>386.76</v>
      </c>
      <c r="U50" s="223" t="s">
        <v>84</v>
      </c>
      <c r="V50" s="224"/>
      <c r="W50" s="225"/>
      <c r="X50" s="222">
        <f t="shared" si="3"/>
        <v>0</v>
      </c>
      <c r="Y50" s="226">
        <f t="shared" si="4"/>
        <v>0</v>
      </c>
      <c r="Z50" s="227">
        <f t="shared" si="5"/>
        <v>0</v>
      </c>
      <c r="AA50" s="181">
        <f t="shared" si="6"/>
        <v>0</v>
      </c>
      <c r="AB50" s="126">
        <f t="shared" si="7"/>
        <v>0</v>
      </c>
    </row>
    <row r="51" spans="1:35" x14ac:dyDescent="0.3">
      <c r="M51" s="163" t="s">
        <v>112</v>
      </c>
      <c r="Q51" s="150" t="e">
        <f>#REF!</f>
        <v>#REF!</v>
      </c>
      <c r="R51"/>
      <c r="S51" s="111">
        <v>6</v>
      </c>
      <c r="T51" s="222">
        <v>218.76</v>
      </c>
      <c r="U51" s="223" t="s">
        <v>85</v>
      </c>
      <c r="V51" s="224"/>
      <c r="W51" s="225"/>
      <c r="X51" s="222">
        <f t="shared" si="3"/>
        <v>0</v>
      </c>
      <c r="Y51" s="226">
        <f t="shared" si="4"/>
        <v>0</v>
      </c>
      <c r="Z51" s="227">
        <f t="shared" si="5"/>
        <v>0</v>
      </c>
      <c r="AA51" s="181">
        <f t="shared" si="6"/>
        <v>0</v>
      </c>
      <c r="AB51" s="126">
        <f t="shared" si="7"/>
        <v>0</v>
      </c>
    </row>
    <row r="52" spans="1:35" x14ac:dyDescent="0.3">
      <c r="M52" s="219" t="e">
        <f>#REF!</f>
        <v>#REF!</v>
      </c>
      <c r="N52" s="50"/>
      <c r="O52" s="220"/>
      <c r="P52" s="220"/>
      <c r="Q52" s="221" t="e">
        <f>#REF!</f>
        <v>#REF!</v>
      </c>
      <c r="R52"/>
      <c r="S52" s="111">
        <v>7</v>
      </c>
      <c r="T52" s="222">
        <v>222.66</v>
      </c>
      <c r="U52" s="228" t="s">
        <v>124</v>
      </c>
      <c r="V52" s="224"/>
      <c r="W52" s="225"/>
      <c r="X52" s="222">
        <f t="shared" si="3"/>
        <v>0</v>
      </c>
      <c r="Y52" s="226">
        <f t="shared" si="4"/>
        <v>0</v>
      </c>
      <c r="Z52" s="227">
        <f t="shared" si="5"/>
        <v>0</v>
      </c>
      <c r="AA52" s="181">
        <f t="shared" si="6"/>
        <v>0</v>
      </c>
      <c r="AB52" s="126">
        <f t="shared" si="7"/>
        <v>0</v>
      </c>
    </row>
    <row r="53" spans="1:35" x14ac:dyDescent="0.3">
      <c r="R53"/>
      <c r="S53" s="109">
        <v>8</v>
      </c>
      <c r="T53" s="222">
        <v>242.33</v>
      </c>
      <c r="U53" s="228" t="s">
        <v>125</v>
      </c>
      <c r="V53" s="224"/>
      <c r="W53" s="225"/>
      <c r="X53" s="222">
        <f t="shared" si="3"/>
        <v>0</v>
      </c>
      <c r="Y53" s="226">
        <f t="shared" si="4"/>
        <v>0</v>
      </c>
      <c r="Z53" s="227">
        <f t="shared" si="5"/>
        <v>0</v>
      </c>
      <c r="AA53" s="181">
        <f t="shared" si="6"/>
        <v>0</v>
      </c>
      <c r="AB53" s="126">
        <f t="shared" si="7"/>
        <v>0</v>
      </c>
    </row>
    <row r="54" spans="1:35" x14ac:dyDescent="0.3">
      <c r="R54"/>
      <c r="S54" s="109">
        <v>9</v>
      </c>
      <c r="T54" s="222">
        <v>191.9</v>
      </c>
      <c r="U54" s="228" t="s">
        <v>97</v>
      </c>
      <c r="V54" s="224"/>
      <c r="W54" s="225"/>
      <c r="X54" s="222">
        <f t="shared" si="3"/>
        <v>0</v>
      </c>
      <c r="Y54" s="226">
        <f t="shared" si="4"/>
        <v>0</v>
      </c>
      <c r="Z54" s="227">
        <f t="shared" si="5"/>
        <v>0</v>
      </c>
      <c r="AA54" s="181">
        <f t="shared" si="6"/>
        <v>0</v>
      </c>
      <c r="AB54" s="126">
        <f t="shared" si="7"/>
        <v>0</v>
      </c>
    </row>
    <row r="55" spans="1:35" x14ac:dyDescent="0.3">
      <c r="R55"/>
      <c r="S55" s="109">
        <v>10</v>
      </c>
      <c r="T55" s="222">
        <v>272.74</v>
      </c>
      <c r="U55" s="228" t="s">
        <v>126</v>
      </c>
      <c r="V55" s="224"/>
      <c r="W55" s="225"/>
      <c r="X55" s="222">
        <f t="shared" si="3"/>
        <v>21</v>
      </c>
      <c r="Y55" s="226">
        <f t="shared" si="4"/>
        <v>0.25782944999999996</v>
      </c>
      <c r="Z55" s="227">
        <f t="shared" si="5"/>
        <v>70.320404192999987</v>
      </c>
      <c r="AA55" s="181">
        <f t="shared" si="6"/>
        <v>1.5981910043863634</v>
      </c>
      <c r="AB55" s="126">
        <f t="shared" si="7"/>
        <v>4.2</v>
      </c>
    </row>
    <row r="56" spans="1:35" x14ac:dyDescent="0.3">
      <c r="R56"/>
      <c r="S56" s="109">
        <v>12</v>
      </c>
      <c r="T56" s="222">
        <v>207.2</v>
      </c>
      <c r="U56" s="228" t="s">
        <v>127</v>
      </c>
      <c r="V56" s="224"/>
      <c r="W56" s="225"/>
      <c r="X56" s="222">
        <f t="shared" si="3"/>
        <v>0</v>
      </c>
      <c r="Y56" s="226">
        <f t="shared" si="4"/>
        <v>0</v>
      </c>
      <c r="Z56" s="227">
        <f t="shared" si="5"/>
        <v>0</v>
      </c>
      <c r="AA56" s="181">
        <f t="shared" si="6"/>
        <v>0</v>
      </c>
      <c r="AB56" s="126">
        <f t="shared" si="7"/>
        <v>0</v>
      </c>
    </row>
    <row r="57" spans="1:35" x14ac:dyDescent="0.3">
      <c r="R57"/>
      <c r="S57" s="109">
        <v>13</v>
      </c>
      <c r="T57" s="222">
        <v>253.81</v>
      </c>
      <c r="U57" s="228" t="s">
        <v>131</v>
      </c>
      <c r="V57" s="224"/>
      <c r="W57" s="225"/>
      <c r="X57" s="222">
        <f t="shared" si="3"/>
        <v>0</v>
      </c>
      <c r="Y57" s="226">
        <f t="shared" si="4"/>
        <v>0</v>
      </c>
      <c r="Z57" s="227">
        <f t="shared" si="5"/>
        <v>0</v>
      </c>
      <c r="AA57" s="181">
        <f t="shared" si="6"/>
        <v>0</v>
      </c>
      <c r="AB57" s="126">
        <f t="shared" si="7"/>
        <v>0</v>
      </c>
    </row>
    <row r="58" spans="1:35" x14ac:dyDescent="0.3">
      <c r="R58"/>
      <c r="S58" s="109">
        <v>14</v>
      </c>
      <c r="T58" s="222">
        <v>211.48</v>
      </c>
      <c r="U58" s="228" t="s">
        <v>132</v>
      </c>
      <c r="V58" s="224"/>
      <c r="W58" s="225"/>
      <c r="X58" s="222">
        <f t="shared" si="3"/>
        <v>0</v>
      </c>
      <c r="Y58" s="226">
        <f t="shared" si="4"/>
        <v>0</v>
      </c>
      <c r="Z58" s="227">
        <f t="shared" si="5"/>
        <v>0</v>
      </c>
      <c r="AA58" s="181">
        <f t="shared" si="6"/>
        <v>0</v>
      </c>
      <c r="AB58" s="126">
        <f t="shared" si="7"/>
        <v>0</v>
      </c>
    </row>
    <row r="59" spans="1:35" s="56" customFormat="1" x14ac:dyDescent="0.3">
      <c r="A59" s="167"/>
      <c r="B59" s="140"/>
      <c r="N59"/>
      <c r="O59" s="57"/>
      <c r="P59" s="57"/>
      <c r="R59"/>
      <c r="S59" s="109">
        <v>15</v>
      </c>
      <c r="T59" s="222">
        <v>184.1</v>
      </c>
      <c r="U59" s="228" t="s">
        <v>128</v>
      </c>
      <c r="V59" s="224"/>
      <c r="W59" s="225"/>
      <c r="X59" s="222">
        <f t="shared" si="3"/>
        <v>0</v>
      </c>
      <c r="Y59" s="226">
        <f t="shared" si="4"/>
        <v>0</v>
      </c>
      <c r="Z59" s="227">
        <f t="shared" si="5"/>
        <v>0</v>
      </c>
      <c r="AA59" s="181">
        <f t="shared" si="6"/>
        <v>0</v>
      </c>
      <c r="AB59" s="126">
        <f t="shared" si="7"/>
        <v>0</v>
      </c>
      <c r="AD59"/>
      <c r="AE59"/>
      <c r="AF59"/>
      <c r="AG59"/>
      <c r="AH59"/>
      <c r="AI59"/>
    </row>
    <row r="60" spans="1:35" s="56" customFormat="1" x14ac:dyDescent="0.3">
      <c r="A60" s="167"/>
      <c r="B60" s="140"/>
      <c r="N60"/>
      <c r="O60" s="57"/>
      <c r="P60" s="57"/>
      <c r="R60"/>
      <c r="S60" s="109">
        <v>28</v>
      </c>
      <c r="T60" s="222">
        <v>297.54000000000002</v>
      </c>
      <c r="U60" s="228" t="s">
        <v>100</v>
      </c>
      <c r="V60" s="224"/>
      <c r="W60" s="225"/>
      <c r="X60" s="222">
        <f t="shared" si="3"/>
        <v>0</v>
      </c>
      <c r="Y60" s="226">
        <f t="shared" si="4"/>
        <v>0</v>
      </c>
      <c r="Z60" s="227">
        <f t="shared" si="5"/>
        <v>0</v>
      </c>
      <c r="AA60" s="181">
        <f t="shared" si="6"/>
        <v>0</v>
      </c>
      <c r="AB60" s="126">
        <f t="shared" si="7"/>
        <v>0</v>
      </c>
      <c r="AD60"/>
      <c r="AE60"/>
      <c r="AF60"/>
      <c r="AG60"/>
      <c r="AH60"/>
      <c r="AI60"/>
    </row>
    <row r="61" spans="1:35" s="56" customFormat="1" x14ac:dyDescent="0.3">
      <c r="A61" s="167"/>
      <c r="B61" s="140"/>
      <c r="N61"/>
      <c r="O61" s="57"/>
      <c r="P61" s="57"/>
      <c r="R61"/>
      <c r="S61" s="109">
        <v>29</v>
      </c>
      <c r="T61" s="222">
        <v>323.57</v>
      </c>
      <c r="U61" s="228" t="s">
        <v>129</v>
      </c>
      <c r="V61" s="224"/>
      <c r="W61" s="225"/>
      <c r="X61" s="222">
        <f t="shared" si="3"/>
        <v>0</v>
      </c>
      <c r="Y61" s="226">
        <f t="shared" si="4"/>
        <v>0</v>
      </c>
      <c r="Z61" s="227">
        <f t="shared" si="5"/>
        <v>0</v>
      </c>
      <c r="AA61" s="181">
        <f t="shared" si="6"/>
        <v>0</v>
      </c>
      <c r="AB61" s="126">
        <f t="shared" si="7"/>
        <v>0</v>
      </c>
      <c r="AD61"/>
      <c r="AE61"/>
      <c r="AF61"/>
      <c r="AG61"/>
      <c r="AH61"/>
      <c r="AI61"/>
    </row>
    <row r="62" spans="1:35" s="56" customFormat="1" ht="18" thickBot="1" x14ac:dyDescent="0.35">
      <c r="A62" s="167"/>
      <c r="B62" s="140"/>
      <c r="N62"/>
      <c r="O62" s="57"/>
      <c r="P62" s="57"/>
      <c r="R62"/>
      <c r="S62" s="112">
        <v>30</v>
      </c>
      <c r="T62" s="185">
        <v>294.95</v>
      </c>
      <c r="U62" s="186" t="s">
        <v>130</v>
      </c>
      <c r="V62" s="114"/>
      <c r="W62" s="116"/>
      <c r="X62" s="185">
        <f t="shared" si="3"/>
        <v>0</v>
      </c>
      <c r="Y62" s="229">
        <f>SUMIFS($P$13:$P$86,$AD$13:$AD$86,S62,$B$13:$B$86,$R$89)</f>
        <v>0</v>
      </c>
      <c r="Z62" s="188">
        <f t="shared" si="5"/>
        <v>0</v>
      </c>
      <c r="AA62" s="119">
        <f t="shared" si="6"/>
        <v>0</v>
      </c>
      <c r="AB62" s="126">
        <f t="shared" si="7"/>
        <v>0</v>
      </c>
      <c r="AD62"/>
      <c r="AE62"/>
      <c r="AF62"/>
      <c r="AG62"/>
      <c r="AH62"/>
      <c r="AI62"/>
    </row>
    <row r="63" spans="1:35" s="56" customFormat="1" x14ac:dyDescent="0.3">
      <c r="A63" s="167"/>
      <c r="B63" s="140"/>
      <c r="N63"/>
      <c r="O63" s="57"/>
      <c r="P63" s="57"/>
      <c r="R63"/>
      <c r="S63"/>
      <c r="T63"/>
      <c r="U63"/>
      <c r="V63"/>
      <c r="W63"/>
      <c r="X63" s="106">
        <f>SUM(X48:X62)</f>
        <v>21</v>
      </c>
      <c r="Y63" s="136">
        <f>SUM(Y48:Y62)</f>
        <v>0.25782944999999996</v>
      </c>
      <c r="Z63" s="108">
        <f>SUM(Z48:Z62)</f>
        <v>70.320404192999987</v>
      </c>
      <c r="AA63" s="106">
        <f>SUM(AA48:AA62)</f>
        <v>1.5981910043863634</v>
      </c>
      <c r="AD63"/>
      <c r="AE63"/>
      <c r="AF63"/>
      <c r="AG63"/>
      <c r="AH63"/>
      <c r="AI63"/>
    </row>
    <row r="64" spans="1:35" s="56" customFormat="1" hidden="1" x14ac:dyDescent="0.3">
      <c r="A64" s="167"/>
      <c r="B64" s="140"/>
      <c r="N64"/>
      <c r="O64" s="57"/>
      <c r="P64" s="57"/>
      <c r="R64"/>
      <c r="S64"/>
      <c r="T64"/>
      <c r="U64"/>
      <c r="V64"/>
      <c r="W64"/>
      <c r="X64"/>
      <c r="Y64"/>
      <c r="Z64"/>
      <c r="AA64"/>
      <c r="AD64"/>
      <c r="AE64"/>
      <c r="AF64"/>
      <c r="AG64"/>
      <c r="AH64"/>
      <c r="AI64"/>
    </row>
    <row r="65" spans="1:35" s="56" customFormat="1" hidden="1" x14ac:dyDescent="0.3">
      <c r="A65" s="167"/>
      <c r="B65" s="140"/>
      <c r="N65"/>
      <c r="O65" s="57"/>
      <c r="P65" s="57"/>
      <c r="R65" s="107"/>
      <c r="S65" s="120" t="s">
        <v>86</v>
      </c>
      <c r="T65" s="121" t="s">
        <v>90</v>
      </c>
      <c r="U65" s="122" t="s">
        <v>87</v>
      </c>
      <c r="V65" s="123"/>
      <c r="W65" s="124"/>
      <c r="X65" s="121" t="s">
        <v>88</v>
      </c>
      <c r="Y65" s="121" t="s">
        <v>89</v>
      </c>
      <c r="Z65" s="121" t="s">
        <v>91</v>
      </c>
      <c r="AA65" s="125" t="s">
        <v>92</v>
      </c>
      <c r="AB65" s="131" t="s">
        <v>94</v>
      </c>
      <c r="AD65"/>
      <c r="AE65"/>
      <c r="AF65"/>
      <c r="AG65"/>
      <c r="AH65"/>
      <c r="AI65"/>
    </row>
    <row r="66" spans="1:35" s="56" customFormat="1" hidden="1" x14ac:dyDescent="0.3">
      <c r="A66" s="167"/>
      <c r="B66" s="140"/>
      <c r="N66"/>
      <c r="O66" s="57"/>
      <c r="P66" s="57"/>
      <c r="Q66" s="150" t="e">
        <f>#REF!</f>
        <v>#REF!</v>
      </c>
      <c r="R66"/>
      <c r="S66" s="109">
        <v>3</v>
      </c>
      <c r="T66" s="128">
        <v>206</v>
      </c>
      <c r="U66" s="132" t="s">
        <v>80</v>
      </c>
      <c r="V66" s="133"/>
      <c r="W66" s="134"/>
      <c r="X66" s="128">
        <f>SUMIFS($R$13:$R$44,$AD$13:$AD$44,S66,$B$13:$B$44,$R$65)</f>
        <v>0</v>
      </c>
      <c r="Y66" s="135">
        <f>SUMIFS($P$13:$P$44,$AD$13:$AD$44,S66,$B$13:$B$44,$R$65)</f>
        <v>0</v>
      </c>
      <c r="Z66" s="130">
        <f>Y66*T66</f>
        <v>0</v>
      </c>
      <c r="AA66" s="110">
        <f>Z66/44</f>
        <v>0</v>
      </c>
      <c r="AB66" s="126">
        <f>X66/5</f>
        <v>0</v>
      </c>
      <c r="AD66"/>
      <c r="AE66"/>
      <c r="AF66"/>
      <c r="AG66"/>
      <c r="AH66"/>
      <c r="AI66"/>
    </row>
    <row r="67" spans="1:35" s="56" customFormat="1" hidden="1" x14ac:dyDescent="0.3">
      <c r="A67" s="167"/>
      <c r="B67" s="140"/>
      <c r="N67"/>
      <c r="O67" s="57"/>
      <c r="P67" s="57"/>
      <c r="Q67" s="149" t="e">
        <f>#REF!</f>
        <v>#REF!</v>
      </c>
      <c r="R67"/>
      <c r="S67" s="109">
        <v>4</v>
      </c>
      <c r="T67" s="128">
        <v>220</v>
      </c>
      <c r="U67" s="132" t="s">
        <v>83</v>
      </c>
      <c r="V67" s="133"/>
      <c r="W67" s="134"/>
      <c r="X67" s="128">
        <f>SUMIFS($R$13:$R$44,$AD$13:$AD$44,S67,$B$13:$B$44,$R$65)</f>
        <v>0</v>
      </c>
      <c r="Y67" s="135">
        <f>SUMIFS($P$13:$P$44,$AD$13:$AD$44,S67,$B$13:$B$44,$R$65)</f>
        <v>0</v>
      </c>
      <c r="Z67" s="130">
        <f t="shared" ref="Z67:Z80" si="8">Y67*T67</f>
        <v>0</v>
      </c>
      <c r="AA67" s="110">
        <f t="shared" ref="AA67:AA80" si="9">Z67/44</f>
        <v>0</v>
      </c>
      <c r="AB67" s="126">
        <f t="shared" ref="AB67:AB80" si="10">X67/5</f>
        <v>0</v>
      </c>
      <c r="AD67"/>
      <c r="AE67"/>
      <c r="AF67"/>
      <c r="AG67"/>
      <c r="AH67"/>
      <c r="AI67"/>
    </row>
    <row r="68" spans="1:35" s="56" customFormat="1" hidden="1" x14ac:dyDescent="0.3">
      <c r="A68" s="167"/>
      <c r="B68" s="140"/>
      <c r="N68"/>
      <c r="O68" s="57"/>
      <c r="P68" s="57"/>
      <c r="R68"/>
      <c r="S68" s="111">
        <v>5</v>
      </c>
      <c r="T68" s="128">
        <v>285</v>
      </c>
      <c r="U68" s="132" t="s">
        <v>84</v>
      </c>
      <c r="V68" s="133"/>
      <c r="W68" s="133"/>
      <c r="X68" s="128">
        <f>SUMIFS($R$13:$R$44,$AD$13:$AD$44,S68,$B$13:$B$44,$R$65)</f>
        <v>0</v>
      </c>
      <c r="Y68" s="135">
        <f>SUMIFS($P$13:$P$44,$AD$13:$AD$44,S68,$B$13:$B$44,$R$65)</f>
        <v>0</v>
      </c>
      <c r="Z68" s="130">
        <f t="shared" si="8"/>
        <v>0</v>
      </c>
      <c r="AA68" s="110">
        <f t="shared" si="9"/>
        <v>0</v>
      </c>
      <c r="AB68" s="126">
        <f t="shared" si="10"/>
        <v>0</v>
      </c>
      <c r="AD68"/>
      <c r="AE68"/>
      <c r="AF68"/>
      <c r="AG68"/>
      <c r="AH68"/>
      <c r="AI68"/>
    </row>
    <row r="69" spans="1:35" s="56" customFormat="1" hidden="1" x14ac:dyDescent="0.3">
      <c r="A69" s="167"/>
      <c r="B69" s="140"/>
      <c r="N69"/>
      <c r="O69" s="57"/>
      <c r="P69" s="57"/>
      <c r="Q69" s="150" t="e">
        <f>#REF!</f>
        <v>#REF!</v>
      </c>
      <c r="R69"/>
      <c r="S69" s="111">
        <v>6</v>
      </c>
      <c r="T69" s="128">
        <v>200</v>
      </c>
      <c r="U69" s="132" t="s">
        <v>85</v>
      </c>
      <c r="V69" s="133"/>
      <c r="W69" s="134"/>
      <c r="X69" s="128">
        <f>SUMIFS($R$13:$R$44,$AD$13:$AD$44,S69,$B$13:$B$44,$R$65)</f>
        <v>0</v>
      </c>
      <c r="Y69" s="135">
        <f>SUMIFS($P$13:$P$44,$AD$13:$AD$44,S69,$B$13:$B$44,$R$65)</f>
        <v>0</v>
      </c>
      <c r="Z69" s="130">
        <f t="shared" si="8"/>
        <v>0</v>
      </c>
      <c r="AA69" s="110">
        <f t="shared" si="9"/>
        <v>0</v>
      </c>
      <c r="AB69" s="126">
        <f t="shared" si="10"/>
        <v>0</v>
      </c>
      <c r="AD69"/>
      <c r="AE69"/>
      <c r="AF69"/>
      <c r="AG69"/>
      <c r="AH69"/>
      <c r="AI69"/>
    </row>
    <row r="70" spans="1:35" s="56" customFormat="1" hidden="1" x14ac:dyDescent="0.3">
      <c r="A70" s="167"/>
      <c r="B70" s="140"/>
      <c r="N70"/>
      <c r="O70" s="57"/>
      <c r="P70" s="57"/>
      <c r="Q70" s="149" t="e">
        <f>#REF!</f>
        <v>#REF!</v>
      </c>
      <c r="R70"/>
      <c r="S70" s="111">
        <v>7</v>
      </c>
      <c r="T70" s="128">
        <v>199</v>
      </c>
      <c r="U70" s="132" t="s">
        <v>98</v>
      </c>
      <c r="V70" s="133"/>
      <c r="W70" s="134"/>
      <c r="X70" s="128">
        <f>SUMIFS($R$13:$R$44,$AD$13:$AD$44,S70,$B$13:$B$44,$R$65)</f>
        <v>0</v>
      </c>
      <c r="Y70" s="135">
        <f>SUMIFS($P$13:$P$44,$AD$13:$AD$44,S70,$B$13:$B$44,$R$65)</f>
        <v>0</v>
      </c>
      <c r="Z70" s="130">
        <f t="shared" si="8"/>
        <v>0</v>
      </c>
      <c r="AA70" s="110">
        <f t="shared" si="9"/>
        <v>0</v>
      </c>
      <c r="AB70" s="126">
        <f t="shared" si="10"/>
        <v>0</v>
      </c>
      <c r="AD70"/>
      <c r="AE70"/>
      <c r="AF70"/>
      <c r="AG70"/>
      <c r="AH70"/>
      <c r="AI70"/>
    </row>
    <row r="71" spans="1:35" s="56" customFormat="1" hidden="1" x14ac:dyDescent="0.3">
      <c r="A71" s="167"/>
      <c r="B71" s="140"/>
      <c r="N71"/>
      <c r="O71" s="57"/>
      <c r="P71" s="57"/>
      <c r="R71"/>
      <c r="S71" s="109">
        <v>8</v>
      </c>
      <c r="T71" s="128">
        <v>160</v>
      </c>
      <c r="U71" s="132" t="s">
        <v>76</v>
      </c>
      <c r="V71" s="133"/>
      <c r="W71" s="134"/>
      <c r="X71" s="128">
        <f>SUMIFS($R$13:$R$44,$D$13:$D$44,U71,$B$13:$B$44,$R$65)</f>
        <v>0</v>
      </c>
      <c r="Y71" s="135">
        <f>SUMIFS($P$13:$P$44,$D$13:$D$44,U71,$B$13:$B$44,$R$65)</f>
        <v>0</v>
      </c>
      <c r="Z71" s="130">
        <f t="shared" si="8"/>
        <v>0</v>
      </c>
      <c r="AA71" s="110">
        <f t="shared" si="9"/>
        <v>0</v>
      </c>
      <c r="AB71" s="126">
        <f t="shared" si="10"/>
        <v>0</v>
      </c>
      <c r="AD71"/>
      <c r="AE71"/>
      <c r="AF71"/>
      <c r="AG71"/>
      <c r="AH71"/>
      <c r="AI71"/>
    </row>
    <row r="72" spans="1:35" s="56" customFormat="1" hidden="1" x14ac:dyDescent="0.3">
      <c r="A72" s="167"/>
      <c r="B72" s="140"/>
      <c r="N72"/>
      <c r="O72" s="57"/>
      <c r="P72" s="57"/>
      <c r="R72"/>
      <c r="S72" s="109">
        <v>8</v>
      </c>
      <c r="T72" s="128">
        <v>160</v>
      </c>
      <c r="U72" s="132" t="s">
        <v>75</v>
      </c>
      <c r="V72" s="133"/>
      <c r="W72" s="134"/>
      <c r="X72" s="128">
        <f>SUMIFS($R$13:$R$44,$D$13:$D$44,U72,$B$13:$B$44,$R$65)</f>
        <v>0</v>
      </c>
      <c r="Y72" s="135">
        <f>SUMIFS($P$13:$P$44,$D$13:$D$44,U72,$B$13:$B$44,$R$65)</f>
        <v>0</v>
      </c>
      <c r="Z72" s="130">
        <f t="shared" si="8"/>
        <v>0</v>
      </c>
      <c r="AA72" s="110">
        <f t="shared" si="9"/>
        <v>0</v>
      </c>
      <c r="AB72" s="126">
        <f t="shared" si="10"/>
        <v>0</v>
      </c>
      <c r="AD72"/>
      <c r="AE72"/>
      <c r="AF72"/>
      <c r="AG72"/>
      <c r="AH72"/>
      <c r="AI72"/>
    </row>
    <row r="73" spans="1:35" s="56" customFormat="1" hidden="1" x14ac:dyDescent="0.3">
      <c r="A73" s="167"/>
      <c r="B73" s="140"/>
      <c r="N73"/>
      <c r="O73" s="57"/>
      <c r="P73" s="57"/>
      <c r="R73"/>
      <c r="S73" s="109">
        <v>8</v>
      </c>
      <c r="T73" s="128">
        <v>160</v>
      </c>
      <c r="U73" s="132" t="s">
        <v>77</v>
      </c>
      <c r="V73" s="133"/>
      <c r="W73" s="134"/>
      <c r="X73" s="128">
        <f>SUMIFS($R$13:$R$44,$D$13:$D$44,U73,$B$13:$B$44,$R$65)</f>
        <v>0</v>
      </c>
      <c r="Y73" s="135">
        <f>SUMIFS($P$13:$P$44,$D$13:$D$44,U73,$B$13:$B$44,$R$65)</f>
        <v>0</v>
      </c>
      <c r="Z73" s="130">
        <f t="shared" si="8"/>
        <v>0</v>
      </c>
      <c r="AA73" s="110">
        <f t="shared" si="9"/>
        <v>0</v>
      </c>
      <c r="AB73" s="126">
        <f t="shared" si="10"/>
        <v>0</v>
      </c>
      <c r="AD73"/>
      <c r="AE73"/>
      <c r="AF73"/>
      <c r="AG73"/>
      <c r="AH73"/>
      <c r="AI73"/>
    </row>
    <row r="74" spans="1:35" s="56" customFormat="1" hidden="1" x14ac:dyDescent="0.3">
      <c r="A74" s="167"/>
      <c r="B74" s="140"/>
      <c r="N74"/>
      <c r="O74" s="57"/>
      <c r="P74" s="57"/>
      <c r="R74"/>
      <c r="S74" s="109">
        <v>9</v>
      </c>
      <c r="T74" s="128">
        <v>143</v>
      </c>
      <c r="U74" s="132" t="s">
        <v>97</v>
      </c>
      <c r="V74" s="133"/>
      <c r="W74" s="134"/>
      <c r="X74" s="128">
        <f t="shared" ref="X74:X80" si="11">SUMIFS($R$13:$R$44,$AD$13:$AD$44,S74,$B$13:$B$44,$R$65)</f>
        <v>0</v>
      </c>
      <c r="Y74" s="135">
        <f t="shared" ref="Y74:Y80" si="12">SUMIFS($P$13:$P$44,$AD$13:$AD$44,S74,$B$13:$B$44,$R$65)</f>
        <v>0</v>
      </c>
      <c r="Z74" s="130">
        <f t="shared" si="8"/>
        <v>0</v>
      </c>
      <c r="AA74" s="110">
        <f t="shared" si="9"/>
        <v>0</v>
      </c>
      <c r="AB74" s="126">
        <f t="shared" si="10"/>
        <v>0</v>
      </c>
      <c r="AD74"/>
      <c r="AE74"/>
      <c r="AF74"/>
      <c r="AG74"/>
      <c r="AH74"/>
      <c r="AI74"/>
    </row>
    <row r="75" spans="1:35" s="56" customFormat="1" hidden="1" x14ac:dyDescent="0.3">
      <c r="A75" s="167"/>
      <c r="B75" s="140"/>
      <c r="N75"/>
      <c r="O75" s="57"/>
      <c r="P75" s="57"/>
      <c r="R75"/>
      <c r="S75" s="109">
        <v>10</v>
      </c>
      <c r="T75" s="128">
        <v>200</v>
      </c>
      <c r="U75" s="132" t="s">
        <v>82</v>
      </c>
      <c r="V75" s="133"/>
      <c r="W75" s="134"/>
      <c r="X75" s="128">
        <f t="shared" si="11"/>
        <v>0</v>
      </c>
      <c r="Y75" s="135">
        <f t="shared" si="12"/>
        <v>0</v>
      </c>
      <c r="Z75" s="130">
        <f t="shared" si="8"/>
        <v>0</v>
      </c>
      <c r="AA75" s="110">
        <f t="shared" si="9"/>
        <v>0</v>
      </c>
      <c r="AB75" s="126">
        <f t="shared" si="10"/>
        <v>0</v>
      </c>
      <c r="AD75"/>
      <c r="AE75"/>
      <c r="AF75"/>
      <c r="AG75"/>
      <c r="AH75"/>
      <c r="AI75"/>
    </row>
    <row r="76" spans="1:35" s="56" customFormat="1" hidden="1" x14ac:dyDescent="0.3">
      <c r="A76" s="167"/>
      <c r="B76" s="140"/>
      <c r="N76"/>
      <c r="O76" s="57"/>
      <c r="P76" s="57"/>
      <c r="R76"/>
      <c r="S76" s="109">
        <v>12</v>
      </c>
      <c r="T76" s="128">
        <v>149</v>
      </c>
      <c r="U76" s="132" t="s">
        <v>78</v>
      </c>
      <c r="V76" s="133"/>
      <c r="W76" s="134"/>
      <c r="X76" s="128">
        <f t="shared" si="11"/>
        <v>0</v>
      </c>
      <c r="Y76" s="135">
        <f t="shared" si="12"/>
        <v>0</v>
      </c>
      <c r="Z76" s="130">
        <f t="shared" si="8"/>
        <v>0</v>
      </c>
      <c r="AA76" s="110">
        <f t="shared" si="9"/>
        <v>0</v>
      </c>
      <c r="AB76" s="126">
        <f t="shared" si="10"/>
        <v>0</v>
      </c>
      <c r="AD76"/>
      <c r="AE76"/>
      <c r="AF76"/>
      <c r="AG76"/>
      <c r="AH76"/>
      <c r="AI76"/>
    </row>
    <row r="77" spans="1:35" s="56" customFormat="1" hidden="1" x14ac:dyDescent="0.3">
      <c r="A77" s="167"/>
      <c r="B77" s="140"/>
      <c r="N77"/>
      <c r="O77" s="57"/>
      <c r="P77" s="57"/>
      <c r="R77"/>
      <c r="S77" s="137">
        <v>14</v>
      </c>
      <c r="T77" s="142">
        <v>172.9</v>
      </c>
      <c r="U77" s="143" t="s">
        <v>81</v>
      </c>
      <c r="V77" s="144"/>
      <c r="W77" s="145"/>
      <c r="X77" s="142">
        <f t="shared" si="11"/>
        <v>0</v>
      </c>
      <c r="Y77" s="146">
        <f t="shared" si="12"/>
        <v>0</v>
      </c>
      <c r="Z77" s="147">
        <f t="shared" si="8"/>
        <v>0</v>
      </c>
      <c r="AA77" s="138">
        <f t="shared" si="9"/>
        <v>0</v>
      </c>
      <c r="AB77" s="126">
        <f t="shared" si="10"/>
        <v>0</v>
      </c>
      <c r="AD77"/>
      <c r="AE77"/>
      <c r="AF77"/>
      <c r="AG77"/>
      <c r="AH77"/>
      <c r="AI77"/>
    </row>
    <row r="78" spans="1:35" s="56" customFormat="1" hidden="1" x14ac:dyDescent="0.3">
      <c r="A78" s="167"/>
      <c r="B78" s="140"/>
      <c r="D78"/>
      <c r="N78"/>
      <c r="O78" s="57"/>
      <c r="P78" s="57"/>
      <c r="R78"/>
      <c r="S78" s="137">
        <v>15</v>
      </c>
      <c r="T78" s="142">
        <v>55.068932038834944</v>
      </c>
      <c r="U78" s="143" t="s">
        <v>99</v>
      </c>
      <c r="V78" s="144"/>
      <c r="W78" s="145"/>
      <c r="X78" s="142">
        <f t="shared" si="11"/>
        <v>0</v>
      </c>
      <c r="Y78" s="146">
        <f t="shared" si="12"/>
        <v>0</v>
      </c>
      <c r="Z78" s="147">
        <f t="shared" si="8"/>
        <v>0</v>
      </c>
      <c r="AA78" s="138">
        <f t="shared" si="9"/>
        <v>0</v>
      </c>
      <c r="AB78" s="126">
        <f t="shared" si="10"/>
        <v>0</v>
      </c>
      <c r="AD78"/>
      <c r="AE78"/>
      <c r="AF78"/>
      <c r="AG78"/>
      <c r="AH78"/>
      <c r="AI78"/>
    </row>
    <row r="79" spans="1:35" s="56" customFormat="1" hidden="1" x14ac:dyDescent="0.3">
      <c r="A79" s="167"/>
      <c r="B79" s="140"/>
      <c r="D79"/>
      <c r="N79"/>
      <c r="O79" s="57"/>
      <c r="P79" s="57"/>
      <c r="R79"/>
      <c r="S79" s="137">
        <v>28</v>
      </c>
      <c r="T79" s="155">
        <v>200</v>
      </c>
      <c r="U79" s="156" t="s">
        <v>101</v>
      </c>
      <c r="V79" s="157"/>
      <c r="W79" s="158"/>
      <c r="X79" s="155">
        <f t="shared" si="11"/>
        <v>0</v>
      </c>
      <c r="Y79" s="166">
        <f t="shared" si="12"/>
        <v>0</v>
      </c>
      <c r="Z79" s="160">
        <f t="shared" si="8"/>
        <v>0</v>
      </c>
      <c r="AA79" s="138">
        <f t="shared" si="9"/>
        <v>0</v>
      </c>
      <c r="AB79" s="126">
        <f t="shared" si="10"/>
        <v>0</v>
      </c>
      <c r="AD79"/>
      <c r="AE79"/>
      <c r="AF79"/>
      <c r="AG79"/>
      <c r="AH79"/>
      <c r="AI79"/>
    </row>
    <row r="80" spans="1:35" s="56" customFormat="1" ht="18" hidden="1" thickBot="1" x14ac:dyDescent="0.35">
      <c r="A80" s="167"/>
      <c r="B80" s="140"/>
      <c r="D80"/>
      <c r="N80"/>
      <c r="O80" s="57"/>
      <c r="P80" s="57"/>
      <c r="R80"/>
      <c r="S80" s="112">
        <v>30</v>
      </c>
      <c r="T80" s="113">
        <v>189</v>
      </c>
      <c r="U80" s="114" t="s">
        <v>95</v>
      </c>
      <c r="V80" s="115"/>
      <c r="W80" s="116"/>
      <c r="X80" s="113">
        <f t="shared" si="11"/>
        <v>0</v>
      </c>
      <c r="Y80" s="117">
        <f t="shared" si="12"/>
        <v>0</v>
      </c>
      <c r="Z80" s="118">
        <f t="shared" si="8"/>
        <v>0</v>
      </c>
      <c r="AA80" s="119">
        <f t="shared" si="9"/>
        <v>0</v>
      </c>
      <c r="AB80" s="126">
        <f t="shared" si="10"/>
        <v>0</v>
      </c>
      <c r="AD80"/>
      <c r="AE80"/>
      <c r="AF80"/>
      <c r="AG80"/>
      <c r="AH80"/>
      <c r="AI80"/>
    </row>
    <row r="81" spans="1:40" s="56" customFormat="1" hidden="1" x14ac:dyDescent="0.3">
      <c r="A81" s="167"/>
      <c r="B81" s="140"/>
      <c r="D81"/>
      <c r="N81"/>
      <c r="O81" s="57"/>
      <c r="P81" s="57"/>
      <c r="R81"/>
      <c r="S81"/>
      <c r="T81"/>
      <c r="U81"/>
      <c r="V81"/>
      <c r="W81"/>
      <c r="X81" s="106">
        <f>SUM(X66:X80)</f>
        <v>0</v>
      </c>
      <c r="Y81" s="136">
        <f>SUM(Y66:Y80)</f>
        <v>0</v>
      </c>
      <c r="Z81" s="108">
        <f>SUM(Z66:Z80)</f>
        <v>0</v>
      </c>
      <c r="AA81" s="106">
        <f>SUM(AA66:AA80)</f>
        <v>0</v>
      </c>
      <c r="AD81"/>
      <c r="AE81"/>
      <c r="AF81"/>
      <c r="AG81"/>
      <c r="AH81"/>
      <c r="AI81"/>
    </row>
    <row r="82" spans="1:40" x14ac:dyDescent="0.3">
      <c r="D82"/>
      <c r="Y82" s="57"/>
    </row>
    <row r="83" spans="1:40" x14ac:dyDescent="0.3">
      <c r="D83"/>
    </row>
    <row r="84" spans="1:40" x14ac:dyDescent="0.3">
      <c r="D84"/>
    </row>
    <row r="85" spans="1:40" x14ac:dyDescent="0.3">
      <c r="D85"/>
    </row>
    <row r="86" spans="1:40" x14ac:dyDescent="0.3">
      <c r="D86"/>
    </row>
    <row r="87" spans="1:40" x14ac:dyDescent="0.3">
      <c r="D87"/>
    </row>
    <row r="88" spans="1:40" x14ac:dyDescent="0.3">
      <c r="D88"/>
    </row>
    <row r="89" spans="1:40" x14ac:dyDescent="0.3">
      <c r="D89"/>
    </row>
    <row r="90" spans="1:40" x14ac:dyDescent="0.3">
      <c r="D90"/>
    </row>
    <row r="91" spans="1:40" x14ac:dyDescent="0.3">
      <c r="D91"/>
    </row>
    <row r="92" spans="1:40" s="56" customFormat="1" x14ac:dyDescent="0.3">
      <c r="A92" s="139"/>
      <c r="B92" s="140"/>
      <c r="D92"/>
      <c r="N92"/>
      <c r="O92" s="57"/>
      <c r="P92" s="57"/>
      <c r="AD92"/>
      <c r="AE92"/>
      <c r="AF92"/>
      <c r="AG92"/>
      <c r="AH92"/>
      <c r="AI92"/>
      <c r="AJ92"/>
      <c r="AK92"/>
      <c r="AL92"/>
      <c r="AM92"/>
      <c r="AN92"/>
    </row>
    <row r="93" spans="1:40" s="56" customFormat="1" x14ac:dyDescent="0.3">
      <c r="A93" s="139"/>
      <c r="B93" s="140"/>
      <c r="D93"/>
      <c r="N93"/>
      <c r="O93" s="57"/>
      <c r="P93" s="57"/>
      <c r="AD93"/>
      <c r="AE93"/>
      <c r="AF93"/>
      <c r="AG93"/>
      <c r="AH93"/>
      <c r="AI93"/>
      <c r="AJ93"/>
      <c r="AK93"/>
      <c r="AL93"/>
      <c r="AM93"/>
      <c r="AN93"/>
    </row>
    <row r="94" spans="1:40" s="56" customFormat="1" x14ac:dyDescent="0.3">
      <c r="A94" s="139"/>
      <c r="B94" s="140"/>
      <c r="D94"/>
      <c r="N94"/>
      <c r="O94" s="57"/>
      <c r="P94" s="57"/>
      <c r="AD94"/>
      <c r="AE94"/>
      <c r="AF94"/>
      <c r="AG94"/>
      <c r="AH94"/>
      <c r="AI94"/>
      <c r="AJ94"/>
      <c r="AK94"/>
      <c r="AL94"/>
      <c r="AM94"/>
      <c r="AN94"/>
    </row>
    <row r="95" spans="1:40" s="56" customFormat="1" x14ac:dyDescent="0.3">
      <c r="A95" s="139"/>
      <c r="B95" s="140"/>
      <c r="D95"/>
      <c r="N95"/>
      <c r="O95" s="57"/>
      <c r="P95" s="57"/>
      <c r="AD95"/>
      <c r="AE95"/>
      <c r="AF95"/>
      <c r="AG95"/>
      <c r="AH95"/>
      <c r="AI95"/>
      <c r="AJ95"/>
      <c r="AK95"/>
      <c r="AL95"/>
      <c r="AM95"/>
      <c r="AN95"/>
    </row>
    <row r="96" spans="1:40" s="56" customFormat="1" x14ac:dyDescent="0.3">
      <c r="A96" s="139"/>
      <c r="B96" s="140"/>
      <c r="D96"/>
      <c r="N96"/>
      <c r="O96" s="57"/>
      <c r="P96" s="57"/>
      <c r="AD96"/>
      <c r="AE96"/>
      <c r="AF96"/>
      <c r="AG96"/>
      <c r="AH96"/>
      <c r="AI96"/>
      <c r="AJ96"/>
      <c r="AK96"/>
      <c r="AL96"/>
      <c r="AM96"/>
      <c r="AN96"/>
    </row>
    <row r="97" spans="1:40" s="56" customFormat="1" x14ac:dyDescent="0.3">
      <c r="A97" s="139"/>
      <c r="B97" s="140"/>
      <c r="D97"/>
      <c r="N97"/>
      <c r="O97" s="57"/>
      <c r="P97" s="57"/>
      <c r="AD97"/>
      <c r="AE97"/>
      <c r="AF97"/>
      <c r="AG97"/>
      <c r="AH97"/>
      <c r="AI97"/>
      <c r="AJ97"/>
      <c r="AK97"/>
      <c r="AL97"/>
      <c r="AM97"/>
      <c r="AN97"/>
    </row>
    <row r="98" spans="1:40" s="56" customFormat="1" x14ac:dyDescent="0.3">
      <c r="A98" s="139"/>
      <c r="B98" s="140"/>
      <c r="D98"/>
      <c r="N98"/>
      <c r="O98" s="57"/>
      <c r="P98" s="57"/>
      <c r="AD98"/>
      <c r="AE98"/>
      <c r="AF98"/>
      <c r="AG98"/>
      <c r="AH98"/>
      <c r="AI98"/>
      <c r="AJ98"/>
      <c r="AK98"/>
      <c r="AL98"/>
      <c r="AM98"/>
      <c r="AN98"/>
    </row>
    <row r="99" spans="1:40" s="56" customFormat="1" x14ac:dyDescent="0.3">
      <c r="A99" s="139"/>
      <c r="B99" s="140"/>
      <c r="D99"/>
      <c r="N99"/>
      <c r="O99" s="57"/>
      <c r="P99" s="57"/>
      <c r="AD99"/>
      <c r="AE99"/>
      <c r="AF99"/>
      <c r="AG99"/>
      <c r="AH99"/>
      <c r="AI99"/>
      <c r="AJ99"/>
      <c r="AK99"/>
      <c r="AL99"/>
      <c r="AM99"/>
      <c r="AN99"/>
    </row>
    <row r="100" spans="1:40" s="56" customFormat="1" x14ac:dyDescent="0.3">
      <c r="A100" s="139"/>
      <c r="B100" s="140"/>
      <c r="D100"/>
      <c r="N100"/>
      <c r="O100" s="57"/>
      <c r="P100" s="57"/>
      <c r="AD100"/>
      <c r="AE100"/>
      <c r="AF100"/>
      <c r="AG100"/>
      <c r="AH100"/>
      <c r="AI100"/>
      <c r="AJ100"/>
      <c r="AK100"/>
      <c r="AL100"/>
      <c r="AM100"/>
      <c r="AN100"/>
    </row>
    <row r="101" spans="1:40" s="56" customFormat="1" x14ac:dyDescent="0.3">
      <c r="A101" s="139"/>
      <c r="B101" s="140"/>
      <c r="D101"/>
      <c r="N101"/>
      <c r="O101" s="57"/>
      <c r="P101" s="57"/>
      <c r="AD101"/>
      <c r="AE101"/>
      <c r="AF101"/>
      <c r="AG101"/>
      <c r="AH101"/>
      <c r="AI101"/>
      <c r="AJ101"/>
      <c r="AK101"/>
      <c r="AL101"/>
      <c r="AM101"/>
      <c r="AN101"/>
    </row>
    <row r="102" spans="1:40" s="56" customFormat="1" x14ac:dyDescent="0.3">
      <c r="A102" s="139"/>
      <c r="B102" s="140"/>
      <c r="D102"/>
      <c r="N102"/>
      <c r="O102" s="57"/>
      <c r="P102" s="57"/>
      <c r="AD102"/>
      <c r="AE102"/>
      <c r="AF102"/>
      <c r="AG102"/>
      <c r="AH102"/>
      <c r="AI102"/>
      <c r="AJ102"/>
      <c r="AK102"/>
      <c r="AL102"/>
      <c r="AM102"/>
      <c r="AN102"/>
    </row>
    <row r="103" spans="1:40" s="56" customFormat="1" x14ac:dyDescent="0.3">
      <c r="A103" s="139"/>
      <c r="B103" s="140"/>
      <c r="D103"/>
      <c r="N103"/>
      <c r="O103" s="57"/>
      <c r="P103" s="57"/>
      <c r="AD103"/>
      <c r="AE103"/>
      <c r="AF103"/>
      <c r="AG103"/>
      <c r="AH103"/>
      <c r="AI103"/>
      <c r="AJ103"/>
      <c r="AK103"/>
      <c r="AL103"/>
      <c r="AM103"/>
      <c r="AN103"/>
    </row>
    <row r="104" spans="1:40" s="56" customFormat="1" x14ac:dyDescent="0.3">
      <c r="A104" s="139"/>
      <c r="B104" s="140"/>
      <c r="D104"/>
      <c r="N104"/>
      <c r="O104" s="57"/>
      <c r="P104" s="57"/>
      <c r="AD104"/>
      <c r="AE104"/>
      <c r="AF104"/>
      <c r="AG104"/>
      <c r="AH104"/>
      <c r="AI104"/>
      <c r="AJ104"/>
      <c r="AK104"/>
      <c r="AL104"/>
      <c r="AM104"/>
      <c r="AN104"/>
    </row>
    <row r="105" spans="1:40" s="56" customFormat="1" x14ac:dyDescent="0.3">
      <c r="A105" s="139"/>
      <c r="B105" s="140"/>
      <c r="D105"/>
      <c r="N105"/>
      <c r="O105" s="57"/>
      <c r="P105" s="57"/>
      <c r="AD105"/>
      <c r="AE105"/>
      <c r="AF105"/>
      <c r="AG105"/>
      <c r="AH105"/>
      <c r="AI105"/>
      <c r="AJ105"/>
      <c r="AK105"/>
      <c r="AL105"/>
      <c r="AM105"/>
      <c r="AN105"/>
    </row>
    <row r="106" spans="1:40" s="56" customFormat="1" x14ac:dyDescent="0.3">
      <c r="A106" s="139"/>
      <c r="B106" s="140"/>
      <c r="D106"/>
      <c r="N106"/>
      <c r="O106" s="57"/>
      <c r="P106" s="57"/>
      <c r="AD106"/>
      <c r="AE106"/>
      <c r="AF106"/>
      <c r="AG106"/>
      <c r="AH106"/>
      <c r="AI106"/>
      <c r="AJ106"/>
      <c r="AK106"/>
      <c r="AL106"/>
      <c r="AM106"/>
      <c r="AN106"/>
    </row>
    <row r="107" spans="1:40" s="56" customFormat="1" x14ac:dyDescent="0.3">
      <c r="A107" s="139"/>
      <c r="B107" s="140"/>
      <c r="D107"/>
      <c r="N107"/>
      <c r="O107" s="57"/>
      <c r="P107" s="57"/>
      <c r="AD107"/>
      <c r="AE107"/>
      <c r="AF107"/>
      <c r="AG107"/>
      <c r="AH107"/>
      <c r="AI107"/>
      <c r="AJ107"/>
      <c r="AK107"/>
      <c r="AL107"/>
      <c r="AM107"/>
      <c r="AN107"/>
    </row>
    <row r="108" spans="1:40" s="56" customFormat="1" x14ac:dyDescent="0.3">
      <c r="A108" s="139"/>
      <c r="B108" s="140"/>
      <c r="D108"/>
      <c r="N108"/>
      <c r="O108" s="57"/>
      <c r="P108" s="57"/>
      <c r="AD108"/>
      <c r="AE108"/>
      <c r="AF108"/>
      <c r="AG108"/>
      <c r="AH108"/>
      <c r="AI108"/>
      <c r="AJ108"/>
      <c r="AK108"/>
      <c r="AL108"/>
      <c r="AM108"/>
      <c r="AN108"/>
    </row>
    <row r="109" spans="1:40" s="56" customFormat="1" x14ac:dyDescent="0.3">
      <c r="A109" s="139"/>
      <c r="B109" s="140"/>
      <c r="D109"/>
      <c r="N109"/>
      <c r="O109" s="57"/>
      <c r="P109" s="57"/>
      <c r="AD109"/>
      <c r="AE109"/>
      <c r="AF109"/>
      <c r="AG109"/>
      <c r="AH109"/>
      <c r="AI109"/>
      <c r="AJ109"/>
      <c r="AK109"/>
      <c r="AL109"/>
      <c r="AM109"/>
      <c r="AN109"/>
    </row>
    <row r="110" spans="1:40" s="56" customFormat="1" x14ac:dyDescent="0.3">
      <c r="A110" s="139"/>
      <c r="B110" s="140"/>
      <c r="D110"/>
      <c r="N110"/>
      <c r="O110" s="57"/>
      <c r="P110" s="57"/>
      <c r="AD110"/>
      <c r="AE110"/>
      <c r="AF110"/>
      <c r="AG110"/>
      <c r="AH110"/>
      <c r="AI110"/>
      <c r="AJ110"/>
      <c r="AK110"/>
      <c r="AL110"/>
      <c r="AM110"/>
      <c r="AN110"/>
    </row>
    <row r="111" spans="1:40" s="56" customFormat="1" x14ac:dyDescent="0.3">
      <c r="A111" s="139"/>
      <c r="B111" s="140"/>
      <c r="D111"/>
      <c r="N111"/>
      <c r="O111" s="57"/>
      <c r="P111" s="57"/>
      <c r="AD111"/>
      <c r="AE111"/>
      <c r="AF111"/>
      <c r="AG111"/>
      <c r="AH111"/>
      <c r="AI111"/>
      <c r="AJ111"/>
      <c r="AK111"/>
      <c r="AL111"/>
      <c r="AM111"/>
      <c r="AN111"/>
    </row>
    <row r="112" spans="1:40" s="56" customFormat="1" x14ac:dyDescent="0.3">
      <c r="A112" s="139"/>
      <c r="B112" s="140"/>
      <c r="D112"/>
      <c r="N112"/>
      <c r="O112" s="57"/>
      <c r="P112" s="57"/>
      <c r="AD112"/>
      <c r="AE112"/>
      <c r="AF112"/>
      <c r="AG112"/>
      <c r="AH112"/>
      <c r="AI112"/>
      <c r="AJ112"/>
      <c r="AK112"/>
      <c r="AL112"/>
      <c r="AM112"/>
      <c r="AN112"/>
    </row>
    <row r="113" spans="1:40" s="56" customFormat="1" x14ac:dyDescent="0.3">
      <c r="A113" s="139"/>
      <c r="B113" s="140"/>
      <c r="D113"/>
      <c r="N113"/>
      <c r="O113" s="57"/>
      <c r="P113" s="57"/>
      <c r="AD113"/>
      <c r="AE113"/>
      <c r="AF113"/>
      <c r="AG113"/>
      <c r="AH113"/>
      <c r="AI113"/>
      <c r="AJ113"/>
      <c r="AK113"/>
      <c r="AL113"/>
      <c r="AM113"/>
      <c r="AN113"/>
    </row>
    <row r="114" spans="1:40" s="56" customFormat="1" x14ac:dyDescent="0.3">
      <c r="A114" s="139"/>
      <c r="B114" s="140"/>
      <c r="D114"/>
      <c r="N114"/>
      <c r="O114" s="57"/>
      <c r="P114" s="57"/>
      <c r="AD114"/>
      <c r="AE114"/>
      <c r="AF114"/>
      <c r="AG114"/>
      <c r="AH114"/>
      <c r="AI114"/>
      <c r="AJ114"/>
      <c r="AK114"/>
      <c r="AL114"/>
      <c r="AM114"/>
      <c r="AN114"/>
    </row>
    <row r="115" spans="1:40" s="56" customFormat="1" x14ac:dyDescent="0.3">
      <c r="A115" s="139"/>
      <c r="B115" s="140"/>
      <c r="D115"/>
      <c r="N115"/>
      <c r="O115" s="57"/>
      <c r="P115" s="57"/>
      <c r="AD115"/>
      <c r="AE115"/>
      <c r="AF115"/>
      <c r="AG115"/>
      <c r="AH115"/>
      <c r="AI115"/>
      <c r="AJ115"/>
      <c r="AK115"/>
      <c r="AL115"/>
      <c r="AM115"/>
      <c r="AN115"/>
    </row>
    <row r="116" spans="1:40" s="56" customFormat="1" x14ac:dyDescent="0.3">
      <c r="A116" s="139"/>
      <c r="B116" s="140"/>
      <c r="D116"/>
      <c r="N116"/>
      <c r="O116" s="57"/>
      <c r="P116" s="57"/>
      <c r="AD116"/>
      <c r="AE116"/>
      <c r="AF116"/>
      <c r="AG116"/>
      <c r="AH116"/>
      <c r="AI116"/>
      <c r="AJ116"/>
      <c r="AK116"/>
      <c r="AL116"/>
      <c r="AM116"/>
      <c r="AN116"/>
    </row>
    <row r="117" spans="1:40" s="56" customFormat="1" x14ac:dyDescent="0.3">
      <c r="A117" s="139"/>
      <c r="B117" s="140"/>
      <c r="D117"/>
      <c r="N117"/>
      <c r="O117" s="57"/>
      <c r="P117" s="57"/>
      <c r="AD117"/>
      <c r="AE117"/>
      <c r="AF117"/>
      <c r="AG117"/>
      <c r="AH117"/>
      <c r="AI117"/>
      <c r="AJ117"/>
      <c r="AK117"/>
      <c r="AL117"/>
      <c r="AM117"/>
      <c r="AN117"/>
    </row>
    <row r="118" spans="1:40" s="56" customFormat="1" x14ac:dyDescent="0.3">
      <c r="A118" s="139"/>
      <c r="B118" s="140"/>
      <c r="D118"/>
      <c r="N118"/>
      <c r="O118" s="57"/>
      <c r="P118" s="57"/>
      <c r="AD118"/>
      <c r="AE118"/>
      <c r="AF118"/>
      <c r="AG118"/>
      <c r="AH118"/>
      <c r="AI118"/>
      <c r="AJ118"/>
      <c r="AK118"/>
      <c r="AL118"/>
      <c r="AM118"/>
      <c r="AN118"/>
    </row>
    <row r="119" spans="1:40" s="56" customFormat="1" x14ac:dyDescent="0.3">
      <c r="A119" s="139"/>
      <c r="B119" s="140"/>
      <c r="D119"/>
      <c r="N119"/>
      <c r="O119" s="57"/>
      <c r="P119" s="57"/>
      <c r="AD119"/>
      <c r="AE119"/>
      <c r="AF119"/>
      <c r="AG119"/>
      <c r="AH119"/>
      <c r="AI119"/>
      <c r="AJ119"/>
      <c r="AK119"/>
      <c r="AL119"/>
      <c r="AM119"/>
      <c r="AN119"/>
    </row>
    <row r="120" spans="1:40" s="56" customFormat="1" x14ac:dyDescent="0.3">
      <c r="A120" s="139"/>
      <c r="B120" s="140"/>
      <c r="D120"/>
      <c r="N120"/>
      <c r="O120" s="57"/>
      <c r="P120" s="57"/>
      <c r="AD120"/>
      <c r="AE120"/>
      <c r="AF120"/>
      <c r="AG120"/>
      <c r="AH120"/>
      <c r="AI120"/>
      <c r="AJ120"/>
      <c r="AK120"/>
      <c r="AL120"/>
      <c r="AM120"/>
      <c r="AN120"/>
    </row>
    <row r="121" spans="1:40" s="56" customFormat="1" x14ac:dyDescent="0.3">
      <c r="A121" s="139"/>
      <c r="B121" s="140"/>
      <c r="D121"/>
      <c r="N121"/>
      <c r="O121" s="57"/>
      <c r="P121" s="57"/>
      <c r="AD121"/>
      <c r="AE121"/>
      <c r="AF121"/>
      <c r="AG121"/>
      <c r="AH121"/>
      <c r="AI121"/>
      <c r="AJ121"/>
      <c r="AK121"/>
      <c r="AL121"/>
      <c r="AM121"/>
      <c r="AN121"/>
    </row>
    <row r="122" spans="1:40" s="56" customFormat="1" x14ac:dyDescent="0.3">
      <c r="A122" s="139"/>
      <c r="B122" s="140"/>
      <c r="D122"/>
      <c r="N122"/>
      <c r="O122" s="57"/>
      <c r="P122" s="57"/>
      <c r="AD122"/>
      <c r="AE122"/>
      <c r="AF122"/>
      <c r="AG122"/>
      <c r="AH122"/>
      <c r="AI122"/>
      <c r="AJ122"/>
      <c r="AK122"/>
      <c r="AL122"/>
      <c r="AM122"/>
      <c r="AN122"/>
    </row>
    <row r="123" spans="1:40" s="56" customFormat="1" x14ac:dyDescent="0.3">
      <c r="A123" s="139"/>
      <c r="B123" s="140"/>
      <c r="D123"/>
      <c r="N123"/>
      <c r="O123" s="57"/>
      <c r="P123" s="57"/>
      <c r="AD123"/>
      <c r="AE123"/>
      <c r="AF123"/>
      <c r="AG123"/>
      <c r="AH123"/>
      <c r="AI123"/>
      <c r="AJ123"/>
      <c r="AK123"/>
      <c r="AL123"/>
      <c r="AM123"/>
      <c r="AN123"/>
    </row>
    <row r="124" spans="1:40" s="56" customFormat="1" x14ac:dyDescent="0.3">
      <c r="A124" s="139"/>
      <c r="B124" s="140"/>
      <c r="D124"/>
      <c r="N124"/>
      <c r="O124" s="57"/>
      <c r="P124" s="57"/>
      <c r="AD124"/>
      <c r="AE124"/>
      <c r="AF124"/>
      <c r="AG124"/>
      <c r="AH124"/>
      <c r="AI124"/>
      <c r="AJ124"/>
      <c r="AK124"/>
      <c r="AL124"/>
      <c r="AM124"/>
      <c r="AN124"/>
    </row>
    <row r="125" spans="1:40" s="56" customFormat="1" x14ac:dyDescent="0.3">
      <c r="A125" s="139"/>
      <c r="B125" s="140"/>
      <c r="D125"/>
      <c r="N125"/>
      <c r="O125" s="57"/>
      <c r="P125" s="57"/>
      <c r="AD125"/>
      <c r="AE125"/>
      <c r="AF125"/>
      <c r="AG125"/>
      <c r="AH125"/>
      <c r="AI125"/>
      <c r="AJ125"/>
      <c r="AK125"/>
      <c r="AL125"/>
      <c r="AM125"/>
      <c r="AN125"/>
    </row>
    <row r="126" spans="1:40" s="56" customFormat="1" x14ac:dyDescent="0.3">
      <c r="A126" s="139"/>
      <c r="B126" s="140"/>
      <c r="D126"/>
      <c r="N126"/>
      <c r="O126" s="57"/>
      <c r="P126" s="57"/>
      <c r="AD126"/>
      <c r="AE126"/>
      <c r="AF126"/>
      <c r="AG126"/>
      <c r="AH126"/>
      <c r="AI126"/>
      <c r="AJ126"/>
      <c r="AK126"/>
      <c r="AL126"/>
      <c r="AM126"/>
      <c r="AN126"/>
    </row>
    <row r="127" spans="1:40" s="56" customFormat="1" x14ac:dyDescent="0.3">
      <c r="A127" s="139"/>
      <c r="B127" s="140"/>
      <c r="D127"/>
      <c r="N127"/>
      <c r="O127" s="57"/>
      <c r="P127" s="57"/>
      <c r="AD127"/>
      <c r="AE127"/>
      <c r="AF127"/>
      <c r="AG127"/>
      <c r="AH127"/>
      <c r="AI127"/>
      <c r="AJ127"/>
      <c r="AK127"/>
      <c r="AL127"/>
      <c r="AM127"/>
      <c r="AN127"/>
    </row>
    <row r="128" spans="1:40" s="56" customFormat="1" x14ac:dyDescent="0.3">
      <c r="A128" s="139"/>
      <c r="B128" s="140"/>
      <c r="D128"/>
      <c r="N128"/>
      <c r="O128" s="57"/>
      <c r="P128" s="57"/>
      <c r="AD128"/>
      <c r="AE128"/>
      <c r="AF128"/>
      <c r="AG128"/>
      <c r="AH128"/>
      <c r="AI128"/>
      <c r="AJ128"/>
      <c r="AK128"/>
      <c r="AL128"/>
      <c r="AM128"/>
      <c r="AN128"/>
    </row>
    <row r="129" spans="1:40" s="56" customFormat="1" x14ac:dyDescent="0.3">
      <c r="A129" s="139"/>
      <c r="B129" s="140"/>
      <c r="D129"/>
      <c r="N129"/>
      <c r="O129" s="57"/>
      <c r="P129" s="57"/>
      <c r="AD129"/>
      <c r="AE129"/>
      <c r="AF129"/>
      <c r="AG129"/>
      <c r="AH129"/>
      <c r="AI129"/>
      <c r="AJ129"/>
      <c r="AK129"/>
      <c r="AL129"/>
      <c r="AM129"/>
      <c r="AN129"/>
    </row>
    <row r="130" spans="1:40" s="56" customFormat="1" x14ac:dyDescent="0.3">
      <c r="A130" s="139"/>
      <c r="B130" s="140"/>
      <c r="D130"/>
      <c r="N130"/>
      <c r="O130" s="57"/>
      <c r="P130" s="57"/>
      <c r="AD130"/>
      <c r="AE130"/>
      <c r="AF130"/>
      <c r="AG130"/>
      <c r="AH130"/>
      <c r="AI130"/>
      <c r="AJ130"/>
      <c r="AK130"/>
      <c r="AL130"/>
      <c r="AM130"/>
      <c r="AN130"/>
    </row>
    <row r="131" spans="1:40" s="56" customFormat="1" x14ac:dyDescent="0.3">
      <c r="A131" s="139"/>
      <c r="B131" s="140"/>
      <c r="D131"/>
      <c r="N131"/>
      <c r="O131" s="57"/>
      <c r="P131" s="57"/>
      <c r="AD131"/>
      <c r="AE131"/>
      <c r="AF131"/>
      <c r="AG131"/>
      <c r="AH131"/>
      <c r="AI131"/>
      <c r="AJ131"/>
      <c r="AK131"/>
      <c r="AL131"/>
      <c r="AM131"/>
      <c r="AN131"/>
    </row>
    <row r="132" spans="1:40" s="56" customFormat="1" x14ac:dyDescent="0.3">
      <c r="A132" s="139"/>
      <c r="B132" s="140"/>
      <c r="D132"/>
      <c r="N132"/>
      <c r="O132" s="57"/>
      <c r="P132" s="57"/>
      <c r="AD132"/>
      <c r="AE132"/>
      <c r="AF132"/>
      <c r="AG132"/>
      <c r="AH132"/>
      <c r="AI132"/>
      <c r="AJ132"/>
      <c r="AK132"/>
      <c r="AL132"/>
      <c r="AM132"/>
      <c r="AN132"/>
    </row>
    <row r="133" spans="1:40" s="56" customFormat="1" x14ac:dyDescent="0.3">
      <c r="A133" s="139"/>
      <c r="B133" s="140"/>
      <c r="D133"/>
      <c r="N133"/>
      <c r="O133" s="57"/>
      <c r="P133" s="57"/>
      <c r="AD133"/>
      <c r="AE133"/>
      <c r="AF133"/>
      <c r="AG133"/>
      <c r="AH133"/>
      <c r="AI133"/>
      <c r="AJ133"/>
      <c r="AK133"/>
      <c r="AL133"/>
      <c r="AM133"/>
      <c r="AN133"/>
    </row>
    <row r="134" spans="1:40" s="56" customFormat="1" x14ac:dyDescent="0.3">
      <c r="A134" s="139"/>
      <c r="B134" s="140"/>
      <c r="D134"/>
      <c r="N134"/>
      <c r="O134" s="57"/>
      <c r="P134" s="57"/>
      <c r="AD134"/>
      <c r="AE134"/>
      <c r="AF134"/>
      <c r="AG134"/>
      <c r="AH134"/>
      <c r="AI134"/>
      <c r="AJ134"/>
      <c r="AK134"/>
      <c r="AL134"/>
      <c r="AM134"/>
      <c r="AN134"/>
    </row>
    <row r="135" spans="1:40" s="56" customFormat="1" x14ac:dyDescent="0.3">
      <c r="A135" s="139"/>
      <c r="B135" s="140"/>
      <c r="D135"/>
      <c r="N135"/>
      <c r="O135" s="57"/>
      <c r="P135" s="57"/>
      <c r="AD135"/>
      <c r="AE135"/>
      <c r="AF135"/>
      <c r="AG135"/>
      <c r="AH135"/>
      <c r="AI135"/>
      <c r="AJ135"/>
      <c r="AK135"/>
      <c r="AL135"/>
      <c r="AM135"/>
      <c r="AN135"/>
    </row>
    <row r="136" spans="1:40" s="56" customFormat="1" x14ac:dyDescent="0.3">
      <c r="A136" s="139"/>
      <c r="B136" s="140"/>
      <c r="D136"/>
      <c r="N136"/>
      <c r="O136" s="57"/>
      <c r="P136" s="57"/>
      <c r="AD136"/>
      <c r="AE136"/>
      <c r="AF136"/>
      <c r="AG136"/>
      <c r="AH136"/>
      <c r="AI136"/>
      <c r="AJ136"/>
      <c r="AK136"/>
      <c r="AL136"/>
      <c r="AM136"/>
      <c r="AN136"/>
    </row>
    <row r="137" spans="1:40" s="56" customFormat="1" x14ac:dyDescent="0.3">
      <c r="A137" s="139"/>
      <c r="B137" s="140"/>
      <c r="D137"/>
      <c r="N137"/>
      <c r="O137" s="57"/>
      <c r="P137" s="57"/>
      <c r="AD137"/>
      <c r="AE137"/>
      <c r="AF137"/>
      <c r="AG137"/>
      <c r="AH137"/>
      <c r="AI137"/>
      <c r="AJ137"/>
      <c r="AK137"/>
      <c r="AL137"/>
      <c r="AM137"/>
      <c r="AN137"/>
    </row>
    <row r="138" spans="1:40" s="56" customFormat="1" x14ac:dyDescent="0.3">
      <c r="A138" s="139"/>
      <c r="B138" s="140"/>
      <c r="D138"/>
      <c r="N138"/>
      <c r="O138" s="57"/>
      <c r="P138" s="57"/>
      <c r="AD138"/>
      <c r="AE138"/>
      <c r="AF138"/>
      <c r="AG138"/>
      <c r="AH138"/>
      <c r="AI138"/>
      <c r="AJ138"/>
      <c r="AK138"/>
      <c r="AL138"/>
      <c r="AM138"/>
      <c r="AN138"/>
    </row>
    <row r="139" spans="1:40" s="56" customFormat="1" x14ac:dyDescent="0.3">
      <c r="A139" s="139"/>
      <c r="B139" s="140"/>
      <c r="D139"/>
      <c r="N139"/>
      <c r="O139" s="57"/>
      <c r="P139" s="57"/>
      <c r="AD139"/>
      <c r="AE139"/>
      <c r="AF139"/>
      <c r="AG139"/>
      <c r="AH139"/>
      <c r="AI139"/>
      <c r="AJ139"/>
      <c r="AK139"/>
      <c r="AL139"/>
      <c r="AM139"/>
      <c r="AN139"/>
    </row>
    <row r="140" spans="1:40" s="56" customFormat="1" x14ac:dyDescent="0.3">
      <c r="A140" s="139"/>
      <c r="B140" s="140"/>
      <c r="D140"/>
      <c r="N140"/>
      <c r="O140" s="57"/>
      <c r="P140" s="57"/>
      <c r="AD140"/>
      <c r="AE140"/>
      <c r="AF140"/>
      <c r="AG140"/>
      <c r="AH140"/>
      <c r="AI140"/>
      <c r="AJ140"/>
      <c r="AK140"/>
      <c r="AL140"/>
      <c r="AM140"/>
      <c r="AN140"/>
    </row>
    <row r="141" spans="1:40" s="56" customFormat="1" x14ac:dyDescent="0.3">
      <c r="A141" s="139"/>
      <c r="B141" s="140"/>
      <c r="D141"/>
      <c r="N141"/>
      <c r="O141" s="57"/>
      <c r="P141" s="57"/>
      <c r="AD141"/>
      <c r="AE141"/>
      <c r="AF141"/>
      <c r="AG141"/>
      <c r="AH141"/>
      <c r="AI141"/>
      <c r="AJ141"/>
      <c r="AK141"/>
      <c r="AL141"/>
      <c r="AM141"/>
      <c r="AN141"/>
    </row>
    <row r="142" spans="1:40" s="56" customFormat="1" x14ac:dyDescent="0.3">
      <c r="A142" s="139"/>
      <c r="B142" s="140"/>
      <c r="D142"/>
      <c r="N142"/>
      <c r="O142" s="57"/>
      <c r="P142" s="57"/>
      <c r="AD142"/>
      <c r="AE142"/>
      <c r="AF142"/>
      <c r="AG142"/>
      <c r="AH142"/>
      <c r="AI142"/>
      <c r="AJ142"/>
      <c r="AK142"/>
      <c r="AL142"/>
      <c r="AM142"/>
      <c r="AN142"/>
    </row>
    <row r="143" spans="1:40" s="56" customFormat="1" x14ac:dyDescent="0.3">
      <c r="A143" s="139"/>
      <c r="B143" s="140"/>
      <c r="D143"/>
      <c r="N143"/>
      <c r="O143" s="57"/>
      <c r="P143" s="57"/>
      <c r="AD143"/>
      <c r="AE143"/>
      <c r="AF143"/>
      <c r="AG143"/>
      <c r="AH143"/>
      <c r="AI143"/>
      <c r="AJ143"/>
      <c r="AK143"/>
      <c r="AL143"/>
      <c r="AM143"/>
      <c r="AN143"/>
    </row>
    <row r="144" spans="1:40" s="56" customFormat="1" x14ac:dyDescent="0.3">
      <c r="A144" s="139"/>
      <c r="B144" s="140"/>
      <c r="D144"/>
      <c r="N144"/>
      <c r="O144" s="57"/>
      <c r="P144" s="57"/>
      <c r="AD144"/>
      <c r="AE144"/>
      <c r="AF144"/>
      <c r="AG144"/>
      <c r="AH144"/>
      <c r="AI144"/>
      <c r="AJ144"/>
      <c r="AK144"/>
      <c r="AL144"/>
      <c r="AM144"/>
      <c r="AN144"/>
    </row>
    <row r="145" spans="1:40" s="56" customFormat="1" x14ac:dyDescent="0.3">
      <c r="A145" s="139"/>
      <c r="B145" s="140"/>
      <c r="D145"/>
      <c r="N145"/>
      <c r="O145" s="57"/>
      <c r="P145" s="57"/>
      <c r="AD145"/>
      <c r="AE145"/>
      <c r="AF145"/>
      <c r="AG145"/>
      <c r="AH145"/>
      <c r="AI145"/>
      <c r="AJ145"/>
      <c r="AK145"/>
      <c r="AL145"/>
      <c r="AM145"/>
      <c r="AN145"/>
    </row>
    <row r="146" spans="1:40" s="56" customFormat="1" x14ac:dyDescent="0.3">
      <c r="A146" s="139"/>
      <c r="B146" s="140"/>
      <c r="D146"/>
      <c r="N146"/>
      <c r="O146" s="57"/>
      <c r="P146" s="57"/>
      <c r="AD146"/>
      <c r="AE146"/>
      <c r="AF146"/>
      <c r="AG146"/>
      <c r="AH146"/>
      <c r="AI146"/>
      <c r="AJ146"/>
      <c r="AK146"/>
      <c r="AL146"/>
      <c r="AM146"/>
      <c r="AN146"/>
    </row>
    <row r="147" spans="1:40" s="56" customFormat="1" x14ac:dyDescent="0.3">
      <c r="A147" s="139"/>
      <c r="B147" s="140"/>
      <c r="D147"/>
      <c r="N147"/>
      <c r="O147" s="57"/>
      <c r="P147" s="57"/>
      <c r="AD147"/>
      <c r="AE147"/>
      <c r="AF147"/>
      <c r="AG147"/>
      <c r="AH147"/>
      <c r="AI147"/>
      <c r="AJ147"/>
      <c r="AK147"/>
      <c r="AL147"/>
      <c r="AM147"/>
      <c r="AN147"/>
    </row>
    <row r="148" spans="1:40" s="56" customFormat="1" x14ac:dyDescent="0.3">
      <c r="A148" s="139"/>
      <c r="B148" s="140"/>
      <c r="D148"/>
      <c r="N148"/>
      <c r="O148" s="57"/>
      <c r="P148" s="57"/>
      <c r="AD148"/>
      <c r="AE148"/>
      <c r="AF148"/>
      <c r="AG148"/>
      <c r="AH148"/>
      <c r="AI148"/>
      <c r="AJ148"/>
      <c r="AK148"/>
      <c r="AL148"/>
      <c r="AM148"/>
      <c r="AN148"/>
    </row>
    <row r="149" spans="1:40" s="56" customFormat="1" x14ac:dyDescent="0.3">
      <c r="A149" s="139"/>
      <c r="B149" s="140"/>
      <c r="D149"/>
      <c r="N149"/>
      <c r="O149" s="57"/>
      <c r="P149" s="57"/>
      <c r="AD149"/>
      <c r="AE149"/>
      <c r="AF149"/>
      <c r="AG149"/>
      <c r="AH149"/>
      <c r="AI149"/>
      <c r="AJ149"/>
      <c r="AK149"/>
      <c r="AL149"/>
      <c r="AM149"/>
      <c r="AN149"/>
    </row>
    <row r="150" spans="1:40" s="56" customFormat="1" x14ac:dyDescent="0.3">
      <c r="A150" s="139"/>
      <c r="B150" s="140"/>
      <c r="D150"/>
      <c r="N150"/>
      <c r="O150" s="57"/>
      <c r="P150" s="57"/>
      <c r="AD150"/>
      <c r="AE150"/>
      <c r="AF150"/>
      <c r="AG150"/>
      <c r="AH150"/>
      <c r="AI150"/>
      <c r="AJ150"/>
      <c r="AK150"/>
      <c r="AL150"/>
      <c r="AM150"/>
      <c r="AN150"/>
    </row>
    <row r="151" spans="1:40" s="56" customFormat="1" x14ac:dyDescent="0.3">
      <c r="A151" s="139"/>
      <c r="B151" s="140"/>
      <c r="D151"/>
      <c r="N151"/>
      <c r="O151" s="57"/>
      <c r="P151" s="57"/>
      <c r="AD151"/>
      <c r="AE151"/>
      <c r="AF151"/>
      <c r="AG151"/>
      <c r="AH151"/>
      <c r="AI151"/>
      <c r="AJ151"/>
      <c r="AK151"/>
      <c r="AL151"/>
      <c r="AM151"/>
      <c r="AN151"/>
    </row>
    <row r="152" spans="1:40" s="56" customFormat="1" x14ac:dyDescent="0.3">
      <c r="A152" s="139"/>
      <c r="B152" s="140"/>
      <c r="D152"/>
      <c r="N152"/>
      <c r="O152" s="57"/>
      <c r="P152" s="57"/>
      <c r="AD152"/>
      <c r="AE152"/>
      <c r="AF152"/>
      <c r="AG152"/>
      <c r="AH152"/>
      <c r="AI152"/>
      <c r="AJ152"/>
      <c r="AK152"/>
      <c r="AL152"/>
      <c r="AM152"/>
      <c r="AN152"/>
    </row>
    <row r="153" spans="1:40" s="56" customFormat="1" x14ac:dyDescent="0.3">
      <c r="A153" s="139"/>
      <c r="B153" s="140"/>
      <c r="D153"/>
      <c r="N153"/>
      <c r="O153" s="57"/>
      <c r="P153" s="57"/>
      <c r="AD153"/>
      <c r="AE153"/>
      <c r="AF153"/>
      <c r="AG153"/>
      <c r="AH153"/>
      <c r="AI153"/>
      <c r="AJ153"/>
      <c r="AK153"/>
      <c r="AL153"/>
      <c r="AM153"/>
      <c r="AN153"/>
    </row>
    <row r="154" spans="1:40" s="56" customFormat="1" x14ac:dyDescent="0.3">
      <c r="A154" s="139"/>
      <c r="B154" s="140"/>
      <c r="D154"/>
      <c r="N154"/>
      <c r="O154" s="57"/>
      <c r="P154" s="57"/>
      <c r="AD154"/>
      <c r="AE154"/>
      <c r="AF154"/>
      <c r="AG154"/>
      <c r="AH154"/>
      <c r="AI154"/>
      <c r="AJ154"/>
      <c r="AK154"/>
      <c r="AL154"/>
      <c r="AM154"/>
      <c r="AN154"/>
    </row>
    <row r="155" spans="1:40" s="56" customFormat="1" x14ac:dyDescent="0.3">
      <c r="A155" s="139"/>
      <c r="B155" s="140"/>
      <c r="D155"/>
      <c r="N155"/>
      <c r="O155" s="57"/>
      <c r="P155" s="57"/>
      <c r="AD155"/>
      <c r="AE155"/>
      <c r="AF155"/>
      <c r="AG155"/>
      <c r="AH155"/>
      <c r="AI155"/>
      <c r="AJ155"/>
      <c r="AK155"/>
      <c r="AL155"/>
      <c r="AM155"/>
      <c r="AN155"/>
    </row>
    <row r="156" spans="1:40" s="56" customFormat="1" x14ac:dyDescent="0.3">
      <c r="A156" s="139"/>
      <c r="B156" s="140"/>
      <c r="D156"/>
      <c r="N156"/>
      <c r="O156" s="57"/>
      <c r="P156" s="57"/>
      <c r="AD156"/>
      <c r="AE156"/>
      <c r="AF156"/>
      <c r="AG156"/>
      <c r="AH156"/>
      <c r="AI156"/>
      <c r="AJ156"/>
      <c r="AK156"/>
      <c r="AL156"/>
      <c r="AM156"/>
      <c r="AN156"/>
    </row>
    <row r="157" spans="1:40" s="56" customFormat="1" x14ac:dyDescent="0.3">
      <c r="A157" s="139"/>
      <c r="B157" s="140"/>
      <c r="D157"/>
      <c r="N157"/>
      <c r="O157" s="57"/>
      <c r="P157" s="57"/>
      <c r="AD157"/>
      <c r="AE157"/>
      <c r="AF157"/>
      <c r="AG157"/>
      <c r="AH157"/>
      <c r="AI157"/>
      <c r="AJ157"/>
      <c r="AK157"/>
      <c r="AL157"/>
      <c r="AM157"/>
      <c r="AN157"/>
    </row>
    <row r="158" spans="1:40" s="56" customFormat="1" x14ac:dyDescent="0.3">
      <c r="A158" s="139"/>
      <c r="B158" s="140"/>
      <c r="D158"/>
      <c r="N158"/>
      <c r="O158" s="57"/>
      <c r="P158" s="57"/>
      <c r="AD158"/>
      <c r="AE158"/>
      <c r="AF158"/>
      <c r="AG158"/>
      <c r="AH158"/>
      <c r="AI158"/>
      <c r="AJ158"/>
      <c r="AK158"/>
      <c r="AL158"/>
      <c r="AM158"/>
      <c r="AN158"/>
    </row>
    <row r="159" spans="1:40" s="56" customFormat="1" x14ac:dyDescent="0.3">
      <c r="A159" s="139"/>
      <c r="B159" s="140"/>
      <c r="D159"/>
      <c r="N159"/>
      <c r="O159" s="57"/>
      <c r="P159" s="57"/>
      <c r="AD159"/>
      <c r="AE159"/>
      <c r="AF159"/>
      <c r="AG159"/>
      <c r="AH159"/>
      <c r="AI159"/>
      <c r="AJ159"/>
      <c r="AK159"/>
      <c r="AL159"/>
      <c r="AM159"/>
      <c r="AN159"/>
    </row>
    <row r="160" spans="1:40" s="56" customFormat="1" x14ac:dyDescent="0.3">
      <c r="A160" s="139"/>
      <c r="B160" s="140"/>
      <c r="D160"/>
      <c r="N160"/>
      <c r="O160" s="57"/>
      <c r="P160" s="57"/>
      <c r="AD160"/>
      <c r="AE160"/>
      <c r="AF160"/>
      <c r="AG160"/>
      <c r="AH160"/>
      <c r="AI160"/>
      <c r="AJ160"/>
      <c r="AK160"/>
      <c r="AL160"/>
      <c r="AM160"/>
      <c r="AN160"/>
    </row>
    <row r="161" spans="1:40" s="56" customFormat="1" x14ac:dyDescent="0.3">
      <c r="A161" s="139"/>
      <c r="B161" s="140"/>
      <c r="D161"/>
      <c r="N161"/>
      <c r="O161" s="57"/>
      <c r="P161" s="57"/>
      <c r="AD161"/>
      <c r="AE161"/>
      <c r="AF161"/>
      <c r="AG161"/>
      <c r="AH161"/>
      <c r="AI161"/>
      <c r="AJ161"/>
      <c r="AK161"/>
      <c r="AL161"/>
      <c r="AM161"/>
      <c r="AN161"/>
    </row>
    <row r="162" spans="1:40" s="56" customFormat="1" x14ac:dyDescent="0.3">
      <c r="A162" s="139"/>
      <c r="B162" s="140"/>
      <c r="D162"/>
      <c r="N162"/>
      <c r="O162" s="57"/>
      <c r="P162" s="57"/>
      <c r="AD162"/>
      <c r="AE162"/>
      <c r="AF162"/>
      <c r="AG162"/>
      <c r="AH162"/>
      <c r="AI162"/>
      <c r="AJ162"/>
      <c r="AK162"/>
      <c r="AL162"/>
      <c r="AM162"/>
      <c r="AN162"/>
    </row>
    <row r="163" spans="1:40" s="56" customFormat="1" x14ac:dyDescent="0.3">
      <c r="A163" s="139"/>
      <c r="B163" s="140"/>
      <c r="D163"/>
      <c r="N163"/>
      <c r="O163" s="57"/>
      <c r="P163" s="57"/>
      <c r="AD163"/>
      <c r="AE163"/>
      <c r="AF163"/>
      <c r="AG163"/>
      <c r="AH163"/>
      <c r="AI163"/>
      <c r="AJ163"/>
      <c r="AK163"/>
      <c r="AL163"/>
      <c r="AM163"/>
      <c r="AN163"/>
    </row>
    <row r="164" spans="1:40" s="56" customFormat="1" x14ac:dyDescent="0.3">
      <c r="A164" s="139"/>
      <c r="B164" s="140"/>
      <c r="D164"/>
      <c r="N164"/>
      <c r="O164" s="57"/>
      <c r="P164" s="57"/>
      <c r="AD164"/>
      <c r="AE164"/>
      <c r="AF164"/>
      <c r="AG164"/>
      <c r="AH164"/>
      <c r="AI164"/>
      <c r="AJ164"/>
      <c r="AK164"/>
      <c r="AL164"/>
      <c r="AM164"/>
      <c r="AN164"/>
    </row>
    <row r="165" spans="1:40" s="56" customFormat="1" x14ac:dyDescent="0.3">
      <c r="A165" s="139"/>
      <c r="B165" s="140"/>
      <c r="D165"/>
      <c r="N165"/>
      <c r="O165" s="57"/>
      <c r="P165" s="57"/>
      <c r="AD165"/>
      <c r="AE165"/>
      <c r="AF165"/>
      <c r="AG165"/>
      <c r="AH165"/>
      <c r="AI165"/>
      <c r="AJ165"/>
      <c r="AK165"/>
      <c r="AL165"/>
      <c r="AM165"/>
      <c r="AN165"/>
    </row>
    <row r="166" spans="1:40" s="56" customFormat="1" x14ac:dyDescent="0.3">
      <c r="A166" s="139"/>
      <c r="B166" s="140"/>
      <c r="D166"/>
      <c r="N166"/>
      <c r="O166" s="57"/>
      <c r="P166" s="57"/>
      <c r="AD166"/>
      <c r="AE166"/>
      <c r="AF166"/>
      <c r="AG166"/>
      <c r="AH166"/>
      <c r="AI166"/>
      <c r="AJ166"/>
      <c r="AK166"/>
      <c r="AL166"/>
      <c r="AM166"/>
      <c r="AN166"/>
    </row>
    <row r="167" spans="1:40" s="56" customFormat="1" x14ac:dyDescent="0.3">
      <c r="A167" s="139"/>
      <c r="B167" s="140"/>
      <c r="D167"/>
      <c r="N167"/>
      <c r="O167" s="57"/>
      <c r="P167" s="57"/>
      <c r="AD167"/>
      <c r="AE167"/>
      <c r="AF167"/>
      <c r="AG167"/>
      <c r="AH167"/>
      <c r="AI167"/>
      <c r="AJ167"/>
      <c r="AK167"/>
      <c r="AL167"/>
      <c r="AM167"/>
      <c r="AN167"/>
    </row>
    <row r="168" spans="1:40" s="56" customFormat="1" x14ac:dyDescent="0.3">
      <c r="A168" s="139"/>
      <c r="B168" s="140"/>
      <c r="D168"/>
      <c r="N168"/>
      <c r="O168" s="57"/>
      <c r="P168" s="57"/>
      <c r="AD168"/>
      <c r="AE168"/>
      <c r="AF168"/>
      <c r="AG168"/>
      <c r="AH168"/>
      <c r="AI168"/>
      <c r="AJ168"/>
      <c r="AK168"/>
      <c r="AL168"/>
      <c r="AM168"/>
      <c r="AN168"/>
    </row>
    <row r="169" spans="1:40" s="56" customFormat="1" x14ac:dyDescent="0.3">
      <c r="A169" s="139"/>
      <c r="B169" s="140"/>
      <c r="D169"/>
      <c r="N169"/>
      <c r="O169" s="57"/>
      <c r="P169" s="57"/>
      <c r="AD169"/>
      <c r="AE169"/>
      <c r="AF169"/>
      <c r="AG169"/>
      <c r="AH169"/>
      <c r="AI169"/>
      <c r="AJ169"/>
      <c r="AK169"/>
      <c r="AL169"/>
      <c r="AM169"/>
      <c r="AN169"/>
    </row>
    <row r="170" spans="1:40" s="56" customFormat="1" x14ac:dyDescent="0.3">
      <c r="A170" s="139"/>
      <c r="B170" s="140"/>
      <c r="D170"/>
      <c r="N170"/>
      <c r="O170" s="57"/>
      <c r="P170" s="57"/>
      <c r="AD170"/>
      <c r="AE170"/>
      <c r="AF170"/>
      <c r="AG170"/>
      <c r="AH170"/>
      <c r="AI170"/>
      <c r="AJ170"/>
      <c r="AK170"/>
      <c r="AL170"/>
      <c r="AM170"/>
      <c r="AN170"/>
    </row>
    <row r="171" spans="1:40" s="56" customFormat="1" x14ac:dyDescent="0.3">
      <c r="A171" s="139"/>
      <c r="B171" s="140"/>
      <c r="D171"/>
      <c r="N171"/>
      <c r="O171" s="57"/>
      <c r="P171" s="57"/>
      <c r="AD171"/>
      <c r="AE171"/>
      <c r="AF171"/>
      <c r="AG171"/>
      <c r="AH171"/>
      <c r="AI171"/>
      <c r="AJ171"/>
      <c r="AK171"/>
      <c r="AL171"/>
      <c r="AM171"/>
      <c r="AN171"/>
    </row>
    <row r="172" spans="1:40" s="56" customFormat="1" x14ac:dyDescent="0.3">
      <c r="A172" s="139"/>
      <c r="B172" s="140"/>
      <c r="D172"/>
      <c r="N172"/>
      <c r="O172" s="57"/>
      <c r="P172" s="57"/>
      <c r="AD172"/>
      <c r="AE172"/>
      <c r="AF172"/>
      <c r="AG172"/>
      <c r="AH172"/>
      <c r="AI172"/>
      <c r="AJ172"/>
      <c r="AK172"/>
      <c r="AL172"/>
      <c r="AM172"/>
      <c r="AN172"/>
    </row>
  </sheetData>
  <autoFilter ref="A12:AN45" xr:uid="{1DA6CA8A-4A12-456D-8522-43108B0C15C6}"/>
  <mergeCells count="32">
    <mergeCell ref="C2:X3"/>
    <mergeCell ref="AA2:AC2"/>
    <mergeCell ref="AA3:AC3"/>
    <mergeCell ref="E5:F5"/>
    <mergeCell ref="G5:X8"/>
    <mergeCell ref="Y5:AB5"/>
    <mergeCell ref="E6:E7"/>
    <mergeCell ref="F6:F7"/>
    <mergeCell ref="Y8:AB8"/>
    <mergeCell ref="C10:AC10"/>
    <mergeCell ref="C11:C12"/>
    <mergeCell ref="D11:D12"/>
    <mergeCell ref="E11:E12"/>
    <mergeCell ref="F11:F12"/>
    <mergeCell ref="G11:G12"/>
    <mergeCell ref="H11:H12"/>
    <mergeCell ref="I11:I12"/>
    <mergeCell ref="J11:J12"/>
    <mergeCell ref="L11:L12"/>
    <mergeCell ref="K11:K12"/>
    <mergeCell ref="V11:W11"/>
    <mergeCell ref="X11:Y11"/>
    <mergeCell ref="Z11:AA11"/>
    <mergeCell ref="AB11:AC11"/>
    <mergeCell ref="P11:P12"/>
    <mergeCell ref="Q11:S11"/>
    <mergeCell ref="T11:U11"/>
    <mergeCell ref="L45:M45"/>
    <mergeCell ref="L46:M46"/>
    <mergeCell ref="M11:M12"/>
    <mergeCell ref="N11:N12"/>
    <mergeCell ref="O11:O12"/>
  </mergeCells>
  <pageMargins left="0.23622047244094491" right="0.23622047244094491" top="0.35433070866141736" bottom="0.35433070866141736" header="0.31496062992125984" footer="0.31496062992125984"/>
  <pageSetup paperSize="8" scale="53" fitToHeight="0" orientation="landscape" r:id="rId1"/>
  <rowBreaks count="1" manualBreakCount="1">
    <brk id="39" min="1" max="2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AN211"/>
  <sheetViews>
    <sheetView showGridLines="0" view="pageBreakPreview" zoomScale="70" zoomScaleNormal="60" zoomScaleSheetLayoutView="70" workbookViewId="0">
      <pane ySplit="12" topLeftCell="A13" activePane="bottomLeft" state="frozen"/>
      <selection activeCell="N11" sqref="N11:P12"/>
      <selection pane="bottomLeft" activeCell="N11" sqref="N11:P12"/>
    </sheetView>
  </sheetViews>
  <sheetFormatPr defaultRowHeight="15" x14ac:dyDescent="0.25"/>
  <cols>
    <col min="1" max="1" width="10.5703125" style="139" bestFit="1" customWidth="1"/>
    <col min="2" max="2" width="6.140625" style="139" customWidth="1"/>
    <col min="3" max="3" width="5" bestFit="1" customWidth="1"/>
    <col min="4" max="4" width="70.5703125" customWidth="1"/>
    <col min="5" max="5" width="21.7109375" customWidth="1"/>
    <col min="6" max="6" width="13.140625" customWidth="1"/>
    <col min="7" max="7" width="21.28515625" bestFit="1" customWidth="1"/>
    <col min="8" max="8" width="18" customWidth="1"/>
    <col min="9" max="9" width="26" bestFit="1" customWidth="1"/>
    <col min="10" max="10" width="6.85546875" customWidth="1"/>
    <col min="11" max="11" width="20.5703125" customWidth="1"/>
    <col min="12" max="12" width="15.7109375" customWidth="1"/>
    <col min="13" max="13" width="15" customWidth="1"/>
    <col min="14" max="15" width="10.42578125" customWidth="1"/>
    <col min="16" max="16" width="10.28515625" style="53" customWidth="1"/>
    <col min="17" max="17" width="14.28515625" customWidth="1"/>
    <col min="18" max="19" width="7.42578125" customWidth="1"/>
    <col min="20" max="29" width="8.7109375" customWidth="1"/>
    <col min="30" max="30" width="3.42578125" customWidth="1"/>
  </cols>
  <sheetData>
    <row r="1" spans="1:40" ht="7.5" customHeight="1" thickBot="1" x14ac:dyDescent="0.3"/>
    <row r="2" spans="1:40" ht="26.25" customHeight="1" thickBot="1" x14ac:dyDescent="0.3">
      <c r="C2" s="262" t="s">
        <v>20</v>
      </c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1"/>
      <c r="Y2" s="2" t="s">
        <v>12</v>
      </c>
      <c r="Z2" s="8"/>
      <c r="AA2" s="268" t="e">
        <f>#REF!</f>
        <v>#REF!</v>
      </c>
      <c r="AB2" s="268"/>
      <c r="AC2" s="269"/>
    </row>
    <row r="3" spans="1:40" ht="26.25" customHeight="1" thickBot="1" x14ac:dyDescent="0.3">
      <c r="C3" s="302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4"/>
      <c r="Y3" s="7" t="s">
        <v>13</v>
      </c>
      <c r="Z3" s="6"/>
      <c r="AA3" s="268" t="e">
        <f>#REF!</f>
        <v>#REF!</v>
      </c>
      <c r="AB3" s="268"/>
      <c r="AC3" s="269"/>
      <c r="AE3" t="s">
        <v>113</v>
      </c>
    </row>
    <row r="4" spans="1:40" ht="6" customHeight="1" thickBot="1" x14ac:dyDescent="0.3">
      <c r="C4" s="14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5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6"/>
    </row>
    <row r="5" spans="1:40" ht="18" customHeight="1" thickBot="1" x14ac:dyDescent="0.3">
      <c r="C5" s="17" t="s">
        <v>117</v>
      </c>
      <c r="D5" s="18"/>
      <c r="E5" s="270" t="s">
        <v>31</v>
      </c>
      <c r="F5" s="271"/>
      <c r="G5" s="272" t="s">
        <v>102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4" t="s">
        <v>17</v>
      </c>
      <c r="Z5" s="274"/>
      <c r="AA5" s="274"/>
      <c r="AB5" s="274"/>
      <c r="AC5" s="23"/>
    </row>
    <row r="6" spans="1:40" ht="18" customHeight="1" thickBot="1" x14ac:dyDescent="0.3">
      <c r="C6" s="17" t="s">
        <v>115</v>
      </c>
      <c r="D6" s="18"/>
      <c r="E6" s="275" t="e">
        <f>#REF!</f>
        <v>#REF!</v>
      </c>
      <c r="F6" s="277">
        <f>SUMIFS($P$13:P174,$B$13:B174,E6)</f>
        <v>0</v>
      </c>
      <c r="G6" s="272"/>
      <c r="H6" s="273"/>
      <c r="I6" s="273"/>
      <c r="J6" s="273"/>
      <c r="K6" s="273"/>
      <c r="L6" s="273"/>
      <c r="M6" s="273" t="s">
        <v>23</v>
      </c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19"/>
      <c r="AA6" s="19"/>
      <c r="AB6" s="19"/>
      <c r="AC6" s="4"/>
    </row>
    <row r="7" spans="1:40" ht="18" customHeight="1" thickBot="1" x14ac:dyDescent="0.3">
      <c r="C7" s="20" t="s">
        <v>73</v>
      </c>
      <c r="D7" s="21"/>
      <c r="E7" s="276"/>
      <c r="F7" s="278"/>
      <c r="G7" s="272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13"/>
      <c r="AA7" s="13"/>
      <c r="AB7" s="13"/>
      <c r="AC7" s="4"/>
    </row>
    <row r="8" spans="1:40" ht="18" customHeight="1" thickBot="1" x14ac:dyDescent="0.35">
      <c r="C8" s="17" t="e">
        <f>#REF!</f>
        <v>#REF!</v>
      </c>
      <c r="D8" s="18"/>
      <c r="E8" s="154" t="s">
        <v>19</v>
      </c>
      <c r="F8" s="153">
        <f>SUM(F6:F6)</f>
        <v>0</v>
      </c>
      <c r="G8" s="272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9" t="s">
        <v>16</v>
      </c>
      <c r="Z8" s="279"/>
      <c r="AA8" s="279"/>
      <c r="AB8" s="279"/>
      <c r="AC8" s="4"/>
    </row>
    <row r="9" spans="1:40" ht="18" customHeight="1" thickBot="1" x14ac:dyDescent="0.3">
      <c r="C9" s="20"/>
      <c r="D9" s="22"/>
      <c r="E9" s="102"/>
      <c r="F9" s="103"/>
      <c r="AC9" s="4"/>
    </row>
    <row r="10" spans="1:40" ht="23.25" customHeight="1" thickBot="1" x14ac:dyDescent="0.3">
      <c r="C10" s="280" t="s">
        <v>21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2"/>
    </row>
    <row r="11" spans="1:40" ht="15" customHeight="1" x14ac:dyDescent="0.25">
      <c r="C11" s="283" t="s">
        <v>5</v>
      </c>
      <c r="D11" s="285" t="s">
        <v>6</v>
      </c>
      <c r="E11" s="287" t="s">
        <v>44</v>
      </c>
      <c r="F11" s="287" t="s">
        <v>26</v>
      </c>
      <c r="G11" s="288" t="s">
        <v>15</v>
      </c>
      <c r="H11" s="288" t="s">
        <v>24</v>
      </c>
      <c r="I11" s="287" t="s">
        <v>7</v>
      </c>
      <c r="J11" s="285" t="s">
        <v>8</v>
      </c>
      <c r="K11" s="289" t="s">
        <v>169</v>
      </c>
      <c r="L11" s="285" t="s">
        <v>28</v>
      </c>
      <c r="M11" s="285" t="s">
        <v>14</v>
      </c>
      <c r="N11" s="295" t="s">
        <v>166</v>
      </c>
      <c r="O11" s="295" t="s">
        <v>167</v>
      </c>
      <c r="P11" s="292" t="s">
        <v>18</v>
      </c>
      <c r="Q11" s="293" t="s">
        <v>19</v>
      </c>
      <c r="R11" s="293"/>
      <c r="S11" s="293"/>
      <c r="T11" s="290" t="s">
        <v>4</v>
      </c>
      <c r="U11" s="290"/>
      <c r="V11" s="290" t="s">
        <v>0</v>
      </c>
      <c r="W11" s="290"/>
      <c r="X11" s="290" t="s">
        <v>1</v>
      </c>
      <c r="Y11" s="290"/>
      <c r="Z11" s="290" t="s">
        <v>2</v>
      </c>
      <c r="AA11" s="290"/>
      <c r="AB11" s="290" t="s">
        <v>3</v>
      </c>
      <c r="AC11" s="291"/>
    </row>
    <row r="12" spans="1:40" x14ac:dyDescent="0.25">
      <c r="C12" s="298"/>
      <c r="D12" s="297"/>
      <c r="E12" s="285"/>
      <c r="F12" s="285"/>
      <c r="G12" s="296"/>
      <c r="H12" s="296"/>
      <c r="I12" s="285"/>
      <c r="J12" s="297"/>
      <c r="K12" s="285"/>
      <c r="L12" s="297"/>
      <c r="M12" s="297"/>
      <c r="N12" s="296"/>
      <c r="O12" s="296"/>
      <c r="P12" s="299"/>
      <c r="Q12" s="205" t="s">
        <v>29</v>
      </c>
      <c r="R12" s="205" t="s">
        <v>30</v>
      </c>
      <c r="S12" s="205" t="s">
        <v>9</v>
      </c>
      <c r="T12" s="205" t="s">
        <v>10</v>
      </c>
      <c r="U12" s="205" t="s">
        <v>11</v>
      </c>
      <c r="V12" s="205" t="s">
        <v>10</v>
      </c>
      <c r="W12" s="205" t="s">
        <v>11</v>
      </c>
      <c r="X12" s="205" t="s">
        <v>10</v>
      </c>
      <c r="Y12" s="205" t="s">
        <v>11</v>
      </c>
      <c r="Z12" s="205" t="s">
        <v>10</v>
      </c>
      <c r="AA12" s="205" t="s">
        <v>11</v>
      </c>
      <c r="AB12" s="205" t="s">
        <v>10</v>
      </c>
      <c r="AC12" s="206" t="s">
        <v>11</v>
      </c>
    </row>
    <row r="13" spans="1:40" ht="36.75" customHeight="1" x14ac:dyDescent="0.25">
      <c r="A13" s="139" t="s">
        <v>116</v>
      </c>
      <c r="B13" s="105" t="s">
        <v>122</v>
      </c>
      <c r="C13" s="63">
        <v>1</v>
      </c>
      <c r="D13" s="197"/>
      <c r="E13" s="197"/>
      <c r="F13" s="190" t="s">
        <v>123</v>
      </c>
      <c r="G13" s="197"/>
      <c r="H13" s="197"/>
      <c r="I13" s="207"/>
      <c r="J13" s="197"/>
      <c r="K13" s="197"/>
      <c r="L13" s="197"/>
      <c r="M13" s="192">
        <v>46022</v>
      </c>
      <c r="N13" s="214"/>
      <c r="O13" s="214"/>
      <c r="P13" s="212"/>
      <c r="Q13" s="196" t="s">
        <v>38</v>
      </c>
      <c r="R13" s="197">
        <v>1</v>
      </c>
      <c r="S13" s="215" t="s">
        <v>33</v>
      </c>
      <c r="T13" s="199"/>
      <c r="U13" s="200"/>
      <c r="V13" s="200"/>
      <c r="W13" s="200"/>
      <c r="X13" s="200"/>
      <c r="Y13" s="200"/>
      <c r="Z13" s="200"/>
      <c r="AA13" s="200"/>
      <c r="AB13" s="200"/>
      <c r="AC13" s="170"/>
      <c r="AD13" s="11" t="str">
        <f>RIGHT(L13,2)</f>
        <v/>
      </c>
      <c r="AF13" t="str">
        <f>CONCATENATE("80.01.ZZ.0",L13)</f>
        <v>80.01.ZZ.0</v>
      </c>
      <c r="AH13" t="str">
        <f>CONCATENATE("00 de 0",R13)</f>
        <v>00 de 01</v>
      </c>
      <c r="AJ13" s="86"/>
      <c r="AK13" s="85"/>
      <c r="AM13" s="161" t="s">
        <v>105</v>
      </c>
      <c r="AN13" s="52">
        <v>20</v>
      </c>
    </row>
    <row r="14" spans="1:40" ht="36.75" customHeight="1" x14ac:dyDescent="0.25">
      <c r="A14" s="139" t="s">
        <v>116</v>
      </c>
      <c r="B14" s="105" t="s">
        <v>122</v>
      </c>
      <c r="C14" s="63">
        <v>2</v>
      </c>
      <c r="D14" s="197"/>
      <c r="E14" s="197"/>
      <c r="F14" s="190" t="s">
        <v>123</v>
      </c>
      <c r="G14" s="197"/>
      <c r="H14" s="197"/>
      <c r="I14" s="207"/>
      <c r="J14" s="197"/>
      <c r="K14" s="197"/>
      <c r="L14" s="197"/>
      <c r="M14" s="196"/>
      <c r="N14" s="214"/>
      <c r="O14" s="214"/>
      <c r="P14" s="212"/>
      <c r="Q14" s="196" t="s">
        <v>38</v>
      </c>
      <c r="R14" s="197">
        <v>1</v>
      </c>
      <c r="S14" s="215" t="s">
        <v>33</v>
      </c>
      <c r="T14" s="199"/>
      <c r="U14" s="200"/>
      <c r="V14" s="200"/>
      <c r="W14" s="200"/>
      <c r="X14" s="200"/>
      <c r="Y14" s="200"/>
      <c r="Z14" s="200"/>
      <c r="AA14" s="200"/>
      <c r="AB14" s="200"/>
      <c r="AC14" s="170"/>
      <c r="AD14" s="11" t="str">
        <f t="shared" ref="AD14:AD77" si="0">RIGHT(L14,2)</f>
        <v/>
      </c>
      <c r="AF14" t="str">
        <f t="shared" ref="AF14:AF77" si="1">CONCATENATE("80.01.ZZ.0",L14)</f>
        <v>80.01.ZZ.0</v>
      </c>
      <c r="AH14" t="str">
        <f t="shared" ref="AH14:AH77" si="2">CONCATENATE("00 de 0",R14)</f>
        <v>00 de 01</v>
      </c>
    </row>
    <row r="15" spans="1:40" ht="36.75" customHeight="1" x14ac:dyDescent="0.25">
      <c r="A15" s="139" t="s">
        <v>116</v>
      </c>
      <c r="B15" s="105" t="s">
        <v>122</v>
      </c>
      <c r="C15" s="63">
        <v>3</v>
      </c>
      <c r="D15" s="197"/>
      <c r="E15" s="197"/>
      <c r="F15" s="190" t="s">
        <v>123</v>
      </c>
      <c r="G15" s="197"/>
      <c r="H15" s="197"/>
      <c r="I15" s="207"/>
      <c r="J15" s="197"/>
      <c r="K15" s="197"/>
      <c r="L15" s="197"/>
      <c r="M15" s="196"/>
      <c r="N15" s="214"/>
      <c r="O15" s="214"/>
      <c r="P15" s="212"/>
      <c r="Q15" s="196" t="s">
        <v>38</v>
      </c>
      <c r="R15" s="197">
        <v>1</v>
      </c>
      <c r="S15" s="215" t="s">
        <v>33</v>
      </c>
      <c r="T15" s="199"/>
      <c r="U15" s="200"/>
      <c r="V15" s="200"/>
      <c r="W15" s="200"/>
      <c r="X15" s="200"/>
      <c r="Y15" s="200"/>
      <c r="Z15" s="200"/>
      <c r="AA15" s="200"/>
      <c r="AB15" s="200"/>
      <c r="AC15" s="170"/>
      <c r="AD15" s="11" t="str">
        <f t="shared" si="0"/>
        <v/>
      </c>
      <c r="AF15" t="str">
        <f t="shared" si="1"/>
        <v>80.01.ZZ.0</v>
      </c>
      <c r="AH15" t="str">
        <f t="shared" si="2"/>
        <v>00 de 01</v>
      </c>
      <c r="AJ15" s="86"/>
      <c r="AK15" s="85"/>
      <c r="AM15" s="161" t="s">
        <v>106</v>
      </c>
      <c r="AN15" s="52">
        <v>21</v>
      </c>
    </row>
    <row r="16" spans="1:40" ht="36.75" customHeight="1" x14ac:dyDescent="0.25">
      <c r="A16" s="139" t="s">
        <v>116</v>
      </c>
      <c r="B16" s="105" t="s">
        <v>122</v>
      </c>
      <c r="C16" s="63">
        <v>4</v>
      </c>
      <c r="D16" s="197"/>
      <c r="E16" s="197"/>
      <c r="F16" s="190" t="s">
        <v>123</v>
      </c>
      <c r="G16" s="197"/>
      <c r="H16" s="197"/>
      <c r="I16" s="207"/>
      <c r="J16" s="197"/>
      <c r="K16" s="197"/>
      <c r="L16" s="197"/>
      <c r="M16" s="196"/>
      <c r="N16" s="214"/>
      <c r="O16" s="214"/>
      <c r="P16" s="212"/>
      <c r="Q16" s="196" t="s">
        <v>38</v>
      </c>
      <c r="R16" s="197">
        <v>1</v>
      </c>
      <c r="S16" s="215" t="s">
        <v>33</v>
      </c>
      <c r="T16" s="199"/>
      <c r="U16" s="200"/>
      <c r="V16" s="200"/>
      <c r="W16" s="200"/>
      <c r="X16" s="200"/>
      <c r="Y16" s="200"/>
      <c r="Z16" s="200"/>
      <c r="AA16" s="200"/>
      <c r="AB16" s="200"/>
      <c r="AC16" s="170"/>
      <c r="AD16" s="11" t="str">
        <f t="shared" si="0"/>
        <v/>
      </c>
      <c r="AF16" t="str">
        <f t="shared" si="1"/>
        <v>80.01.ZZ.0</v>
      </c>
      <c r="AH16" t="str">
        <f t="shared" si="2"/>
        <v>00 de 01</v>
      </c>
      <c r="AJ16" s="86"/>
      <c r="AK16" s="85"/>
      <c r="AM16" s="161" t="s">
        <v>107</v>
      </c>
      <c r="AN16" s="52">
        <v>22</v>
      </c>
    </row>
    <row r="17" spans="1:40" ht="36.75" customHeight="1" x14ac:dyDescent="0.25">
      <c r="A17" s="139" t="s">
        <v>116</v>
      </c>
      <c r="B17" s="105" t="s">
        <v>122</v>
      </c>
      <c r="C17" s="63">
        <v>5</v>
      </c>
      <c r="D17" s="197"/>
      <c r="E17" s="197"/>
      <c r="F17" s="190" t="s">
        <v>123</v>
      </c>
      <c r="G17" s="197"/>
      <c r="H17" s="197"/>
      <c r="I17" s="207"/>
      <c r="J17" s="197"/>
      <c r="K17" s="197"/>
      <c r="L17" s="197"/>
      <c r="M17" s="196"/>
      <c r="N17" s="214"/>
      <c r="O17" s="214"/>
      <c r="P17" s="212"/>
      <c r="Q17" s="196" t="s">
        <v>38</v>
      </c>
      <c r="R17" s="197">
        <v>1</v>
      </c>
      <c r="S17" s="215" t="s">
        <v>33</v>
      </c>
      <c r="T17" s="200"/>
      <c r="U17" s="200"/>
      <c r="V17" s="200"/>
      <c r="W17" s="200"/>
      <c r="X17" s="200"/>
      <c r="Y17" s="200"/>
      <c r="Z17" s="200"/>
      <c r="AA17" s="200"/>
      <c r="AB17" s="200"/>
      <c r="AC17" s="170"/>
      <c r="AD17" s="11" t="str">
        <f t="shared" si="0"/>
        <v/>
      </c>
      <c r="AF17" t="str">
        <f t="shared" si="1"/>
        <v>80.01.ZZ.0</v>
      </c>
      <c r="AH17" t="str">
        <f t="shared" si="2"/>
        <v>00 de 01</v>
      </c>
      <c r="AJ17" s="86"/>
      <c r="AK17" s="85"/>
      <c r="AM17" s="161" t="s">
        <v>79</v>
      </c>
      <c r="AN17" s="52" t="s">
        <v>108</v>
      </c>
    </row>
    <row r="18" spans="1:40" ht="36.75" customHeight="1" x14ac:dyDescent="0.25">
      <c r="A18" s="139" t="s">
        <v>116</v>
      </c>
      <c r="B18" s="105" t="s">
        <v>122</v>
      </c>
      <c r="C18" s="63">
        <v>6</v>
      </c>
      <c r="D18" s="197"/>
      <c r="E18" s="197"/>
      <c r="F18" s="190" t="s">
        <v>123</v>
      </c>
      <c r="G18" s="197"/>
      <c r="H18" s="197"/>
      <c r="I18" s="207"/>
      <c r="J18" s="197"/>
      <c r="K18" s="197"/>
      <c r="L18" s="197"/>
      <c r="M18" s="196"/>
      <c r="N18" s="214"/>
      <c r="O18" s="214"/>
      <c r="P18" s="212"/>
      <c r="Q18" s="196" t="s">
        <v>38</v>
      </c>
      <c r="R18" s="197">
        <v>1</v>
      </c>
      <c r="S18" s="215" t="s">
        <v>33</v>
      </c>
      <c r="T18" s="200"/>
      <c r="U18" s="200"/>
      <c r="V18" s="200"/>
      <c r="W18" s="200"/>
      <c r="X18" s="200"/>
      <c r="Y18" s="200"/>
      <c r="Z18" s="200"/>
      <c r="AA18" s="200"/>
      <c r="AB18" s="200"/>
      <c r="AC18" s="170"/>
      <c r="AD18" s="11" t="str">
        <f t="shared" si="0"/>
        <v/>
      </c>
      <c r="AF18" t="str">
        <f t="shared" si="1"/>
        <v>80.01.ZZ.0</v>
      </c>
      <c r="AH18" t="str">
        <f t="shared" si="2"/>
        <v>00 de 01</v>
      </c>
      <c r="AJ18" s="86"/>
      <c r="AK18" s="85"/>
      <c r="AM18" s="161" t="s">
        <v>74</v>
      </c>
      <c r="AN18" s="52" t="s">
        <v>109</v>
      </c>
    </row>
    <row r="19" spans="1:40" ht="36.75" customHeight="1" x14ac:dyDescent="0.25">
      <c r="A19" s="139" t="s">
        <v>116</v>
      </c>
      <c r="B19" s="105" t="s">
        <v>122</v>
      </c>
      <c r="C19" s="63">
        <v>7</v>
      </c>
      <c r="D19" s="197"/>
      <c r="E19" s="197"/>
      <c r="F19" s="190" t="s">
        <v>123</v>
      </c>
      <c r="G19" s="197"/>
      <c r="H19" s="197"/>
      <c r="I19" s="207"/>
      <c r="J19" s="197"/>
      <c r="K19" s="197"/>
      <c r="L19" s="197"/>
      <c r="M19" s="196"/>
      <c r="N19" s="214"/>
      <c r="O19" s="214"/>
      <c r="P19" s="212"/>
      <c r="Q19" s="196" t="s">
        <v>38</v>
      </c>
      <c r="R19" s="197">
        <v>1</v>
      </c>
      <c r="S19" s="215" t="s">
        <v>33</v>
      </c>
      <c r="T19" s="200"/>
      <c r="U19" s="200"/>
      <c r="V19" s="200"/>
      <c r="W19" s="200"/>
      <c r="X19" s="200"/>
      <c r="Y19" s="200"/>
      <c r="Z19" s="200"/>
      <c r="AA19" s="200"/>
      <c r="AB19" s="200"/>
      <c r="AC19" s="170"/>
      <c r="AD19" s="11" t="str">
        <f t="shared" si="0"/>
        <v/>
      </c>
      <c r="AF19" t="str">
        <f t="shared" si="1"/>
        <v>80.01.ZZ.0</v>
      </c>
      <c r="AH19" t="str">
        <f t="shared" si="2"/>
        <v>00 de 01</v>
      </c>
      <c r="AJ19" s="86"/>
      <c r="AK19" s="85"/>
      <c r="AM19" s="161" t="s">
        <v>96</v>
      </c>
      <c r="AN19" s="52" t="s">
        <v>110</v>
      </c>
    </row>
    <row r="20" spans="1:40" ht="36.75" customHeight="1" x14ac:dyDescent="0.25">
      <c r="A20" s="139" t="s">
        <v>116</v>
      </c>
      <c r="B20" s="105" t="s">
        <v>122</v>
      </c>
      <c r="C20" s="63">
        <v>8</v>
      </c>
      <c r="D20" s="197"/>
      <c r="E20" s="197"/>
      <c r="F20" s="190" t="s">
        <v>123</v>
      </c>
      <c r="G20" s="197"/>
      <c r="H20" s="197"/>
      <c r="I20" s="207"/>
      <c r="J20" s="197"/>
      <c r="K20" s="197"/>
      <c r="L20" s="197"/>
      <c r="M20" s="196"/>
      <c r="N20" s="214"/>
      <c r="O20" s="214"/>
      <c r="P20" s="212"/>
      <c r="Q20" s="196" t="s">
        <v>38</v>
      </c>
      <c r="R20" s="197">
        <v>1</v>
      </c>
      <c r="S20" s="215" t="s">
        <v>33</v>
      </c>
      <c r="T20" s="200"/>
      <c r="U20" s="200"/>
      <c r="V20" s="200"/>
      <c r="W20" s="200"/>
      <c r="X20" s="200"/>
      <c r="Y20" s="200"/>
      <c r="Z20" s="200"/>
      <c r="AA20" s="200"/>
      <c r="AB20" s="200"/>
      <c r="AC20" s="170"/>
      <c r="AD20" s="11" t="str">
        <f t="shared" si="0"/>
        <v/>
      </c>
      <c r="AF20" t="str">
        <f t="shared" si="1"/>
        <v>80.01.ZZ.0</v>
      </c>
      <c r="AH20" t="str">
        <f t="shared" si="2"/>
        <v>00 de 01</v>
      </c>
      <c r="AJ20" s="86"/>
      <c r="AK20" s="85"/>
      <c r="AM20" s="161" t="s">
        <v>93</v>
      </c>
      <c r="AN20" s="52">
        <v>10</v>
      </c>
    </row>
    <row r="21" spans="1:40" ht="36.75" customHeight="1" x14ac:dyDescent="0.25">
      <c r="A21" s="139" t="s">
        <v>116</v>
      </c>
      <c r="B21" s="105" t="s">
        <v>122</v>
      </c>
      <c r="C21" s="63">
        <v>9</v>
      </c>
      <c r="D21" s="197"/>
      <c r="E21" s="197"/>
      <c r="F21" s="190" t="s">
        <v>123</v>
      </c>
      <c r="G21" s="197"/>
      <c r="H21" s="197"/>
      <c r="I21" s="207"/>
      <c r="J21" s="197"/>
      <c r="K21" s="197"/>
      <c r="L21" s="197"/>
      <c r="M21" s="196"/>
      <c r="N21" s="214"/>
      <c r="O21" s="214"/>
      <c r="P21" s="212"/>
      <c r="Q21" s="196" t="s">
        <v>38</v>
      </c>
      <c r="R21" s="197">
        <v>1</v>
      </c>
      <c r="S21" s="215" t="s">
        <v>33</v>
      </c>
      <c r="T21" s="200"/>
      <c r="U21" s="200"/>
      <c r="V21" s="200"/>
      <c r="W21" s="200"/>
      <c r="X21" s="200"/>
      <c r="Y21" s="200"/>
      <c r="Z21" s="200"/>
      <c r="AA21" s="200"/>
      <c r="AB21" s="200"/>
      <c r="AC21" s="170"/>
      <c r="AD21" s="11" t="str">
        <f t="shared" si="0"/>
        <v/>
      </c>
      <c r="AF21" t="str">
        <f t="shared" si="1"/>
        <v>80.01.ZZ.0</v>
      </c>
      <c r="AH21" t="str">
        <f t="shared" si="2"/>
        <v>00 de 01</v>
      </c>
      <c r="AJ21" s="86"/>
      <c r="AK21" s="85"/>
      <c r="AM21" s="161" t="s">
        <v>103</v>
      </c>
      <c r="AN21" s="52">
        <v>11</v>
      </c>
    </row>
    <row r="22" spans="1:40" ht="36.75" customHeight="1" x14ac:dyDescent="0.25">
      <c r="A22" s="139" t="s">
        <v>116</v>
      </c>
      <c r="B22" s="105" t="s">
        <v>122</v>
      </c>
      <c r="C22" s="63">
        <v>10</v>
      </c>
      <c r="D22" s="197"/>
      <c r="E22" s="197"/>
      <c r="F22" s="190" t="s">
        <v>123</v>
      </c>
      <c r="G22" s="197"/>
      <c r="H22" s="197"/>
      <c r="I22" s="207"/>
      <c r="J22" s="197"/>
      <c r="K22" s="197"/>
      <c r="L22" s="197"/>
      <c r="M22" s="196"/>
      <c r="N22" s="214"/>
      <c r="O22" s="214"/>
      <c r="P22" s="212"/>
      <c r="Q22" s="196" t="s">
        <v>38</v>
      </c>
      <c r="R22" s="197">
        <v>1</v>
      </c>
      <c r="S22" s="215" t="s">
        <v>33</v>
      </c>
      <c r="T22" s="200"/>
      <c r="U22" s="200"/>
      <c r="V22" s="200"/>
      <c r="W22" s="200"/>
      <c r="X22" s="200"/>
      <c r="Y22" s="200"/>
      <c r="Z22" s="200"/>
      <c r="AA22" s="200"/>
      <c r="AB22" s="200"/>
      <c r="AC22" s="170"/>
      <c r="AD22" s="11" t="str">
        <f t="shared" si="0"/>
        <v/>
      </c>
      <c r="AF22" t="str">
        <f t="shared" si="1"/>
        <v>80.01.ZZ.0</v>
      </c>
      <c r="AH22" t="str">
        <f t="shared" si="2"/>
        <v>00 de 01</v>
      </c>
      <c r="AJ22" s="86"/>
      <c r="AK22" s="85"/>
      <c r="AM22" s="161"/>
      <c r="AN22" s="52"/>
    </row>
    <row r="23" spans="1:40" ht="36.75" customHeight="1" x14ac:dyDescent="0.25">
      <c r="A23" s="139" t="s">
        <v>116</v>
      </c>
      <c r="B23" s="105" t="s">
        <v>122</v>
      </c>
      <c r="C23" s="63">
        <v>11</v>
      </c>
      <c r="D23" s="197"/>
      <c r="E23" s="197"/>
      <c r="F23" s="190" t="s">
        <v>123</v>
      </c>
      <c r="G23" s="197"/>
      <c r="H23" s="197"/>
      <c r="I23" s="207"/>
      <c r="J23" s="197"/>
      <c r="K23" s="197"/>
      <c r="L23" s="197"/>
      <c r="M23" s="196"/>
      <c r="N23" s="214"/>
      <c r="O23" s="214"/>
      <c r="P23" s="212"/>
      <c r="Q23" s="196" t="s">
        <v>38</v>
      </c>
      <c r="R23" s="197">
        <v>1</v>
      </c>
      <c r="S23" s="215" t="s">
        <v>33</v>
      </c>
      <c r="T23" s="200"/>
      <c r="U23" s="200"/>
      <c r="V23" s="200"/>
      <c r="W23" s="200"/>
      <c r="X23" s="200"/>
      <c r="Y23" s="200"/>
      <c r="Z23" s="200"/>
      <c r="AA23" s="200"/>
      <c r="AB23" s="200"/>
      <c r="AC23" s="170"/>
      <c r="AD23" s="11" t="str">
        <f t="shared" si="0"/>
        <v/>
      </c>
      <c r="AF23" t="str">
        <f t="shared" si="1"/>
        <v>80.01.ZZ.0</v>
      </c>
      <c r="AH23" t="str">
        <f t="shared" si="2"/>
        <v>00 de 01</v>
      </c>
      <c r="AJ23" s="86"/>
      <c r="AK23" s="85"/>
      <c r="AM23" s="161"/>
      <c r="AN23" s="52"/>
    </row>
    <row r="24" spans="1:40" ht="36.75" customHeight="1" x14ac:dyDescent="0.25">
      <c r="A24" s="139" t="s">
        <v>116</v>
      </c>
      <c r="B24" s="105" t="s">
        <v>122</v>
      </c>
      <c r="C24" s="63">
        <v>12</v>
      </c>
      <c r="D24" s="197"/>
      <c r="E24" s="197"/>
      <c r="F24" s="190" t="s">
        <v>123</v>
      </c>
      <c r="G24" s="197"/>
      <c r="H24" s="197"/>
      <c r="I24" s="207"/>
      <c r="J24" s="197"/>
      <c r="K24" s="197"/>
      <c r="L24" s="197"/>
      <c r="M24" s="196"/>
      <c r="N24" s="214"/>
      <c r="O24" s="214"/>
      <c r="P24" s="212"/>
      <c r="Q24" s="196" t="s">
        <v>38</v>
      </c>
      <c r="R24" s="197">
        <v>1</v>
      </c>
      <c r="S24" s="215" t="s">
        <v>33</v>
      </c>
      <c r="T24" s="200"/>
      <c r="U24" s="200"/>
      <c r="V24" s="200"/>
      <c r="W24" s="200"/>
      <c r="X24" s="200"/>
      <c r="Y24" s="200"/>
      <c r="Z24" s="200"/>
      <c r="AA24" s="200"/>
      <c r="AB24" s="200"/>
      <c r="AC24" s="170"/>
      <c r="AD24" s="11" t="str">
        <f t="shared" si="0"/>
        <v/>
      </c>
      <c r="AF24" t="str">
        <f t="shared" si="1"/>
        <v>80.01.ZZ.0</v>
      </c>
      <c r="AH24" t="str">
        <f t="shared" si="2"/>
        <v>00 de 01</v>
      </c>
      <c r="AJ24" s="86"/>
      <c r="AK24" s="85"/>
      <c r="AM24" s="161"/>
      <c r="AN24" s="52"/>
    </row>
    <row r="25" spans="1:40" ht="36.75" customHeight="1" x14ac:dyDescent="0.25">
      <c r="A25" s="139" t="s">
        <v>116</v>
      </c>
      <c r="B25" s="105" t="s">
        <v>122</v>
      </c>
      <c r="C25" s="63">
        <v>13</v>
      </c>
      <c r="D25" s="197"/>
      <c r="E25" s="197"/>
      <c r="F25" s="190" t="s">
        <v>123</v>
      </c>
      <c r="G25" s="197"/>
      <c r="H25" s="197"/>
      <c r="I25" s="207"/>
      <c r="J25" s="197"/>
      <c r="K25" s="197"/>
      <c r="L25" s="197"/>
      <c r="M25" s="196"/>
      <c r="N25" s="214"/>
      <c r="O25" s="214"/>
      <c r="P25" s="212"/>
      <c r="Q25" s="196" t="s">
        <v>38</v>
      </c>
      <c r="R25" s="197">
        <v>1</v>
      </c>
      <c r="S25" s="215" t="s">
        <v>33</v>
      </c>
      <c r="T25" s="200"/>
      <c r="U25" s="200"/>
      <c r="V25" s="200"/>
      <c r="W25" s="200"/>
      <c r="X25" s="200"/>
      <c r="Y25" s="200"/>
      <c r="Z25" s="200"/>
      <c r="AA25" s="200"/>
      <c r="AB25" s="200"/>
      <c r="AC25" s="170"/>
      <c r="AD25" s="11" t="str">
        <f t="shared" si="0"/>
        <v/>
      </c>
      <c r="AF25" t="str">
        <f t="shared" si="1"/>
        <v>80.01.ZZ.0</v>
      </c>
      <c r="AH25" t="str">
        <f t="shared" si="2"/>
        <v>00 de 01</v>
      </c>
      <c r="AJ25" s="86"/>
      <c r="AK25" s="85"/>
      <c r="AM25" s="161"/>
      <c r="AN25" s="52"/>
    </row>
    <row r="26" spans="1:40" ht="36.75" customHeight="1" x14ac:dyDescent="0.25">
      <c r="A26" s="139" t="s">
        <v>116</v>
      </c>
      <c r="B26" s="105" t="s">
        <v>122</v>
      </c>
      <c r="C26" s="63">
        <v>14</v>
      </c>
      <c r="D26" s="197"/>
      <c r="E26" s="197"/>
      <c r="F26" s="190" t="s">
        <v>123</v>
      </c>
      <c r="G26" s="197"/>
      <c r="H26" s="197"/>
      <c r="I26" s="207"/>
      <c r="J26" s="197"/>
      <c r="K26" s="197"/>
      <c r="L26" s="197"/>
      <c r="M26" s="196"/>
      <c r="N26" s="214"/>
      <c r="O26" s="214"/>
      <c r="P26" s="212"/>
      <c r="Q26" s="196" t="s">
        <v>38</v>
      </c>
      <c r="R26" s="197">
        <v>1</v>
      </c>
      <c r="S26" s="215" t="s">
        <v>33</v>
      </c>
      <c r="T26" s="200"/>
      <c r="U26" s="200"/>
      <c r="V26" s="200"/>
      <c r="W26" s="200"/>
      <c r="X26" s="200"/>
      <c r="Y26" s="200"/>
      <c r="Z26" s="200"/>
      <c r="AA26" s="200"/>
      <c r="AB26" s="200"/>
      <c r="AC26" s="170"/>
      <c r="AD26" s="11" t="str">
        <f t="shared" si="0"/>
        <v/>
      </c>
      <c r="AF26" t="str">
        <f t="shared" si="1"/>
        <v>80.01.ZZ.0</v>
      </c>
      <c r="AH26" t="str">
        <f t="shared" si="2"/>
        <v>00 de 01</v>
      </c>
      <c r="AJ26" s="86"/>
      <c r="AK26" s="85"/>
      <c r="AM26" s="161"/>
      <c r="AN26" s="52"/>
    </row>
    <row r="27" spans="1:40" ht="36.75" customHeight="1" x14ac:dyDescent="0.25">
      <c r="A27" s="139" t="s">
        <v>116</v>
      </c>
      <c r="B27" s="105" t="s">
        <v>122</v>
      </c>
      <c r="C27" s="63">
        <v>15</v>
      </c>
      <c r="D27" s="197"/>
      <c r="E27" s="197"/>
      <c r="F27" s="190" t="s">
        <v>123</v>
      </c>
      <c r="G27" s="197"/>
      <c r="H27" s="197"/>
      <c r="I27" s="207"/>
      <c r="J27" s="197"/>
      <c r="K27" s="197"/>
      <c r="L27" s="197"/>
      <c r="M27" s="196"/>
      <c r="N27" s="214"/>
      <c r="O27" s="214"/>
      <c r="P27" s="212"/>
      <c r="Q27" s="196" t="s">
        <v>38</v>
      </c>
      <c r="R27" s="197">
        <v>1</v>
      </c>
      <c r="S27" s="215" t="s">
        <v>33</v>
      </c>
      <c r="T27" s="200"/>
      <c r="U27" s="200"/>
      <c r="V27" s="200"/>
      <c r="W27" s="200"/>
      <c r="X27" s="200"/>
      <c r="Y27" s="200"/>
      <c r="Z27" s="200"/>
      <c r="AA27" s="200"/>
      <c r="AB27" s="200"/>
      <c r="AC27" s="170"/>
      <c r="AD27" s="11" t="str">
        <f t="shared" si="0"/>
        <v/>
      </c>
      <c r="AF27" t="str">
        <f t="shared" si="1"/>
        <v>80.01.ZZ.0</v>
      </c>
      <c r="AH27" t="str">
        <f t="shared" si="2"/>
        <v>00 de 01</v>
      </c>
      <c r="AJ27" s="86"/>
      <c r="AK27" s="85"/>
      <c r="AM27" s="161"/>
      <c r="AN27" s="52"/>
    </row>
    <row r="28" spans="1:40" ht="36.75" customHeight="1" x14ac:dyDescent="0.25">
      <c r="A28" s="139" t="s">
        <v>116</v>
      </c>
      <c r="B28" s="105" t="s">
        <v>122</v>
      </c>
      <c r="C28" s="63">
        <v>16</v>
      </c>
      <c r="D28" s="197"/>
      <c r="E28" s="197"/>
      <c r="F28" s="190" t="s">
        <v>123</v>
      </c>
      <c r="G28" s="197"/>
      <c r="H28" s="197"/>
      <c r="I28" s="207"/>
      <c r="J28" s="197"/>
      <c r="K28" s="197"/>
      <c r="L28" s="197"/>
      <c r="M28" s="196"/>
      <c r="N28" s="214"/>
      <c r="O28" s="214"/>
      <c r="P28" s="212"/>
      <c r="Q28" s="196" t="s">
        <v>38</v>
      </c>
      <c r="R28" s="197">
        <v>1</v>
      </c>
      <c r="S28" s="215" t="s">
        <v>33</v>
      </c>
      <c r="T28" s="200"/>
      <c r="U28" s="200"/>
      <c r="V28" s="200"/>
      <c r="W28" s="200"/>
      <c r="X28" s="200"/>
      <c r="Y28" s="200"/>
      <c r="Z28" s="200"/>
      <c r="AA28" s="200"/>
      <c r="AB28" s="200"/>
      <c r="AC28" s="170"/>
      <c r="AD28" s="11" t="str">
        <f t="shared" si="0"/>
        <v/>
      </c>
      <c r="AF28" t="str">
        <f t="shared" si="1"/>
        <v>80.01.ZZ.0</v>
      </c>
      <c r="AH28" t="str">
        <f t="shared" si="2"/>
        <v>00 de 01</v>
      </c>
      <c r="AJ28" s="86"/>
      <c r="AK28" s="85"/>
      <c r="AM28" s="161"/>
      <c r="AN28" s="52"/>
    </row>
    <row r="29" spans="1:40" ht="36.75" customHeight="1" x14ac:dyDescent="0.25">
      <c r="A29" s="139" t="s">
        <v>116</v>
      </c>
      <c r="B29" s="105" t="s">
        <v>122</v>
      </c>
      <c r="C29" s="63">
        <v>17</v>
      </c>
      <c r="D29" s="197"/>
      <c r="E29" s="197"/>
      <c r="F29" s="190" t="s">
        <v>123</v>
      </c>
      <c r="G29" s="197"/>
      <c r="H29" s="197"/>
      <c r="I29" s="207"/>
      <c r="J29" s="197"/>
      <c r="K29" s="197"/>
      <c r="L29" s="197"/>
      <c r="M29" s="196"/>
      <c r="N29" s="214"/>
      <c r="O29" s="214"/>
      <c r="P29" s="212"/>
      <c r="Q29" s="196" t="s">
        <v>38</v>
      </c>
      <c r="R29" s="197">
        <v>1</v>
      </c>
      <c r="S29" s="215" t="s">
        <v>33</v>
      </c>
      <c r="T29" s="200"/>
      <c r="U29" s="200"/>
      <c r="V29" s="200"/>
      <c r="W29" s="200"/>
      <c r="X29" s="200"/>
      <c r="Y29" s="200"/>
      <c r="Z29" s="200"/>
      <c r="AA29" s="200"/>
      <c r="AB29" s="200"/>
      <c r="AC29" s="170"/>
      <c r="AD29" s="11" t="str">
        <f t="shared" si="0"/>
        <v/>
      </c>
      <c r="AF29" t="str">
        <f t="shared" si="1"/>
        <v>80.01.ZZ.0</v>
      </c>
      <c r="AH29" t="str">
        <f t="shared" si="2"/>
        <v>00 de 01</v>
      </c>
      <c r="AJ29" s="86"/>
      <c r="AK29" s="85"/>
      <c r="AM29" s="161"/>
      <c r="AN29" s="52"/>
    </row>
    <row r="30" spans="1:40" ht="36.75" customHeight="1" x14ac:dyDescent="0.25">
      <c r="A30" s="139" t="s">
        <v>116</v>
      </c>
      <c r="B30" s="105" t="s">
        <v>122</v>
      </c>
      <c r="C30" s="63">
        <v>18</v>
      </c>
      <c r="D30" s="197"/>
      <c r="E30" s="197"/>
      <c r="F30" s="190" t="s">
        <v>123</v>
      </c>
      <c r="G30" s="197"/>
      <c r="H30" s="197"/>
      <c r="I30" s="207"/>
      <c r="J30" s="197"/>
      <c r="K30" s="197"/>
      <c r="L30" s="197"/>
      <c r="M30" s="196"/>
      <c r="N30" s="214"/>
      <c r="O30" s="214"/>
      <c r="P30" s="212"/>
      <c r="Q30" s="196" t="s">
        <v>38</v>
      </c>
      <c r="R30" s="197">
        <v>1</v>
      </c>
      <c r="S30" s="215" t="s">
        <v>33</v>
      </c>
      <c r="T30" s="200"/>
      <c r="U30" s="200"/>
      <c r="V30" s="200"/>
      <c r="W30" s="200"/>
      <c r="X30" s="200"/>
      <c r="Y30" s="200"/>
      <c r="Z30" s="200"/>
      <c r="AA30" s="200"/>
      <c r="AB30" s="200"/>
      <c r="AC30" s="170"/>
      <c r="AD30" s="11" t="str">
        <f t="shared" si="0"/>
        <v/>
      </c>
      <c r="AF30" t="str">
        <f t="shared" si="1"/>
        <v>80.01.ZZ.0</v>
      </c>
      <c r="AH30" t="str">
        <f t="shared" si="2"/>
        <v>00 de 01</v>
      </c>
      <c r="AJ30" s="86"/>
      <c r="AK30" s="85"/>
      <c r="AM30" s="161"/>
      <c r="AN30" s="52"/>
    </row>
    <row r="31" spans="1:40" ht="36.75" customHeight="1" x14ac:dyDescent="0.25">
      <c r="A31" s="139" t="s">
        <v>116</v>
      </c>
      <c r="B31" s="105" t="s">
        <v>122</v>
      </c>
      <c r="C31" s="63">
        <v>19</v>
      </c>
      <c r="D31" s="197"/>
      <c r="E31" s="197"/>
      <c r="F31" s="190" t="s">
        <v>123</v>
      </c>
      <c r="G31" s="197"/>
      <c r="H31" s="197"/>
      <c r="I31" s="207"/>
      <c r="J31" s="197"/>
      <c r="K31" s="197"/>
      <c r="L31" s="197"/>
      <c r="M31" s="196"/>
      <c r="N31" s="214"/>
      <c r="O31" s="214"/>
      <c r="P31" s="212"/>
      <c r="Q31" s="196" t="s">
        <v>38</v>
      </c>
      <c r="R31" s="197">
        <v>1</v>
      </c>
      <c r="S31" s="215" t="s">
        <v>33</v>
      </c>
      <c r="T31" s="200"/>
      <c r="U31" s="200"/>
      <c r="V31" s="200"/>
      <c r="W31" s="200"/>
      <c r="X31" s="200"/>
      <c r="Y31" s="200"/>
      <c r="Z31" s="200"/>
      <c r="AA31" s="200"/>
      <c r="AB31" s="200"/>
      <c r="AC31" s="170"/>
      <c r="AD31" s="11" t="str">
        <f t="shared" si="0"/>
        <v/>
      </c>
      <c r="AF31" t="str">
        <f t="shared" si="1"/>
        <v>80.01.ZZ.0</v>
      </c>
      <c r="AH31" t="str">
        <f t="shared" si="2"/>
        <v>00 de 01</v>
      </c>
      <c r="AJ31" s="86"/>
      <c r="AK31" s="85"/>
      <c r="AM31" s="161"/>
      <c r="AN31" s="52"/>
    </row>
    <row r="32" spans="1:40" ht="36.75" customHeight="1" x14ac:dyDescent="0.25">
      <c r="A32" s="139" t="s">
        <v>116</v>
      </c>
      <c r="B32" s="105" t="s">
        <v>122</v>
      </c>
      <c r="C32" s="63">
        <v>20</v>
      </c>
      <c r="D32" s="197"/>
      <c r="E32" s="197"/>
      <c r="F32" s="190" t="s">
        <v>123</v>
      </c>
      <c r="G32" s="197"/>
      <c r="H32" s="197"/>
      <c r="I32" s="207"/>
      <c r="J32" s="197"/>
      <c r="K32" s="197"/>
      <c r="L32" s="197"/>
      <c r="M32" s="196"/>
      <c r="N32" s="214"/>
      <c r="O32" s="214"/>
      <c r="P32" s="212"/>
      <c r="Q32" s="196" t="s">
        <v>38</v>
      </c>
      <c r="R32" s="197">
        <v>1</v>
      </c>
      <c r="S32" s="215" t="s">
        <v>33</v>
      </c>
      <c r="T32" s="200"/>
      <c r="U32" s="200"/>
      <c r="V32" s="200"/>
      <c r="W32" s="200"/>
      <c r="X32" s="200"/>
      <c r="Y32" s="200"/>
      <c r="Z32" s="200"/>
      <c r="AA32" s="200"/>
      <c r="AB32" s="200"/>
      <c r="AC32" s="170"/>
      <c r="AD32" s="11" t="str">
        <f t="shared" si="0"/>
        <v/>
      </c>
      <c r="AF32" t="str">
        <f t="shared" si="1"/>
        <v>80.01.ZZ.0</v>
      </c>
      <c r="AH32" t="str">
        <f t="shared" si="2"/>
        <v>00 de 01</v>
      </c>
      <c r="AJ32" s="86"/>
      <c r="AK32" s="85"/>
      <c r="AM32" s="161"/>
      <c r="AN32" s="52"/>
    </row>
    <row r="33" spans="1:40" ht="36.75" customHeight="1" x14ac:dyDescent="0.25">
      <c r="A33" s="139" t="s">
        <v>116</v>
      </c>
      <c r="B33" s="105" t="s">
        <v>122</v>
      </c>
      <c r="C33" s="63">
        <v>21</v>
      </c>
      <c r="D33" s="197"/>
      <c r="E33" s="197"/>
      <c r="F33" s="190" t="s">
        <v>123</v>
      </c>
      <c r="G33" s="197"/>
      <c r="H33" s="197"/>
      <c r="I33" s="207"/>
      <c r="J33" s="197"/>
      <c r="K33" s="197"/>
      <c r="L33" s="197"/>
      <c r="M33" s="196"/>
      <c r="N33" s="214"/>
      <c r="O33" s="214"/>
      <c r="P33" s="212"/>
      <c r="Q33" s="196" t="s">
        <v>38</v>
      </c>
      <c r="R33" s="197">
        <v>1</v>
      </c>
      <c r="S33" s="215" t="s">
        <v>33</v>
      </c>
      <c r="T33" s="200"/>
      <c r="U33" s="200"/>
      <c r="V33" s="200"/>
      <c r="W33" s="200"/>
      <c r="X33" s="200"/>
      <c r="Y33" s="200"/>
      <c r="Z33" s="200"/>
      <c r="AA33" s="200"/>
      <c r="AB33" s="200"/>
      <c r="AC33" s="170"/>
      <c r="AD33" s="11" t="str">
        <f t="shared" si="0"/>
        <v/>
      </c>
      <c r="AF33" t="str">
        <f t="shared" si="1"/>
        <v>80.01.ZZ.0</v>
      </c>
      <c r="AH33" t="str">
        <f t="shared" si="2"/>
        <v>00 de 01</v>
      </c>
      <c r="AJ33" s="86"/>
      <c r="AK33" s="85"/>
      <c r="AM33" s="161"/>
      <c r="AN33" s="52"/>
    </row>
    <row r="34" spans="1:40" ht="36.75" customHeight="1" x14ac:dyDescent="0.25">
      <c r="A34" s="139" t="s">
        <v>116</v>
      </c>
      <c r="B34" s="105" t="s">
        <v>122</v>
      </c>
      <c r="C34" s="63">
        <v>22</v>
      </c>
      <c r="D34" s="197"/>
      <c r="E34" s="197"/>
      <c r="F34" s="190" t="s">
        <v>123</v>
      </c>
      <c r="G34" s="197"/>
      <c r="H34" s="197"/>
      <c r="I34" s="207"/>
      <c r="J34" s="197"/>
      <c r="K34" s="197"/>
      <c r="L34" s="197"/>
      <c r="M34" s="196"/>
      <c r="N34" s="214"/>
      <c r="O34" s="214"/>
      <c r="P34" s="212"/>
      <c r="Q34" s="196" t="s">
        <v>38</v>
      </c>
      <c r="R34" s="197">
        <v>1</v>
      </c>
      <c r="S34" s="215" t="s">
        <v>33</v>
      </c>
      <c r="T34" s="200"/>
      <c r="U34" s="200"/>
      <c r="V34" s="200"/>
      <c r="W34" s="200"/>
      <c r="X34" s="200"/>
      <c r="Y34" s="200"/>
      <c r="Z34" s="200"/>
      <c r="AA34" s="200"/>
      <c r="AB34" s="200"/>
      <c r="AC34" s="170"/>
      <c r="AD34" s="11" t="str">
        <f t="shared" si="0"/>
        <v/>
      </c>
      <c r="AF34" t="str">
        <f t="shared" si="1"/>
        <v>80.01.ZZ.0</v>
      </c>
      <c r="AH34" t="str">
        <f t="shared" si="2"/>
        <v>00 de 01</v>
      </c>
      <c r="AJ34" s="86"/>
      <c r="AK34" s="85"/>
      <c r="AM34" s="161"/>
      <c r="AN34" s="52"/>
    </row>
    <row r="35" spans="1:40" ht="36.75" customHeight="1" x14ac:dyDescent="0.25">
      <c r="A35" s="139" t="s">
        <v>116</v>
      </c>
      <c r="B35" s="105" t="s">
        <v>122</v>
      </c>
      <c r="C35" s="63">
        <v>23</v>
      </c>
      <c r="D35" s="197"/>
      <c r="E35" s="197"/>
      <c r="F35" s="190" t="s">
        <v>123</v>
      </c>
      <c r="G35" s="197"/>
      <c r="H35" s="197"/>
      <c r="I35" s="207"/>
      <c r="J35" s="197"/>
      <c r="K35" s="197"/>
      <c r="L35" s="197"/>
      <c r="M35" s="196"/>
      <c r="N35" s="214"/>
      <c r="O35" s="214"/>
      <c r="P35" s="212"/>
      <c r="Q35" s="196" t="s">
        <v>38</v>
      </c>
      <c r="R35" s="197">
        <v>1</v>
      </c>
      <c r="S35" s="215" t="s">
        <v>33</v>
      </c>
      <c r="T35" s="200"/>
      <c r="U35" s="200"/>
      <c r="V35" s="200"/>
      <c r="W35" s="200"/>
      <c r="X35" s="200"/>
      <c r="Y35" s="200"/>
      <c r="Z35" s="200"/>
      <c r="AA35" s="200"/>
      <c r="AB35" s="200"/>
      <c r="AC35" s="170"/>
      <c r="AD35" s="11" t="str">
        <f t="shared" si="0"/>
        <v/>
      </c>
      <c r="AF35" t="str">
        <f t="shared" si="1"/>
        <v>80.01.ZZ.0</v>
      </c>
      <c r="AH35" t="str">
        <f t="shared" si="2"/>
        <v>00 de 01</v>
      </c>
      <c r="AJ35" s="86"/>
      <c r="AK35" s="85"/>
      <c r="AM35" s="161"/>
      <c r="AN35" s="52"/>
    </row>
    <row r="36" spans="1:40" ht="36.75" customHeight="1" x14ac:dyDescent="0.25">
      <c r="A36" s="139" t="s">
        <v>116</v>
      </c>
      <c r="B36" s="105" t="s">
        <v>122</v>
      </c>
      <c r="C36" s="63">
        <v>24</v>
      </c>
      <c r="D36" s="197"/>
      <c r="E36" s="197"/>
      <c r="F36" s="190" t="s">
        <v>123</v>
      </c>
      <c r="G36" s="197"/>
      <c r="H36" s="197"/>
      <c r="I36" s="207"/>
      <c r="J36" s="197"/>
      <c r="K36" s="197"/>
      <c r="L36" s="197"/>
      <c r="M36" s="196"/>
      <c r="N36" s="214"/>
      <c r="O36" s="214"/>
      <c r="P36" s="212"/>
      <c r="Q36" s="196" t="s">
        <v>38</v>
      </c>
      <c r="R36" s="197">
        <v>1</v>
      </c>
      <c r="S36" s="215" t="s">
        <v>33</v>
      </c>
      <c r="T36" s="200"/>
      <c r="U36" s="200"/>
      <c r="V36" s="200"/>
      <c r="W36" s="200"/>
      <c r="X36" s="200"/>
      <c r="Y36" s="200"/>
      <c r="Z36" s="200"/>
      <c r="AA36" s="200"/>
      <c r="AB36" s="200"/>
      <c r="AC36" s="170"/>
      <c r="AD36" s="11" t="str">
        <f t="shared" si="0"/>
        <v/>
      </c>
      <c r="AF36" t="str">
        <f t="shared" si="1"/>
        <v>80.01.ZZ.0</v>
      </c>
      <c r="AH36" t="str">
        <f t="shared" si="2"/>
        <v>00 de 01</v>
      </c>
      <c r="AJ36" s="86"/>
      <c r="AK36" s="85"/>
      <c r="AM36" s="161"/>
      <c r="AN36" s="52"/>
    </row>
    <row r="37" spans="1:40" ht="36.75" customHeight="1" x14ac:dyDescent="0.25">
      <c r="A37" s="139" t="s">
        <v>116</v>
      </c>
      <c r="B37" s="105" t="s">
        <v>122</v>
      </c>
      <c r="C37" s="63">
        <v>25</v>
      </c>
      <c r="D37" s="197"/>
      <c r="E37" s="197"/>
      <c r="F37" s="190" t="s">
        <v>123</v>
      </c>
      <c r="G37" s="197"/>
      <c r="H37" s="197"/>
      <c r="I37" s="207"/>
      <c r="J37" s="197"/>
      <c r="K37" s="197"/>
      <c r="L37" s="197"/>
      <c r="M37" s="196"/>
      <c r="N37" s="214"/>
      <c r="O37" s="214"/>
      <c r="P37" s="212"/>
      <c r="Q37" s="196" t="s">
        <v>38</v>
      </c>
      <c r="R37" s="197">
        <v>1</v>
      </c>
      <c r="S37" s="215" t="s">
        <v>33</v>
      </c>
      <c r="T37" s="200"/>
      <c r="U37" s="200"/>
      <c r="V37" s="200"/>
      <c r="W37" s="200"/>
      <c r="X37" s="200"/>
      <c r="Y37" s="200"/>
      <c r="Z37" s="200"/>
      <c r="AA37" s="200"/>
      <c r="AB37" s="200"/>
      <c r="AC37" s="170"/>
      <c r="AD37" s="11" t="str">
        <f t="shared" si="0"/>
        <v/>
      </c>
      <c r="AF37" t="str">
        <f t="shared" si="1"/>
        <v>80.01.ZZ.0</v>
      </c>
      <c r="AH37" t="str">
        <f t="shared" si="2"/>
        <v>00 de 01</v>
      </c>
      <c r="AJ37" s="86"/>
      <c r="AK37" s="85"/>
      <c r="AM37" s="161"/>
      <c r="AN37" s="52"/>
    </row>
    <row r="38" spans="1:40" ht="36.75" customHeight="1" x14ac:dyDescent="0.25">
      <c r="A38" s="139" t="s">
        <v>116</v>
      </c>
      <c r="B38" s="105" t="s">
        <v>122</v>
      </c>
      <c r="C38" s="63">
        <v>26</v>
      </c>
      <c r="D38" s="197"/>
      <c r="E38" s="197"/>
      <c r="F38" s="190" t="s">
        <v>123</v>
      </c>
      <c r="G38" s="197"/>
      <c r="H38" s="197"/>
      <c r="I38" s="207"/>
      <c r="J38" s="197"/>
      <c r="K38" s="197"/>
      <c r="L38" s="197"/>
      <c r="M38" s="196"/>
      <c r="N38" s="214"/>
      <c r="O38" s="214"/>
      <c r="P38" s="212"/>
      <c r="Q38" s="196" t="s">
        <v>38</v>
      </c>
      <c r="R38" s="197">
        <v>1</v>
      </c>
      <c r="S38" s="215" t="s">
        <v>33</v>
      </c>
      <c r="T38" s="200"/>
      <c r="U38" s="200"/>
      <c r="V38" s="200"/>
      <c r="W38" s="200"/>
      <c r="X38" s="200"/>
      <c r="Y38" s="200"/>
      <c r="Z38" s="200"/>
      <c r="AA38" s="200"/>
      <c r="AB38" s="200"/>
      <c r="AC38" s="170"/>
      <c r="AD38" s="11" t="str">
        <f t="shared" si="0"/>
        <v/>
      </c>
      <c r="AF38" t="str">
        <f t="shared" si="1"/>
        <v>80.01.ZZ.0</v>
      </c>
      <c r="AH38" t="str">
        <f t="shared" si="2"/>
        <v>00 de 01</v>
      </c>
      <c r="AJ38" s="86"/>
      <c r="AK38" s="85"/>
      <c r="AM38" s="161"/>
      <c r="AN38" s="52"/>
    </row>
    <row r="39" spans="1:40" ht="36.75" customHeight="1" x14ac:dyDescent="0.25">
      <c r="A39" s="139" t="s">
        <v>116</v>
      </c>
      <c r="B39" s="105" t="s">
        <v>122</v>
      </c>
      <c r="C39" s="63">
        <v>27</v>
      </c>
      <c r="D39" s="197"/>
      <c r="E39" s="197"/>
      <c r="F39" s="190" t="s">
        <v>123</v>
      </c>
      <c r="G39" s="197"/>
      <c r="H39" s="197"/>
      <c r="I39" s="207"/>
      <c r="J39" s="197"/>
      <c r="K39" s="197"/>
      <c r="L39" s="197"/>
      <c r="M39" s="196"/>
      <c r="N39" s="214"/>
      <c r="O39" s="214"/>
      <c r="P39" s="212"/>
      <c r="Q39" s="196" t="s">
        <v>38</v>
      </c>
      <c r="R39" s="197">
        <v>1</v>
      </c>
      <c r="S39" s="215" t="s">
        <v>33</v>
      </c>
      <c r="T39" s="199"/>
      <c r="U39" s="200"/>
      <c r="V39" s="200"/>
      <c r="W39" s="200"/>
      <c r="X39" s="200"/>
      <c r="Y39" s="200"/>
      <c r="Z39" s="200"/>
      <c r="AA39" s="200"/>
      <c r="AB39" s="200"/>
      <c r="AC39" s="170"/>
      <c r="AD39" s="11" t="str">
        <f t="shared" si="0"/>
        <v/>
      </c>
      <c r="AF39" t="str">
        <f t="shared" si="1"/>
        <v>80.01.ZZ.0</v>
      </c>
      <c r="AH39" t="str">
        <f t="shared" si="2"/>
        <v>00 de 01</v>
      </c>
      <c r="AJ39" s="86"/>
      <c r="AK39" s="85"/>
    </row>
    <row r="40" spans="1:40" ht="36.75" customHeight="1" x14ac:dyDescent="0.25">
      <c r="A40" s="139" t="s">
        <v>116</v>
      </c>
      <c r="B40" s="105" t="s">
        <v>122</v>
      </c>
      <c r="C40" s="63">
        <v>28</v>
      </c>
      <c r="D40" s="197"/>
      <c r="E40" s="197"/>
      <c r="F40" s="190" t="s">
        <v>123</v>
      </c>
      <c r="G40" s="197"/>
      <c r="H40" s="197"/>
      <c r="I40" s="207"/>
      <c r="J40" s="197"/>
      <c r="K40" s="197"/>
      <c r="L40" s="197"/>
      <c r="M40" s="196"/>
      <c r="N40" s="214"/>
      <c r="O40" s="214"/>
      <c r="P40" s="212"/>
      <c r="Q40" s="196" t="s">
        <v>38</v>
      </c>
      <c r="R40" s="197">
        <v>1</v>
      </c>
      <c r="S40" s="215" t="s">
        <v>33</v>
      </c>
      <c r="T40" s="200"/>
      <c r="U40" s="200"/>
      <c r="V40" s="200"/>
      <c r="W40" s="200"/>
      <c r="X40" s="200"/>
      <c r="Y40" s="200"/>
      <c r="Z40" s="200"/>
      <c r="AA40" s="200"/>
      <c r="AB40" s="200"/>
      <c r="AC40" s="170"/>
      <c r="AD40" s="11" t="str">
        <f t="shared" si="0"/>
        <v/>
      </c>
      <c r="AF40" t="str">
        <f t="shared" si="1"/>
        <v>80.01.ZZ.0</v>
      </c>
      <c r="AH40" t="str">
        <f t="shared" si="2"/>
        <v>00 de 01</v>
      </c>
      <c r="AJ40" s="86"/>
      <c r="AK40" s="85"/>
      <c r="AM40" s="161" t="s">
        <v>79</v>
      </c>
      <c r="AN40" s="52" t="s">
        <v>108</v>
      </c>
    </row>
    <row r="41" spans="1:40" ht="36.75" customHeight="1" x14ac:dyDescent="0.25">
      <c r="A41" s="139" t="s">
        <v>116</v>
      </c>
      <c r="B41" s="105" t="s">
        <v>122</v>
      </c>
      <c r="C41" s="63">
        <v>29</v>
      </c>
      <c r="D41" s="197"/>
      <c r="E41" s="197"/>
      <c r="F41" s="190" t="s">
        <v>123</v>
      </c>
      <c r="G41" s="197"/>
      <c r="H41" s="197"/>
      <c r="I41" s="207"/>
      <c r="J41" s="197"/>
      <c r="K41" s="197"/>
      <c r="L41" s="197"/>
      <c r="M41" s="196"/>
      <c r="N41" s="214"/>
      <c r="O41" s="214"/>
      <c r="P41" s="212"/>
      <c r="Q41" s="196" t="s">
        <v>38</v>
      </c>
      <c r="R41" s="197">
        <v>1</v>
      </c>
      <c r="S41" s="215" t="s">
        <v>33</v>
      </c>
      <c r="T41" s="200"/>
      <c r="U41" s="200"/>
      <c r="V41" s="200"/>
      <c r="W41" s="200"/>
      <c r="X41" s="200"/>
      <c r="Y41" s="200"/>
      <c r="Z41" s="200"/>
      <c r="AA41" s="200"/>
      <c r="AB41" s="200"/>
      <c r="AC41" s="170"/>
      <c r="AD41" s="11" t="str">
        <f t="shared" si="0"/>
        <v/>
      </c>
      <c r="AF41" t="str">
        <f t="shared" si="1"/>
        <v>80.01.ZZ.0</v>
      </c>
      <c r="AH41" t="str">
        <f t="shared" si="2"/>
        <v>00 de 01</v>
      </c>
      <c r="AJ41" s="86"/>
      <c r="AK41" s="85"/>
      <c r="AM41" s="161" t="s">
        <v>74</v>
      </c>
      <c r="AN41" s="52" t="s">
        <v>109</v>
      </c>
    </row>
    <row r="42" spans="1:40" ht="36.75" customHeight="1" x14ac:dyDescent="0.25">
      <c r="A42" s="139" t="s">
        <v>116</v>
      </c>
      <c r="B42" s="105" t="s">
        <v>122</v>
      </c>
      <c r="C42" s="63">
        <v>30</v>
      </c>
      <c r="D42" s="197"/>
      <c r="E42" s="197"/>
      <c r="F42" s="190" t="s">
        <v>123</v>
      </c>
      <c r="G42" s="197"/>
      <c r="H42" s="197"/>
      <c r="I42" s="207"/>
      <c r="J42" s="197"/>
      <c r="K42" s="197"/>
      <c r="L42" s="197"/>
      <c r="M42" s="196"/>
      <c r="N42" s="214"/>
      <c r="O42" s="214"/>
      <c r="P42" s="212"/>
      <c r="Q42" s="196" t="s">
        <v>38</v>
      </c>
      <c r="R42" s="197">
        <v>1</v>
      </c>
      <c r="S42" s="215" t="s">
        <v>33</v>
      </c>
      <c r="T42" s="200"/>
      <c r="U42" s="200"/>
      <c r="V42" s="200"/>
      <c r="W42" s="200"/>
      <c r="X42" s="200"/>
      <c r="Y42" s="200"/>
      <c r="Z42" s="200"/>
      <c r="AA42" s="200"/>
      <c r="AB42" s="200"/>
      <c r="AC42" s="170"/>
      <c r="AD42" s="11" t="str">
        <f t="shared" si="0"/>
        <v/>
      </c>
      <c r="AF42" t="str">
        <f t="shared" si="1"/>
        <v>80.01.ZZ.0</v>
      </c>
      <c r="AH42" t="str">
        <f t="shared" si="2"/>
        <v>00 de 01</v>
      </c>
      <c r="AJ42" s="86"/>
      <c r="AK42" s="85"/>
      <c r="AM42" s="161" t="s">
        <v>96</v>
      </c>
      <c r="AN42" s="52" t="s">
        <v>110</v>
      </c>
    </row>
    <row r="43" spans="1:40" ht="36.75" customHeight="1" x14ac:dyDescent="0.25">
      <c r="A43" s="139" t="s">
        <v>116</v>
      </c>
      <c r="B43" s="105" t="s">
        <v>122</v>
      </c>
      <c r="C43" s="63">
        <v>31</v>
      </c>
      <c r="D43" s="197"/>
      <c r="E43" s="197"/>
      <c r="F43" s="190" t="s">
        <v>123</v>
      </c>
      <c r="G43" s="197"/>
      <c r="H43" s="197"/>
      <c r="I43" s="207"/>
      <c r="J43" s="197"/>
      <c r="K43" s="197"/>
      <c r="L43" s="197"/>
      <c r="M43" s="196"/>
      <c r="N43" s="214"/>
      <c r="O43" s="214"/>
      <c r="P43" s="212"/>
      <c r="Q43" s="196" t="s">
        <v>38</v>
      </c>
      <c r="R43" s="197">
        <v>1</v>
      </c>
      <c r="S43" s="215" t="s">
        <v>33</v>
      </c>
      <c r="T43" s="200"/>
      <c r="U43" s="200"/>
      <c r="V43" s="200"/>
      <c r="W43" s="200"/>
      <c r="X43" s="200"/>
      <c r="Y43" s="200"/>
      <c r="Z43" s="200"/>
      <c r="AA43" s="200"/>
      <c r="AB43" s="200"/>
      <c r="AC43" s="170"/>
      <c r="AD43" s="11" t="str">
        <f t="shared" si="0"/>
        <v/>
      </c>
      <c r="AF43" t="str">
        <f t="shared" si="1"/>
        <v>80.01.ZZ.0</v>
      </c>
      <c r="AH43" t="str">
        <f t="shared" si="2"/>
        <v>00 de 01</v>
      </c>
      <c r="AJ43" s="86"/>
      <c r="AK43" s="85"/>
      <c r="AM43" s="161" t="s">
        <v>93</v>
      </c>
      <c r="AN43" s="52">
        <v>10</v>
      </c>
    </row>
    <row r="44" spans="1:40" ht="36.75" customHeight="1" x14ac:dyDescent="0.25">
      <c r="A44" s="139" t="s">
        <v>116</v>
      </c>
      <c r="B44" s="105" t="s">
        <v>122</v>
      </c>
      <c r="C44" s="63">
        <v>32</v>
      </c>
      <c r="D44" s="197"/>
      <c r="E44" s="197"/>
      <c r="F44" s="190" t="s">
        <v>123</v>
      </c>
      <c r="G44" s="197"/>
      <c r="H44" s="197"/>
      <c r="I44" s="207"/>
      <c r="J44" s="197"/>
      <c r="K44" s="197"/>
      <c r="L44" s="197"/>
      <c r="M44" s="196"/>
      <c r="N44" s="214"/>
      <c r="O44" s="214"/>
      <c r="P44" s="212"/>
      <c r="Q44" s="196" t="s">
        <v>38</v>
      </c>
      <c r="R44" s="197">
        <v>1</v>
      </c>
      <c r="S44" s="215" t="s">
        <v>33</v>
      </c>
      <c r="T44" s="200"/>
      <c r="U44" s="200"/>
      <c r="V44" s="200"/>
      <c r="W44" s="200"/>
      <c r="X44" s="200"/>
      <c r="Y44" s="200"/>
      <c r="Z44" s="200"/>
      <c r="AA44" s="200"/>
      <c r="AB44" s="200"/>
      <c r="AC44" s="170"/>
      <c r="AD44" s="11" t="str">
        <f t="shared" si="0"/>
        <v/>
      </c>
      <c r="AF44" t="str">
        <f t="shared" si="1"/>
        <v>80.01.ZZ.0</v>
      </c>
      <c r="AH44" t="str">
        <f t="shared" si="2"/>
        <v>00 de 01</v>
      </c>
      <c r="AJ44" s="86"/>
      <c r="AK44" s="85"/>
      <c r="AM44" s="161" t="s">
        <v>103</v>
      </c>
      <c r="AN44" s="52">
        <v>11</v>
      </c>
    </row>
    <row r="45" spans="1:40" ht="36.75" customHeight="1" x14ac:dyDescent="0.25">
      <c r="A45" s="139" t="s">
        <v>116</v>
      </c>
      <c r="B45" s="105" t="s">
        <v>122</v>
      </c>
      <c r="C45" s="63">
        <v>33</v>
      </c>
      <c r="D45" s="197"/>
      <c r="E45" s="197"/>
      <c r="F45" s="190" t="s">
        <v>123</v>
      </c>
      <c r="G45" s="197"/>
      <c r="H45" s="197"/>
      <c r="I45" s="207"/>
      <c r="J45" s="197"/>
      <c r="K45" s="197"/>
      <c r="L45" s="197"/>
      <c r="M45" s="196"/>
      <c r="N45" s="214"/>
      <c r="O45" s="214"/>
      <c r="P45" s="212"/>
      <c r="Q45" s="196" t="s">
        <v>38</v>
      </c>
      <c r="R45" s="197">
        <v>1</v>
      </c>
      <c r="S45" s="215" t="s">
        <v>33</v>
      </c>
      <c r="T45" s="200"/>
      <c r="U45" s="200"/>
      <c r="V45" s="200"/>
      <c r="W45" s="200"/>
      <c r="X45" s="200"/>
      <c r="Y45" s="200"/>
      <c r="Z45" s="200"/>
      <c r="AA45" s="200"/>
      <c r="AB45" s="200"/>
      <c r="AC45" s="170"/>
      <c r="AD45" s="11" t="str">
        <f t="shared" si="0"/>
        <v/>
      </c>
      <c r="AF45" t="str">
        <f t="shared" si="1"/>
        <v>80.01.ZZ.0</v>
      </c>
      <c r="AH45" t="str">
        <f t="shared" si="2"/>
        <v>00 de 01</v>
      </c>
      <c r="AJ45" s="86"/>
      <c r="AK45" s="85"/>
      <c r="AM45" s="161"/>
      <c r="AN45" s="52"/>
    </row>
    <row r="46" spans="1:40" ht="36.75" customHeight="1" x14ac:dyDescent="0.25">
      <c r="A46" s="139" t="s">
        <v>116</v>
      </c>
      <c r="B46" s="105" t="s">
        <v>122</v>
      </c>
      <c r="C46" s="63">
        <v>34</v>
      </c>
      <c r="D46" s="197"/>
      <c r="E46" s="197"/>
      <c r="F46" s="190" t="s">
        <v>123</v>
      </c>
      <c r="G46" s="197"/>
      <c r="H46" s="197"/>
      <c r="I46" s="207"/>
      <c r="J46" s="197"/>
      <c r="K46" s="197"/>
      <c r="L46" s="197"/>
      <c r="M46" s="196"/>
      <c r="N46" s="214"/>
      <c r="O46" s="214"/>
      <c r="P46" s="212"/>
      <c r="Q46" s="196" t="s">
        <v>38</v>
      </c>
      <c r="R46" s="197">
        <v>1</v>
      </c>
      <c r="S46" s="215" t="s">
        <v>33</v>
      </c>
      <c r="T46" s="200"/>
      <c r="U46" s="200"/>
      <c r="V46" s="200"/>
      <c r="W46" s="200"/>
      <c r="X46" s="200"/>
      <c r="Y46" s="200"/>
      <c r="Z46" s="200"/>
      <c r="AA46" s="200"/>
      <c r="AB46" s="200"/>
      <c r="AC46" s="170"/>
      <c r="AD46" s="11" t="str">
        <f t="shared" si="0"/>
        <v/>
      </c>
      <c r="AF46" t="str">
        <f t="shared" si="1"/>
        <v>80.01.ZZ.0</v>
      </c>
      <c r="AH46" t="str">
        <f t="shared" si="2"/>
        <v>00 de 01</v>
      </c>
      <c r="AJ46" s="86"/>
      <c r="AK46" s="85"/>
      <c r="AM46" s="161"/>
      <c r="AN46" s="52"/>
    </row>
    <row r="47" spans="1:40" ht="36.75" customHeight="1" x14ac:dyDescent="0.25">
      <c r="A47" s="139" t="s">
        <v>116</v>
      </c>
      <c r="B47" s="105" t="s">
        <v>122</v>
      </c>
      <c r="C47" s="63">
        <v>35</v>
      </c>
      <c r="D47" s="197"/>
      <c r="E47" s="197"/>
      <c r="F47" s="190" t="s">
        <v>123</v>
      </c>
      <c r="G47" s="197"/>
      <c r="H47" s="197"/>
      <c r="I47" s="207"/>
      <c r="J47" s="197"/>
      <c r="K47" s="197"/>
      <c r="L47" s="197"/>
      <c r="M47" s="196"/>
      <c r="N47" s="214"/>
      <c r="O47" s="214"/>
      <c r="P47" s="212"/>
      <c r="Q47" s="196" t="s">
        <v>38</v>
      </c>
      <c r="R47" s="197">
        <v>1</v>
      </c>
      <c r="S47" s="215" t="s">
        <v>33</v>
      </c>
      <c r="T47" s="200"/>
      <c r="U47" s="200"/>
      <c r="V47" s="200"/>
      <c r="W47" s="200"/>
      <c r="X47" s="200"/>
      <c r="Y47" s="200"/>
      <c r="Z47" s="200"/>
      <c r="AA47" s="200"/>
      <c r="AB47" s="200"/>
      <c r="AC47" s="170"/>
      <c r="AD47" s="11" t="str">
        <f t="shared" si="0"/>
        <v/>
      </c>
      <c r="AF47" t="str">
        <f t="shared" si="1"/>
        <v>80.01.ZZ.0</v>
      </c>
      <c r="AH47" t="str">
        <f t="shared" si="2"/>
        <v>00 de 01</v>
      </c>
      <c r="AJ47" s="86"/>
      <c r="AK47" s="85"/>
      <c r="AM47" s="161"/>
      <c r="AN47" s="52"/>
    </row>
    <row r="48" spans="1:40" ht="36.75" customHeight="1" x14ac:dyDescent="0.25">
      <c r="A48" s="139" t="s">
        <v>116</v>
      </c>
      <c r="B48" s="105" t="s">
        <v>122</v>
      </c>
      <c r="C48" s="63">
        <v>36</v>
      </c>
      <c r="D48" s="197"/>
      <c r="E48" s="197"/>
      <c r="F48" s="190" t="s">
        <v>123</v>
      </c>
      <c r="G48" s="197"/>
      <c r="H48" s="197"/>
      <c r="I48" s="207"/>
      <c r="J48" s="197"/>
      <c r="K48" s="197"/>
      <c r="L48" s="197"/>
      <c r="M48" s="196"/>
      <c r="N48" s="214"/>
      <c r="O48" s="214"/>
      <c r="P48" s="212"/>
      <c r="Q48" s="196" t="s">
        <v>38</v>
      </c>
      <c r="R48" s="197">
        <v>1</v>
      </c>
      <c r="S48" s="215" t="s">
        <v>33</v>
      </c>
      <c r="T48" s="200"/>
      <c r="U48" s="200"/>
      <c r="V48" s="200"/>
      <c r="W48" s="200"/>
      <c r="X48" s="200"/>
      <c r="Y48" s="200"/>
      <c r="Z48" s="200"/>
      <c r="AA48" s="200"/>
      <c r="AB48" s="200"/>
      <c r="AC48" s="170"/>
      <c r="AD48" s="11" t="str">
        <f t="shared" si="0"/>
        <v/>
      </c>
      <c r="AF48" t="str">
        <f t="shared" si="1"/>
        <v>80.01.ZZ.0</v>
      </c>
      <c r="AH48" t="str">
        <f t="shared" si="2"/>
        <v>00 de 01</v>
      </c>
      <c r="AJ48" s="86"/>
      <c r="AK48" s="85"/>
      <c r="AM48" s="161"/>
      <c r="AN48" s="52"/>
    </row>
    <row r="49" spans="1:40" ht="36.75" customHeight="1" x14ac:dyDescent="0.25">
      <c r="A49" s="139" t="s">
        <v>116</v>
      </c>
      <c r="B49" s="105" t="s">
        <v>122</v>
      </c>
      <c r="C49" s="63">
        <v>37</v>
      </c>
      <c r="D49" s="197"/>
      <c r="E49" s="197"/>
      <c r="F49" s="190" t="s">
        <v>123</v>
      </c>
      <c r="G49" s="197"/>
      <c r="H49" s="197"/>
      <c r="I49" s="207"/>
      <c r="J49" s="197"/>
      <c r="K49" s="197"/>
      <c r="L49" s="197"/>
      <c r="M49" s="196"/>
      <c r="N49" s="214"/>
      <c r="O49" s="214"/>
      <c r="P49" s="212"/>
      <c r="Q49" s="196" t="s">
        <v>38</v>
      </c>
      <c r="R49" s="197">
        <v>1</v>
      </c>
      <c r="S49" s="215" t="s">
        <v>33</v>
      </c>
      <c r="T49" s="200"/>
      <c r="U49" s="200"/>
      <c r="V49" s="200"/>
      <c r="W49" s="200"/>
      <c r="X49" s="200"/>
      <c r="Y49" s="200"/>
      <c r="Z49" s="200"/>
      <c r="AA49" s="200"/>
      <c r="AB49" s="200"/>
      <c r="AC49" s="170"/>
      <c r="AD49" s="11" t="str">
        <f t="shared" si="0"/>
        <v/>
      </c>
      <c r="AF49" t="str">
        <f t="shared" si="1"/>
        <v>80.01.ZZ.0</v>
      </c>
      <c r="AH49" t="str">
        <f t="shared" si="2"/>
        <v>00 de 01</v>
      </c>
      <c r="AJ49" s="86"/>
      <c r="AK49" s="85"/>
      <c r="AM49" s="161"/>
      <c r="AN49" s="52"/>
    </row>
    <row r="50" spans="1:40" ht="36.75" customHeight="1" x14ac:dyDescent="0.25">
      <c r="A50" s="139" t="s">
        <v>116</v>
      </c>
      <c r="B50" s="105" t="s">
        <v>122</v>
      </c>
      <c r="C50" s="63">
        <v>38</v>
      </c>
      <c r="D50" s="197"/>
      <c r="E50" s="197"/>
      <c r="F50" s="190" t="s">
        <v>123</v>
      </c>
      <c r="G50" s="197"/>
      <c r="H50" s="197"/>
      <c r="I50" s="207"/>
      <c r="J50" s="197"/>
      <c r="K50" s="197"/>
      <c r="L50" s="197"/>
      <c r="M50" s="196"/>
      <c r="N50" s="214"/>
      <c r="O50" s="214"/>
      <c r="P50" s="212"/>
      <c r="Q50" s="196" t="s">
        <v>38</v>
      </c>
      <c r="R50" s="197">
        <v>1</v>
      </c>
      <c r="S50" s="215" t="s">
        <v>33</v>
      </c>
      <c r="T50" s="200"/>
      <c r="U50" s="200"/>
      <c r="V50" s="200"/>
      <c r="W50" s="200"/>
      <c r="X50" s="200"/>
      <c r="Y50" s="200"/>
      <c r="Z50" s="200"/>
      <c r="AA50" s="200"/>
      <c r="AB50" s="200"/>
      <c r="AC50" s="170"/>
      <c r="AD50" s="11" t="str">
        <f t="shared" si="0"/>
        <v/>
      </c>
      <c r="AF50" t="str">
        <f t="shared" si="1"/>
        <v>80.01.ZZ.0</v>
      </c>
      <c r="AH50" t="str">
        <f t="shared" si="2"/>
        <v>00 de 01</v>
      </c>
      <c r="AJ50" s="86"/>
      <c r="AK50" s="85"/>
      <c r="AM50" s="161"/>
      <c r="AN50" s="52"/>
    </row>
    <row r="51" spans="1:40" ht="36.75" customHeight="1" x14ac:dyDescent="0.25">
      <c r="A51" s="139" t="s">
        <v>116</v>
      </c>
      <c r="B51" s="105" t="s">
        <v>122</v>
      </c>
      <c r="C51" s="63">
        <v>39</v>
      </c>
      <c r="D51" s="197"/>
      <c r="E51" s="197"/>
      <c r="F51" s="190" t="s">
        <v>123</v>
      </c>
      <c r="G51" s="197"/>
      <c r="H51" s="197"/>
      <c r="I51" s="207"/>
      <c r="J51" s="197"/>
      <c r="K51" s="197"/>
      <c r="L51" s="197"/>
      <c r="M51" s="196"/>
      <c r="N51" s="214"/>
      <c r="O51" s="214"/>
      <c r="P51" s="212"/>
      <c r="Q51" s="196" t="s">
        <v>38</v>
      </c>
      <c r="R51" s="197">
        <v>1</v>
      </c>
      <c r="S51" s="215" t="s">
        <v>33</v>
      </c>
      <c r="T51" s="200"/>
      <c r="U51" s="200"/>
      <c r="V51" s="200"/>
      <c r="W51" s="200"/>
      <c r="X51" s="200"/>
      <c r="Y51" s="200"/>
      <c r="Z51" s="200"/>
      <c r="AA51" s="200"/>
      <c r="AB51" s="200"/>
      <c r="AC51" s="170"/>
      <c r="AD51" s="11" t="str">
        <f t="shared" si="0"/>
        <v/>
      </c>
      <c r="AF51" t="str">
        <f t="shared" si="1"/>
        <v>80.01.ZZ.0</v>
      </c>
      <c r="AH51" t="str">
        <f t="shared" si="2"/>
        <v>00 de 01</v>
      </c>
      <c r="AJ51" s="86"/>
      <c r="AK51" s="85"/>
      <c r="AM51" s="161"/>
      <c r="AN51" s="52"/>
    </row>
    <row r="52" spans="1:40" ht="36.75" customHeight="1" x14ac:dyDescent="0.25">
      <c r="A52" s="139" t="s">
        <v>116</v>
      </c>
      <c r="B52" s="105" t="s">
        <v>122</v>
      </c>
      <c r="C52" s="63">
        <v>40</v>
      </c>
      <c r="D52" s="197"/>
      <c r="E52" s="197"/>
      <c r="F52" s="190" t="s">
        <v>123</v>
      </c>
      <c r="G52" s="197"/>
      <c r="H52" s="197"/>
      <c r="I52" s="197"/>
      <c r="J52" s="197"/>
      <c r="K52" s="197"/>
      <c r="L52" s="197"/>
      <c r="M52" s="196"/>
      <c r="N52" s="214"/>
      <c r="O52" s="214"/>
      <c r="P52" s="212"/>
      <c r="Q52" s="196" t="s">
        <v>38</v>
      </c>
      <c r="R52" s="197">
        <v>1</v>
      </c>
      <c r="S52" s="215" t="s">
        <v>33</v>
      </c>
      <c r="T52" s="200"/>
      <c r="U52" s="200"/>
      <c r="V52" s="200"/>
      <c r="W52" s="200"/>
      <c r="X52" s="200"/>
      <c r="Y52" s="200"/>
      <c r="Z52" s="200"/>
      <c r="AA52" s="200"/>
      <c r="AB52" s="200"/>
      <c r="AC52" s="170"/>
      <c r="AD52" s="11" t="str">
        <f t="shared" si="0"/>
        <v/>
      </c>
      <c r="AF52" t="str">
        <f t="shared" si="1"/>
        <v>80.01.ZZ.0</v>
      </c>
      <c r="AH52" t="str">
        <f t="shared" si="2"/>
        <v>00 de 01</v>
      </c>
      <c r="AJ52" s="86"/>
      <c r="AK52" s="85"/>
      <c r="AM52" s="161"/>
      <c r="AN52" s="52"/>
    </row>
    <row r="53" spans="1:40" ht="36.75" customHeight="1" x14ac:dyDescent="0.25">
      <c r="A53" s="139" t="s">
        <v>116</v>
      </c>
      <c r="B53" s="105" t="s">
        <v>122</v>
      </c>
      <c r="C53" s="63">
        <v>41</v>
      </c>
      <c r="D53" s="197"/>
      <c r="E53" s="197"/>
      <c r="F53" s="190" t="s">
        <v>123</v>
      </c>
      <c r="G53" s="197"/>
      <c r="H53" s="197"/>
      <c r="I53" s="207"/>
      <c r="J53" s="197"/>
      <c r="K53" s="197"/>
      <c r="L53" s="197"/>
      <c r="M53" s="196"/>
      <c r="N53" s="214"/>
      <c r="O53" s="214"/>
      <c r="P53" s="212"/>
      <c r="Q53" s="196" t="s">
        <v>38</v>
      </c>
      <c r="R53" s="197">
        <v>1</v>
      </c>
      <c r="S53" s="215" t="s">
        <v>33</v>
      </c>
      <c r="T53" s="200"/>
      <c r="U53" s="200"/>
      <c r="V53" s="200"/>
      <c r="W53" s="200"/>
      <c r="X53" s="200"/>
      <c r="Y53" s="200"/>
      <c r="Z53" s="200"/>
      <c r="AA53" s="200"/>
      <c r="AB53" s="200"/>
      <c r="AC53" s="170"/>
      <c r="AD53" s="11" t="str">
        <f t="shared" si="0"/>
        <v/>
      </c>
      <c r="AF53" t="str">
        <f t="shared" si="1"/>
        <v>80.01.ZZ.0</v>
      </c>
      <c r="AH53" t="str">
        <f t="shared" si="2"/>
        <v>00 de 01</v>
      </c>
      <c r="AJ53" s="86"/>
      <c r="AK53" s="85"/>
      <c r="AM53" s="161"/>
      <c r="AN53" s="52"/>
    </row>
    <row r="54" spans="1:40" ht="36.75" customHeight="1" x14ac:dyDescent="0.25">
      <c r="A54" s="139" t="s">
        <v>116</v>
      </c>
      <c r="B54" s="105" t="s">
        <v>122</v>
      </c>
      <c r="C54" s="63">
        <v>42</v>
      </c>
      <c r="D54" s="197"/>
      <c r="E54" s="197"/>
      <c r="F54" s="190" t="s">
        <v>123</v>
      </c>
      <c r="G54" s="197"/>
      <c r="H54" s="197"/>
      <c r="I54" s="197"/>
      <c r="J54" s="197"/>
      <c r="K54" s="197"/>
      <c r="L54" s="197"/>
      <c r="M54" s="196"/>
      <c r="N54" s="214"/>
      <c r="O54" s="214"/>
      <c r="P54" s="212"/>
      <c r="Q54" s="196" t="s">
        <v>38</v>
      </c>
      <c r="R54" s="197">
        <v>1</v>
      </c>
      <c r="S54" s="215" t="s">
        <v>33</v>
      </c>
      <c r="T54" s="200"/>
      <c r="U54" s="200"/>
      <c r="V54" s="200"/>
      <c r="W54" s="200"/>
      <c r="X54" s="200"/>
      <c r="Y54" s="200"/>
      <c r="Z54" s="200"/>
      <c r="AA54" s="200"/>
      <c r="AB54" s="200"/>
      <c r="AC54" s="170"/>
      <c r="AD54" s="11" t="str">
        <f t="shared" si="0"/>
        <v/>
      </c>
      <c r="AF54" t="str">
        <f t="shared" si="1"/>
        <v>80.01.ZZ.0</v>
      </c>
      <c r="AH54" t="str">
        <f t="shared" si="2"/>
        <v>00 de 01</v>
      </c>
      <c r="AJ54" s="86"/>
      <c r="AK54" s="85"/>
      <c r="AM54" s="161"/>
      <c r="AN54" s="52"/>
    </row>
    <row r="55" spans="1:40" ht="36.75" customHeight="1" x14ac:dyDescent="0.25">
      <c r="A55" s="139" t="s">
        <v>116</v>
      </c>
      <c r="B55" s="105" t="s">
        <v>122</v>
      </c>
      <c r="C55" s="63">
        <v>43</v>
      </c>
      <c r="D55" s="197"/>
      <c r="E55" s="197"/>
      <c r="F55" s="190" t="s">
        <v>123</v>
      </c>
      <c r="G55" s="197"/>
      <c r="H55" s="197"/>
      <c r="I55" s="207"/>
      <c r="J55" s="197"/>
      <c r="K55" s="197"/>
      <c r="L55" s="197"/>
      <c r="M55" s="196"/>
      <c r="N55" s="214"/>
      <c r="O55" s="214"/>
      <c r="P55" s="212"/>
      <c r="Q55" s="196" t="s">
        <v>38</v>
      </c>
      <c r="R55" s="197">
        <v>1</v>
      </c>
      <c r="S55" s="215" t="s">
        <v>33</v>
      </c>
      <c r="T55" s="200"/>
      <c r="U55" s="200"/>
      <c r="V55" s="200"/>
      <c r="W55" s="200"/>
      <c r="X55" s="200"/>
      <c r="Y55" s="200"/>
      <c r="Z55" s="200"/>
      <c r="AA55" s="200"/>
      <c r="AB55" s="200"/>
      <c r="AC55" s="170"/>
      <c r="AD55" s="11" t="str">
        <f t="shared" si="0"/>
        <v/>
      </c>
      <c r="AF55" t="str">
        <f t="shared" si="1"/>
        <v>80.01.ZZ.0</v>
      </c>
      <c r="AH55" t="str">
        <f t="shared" si="2"/>
        <v>00 de 01</v>
      </c>
      <c r="AJ55" s="86"/>
      <c r="AK55" s="85"/>
      <c r="AM55" s="161"/>
      <c r="AN55" s="52"/>
    </row>
    <row r="56" spans="1:40" ht="36.75" customHeight="1" x14ac:dyDescent="0.25">
      <c r="A56" s="139" t="s">
        <v>116</v>
      </c>
      <c r="B56" s="105" t="s">
        <v>122</v>
      </c>
      <c r="C56" s="63">
        <v>44</v>
      </c>
      <c r="D56" s="197"/>
      <c r="E56" s="197"/>
      <c r="F56" s="190" t="s">
        <v>123</v>
      </c>
      <c r="G56" s="197"/>
      <c r="H56" s="197"/>
      <c r="I56" s="207"/>
      <c r="J56" s="197"/>
      <c r="K56" s="197"/>
      <c r="L56" s="197"/>
      <c r="M56" s="196"/>
      <c r="N56" s="214"/>
      <c r="O56" s="214"/>
      <c r="P56" s="212"/>
      <c r="Q56" s="196" t="s">
        <v>38</v>
      </c>
      <c r="R56" s="197">
        <v>1</v>
      </c>
      <c r="S56" s="215" t="s">
        <v>33</v>
      </c>
      <c r="T56" s="199"/>
      <c r="U56" s="200"/>
      <c r="V56" s="200"/>
      <c r="W56" s="200"/>
      <c r="X56" s="200"/>
      <c r="Y56" s="200"/>
      <c r="Z56" s="200"/>
      <c r="AA56" s="200"/>
      <c r="AB56" s="200"/>
      <c r="AC56" s="170"/>
      <c r="AD56" s="11" t="str">
        <f t="shared" si="0"/>
        <v/>
      </c>
      <c r="AF56" t="str">
        <f t="shared" si="1"/>
        <v>80.01.ZZ.0</v>
      </c>
      <c r="AH56" t="str">
        <f t="shared" si="2"/>
        <v>00 de 01</v>
      </c>
      <c r="AJ56" s="86"/>
      <c r="AK56" s="85"/>
    </row>
    <row r="57" spans="1:40" ht="36.75" customHeight="1" x14ac:dyDescent="0.25">
      <c r="A57" s="139" t="s">
        <v>116</v>
      </c>
      <c r="B57" s="105" t="s">
        <v>122</v>
      </c>
      <c r="C57" s="63">
        <v>45</v>
      </c>
      <c r="D57" s="197"/>
      <c r="E57" s="197"/>
      <c r="F57" s="190" t="s">
        <v>123</v>
      </c>
      <c r="G57" s="197"/>
      <c r="H57" s="197"/>
      <c r="I57" s="207"/>
      <c r="J57" s="197"/>
      <c r="K57" s="197"/>
      <c r="L57" s="197"/>
      <c r="M57" s="196"/>
      <c r="N57" s="214"/>
      <c r="O57" s="214"/>
      <c r="P57" s="212"/>
      <c r="Q57" s="196" t="s">
        <v>38</v>
      </c>
      <c r="R57" s="197">
        <v>1</v>
      </c>
      <c r="S57" s="215" t="s">
        <v>33</v>
      </c>
      <c r="T57" s="199"/>
      <c r="U57" s="200"/>
      <c r="V57" s="200"/>
      <c r="W57" s="200"/>
      <c r="X57" s="200"/>
      <c r="Y57" s="200"/>
      <c r="Z57" s="200"/>
      <c r="AA57" s="200"/>
      <c r="AB57" s="200"/>
      <c r="AC57" s="170"/>
      <c r="AD57" s="11" t="str">
        <f t="shared" si="0"/>
        <v/>
      </c>
      <c r="AF57" t="str">
        <f t="shared" si="1"/>
        <v>80.01.ZZ.0</v>
      </c>
      <c r="AH57" t="str">
        <f t="shared" si="2"/>
        <v>00 de 01</v>
      </c>
      <c r="AJ57" s="86"/>
      <c r="AK57" s="85"/>
    </row>
    <row r="58" spans="1:40" ht="36.75" customHeight="1" x14ac:dyDescent="0.25">
      <c r="A58" s="139" t="s">
        <v>116</v>
      </c>
      <c r="B58" s="105" t="s">
        <v>122</v>
      </c>
      <c r="C58" s="63">
        <v>46</v>
      </c>
      <c r="D58" s="197"/>
      <c r="E58" s="197"/>
      <c r="F58" s="190" t="s">
        <v>123</v>
      </c>
      <c r="G58" s="197"/>
      <c r="H58" s="197"/>
      <c r="I58" s="207"/>
      <c r="J58" s="197"/>
      <c r="K58" s="197"/>
      <c r="L58" s="197"/>
      <c r="M58" s="196"/>
      <c r="N58" s="214"/>
      <c r="O58" s="214"/>
      <c r="P58" s="212"/>
      <c r="Q58" s="196" t="s">
        <v>38</v>
      </c>
      <c r="R58" s="197">
        <v>1</v>
      </c>
      <c r="S58" s="215" t="s">
        <v>33</v>
      </c>
      <c r="T58" s="199"/>
      <c r="U58" s="200"/>
      <c r="V58" s="200"/>
      <c r="W58" s="200"/>
      <c r="X58" s="200"/>
      <c r="Y58" s="200"/>
      <c r="Z58" s="200"/>
      <c r="AA58" s="200"/>
      <c r="AB58" s="200"/>
      <c r="AC58" s="170"/>
      <c r="AD58" s="11" t="str">
        <f t="shared" si="0"/>
        <v/>
      </c>
      <c r="AF58" t="str">
        <f t="shared" si="1"/>
        <v>80.01.ZZ.0</v>
      </c>
      <c r="AH58" t="str">
        <f t="shared" si="2"/>
        <v>00 de 01</v>
      </c>
      <c r="AJ58" s="86"/>
      <c r="AK58" s="85"/>
    </row>
    <row r="59" spans="1:40" ht="36.75" customHeight="1" x14ac:dyDescent="0.25">
      <c r="A59" s="139" t="s">
        <v>116</v>
      </c>
      <c r="B59" s="105" t="s">
        <v>122</v>
      </c>
      <c r="C59" s="63">
        <v>47</v>
      </c>
      <c r="D59" s="197"/>
      <c r="E59" s="197"/>
      <c r="F59" s="190" t="s">
        <v>123</v>
      </c>
      <c r="G59" s="197"/>
      <c r="H59" s="197"/>
      <c r="I59" s="207"/>
      <c r="J59" s="197"/>
      <c r="K59" s="197"/>
      <c r="L59" s="197"/>
      <c r="M59" s="196"/>
      <c r="N59" s="214"/>
      <c r="O59" s="214"/>
      <c r="P59" s="212"/>
      <c r="Q59" s="196" t="s">
        <v>38</v>
      </c>
      <c r="R59" s="197">
        <v>1</v>
      </c>
      <c r="S59" s="215" t="s">
        <v>33</v>
      </c>
      <c r="T59" s="199"/>
      <c r="U59" s="200"/>
      <c r="V59" s="200"/>
      <c r="W59" s="200"/>
      <c r="X59" s="200"/>
      <c r="Y59" s="200"/>
      <c r="Z59" s="200"/>
      <c r="AA59" s="200"/>
      <c r="AB59" s="200"/>
      <c r="AC59" s="170"/>
      <c r="AD59" s="11" t="str">
        <f t="shared" si="0"/>
        <v/>
      </c>
      <c r="AF59" t="str">
        <f t="shared" si="1"/>
        <v>80.01.ZZ.0</v>
      </c>
      <c r="AH59" t="str">
        <f t="shared" si="2"/>
        <v>00 de 01</v>
      </c>
      <c r="AJ59" s="86"/>
      <c r="AK59" s="85"/>
    </row>
    <row r="60" spans="1:40" ht="36.75" customHeight="1" x14ac:dyDescent="0.25">
      <c r="A60" s="139" t="s">
        <v>116</v>
      </c>
      <c r="B60" s="105" t="s">
        <v>122</v>
      </c>
      <c r="C60" s="63">
        <v>48</v>
      </c>
      <c r="D60" s="197"/>
      <c r="E60" s="197"/>
      <c r="F60" s="190" t="s">
        <v>123</v>
      </c>
      <c r="G60" s="197"/>
      <c r="H60" s="197"/>
      <c r="I60" s="207"/>
      <c r="J60" s="197"/>
      <c r="K60" s="197"/>
      <c r="L60" s="197"/>
      <c r="M60" s="196"/>
      <c r="N60" s="214"/>
      <c r="O60" s="214"/>
      <c r="P60" s="212"/>
      <c r="Q60" s="196" t="s">
        <v>38</v>
      </c>
      <c r="R60" s="197">
        <v>1</v>
      </c>
      <c r="S60" s="215" t="s">
        <v>33</v>
      </c>
      <c r="T60" s="199"/>
      <c r="U60" s="200"/>
      <c r="V60" s="200"/>
      <c r="W60" s="200"/>
      <c r="X60" s="200"/>
      <c r="Y60" s="200"/>
      <c r="Z60" s="200"/>
      <c r="AA60" s="200"/>
      <c r="AB60" s="200"/>
      <c r="AC60" s="170"/>
      <c r="AD60" s="11" t="str">
        <f t="shared" si="0"/>
        <v/>
      </c>
      <c r="AF60" t="str">
        <f t="shared" si="1"/>
        <v>80.01.ZZ.0</v>
      </c>
      <c r="AH60" t="str">
        <f t="shared" si="2"/>
        <v>00 de 01</v>
      </c>
      <c r="AJ60" s="86"/>
      <c r="AK60" s="85"/>
    </row>
    <row r="61" spans="1:40" ht="36.75" customHeight="1" x14ac:dyDescent="0.25">
      <c r="A61" s="139" t="s">
        <v>116</v>
      </c>
      <c r="B61" s="105" t="s">
        <v>122</v>
      </c>
      <c r="C61" s="63">
        <v>49</v>
      </c>
      <c r="D61" s="197"/>
      <c r="E61" s="197"/>
      <c r="F61" s="190" t="s">
        <v>123</v>
      </c>
      <c r="G61" s="197"/>
      <c r="H61" s="197"/>
      <c r="I61" s="207"/>
      <c r="J61" s="197"/>
      <c r="K61" s="197"/>
      <c r="L61" s="197"/>
      <c r="M61" s="196"/>
      <c r="N61" s="214"/>
      <c r="O61" s="214"/>
      <c r="P61" s="212"/>
      <c r="Q61" s="196" t="s">
        <v>38</v>
      </c>
      <c r="R61" s="197">
        <v>1</v>
      </c>
      <c r="S61" s="215" t="s">
        <v>33</v>
      </c>
      <c r="T61" s="199"/>
      <c r="U61" s="200"/>
      <c r="V61" s="200"/>
      <c r="W61" s="200"/>
      <c r="X61" s="200"/>
      <c r="Y61" s="200"/>
      <c r="Z61" s="200"/>
      <c r="AA61" s="200"/>
      <c r="AB61" s="200"/>
      <c r="AC61" s="170"/>
      <c r="AD61" s="11" t="str">
        <f t="shared" si="0"/>
        <v/>
      </c>
      <c r="AF61" t="str">
        <f t="shared" si="1"/>
        <v>80.01.ZZ.0</v>
      </c>
      <c r="AH61" t="str">
        <f t="shared" si="2"/>
        <v>00 de 01</v>
      </c>
      <c r="AJ61" s="86"/>
      <c r="AK61" s="85"/>
    </row>
    <row r="62" spans="1:40" ht="36.75" customHeight="1" x14ac:dyDescent="0.25">
      <c r="A62" s="139" t="s">
        <v>116</v>
      </c>
      <c r="B62" s="105" t="s">
        <v>122</v>
      </c>
      <c r="C62" s="63">
        <v>50</v>
      </c>
      <c r="D62" s="197"/>
      <c r="E62" s="197"/>
      <c r="F62" s="190" t="s">
        <v>123</v>
      </c>
      <c r="G62" s="197"/>
      <c r="H62" s="197"/>
      <c r="I62" s="207"/>
      <c r="J62" s="197"/>
      <c r="K62" s="197"/>
      <c r="L62" s="197"/>
      <c r="M62" s="196"/>
      <c r="N62" s="214"/>
      <c r="O62" s="214"/>
      <c r="P62" s="212"/>
      <c r="Q62" s="196" t="s">
        <v>38</v>
      </c>
      <c r="R62" s="197">
        <v>1</v>
      </c>
      <c r="S62" s="215" t="s">
        <v>33</v>
      </c>
      <c r="T62" s="199"/>
      <c r="U62" s="200"/>
      <c r="V62" s="200"/>
      <c r="W62" s="200"/>
      <c r="X62" s="200"/>
      <c r="Y62" s="200"/>
      <c r="Z62" s="200"/>
      <c r="AA62" s="200"/>
      <c r="AB62" s="200"/>
      <c r="AC62" s="170"/>
      <c r="AD62" s="11" t="str">
        <f t="shared" si="0"/>
        <v/>
      </c>
      <c r="AF62" t="str">
        <f t="shared" si="1"/>
        <v>80.01.ZZ.0</v>
      </c>
      <c r="AH62" t="str">
        <f t="shared" si="2"/>
        <v>00 de 01</v>
      </c>
      <c r="AJ62" s="86"/>
      <c r="AK62" s="85"/>
    </row>
    <row r="63" spans="1:40" ht="36.75" customHeight="1" x14ac:dyDescent="0.25">
      <c r="A63" s="139" t="s">
        <v>116</v>
      </c>
      <c r="B63" s="105" t="s">
        <v>122</v>
      </c>
      <c r="C63" s="63">
        <v>51</v>
      </c>
      <c r="D63" s="197"/>
      <c r="E63" s="197"/>
      <c r="F63" s="190" t="s">
        <v>123</v>
      </c>
      <c r="G63" s="197"/>
      <c r="H63" s="197"/>
      <c r="I63" s="207"/>
      <c r="J63" s="197"/>
      <c r="K63" s="197"/>
      <c r="L63" s="197"/>
      <c r="M63" s="196"/>
      <c r="N63" s="214"/>
      <c r="O63" s="214"/>
      <c r="P63" s="212"/>
      <c r="Q63" s="196" t="s">
        <v>38</v>
      </c>
      <c r="R63" s="197">
        <v>1</v>
      </c>
      <c r="S63" s="215" t="s">
        <v>33</v>
      </c>
      <c r="T63" s="199"/>
      <c r="U63" s="200"/>
      <c r="V63" s="200"/>
      <c r="W63" s="200"/>
      <c r="X63" s="200"/>
      <c r="Y63" s="200"/>
      <c r="Z63" s="200"/>
      <c r="AA63" s="200"/>
      <c r="AB63" s="200"/>
      <c r="AC63" s="170"/>
      <c r="AD63" s="11" t="str">
        <f t="shared" si="0"/>
        <v/>
      </c>
      <c r="AF63" t="str">
        <f t="shared" si="1"/>
        <v>80.01.ZZ.0</v>
      </c>
      <c r="AH63" t="str">
        <f t="shared" si="2"/>
        <v>00 de 01</v>
      </c>
      <c r="AJ63" s="86"/>
      <c r="AK63" s="85"/>
    </row>
    <row r="64" spans="1:40" ht="36.75" customHeight="1" x14ac:dyDescent="0.25">
      <c r="A64" s="139" t="s">
        <v>116</v>
      </c>
      <c r="B64" s="105" t="s">
        <v>122</v>
      </c>
      <c r="C64" s="63">
        <v>52</v>
      </c>
      <c r="D64" s="197"/>
      <c r="E64" s="197"/>
      <c r="F64" s="190" t="s">
        <v>123</v>
      </c>
      <c r="G64" s="197"/>
      <c r="H64" s="197"/>
      <c r="I64" s="207"/>
      <c r="J64" s="197"/>
      <c r="K64" s="197"/>
      <c r="L64" s="197"/>
      <c r="M64" s="196"/>
      <c r="N64" s="214"/>
      <c r="O64" s="214"/>
      <c r="P64" s="212"/>
      <c r="Q64" s="196" t="s">
        <v>38</v>
      </c>
      <c r="R64" s="197">
        <v>1</v>
      </c>
      <c r="S64" s="215" t="s">
        <v>33</v>
      </c>
      <c r="T64" s="199"/>
      <c r="U64" s="200"/>
      <c r="V64" s="200"/>
      <c r="W64" s="200"/>
      <c r="X64" s="200"/>
      <c r="Y64" s="200"/>
      <c r="Z64" s="200"/>
      <c r="AA64" s="200"/>
      <c r="AB64" s="200"/>
      <c r="AC64" s="170"/>
      <c r="AD64" s="11" t="str">
        <f t="shared" si="0"/>
        <v/>
      </c>
      <c r="AF64" t="str">
        <f t="shared" si="1"/>
        <v>80.01.ZZ.0</v>
      </c>
      <c r="AH64" t="str">
        <f t="shared" si="2"/>
        <v>00 de 01</v>
      </c>
      <c r="AJ64" s="86"/>
      <c r="AK64" s="85"/>
    </row>
    <row r="65" spans="1:37" ht="36.75" customHeight="1" x14ac:dyDescent="0.25">
      <c r="A65" s="139" t="s">
        <v>116</v>
      </c>
      <c r="B65" s="105" t="s">
        <v>122</v>
      </c>
      <c r="C65" s="63">
        <v>53</v>
      </c>
      <c r="D65" s="197"/>
      <c r="E65" s="197"/>
      <c r="F65" s="190" t="s">
        <v>123</v>
      </c>
      <c r="G65" s="197"/>
      <c r="H65" s="197"/>
      <c r="I65" s="207"/>
      <c r="J65" s="197"/>
      <c r="K65" s="197"/>
      <c r="L65" s="197"/>
      <c r="M65" s="196"/>
      <c r="N65" s="214"/>
      <c r="O65" s="214"/>
      <c r="P65" s="212"/>
      <c r="Q65" s="196" t="s">
        <v>38</v>
      </c>
      <c r="R65" s="197">
        <v>1</v>
      </c>
      <c r="S65" s="215" t="s">
        <v>33</v>
      </c>
      <c r="T65" s="199"/>
      <c r="U65" s="200"/>
      <c r="V65" s="200"/>
      <c r="W65" s="200"/>
      <c r="X65" s="200"/>
      <c r="Y65" s="200"/>
      <c r="Z65" s="200"/>
      <c r="AA65" s="200"/>
      <c r="AB65" s="200"/>
      <c r="AC65" s="170"/>
      <c r="AD65" s="11" t="str">
        <f t="shared" si="0"/>
        <v/>
      </c>
      <c r="AF65" t="str">
        <f t="shared" si="1"/>
        <v>80.01.ZZ.0</v>
      </c>
      <c r="AH65" t="str">
        <f t="shared" si="2"/>
        <v>00 de 01</v>
      </c>
      <c r="AJ65" s="86"/>
      <c r="AK65" s="85"/>
    </row>
    <row r="66" spans="1:37" ht="36.75" customHeight="1" x14ac:dyDescent="0.25">
      <c r="A66" s="139" t="s">
        <v>116</v>
      </c>
      <c r="B66" s="105" t="s">
        <v>122</v>
      </c>
      <c r="C66" s="63">
        <v>54</v>
      </c>
      <c r="D66" s="197"/>
      <c r="E66" s="197"/>
      <c r="F66" s="190" t="s">
        <v>123</v>
      </c>
      <c r="G66" s="197"/>
      <c r="H66" s="197"/>
      <c r="I66" s="207"/>
      <c r="J66" s="197"/>
      <c r="K66" s="197"/>
      <c r="L66" s="197"/>
      <c r="M66" s="196"/>
      <c r="N66" s="214"/>
      <c r="O66" s="214"/>
      <c r="P66" s="212"/>
      <c r="Q66" s="196" t="s">
        <v>38</v>
      </c>
      <c r="R66" s="197">
        <v>1</v>
      </c>
      <c r="S66" s="215" t="s">
        <v>33</v>
      </c>
      <c r="T66" s="199"/>
      <c r="U66" s="200"/>
      <c r="V66" s="200"/>
      <c r="W66" s="200"/>
      <c r="X66" s="200"/>
      <c r="Y66" s="200"/>
      <c r="Z66" s="200"/>
      <c r="AA66" s="200"/>
      <c r="AB66" s="200"/>
      <c r="AC66" s="170"/>
      <c r="AD66" s="11" t="str">
        <f t="shared" si="0"/>
        <v/>
      </c>
      <c r="AF66" t="str">
        <f t="shared" si="1"/>
        <v>80.01.ZZ.0</v>
      </c>
      <c r="AH66" t="str">
        <f t="shared" si="2"/>
        <v>00 de 01</v>
      </c>
      <c r="AJ66" s="86"/>
      <c r="AK66" s="85"/>
    </row>
    <row r="67" spans="1:37" ht="36.75" customHeight="1" x14ac:dyDescent="0.25">
      <c r="A67" s="139" t="s">
        <v>116</v>
      </c>
      <c r="B67" s="105" t="s">
        <v>122</v>
      </c>
      <c r="C67" s="63">
        <v>55</v>
      </c>
      <c r="D67" s="197"/>
      <c r="E67" s="197"/>
      <c r="F67" s="190" t="s">
        <v>123</v>
      </c>
      <c r="G67" s="197"/>
      <c r="H67" s="197"/>
      <c r="I67" s="207"/>
      <c r="J67" s="197"/>
      <c r="K67" s="197"/>
      <c r="L67" s="197"/>
      <c r="M67" s="196"/>
      <c r="N67" s="214"/>
      <c r="O67" s="214"/>
      <c r="P67" s="212"/>
      <c r="Q67" s="196" t="s">
        <v>38</v>
      </c>
      <c r="R67" s="197">
        <v>1</v>
      </c>
      <c r="S67" s="215" t="s">
        <v>33</v>
      </c>
      <c r="T67" s="199"/>
      <c r="U67" s="200"/>
      <c r="V67" s="200"/>
      <c r="W67" s="200"/>
      <c r="X67" s="200"/>
      <c r="Y67" s="200"/>
      <c r="Z67" s="200"/>
      <c r="AA67" s="200"/>
      <c r="AB67" s="200"/>
      <c r="AC67" s="170"/>
      <c r="AD67" s="11" t="str">
        <f t="shared" si="0"/>
        <v/>
      </c>
      <c r="AF67" t="str">
        <f t="shared" si="1"/>
        <v>80.01.ZZ.0</v>
      </c>
      <c r="AH67" t="str">
        <f t="shared" si="2"/>
        <v>00 de 01</v>
      </c>
      <c r="AJ67" s="86"/>
      <c r="AK67" s="85"/>
    </row>
    <row r="68" spans="1:37" ht="36.75" customHeight="1" x14ac:dyDescent="0.25">
      <c r="A68" s="139" t="s">
        <v>116</v>
      </c>
      <c r="B68" s="105" t="s">
        <v>122</v>
      </c>
      <c r="C68" s="63">
        <v>56</v>
      </c>
      <c r="D68" s="197"/>
      <c r="E68" s="197"/>
      <c r="F68" s="190" t="s">
        <v>123</v>
      </c>
      <c r="G68" s="197"/>
      <c r="H68" s="197"/>
      <c r="I68" s="207"/>
      <c r="J68" s="197"/>
      <c r="K68" s="197"/>
      <c r="L68" s="197"/>
      <c r="M68" s="196"/>
      <c r="N68" s="214"/>
      <c r="O68" s="214"/>
      <c r="P68" s="212"/>
      <c r="Q68" s="196" t="s">
        <v>38</v>
      </c>
      <c r="R68" s="197">
        <v>1</v>
      </c>
      <c r="S68" s="215" t="s">
        <v>33</v>
      </c>
      <c r="T68" s="199"/>
      <c r="U68" s="200"/>
      <c r="V68" s="200"/>
      <c r="W68" s="200"/>
      <c r="X68" s="200"/>
      <c r="Y68" s="200"/>
      <c r="Z68" s="200"/>
      <c r="AA68" s="200"/>
      <c r="AB68" s="200"/>
      <c r="AC68" s="170"/>
      <c r="AD68" s="11" t="str">
        <f t="shared" si="0"/>
        <v/>
      </c>
      <c r="AF68" t="str">
        <f t="shared" si="1"/>
        <v>80.01.ZZ.0</v>
      </c>
      <c r="AH68" t="str">
        <f t="shared" si="2"/>
        <v>00 de 01</v>
      </c>
      <c r="AJ68" s="86"/>
      <c r="AK68" s="85"/>
    </row>
    <row r="69" spans="1:37" ht="36.75" customHeight="1" x14ac:dyDescent="0.25">
      <c r="A69" s="139" t="s">
        <v>116</v>
      </c>
      <c r="B69" s="105" t="s">
        <v>122</v>
      </c>
      <c r="C69" s="63">
        <v>57</v>
      </c>
      <c r="D69" s="197"/>
      <c r="E69" s="197"/>
      <c r="F69" s="190" t="s">
        <v>123</v>
      </c>
      <c r="G69" s="197"/>
      <c r="H69" s="197"/>
      <c r="I69" s="207"/>
      <c r="J69" s="197"/>
      <c r="K69" s="197"/>
      <c r="L69" s="197"/>
      <c r="M69" s="196"/>
      <c r="N69" s="214"/>
      <c r="O69" s="214"/>
      <c r="P69" s="212"/>
      <c r="Q69" s="196" t="s">
        <v>38</v>
      </c>
      <c r="R69" s="197">
        <v>1</v>
      </c>
      <c r="S69" s="215" t="s">
        <v>33</v>
      </c>
      <c r="T69" s="199"/>
      <c r="U69" s="200"/>
      <c r="V69" s="200"/>
      <c r="W69" s="200"/>
      <c r="X69" s="200"/>
      <c r="Y69" s="200"/>
      <c r="Z69" s="200"/>
      <c r="AA69" s="200"/>
      <c r="AB69" s="200"/>
      <c r="AC69" s="170"/>
      <c r="AD69" s="11" t="str">
        <f t="shared" si="0"/>
        <v/>
      </c>
      <c r="AF69" t="str">
        <f t="shared" si="1"/>
        <v>80.01.ZZ.0</v>
      </c>
      <c r="AH69" t="str">
        <f t="shared" si="2"/>
        <v>00 de 01</v>
      </c>
      <c r="AJ69" s="86"/>
      <c r="AK69" s="85"/>
    </row>
    <row r="70" spans="1:37" ht="36.75" customHeight="1" x14ac:dyDescent="0.25">
      <c r="A70" s="139" t="s">
        <v>116</v>
      </c>
      <c r="B70" s="105" t="s">
        <v>122</v>
      </c>
      <c r="C70" s="63">
        <v>58</v>
      </c>
      <c r="D70" s="197"/>
      <c r="E70" s="197"/>
      <c r="F70" s="190" t="s">
        <v>123</v>
      </c>
      <c r="G70" s="197"/>
      <c r="H70" s="197"/>
      <c r="I70" s="207"/>
      <c r="J70" s="197"/>
      <c r="K70" s="197"/>
      <c r="L70" s="197"/>
      <c r="M70" s="196"/>
      <c r="N70" s="214"/>
      <c r="O70" s="214"/>
      <c r="P70" s="212"/>
      <c r="Q70" s="196" t="s">
        <v>38</v>
      </c>
      <c r="R70" s="197">
        <v>1</v>
      </c>
      <c r="S70" s="215" t="s">
        <v>33</v>
      </c>
      <c r="T70" s="199"/>
      <c r="U70" s="200"/>
      <c r="V70" s="200"/>
      <c r="W70" s="200"/>
      <c r="X70" s="200"/>
      <c r="Y70" s="200"/>
      <c r="Z70" s="200"/>
      <c r="AA70" s="200"/>
      <c r="AB70" s="200"/>
      <c r="AC70" s="170"/>
      <c r="AD70" s="11" t="str">
        <f t="shared" si="0"/>
        <v/>
      </c>
      <c r="AF70" t="str">
        <f t="shared" si="1"/>
        <v>80.01.ZZ.0</v>
      </c>
      <c r="AH70" t="str">
        <f t="shared" si="2"/>
        <v>00 de 01</v>
      </c>
      <c r="AJ70" s="86"/>
      <c r="AK70" s="85"/>
    </row>
    <row r="71" spans="1:37" ht="36.75" customHeight="1" x14ac:dyDescent="0.25">
      <c r="A71" s="139" t="s">
        <v>116</v>
      </c>
      <c r="B71" s="105" t="s">
        <v>122</v>
      </c>
      <c r="C71" s="63">
        <v>59</v>
      </c>
      <c r="D71" s="197"/>
      <c r="E71" s="197"/>
      <c r="F71" s="190" t="s">
        <v>123</v>
      </c>
      <c r="G71" s="197"/>
      <c r="H71" s="197"/>
      <c r="I71" s="207"/>
      <c r="J71" s="197"/>
      <c r="K71" s="197"/>
      <c r="L71" s="197"/>
      <c r="M71" s="196"/>
      <c r="N71" s="214"/>
      <c r="O71" s="214"/>
      <c r="P71" s="212"/>
      <c r="Q71" s="196" t="s">
        <v>38</v>
      </c>
      <c r="R71" s="197">
        <v>1</v>
      </c>
      <c r="S71" s="215" t="s">
        <v>33</v>
      </c>
      <c r="T71" s="199"/>
      <c r="U71" s="200"/>
      <c r="V71" s="200"/>
      <c r="W71" s="200"/>
      <c r="X71" s="200"/>
      <c r="Y71" s="200"/>
      <c r="Z71" s="200"/>
      <c r="AA71" s="200"/>
      <c r="AB71" s="200"/>
      <c r="AC71" s="170"/>
      <c r="AD71" s="11" t="str">
        <f t="shared" si="0"/>
        <v/>
      </c>
      <c r="AF71" t="str">
        <f t="shared" si="1"/>
        <v>80.01.ZZ.0</v>
      </c>
      <c r="AH71" t="str">
        <f t="shared" si="2"/>
        <v>00 de 01</v>
      </c>
      <c r="AJ71" s="86"/>
      <c r="AK71" s="85"/>
    </row>
    <row r="72" spans="1:37" ht="36.75" customHeight="1" x14ac:dyDescent="0.25">
      <c r="A72" s="139" t="s">
        <v>116</v>
      </c>
      <c r="B72" s="105" t="s">
        <v>122</v>
      </c>
      <c r="C72" s="63">
        <v>60</v>
      </c>
      <c r="D72" s="197"/>
      <c r="E72" s="197"/>
      <c r="F72" s="190" t="s">
        <v>123</v>
      </c>
      <c r="G72" s="197"/>
      <c r="H72" s="197"/>
      <c r="I72" s="207"/>
      <c r="J72" s="197"/>
      <c r="K72" s="197"/>
      <c r="L72" s="197"/>
      <c r="M72" s="196"/>
      <c r="N72" s="214"/>
      <c r="O72" s="214"/>
      <c r="P72" s="212"/>
      <c r="Q72" s="196" t="s">
        <v>38</v>
      </c>
      <c r="R72" s="197">
        <v>1</v>
      </c>
      <c r="S72" s="215" t="s">
        <v>33</v>
      </c>
      <c r="T72" s="199"/>
      <c r="U72" s="200"/>
      <c r="V72" s="200"/>
      <c r="W72" s="200"/>
      <c r="X72" s="200"/>
      <c r="Y72" s="200"/>
      <c r="Z72" s="200"/>
      <c r="AA72" s="200"/>
      <c r="AB72" s="200"/>
      <c r="AC72" s="170"/>
      <c r="AD72" s="11" t="str">
        <f t="shared" si="0"/>
        <v/>
      </c>
      <c r="AF72" t="str">
        <f t="shared" si="1"/>
        <v>80.01.ZZ.0</v>
      </c>
      <c r="AH72" t="str">
        <f t="shared" si="2"/>
        <v>00 de 01</v>
      </c>
      <c r="AJ72" s="86"/>
      <c r="AK72" s="85"/>
    </row>
    <row r="73" spans="1:37" ht="36.75" customHeight="1" x14ac:dyDescent="0.25">
      <c r="A73" s="139" t="s">
        <v>116</v>
      </c>
      <c r="B73" s="105" t="s">
        <v>122</v>
      </c>
      <c r="C73" s="63">
        <v>61</v>
      </c>
      <c r="D73" s="197"/>
      <c r="E73" s="197"/>
      <c r="F73" s="190" t="s">
        <v>123</v>
      </c>
      <c r="G73" s="197"/>
      <c r="H73" s="197"/>
      <c r="I73" s="207"/>
      <c r="J73" s="197"/>
      <c r="K73" s="197"/>
      <c r="L73" s="197"/>
      <c r="M73" s="196"/>
      <c r="N73" s="214"/>
      <c r="O73" s="214"/>
      <c r="P73" s="212"/>
      <c r="Q73" s="196" t="s">
        <v>38</v>
      </c>
      <c r="R73" s="197">
        <v>1</v>
      </c>
      <c r="S73" s="215" t="s">
        <v>33</v>
      </c>
      <c r="T73" s="199"/>
      <c r="U73" s="200"/>
      <c r="V73" s="200"/>
      <c r="W73" s="200"/>
      <c r="X73" s="200"/>
      <c r="Y73" s="200"/>
      <c r="Z73" s="200"/>
      <c r="AA73" s="200"/>
      <c r="AB73" s="200"/>
      <c r="AC73" s="170"/>
      <c r="AD73" s="11" t="str">
        <f t="shared" si="0"/>
        <v/>
      </c>
      <c r="AF73" t="str">
        <f t="shared" si="1"/>
        <v>80.01.ZZ.0</v>
      </c>
      <c r="AH73" t="str">
        <f t="shared" si="2"/>
        <v>00 de 01</v>
      </c>
      <c r="AJ73" s="86"/>
      <c r="AK73" s="85"/>
    </row>
    <row r="74" spans="1:37" ht="36.75" customHeight="1" x14ac:dyDescent="0.25">
      <c r="A74" s="139" t="s">
        <v>116</v>
      </c>
      <c r="B74" s="105" t="s">
        <v>122</v>
      </c>
      <c r="C74" s="63">
        <v>62</v>
      </c>
      <c r="D74" s="197"/>
      <c r="E74" s="197"/>
      <c r="F74" s="190" t="s">
        <v>123</v>
      </c>
      <c r="G74" s="197"/>
      <c r="H74" s="197"/>
      <c r="I74" s="207"/>
      <c r="J74" s="197"/>
      <c r="K74" s="197"/>
      <c r="L74" s="197"/>
      <c r="M74" s="196"/>
      <c r="N74" s="214"/>
      <c r="O74" s="214"/>
      <c r="P74" s="212"/>
      <c r="Q74" s="196" t="s">
        <v>38</v>
      </c>
      <c r="R74" s="197">
        <v>1</v>
      </c>
      <c r="S74" s="215" t="s">
        <v>33</v>
      </c>
      <c r="T74" s="199"/>
      <c r="U74" s="200"/>
      <c r="V74" s="200"/>
      <c r="W74" s="200"/>
      <c r="X74" s="200"/>
      <c r="Y74" s="200"/>
      <c r="Z74" s="200"/>
      <c r="AA74" s="200"/>
      <c r="AB74" s="200"/>
      <c r="AC74" s="170"/>
      <c r="AD74" s="11" t="str">
        <f t="shared" si="0"/>
        <v/>
      </c>
      <c r="AF74" t="str">
        <f t="shared" si="1"/>
        <v>80.01.ZZ.0</v>
      </c>
      <c r="AH74" t="str">
        <f t="shared" si="2"/>
        <v>00 de 01</v>
      </c>
      <c r="AJ74" s="86"/>
      <c r="AK74" s="85"/>
    </row>
    <row r="75" spans="1:37" ht="36.75" customHeight="1" x14ac:dyDescent="0.25">
      <c r="A75" s="139" t="s">
        <v>116</v>
      </c>
      <c r="B75" s="105" t="s">
        <v>122</v>
      </c>
      <c r="C75" s="63">
        <v>63</v>
      </c>
      <c r="D75" s="197"/>
      <c r="E75" s="197"/>
      <c r="F75" s="190" t="s">
        <v>123</v>
      </c>
      <c r="G75" s="197"/>
      <c r="H75" s="197"/>
      <c r="I75" s="207"/>
      <c r="J75" s="197"/>
      <c r="K75" s="197"/>
      <c r="L75" s="197"/>
      <c r="M75" s="196"/>
      <c r="N75" s="214"/>
      <c r="O75" s="214"/>
      <c r="P75" s="212"/>
      <c r="Q75" s="196" t="s">
        <v>38</v>
      </c>
      <c r="R75" s="197">
        <v>1</v>
      </c>
      <c r="S75" s="215" t="s">
        <v>33</v>
      </c>
      <c r="T75" s="199"/>
      <c r="U75" s="200"/>
      <c r="V75" s="200"/>
      <c r="W75" s="200"/>
      <c r="X75" s="200"/>
      <c r="Y75" s="200"/>
      <c r="Z75" s="200"/>
      <c r="AA75" s="200"/>
      <c r="AB75" s="200"/>
      <c r="AC75" s="170"/>
      <c r="AD75" s="11" t="str">
        <f t="shared" si="0"/>
        <v/>
      </c>
      <c r="AF75" t="str">
        <f t="shared" si="1"/>
        <v>80.01.ZZ.0</v>
      </c>
      <c r="AH75" t="str">
        <f t="shared" si="2"/>
        <v>00 de 01</v>
      </c>
      <c r="AJ75" s="86"/>
      <c r="AK75" s="85"/>
    </row>
    <row r="76" spans="1:37" ht="36.75" customHeight="1" x14ac:dyDescent="0.25">
      <c r="A76" s="139" t="s">
        <v>116</v>
      </c>
      <c r="B76" s="105" t="s">
        <v>122</v>
      </c>
      <c r="C76" s="63">
        <v>64</v>
      </c>
      <c r="D76" s="197"/>
      <c r="E76" s="197"/>
      <c r="F76" s="190" t="s">
        <v>123</v>
      </c>
      <c r="G76" s="197"/>
      <c r="H76" s="197"/>
      <c r="I76" s="207"/>
      <c r="J76" s="197"/>
      <c r="K76" s="197"/>
      <c r="L76" s="197"/>
      <c r="M76" s="196"/>
      <c r="N76" s="214"/>
      <c r="O76" s="214"/>
      <c r="P76" s="212"/>
      <c r="Q76" s="196" t="s">
        <v>38</v>
      </c>
      <c r="R76" s="197">
        <v>1</v>
      </c>
      <c r="S76" s="215" t="s">
        <v>33</v>
      </c>
      <c r="T76" s="199"/>
      <c r="U76" s="200"/>
      <c r="V76" s="200"/>
      <c r="W76" s="200"/>
      <c r="X76" s="200"/>
      <c r="Y76" s="200"/>
      <c r="Z76" s="200"/>
      <c r="AA76" s="200"/>
      <c r="AB76" s="200"/>
      <c r="AC76" s="170"/>
      <c r="AD76" s="11" t="str">
        <f t="shared" si="0"/>
        <v/>
      </c>
      <c r="AF76" t="str">
        <f t="shared" si="1"/>
        <v>80.01.ZZ.0</v>
      </c>
      <c r="AH76" t="str">
        <f t="shared" si="2"/>
        <v>00 de 01</v>
      </c>
      <c r="AJ76" s="86"/>
      <c r="AK76" s="85"/>
    </row>
    <row r="77" spans="1:37" ht="36.75" customHeight="1" x14ac:dyDescent="0.25">
      <c r="A77" s="139" t="s">
        <v>116</v>
      </c>
      <c r="B77" s="105" t="s">
        <v>122</v>
      </c>
      <c r="C77" s="63">
        <v>65</v>
      </c>
      <c r="D77" s="197"/>
      <c r="E77" s="197"/>
      <c r="F77" s="190" t="s">
        <v>123</v>
      </c>
      <c r="G77" s="197"/>
      <c r="H77" s="197"/>
      <c r="I77" s="207"/>
      <c r="J77" s="197"/>
      <c r="K77" s="197"/>
      <c r="L77" s="197"/>
      <c r="M77" s="196"/>
      <c r="N77" s="214"/>
      <c r="O77" s="214"/>
      <c r="P77" s="212"/>
      <c r="Q77" s="196" t="s">
        <v>38</v>
      </c>
      <c r="R77" s="197">
        <v>1</v>
      </c>
      <c r="S77" s="215" t="s">
        <v>33</v>
      </c>
      <c r="T77" s="199"/>
      <c r="U77" s="200"/>
      <c r="V77" s="200"/>
      <c r="W77" s="200"/>
      <c r="X77" s="200"/>
      <c r="Y77" s="200"/>
      <c r="Z77" s="200"/>
      <c r="AA77" s="200"/>
      <c r="AB77" s="200"/>
      <c r="AC77" s="170"/>
      <c r="AD77" s="11" t="str">
        <f t="shared" si="0"/>
        <v/>
      </c>
      <c r="AF77" t="str">
        <f t="shared" si="1"/>
        <v>80.01.ZZ.0</v>
      </c>
      <c r="AH77" t="str">
        <f t="shared" si="2"/>
        <v>00 de 01</v>
      </c>
      <c r="AJ77" s="86"/>
      <c r="AK77" s="85"/>
    </row>
    <row r="78" spans="1:37" ht="36.75" customHeight="1" x14ac:dyDescent="0.25">
      <c r="A78" s="139" t="s">
        <v>116</v>
      </c>
      <c r="B78" s="105" t="s">
        <v>122</v>
      </c>
      <c r="C78" s="63">
        <v>66</v>
      </c>
      <c r="D78" s="197"/>
      <c r="E78" s="197"/>
      <c r="F78" s="190" t="s">
        <v>123</v>
      </c>
      <c r="G78" s="197"/>
      <c r="H78" s="197"/>
      <c r="I78" s="207"/>
      <c r="J78" s="197"/>
      <c r="K78" s="197"/>
      <c r="L78" s="197"/>
      <c r="M78" s="196"/>
      <c r="N78" s="214"/>
      <c r="O78" s="214"/>
      <c r="P78" s="212"/>
      <c r="Q78" s="196" t="s">
        <v>38</v>
      </c>
      <c r="R78" s="197">
        <v>1</v>
      </c>
      <c r="S78" s="215" t="s">
        <v>33</v>
      </c>
      <c r="T78" s="199"/>
      <c r="U78" s="200"/>
      <c r="V78" s="200"/>
      <c r="W78" s="200"/>
      <c r="X78" s="200"/>
      <c r="Y78" s="200"/>
      <c r="Z78" s="200"/>
      <c r="AA78" s="200"/>
      <c r="AB78" s="200"/>
      <c r="AC78" s="170"/>
      <c r="AD78" s="11" t="str">
        <f t="shared" ref="AD78:AD141" si="3">RIGHT(L78,2)</f>
        <v/>
      </c>
      <c r="AF78" t="str">
        <f t="shared" ref="AF78:AF141" si="4">CONCATENATE("80.01.ZZ.0",L78)</f>
        <v>80.01.ZZ.0</v>
      </c>
      <c r="AH78" t="str">
        <f t="shared" ref="AH78:AH141" si="5">CONCATENATE("00 de 0",R78)</f>
        <v>00 de 01</v>
      </c>
      <c r="AJ78" s="86"/>
      <c r="AK78" s="85"/>
    </row>
    <row r="79" spans="1:37" ht="36.75" customHeight="1" x14ac:dyDescent="0.25">
      <c r="A79" s="139" t="s">
        <v>116</v>
      </c>
      <c r="B79" s="105" t="s">
        <v>122</v>
      </c>
      <c r="C79" s="63">
        <v>67</v>
      </c>
      <c r="D79" s="197"/>
      <c r="E79" s="197"/>
      <c r="F79" s="190" t="s">
        <v>123</v>
      </c>
      <c r="G79" s="197"/>
      <c r="H79" s="197"/>
      <c r="I79" s="207"/>
      <c r="J79" s="197"/>
      <c r="K79" s="197"/>
      <c r="L79" s="197"/>
      <c r="M79" s="196"/>
      <c r="N79" s="214"/>
      <c r="O79" s="214"/>
      <c r="P79" s="212"/>
      <c r="Q79" s="196" t="s">
        <v>38</v>
      </c>
      <c r="R79" s="197">
        <v>1</v>
      </c>
      <c r="S79" s="215" t="s">
        <v>33</v>
      </c>
      <c r="T79" s="199"/>
      <c r="U79" s="200"/>
      <c r="V79" s="200"/>
      <c r="W79" s="200"/>
      <c r="X79" s="200"/>
      <c r="Y79" s="200"/>
      <c r="Z79" s="200"/>
      <c r="AA79" s="200"/>
      <c r="AB79" s="200"/>
      <c r="AC79" s="170"/>
      <c r="AD79" s="11" t="str">
        <f t="shared" si="3"/>
        <v/>
      </c>
      <c r="AF79" t="str">
        <f t="shared" si="4"/>
        <v>80.01.ZZ.0</v>
      </c>
      <c r="AH79" t="str">
        <f t="shared" si="5"/>
        <v>00 de 01</v>
      </c>
      <c r="AJ79" s="86"/>
      <c r="AK79" s="85"/>
    </row>
    <row r="80" spans="1:37" ht="36.75" customHeight="1" x14ac:dyDescent="0.25">
      <c r="A80" s="139" t="s">
        <v>116</v>
      </c>
      <c r="B80" s="105" t="s">
        <v>122</v>
      </c>
      <c r="C80" s="63">
        <v>68</v>
      </c>
      <c r="D80" s="197"/>
      <c r="E80" s="197"/>
      <c r="F80" s="190" t="s">
        <v>123</v>
      </c>
      <c r="G80" s="197"/>
      <c r="H80" s="197"/>
      <c r="I80" s="207"/>
      <c r="J80" s="197"/>
      <c r="K80" s="197"/>
      <c r="L80" s="197"/>
      <c r="M80" s="196"/>
      <c r="N80" s="214"/>
      <c r="O80" s="214"/>
      <c r="P80" s="212"/>
      <c r="Q80" s="196" t="s">
        <v>38</v>
      </c>
      <c r="R80" s="197">
        <v>1</v>
      </c>
      <c r="S80" s="215" t="s">
        <v>33</v>
      </c>
      <c r="T80" s="199"/>
      <c r="U80" s="200"/>
      <c r="V80" s="200"/>
      <c r="W80" s="200"/>
      <c r="X80" s="200"/>
      <c r="Y80" s="200"/>
      <c r="Z80" s="200"/>
      <c r="AA80" s="200"/>
      <c r="AB80" s="200"/>
      <c r="AC80" s="170"/>
      <c r="AD80" s="11" t="str">
        <f t="shared" si="3"/>
        <v/>
      </c>
      <c r="AF80" t="str">
        <f t="shared" si="4"/>
        <v>80.01.ZZ.0</v>
      </c>
      <c r="AH80" t="str">
        <f t="shared" si="5"/>
        <v>00 de 01</v>
      </c>
      <c r="AJ80" s="86"/>
      <c r="AK80" s="85"/>
    </row>
    <row r="81" spans="1:37" ht="36.75" customHeight="1" x14ac:dyDescent="0.25">
      <c r="A81" s="139" t="s">
        <v>116</v>
      </c>
      <c r="B81" s="105" t="s">
        <v>122</v>
      </c>
      <c r="C81" s="63">
        <v>69</v>
      </c>
      <c r="D81" s="197"/>
      <c r="E81" s="197"/>
      <c r="F81" s="190" t="s">
        <v>123</v>
      </c>
      <c r="G81" s="197"/>
      <c r="H81" s="197"/>
      <c r="I81" s="207"/>
      <c r="J81" s="197"/>
      <c r="K81" s="197"/>
      <c r="L81" s="197"/>
      <c r="M81" s="196"/>
      <c r="N81" s="214"/>
      <c r="O81" s="214"/>
      <c r="P81" s="212"/>
      <c r="Q81" s="196" t="s">
        <v>38</v>
      </c>
      <c r="R81" s="197">
        <v>1</v>
      </c>
      <c r="S81" s="215" t="s">
        <v>33</v>
      </c>
      <c r="T81" s="199"/>
      <c r="U81" s="200"/>
      <c r="V81" s="200"/>
      <c r="W81" s="200"/>
      <c r="X81" s="200"/>
      <c r="Y81" s="200"/>
      <c r="Z81" s="200"/>
      <c r="AA81" s="200"/>
      <c r="AB81" s="200"/>
      <c r="AC81" s="170"/>
      <c r="AD81" s="11" t="str">
        <f t="shared" si="3"/>
        <v/>
      </c>
      <c r="AF81" t="str">
        <f t="shared" si="4"/>
        <v>80.01.ZZ.0</v>
      </c>
      <c r="AH81" t="str">
        <f t="shared" si="5"/>
        <v>00 de 01</v>
      </c>
      <c r="AJ81" s="86"/>
      <c r="AK81" s="85"/>
    </row>
    <row r="82" spans="1:37" ht="36.75" customHeight="1" x14ac:dyDescent="0.25">
      <c r="A82" s="139" t="s">
        <v>116</v>
      </c>
      <c r="B82" s="105" t="s">
        <v>122</v>
      </c>
      <c r="C82" s="63">
        <v>70</v>
      </c>
      <c r="D82" s="197"/>
      <c r="E82" s="197"/>
      <c r="F82" s="190" t="s">
        <v>123</v>
      </c>
      <c r="G82" s="197"/>
      <c r="H82" s="197"/>
      <c r="I82" s="207"/>
      <c r="J82" s="197"/>
      <c r="K82" s="197"/>
      <c r="L82" s="197"/>
      <c r="M82" s="196"/>
      <c r="N82" s="214"/>
      <c r="O82" s="214"/>
      <c r="P82" s="212"/>
      <c r="Q82" s="196" t="s">
        <v>38</v>
      </c>
      <c r="R82" s="197">
        <v>1</v>
      </c>
      <c r="S82" s="215" t="s">
        <v>33</v>
      </c>
      <c r="T82" s="199"/>
      <c r="U82" s="200"/>
      <c r="V82" s="200"/>
      <c r="W82" s="200"/>
      <c r="X82" s="200"/>
      <c r="Y82" s="200"/>
      <c r="Z82" s="200"/>
      <c r="AA82" s="200"/>
      <c r="AB82" s="200"/>
      <c r="AC82" s="170"/>
      <c r="AD82" s="11" t="str">
        <f t="shared" si="3"/>
        <v/>
      </c>
      <c r="AF82" t="str">
        <f t="shared" si="4"/>
        <v>80.01.ZZ.0</v>
      </c>
      <c r="AH82" t="str">
        <f t="shared" si="5"/>
        <v>00 de 01</v>
      </c>
      <c r="AJ82" s="86"/>
      <c r="AK82" s="85"/>
    </row>
    <row r="83" spans="1:37" ht="36.75" customHeight="1" x14ac:dyDescent="0.25">
      <c r="A83" s="139" t="s">
        <v>116</v>
      </c>
      <c r="B83" s="105" t="s">
        <v>122</v>
      </c>
      <c r="C83" s="63">
        <v>71</v>
      </c>
      <c r="D83" s="197"/>
      <c r="E83" s="197"/>
      <c r="F83" s="190" t="s">
        <v>123</v>
      </c>
      <c r="G83" s="197"/>
      <c r="H83" s="197"/>
      <c r="I83" s="207"/>
      <c r="J83" s="197"/>
      <c r="K83" s="197"/>
      <c r="L83" s="197"/>
      <c r="M83" s="196"/>
      <c r="N83" s="214"/>
      <c r="O83" s="214"/>
      <c r="P83" s="212"/>
      <c r="Q83" s="196" t="s">
        <v>38</v>
      </c>
      <c r="R83" s="197">
        <v>1</v>
      </c>
      <c r="S83" s="215" t="s">
        <v>33</v>
      </c>
      <c r="T83" s="199"/>
      <c r="U83" s="200"/>
      <c r="V83" s="200"/>
      <c r="W83" s="200"/>
      <c r="X83" s="200"/>
      <c r="Y83" s="200"/>
      <c r="Z83" s="200"/>
      <c r="AA83" s="200"/>
      <c r="AB83" s="200"/>
      <c r="AC83" s="170"/>
      <c r="AD83" s="11" t="str">
        <f t="shared" si="3"/>
        <v/>
      </c>
      <c r="AF83" t="str">
        <f t="shared" si="4"/>
        <v>80.01.ZZ.0</v>
      </c>
      <c r="AH83" t="str">
        <f t="shared" si="5"/>
        <v>00 de 01</v>
      </c>
      <c r="AJ83" s="86"/>
      <c r="AK83" s="85"/>
    </row>
    <row r="84" spans="1:37" ht="36.75" customHeight="1" x14ac:dyDescent="0.25">
      <c r="A84" s="139" t="s">
        <v>116</v>
      </c>
      <c r="B84" s="105" t="s">
        <v>122</v>
      </c>
      <c r="C84" s="63">
        <v>72</v>
      </c>
      <c r="D84" s="197"/>
      <c r="E84" s="197"/>
      <c r="F84" s="190" t="s">
        <v>123</v>
      </c>
      <c r="G84" s="197"/>
      <c r="H84" s="197"/>
      <c r="I84" s="207"/>
      <c r="J84" s="197"/>
      <c r="K84" s="197"/>
      <c r="L84" s="197"/>
      <c r="M84" s="196"/>
      <c r="N84" s="214"/>
      <c r="O84" s="214"/>
      <c r="P84" s="212"/>
      <c r="Q84" s="196" t="s">
        <v>38</v>
      </c>
      <c r="R84" s="197">
        <v>1</v>
      </c>
      <c r="S84" s="215" t="s">
        <v>33</v>
      </c>
      <c r="T84" s="199"/>
      <c r="U84" s="200"/>
      <c r="V84" s="200"/>
      <c r="W84" s="200"/>
      <c r="X84" s="200"/>
      <c r="Y84" s="200"/>
      <c r="Z84" s="200"/>
      <c r="AA84" s="200"/>
      <c r="AB84" s="200"/>
      <c r="AC84" s="170"/>
      <c r="AD84" s="11" t="str">
        <f t="shared" si="3"/>
        <v/>
      </c>
      <c r="AF84" t="str">
        <f t="shared" si="4"/>
        <v>80.01.ZZ.0</v>
      </c>
      <c r="AH84" t="str">
        <f t="shared" si="5"/>
        <v>00 de 01</v>
      </c>
      <c r="AJ84" s="86"/>
      <c r="AK84" s="85"/>
    </row>
    <row r="85" spans="1:37" ht="36.75" customHeight="1" x14ac:dyDescent="0.25">
      <c r="A85" s="139" t="s">
        <v>116</v>
      </c>
      <c r="B85" s="105" t="s">
        <v>122</v>
      </c>
      <c r="C85" s="63">
        <v>73</v>
      </c>
      <c r="D85" s="197"/>
      <c r="E85" s="197"/>
      <c r="F85" s="190" t="s">
        <v>123</v>
      </c>
      <c r="G85" s="197"/>
      <c r="H85" s="197"/>
      <c r="I85" s="207"/>
      <c r="J85" s="197"/>
      <c r="K85" s="197"/>
      <c r="L85" s="197"/>
      <c r="M85" s="196"/>
      <c r="N85" s="214"/>
      <c r="O85" s="214"/>
      <c r="P85" s="212"/>
      <c r="Q85" s="196" t="s">
        <v>38</v>
      </c>
      <c r="R85" s="197">
        <v>1</v>
      </c>
      <c r="S85" s="215" t="s">
        <v>33</v>
      </c>
      <c r="T85" s="199"/>
      <c r="U85" s="200"/>
      <c r="V85" s="200"/>
      <c r="W85" s="200"/>
      <c r="X85" s="200"/>
      <c r="Y85" s="200"/>
      <c r="Z85" s="200"/>
      <c r="AA85" s="200"/>
      <c r="AB85" s="200"/>
      <c r="AC85" s="170"/>
      <c r="AD85" s="11" t="str">
        <f t="shared" si="3"/>
        <v/>
      </c>
      <c r="AF85" t="str">
        <f t="shared" si="4"/>
        <v>80.01.ZZ.0</v>
      </c>
      <c r="AH85" t="str">
        <f t="shared" si="5"/>
        <v>00 de 01</v>
      </c>
      <c r="AJ85" s="86"/>
      <c r="AK85" s="85"/>
    </row>
    <row r="86" spans="1:37" ht="36.75" customHeight="1" x14ac:dyDescent="0.25">
      <c r="A86" s="139" t="s">
        <v>116</v>
      </c>
      <c r="B86" s="105" t="s">
        <v>122</v>
      </c>
      <c r="C86" s="63">
        <v>74</v>
      </c>
      <c r="D86" s="197"/>
      <c r="E86" s="197"/>
      <c r="F86" s="190" t="s">
        <v>123</v>
      </c>
      <c r="G86" s="197"/>
      <c r="H86" s="197"/>
      <c r="I86" s="207"/>
      <c r="J86" s="197"/>
      <c r="K86" s="197"/>
      <c r="L86" s="197"/>
      <c r="M86" s="196"/>
      <c r="N86" s="214"/>
      <c r="O86" s="214"/>
      <c r="P86" s="212"/>
      <c r="Q86" s="196" t="s">
        <v>38</v>
      </c>
      <c r="R86" s="197">
        <v>1</v>
      </c>
      <c r="S86" s="215" t="s">
        <v>33</v>
      </c>
      <c r="T86" s="199"/>
      <c r="U86" s="200"/>
      <c r="V86" s="200"/>
      <c r="W86" s="200"/>
      <c r="X86" s="200"/>
      <c r="Y86" s="200"/>
      <c r="Z86" s="200"/>
      <c r="AA86" s="200"/>
      <c r="AB86" s="200"/>
      <c r="AC86" s="170"/>
      <c r="AD86" s="11" t="str">
        <f t="shared" si="3"/>
        <v/>
      </c>
      <c r="AF86" t="str">
        <f t="shared" si="4"/>
        <v>80.01.ZZ.0</v>
      </c>
      <c r="AH86" t="str">
        <f t="shared" si="5"/>
        <v>00 de 01</v>
      </c>
      <c r="AJ86" s="86"/>
      <c r="AK86" s="85"/>
    </row>
    <row r="87" spans="1:37" ht="36.75" customHeight="1" x14ac:dyDescent="0.25">
      <c r="A87" s="139" t="s">
        <v>116</v>
      </c>
      <c r="B87" s="105" t="s">
        <v>122</v>
      </c>
      <c r="C87" s="63">
        <v>75</v>
      </c>
      <c r="D87" s="197"/>
      <c r="E87" s="197"/>
      <c r="F87" s="190" t="s">
        <v>123</v>
      </c>
      <c r="G87" s="197"/>
      <c r="H87" s="197"/>
      <c r="I87" s="207"/>
      <c r="J87" s="197"/>
      <c r="K87" s="197"/>
      <c r="L87" s="197"/>
      <c r="M87" s="196"/>
      <c r="N87" s="214"/>
      <c r="O87" s="214"/>
      <c r="P87" s="212"/>
      <c r="Q87" s="196" t="s">
        <v>38</v>
      </c>
      <c r="R87" s="197">
        <v>1</v>
      </c>
      <c r="S87" s="215" t="s">
        <v>33</v>
      </c>
      <c r="T87" s="199"/>
      <c r="U87" s="200"/>
      <c r="V87" s="200"/>
      <c r="W87" s="200"/>
      <c r="X87" s="200"/>
      <c r="Y87" s="200"/>
      <c r="Z87" s="200"/>
      <c r="AA87" s="200"/>
      <c r="AB87" s="200"/>
      <c r="AC87" s="170"/>
      <c r="AD87" s="11" t="str">
        <f t="shared" si="3"/>
        <v/>
      </c>
      <c r="AF87" t="str">
        <f t="shared" si="4"/>
        <v>80.01.ZZ.0</v>
      </c>
      <c r="AH87" t="str">
        <f t="shared" si="5"/>
        <v>00 de 01</v>
      </c>
      <c r="AJ87" s="86"/>
      <c r="AK87" s="85"/>
    </row>
    <row r="88" spans="1:37" ht="36.75" customHeight="1" x14ac:dyDescent="0.25">
      <c r="A88" s="139" t="s">
        <v>116</v>
      </c>
      <c r="B88" s="105" t="s">
        <v>122</v>
      </c>
      <c r="C88" s="63">
        <v>76</v>
      </c>
      <c r="D88" s="197"/>
      <c r="E88" s="197"/>
      <c r="F88" s="190" t="s">
        <v>123</v>
      </c>
      <c r="G88" s="197"/>
      <c r="H88" s="197"/>
      <c r="I88" s="207"/>
      <c r="J88" s="197"/>
      <c r="K88" s="197"/>
      <c r="L88" s="197"/>
      <c r="M88" s="196"/>
      <c r="N88" s="214"/>
      <c r="O88" s="214"/>
      <c r="P88" s="212"/>
      <c r="Q88" s="196" t="s">
        <v>38</v>
      </c>
      <c r="R88" s="197">
        <v>1</v>
      </c>
      <c r="S88" s="215" t="s">
        <v>33</v>
      </c>
      <c r="T88" s="199"/>
      <c r="U88" s="200"/>
      <c r="V88" s="200"/>
      <c r="W88" s="200"/>
      <c r="X88" s="200"/>
      <c r="Y88" s="200"/>
      <c r="Z88" s="200"/>
      <c r="AA88" s="200"/>
      <c r="AB88" s="200"/>
      <c r="AC88" s="170"/>
      <c r="AD88" s="11" t="str">
        <f t="shared" si="3"/>
        <v/>
      </c>
      <c r="AF88" t="str">
        <f t="shared" si="4"/>
        <v>80.01.ZZ.0</v>
      </c>
      <c r="AH88" t="str">
        <f t="shared" si="5"/>
        <v>00 de 01</v>
      </c>
      <c r="AJ88" s="86"/>
      <c r="AK88" s="85"/>
    </row>
    <row r="89" spans="1:37" ht="36.75" customHeight="1" x14ac:dyDescent="0.25">
      <c r="A89" s="139" t="s">
        <v>116</v>
      </c>
      <c r="B89" s="105" t="s">
        <v>122</v>
      </c>
      <c r="C89" s="63">
        <v>77</v>
      </c>
      <c r="D89" s="197"/>
      <c r="E89" s="197"/>
      <c r="F89" s="190" t="s">
        <v>123</v>
      </c>
      <c r="G89" s="197"/>
      <c r="H89" s="197"/>
      <c r="I89" s="207"/>
      <c r="J89" s="197"/>
      <c r="K89" s="197"/>
      <c r="L89" s="197"/>
      <c r="M89" s="196"/>
      <c r="N89" s="214"/>
      <c r="O89" s="214"/>
      <c r="P89" s="212"/>
      <c r="Q89" s="196" t="s">
        <v>38</v>
      </c>
      <c r="R89" s="197">
        <v>1</v>
      </c>
      <c r="S89" s="215" t="s">
        <v>33</v>
      </c>
      <c r="T89" s="199"/>
      <c r="U89" s="200"/>
      <c r="V89" s="200"/>
      <c r="W89" s="200"/>
      <c r="X89" s="200"/>
      <c r="Y89" s="200"/>
      <c r="Z89" s="200"/>
      <c r="AA89" s="200"/>
      <c r="AB89" s="200"/>
      <c r="AC89" s="170"/>
      <c r="AD89" s="11" t="str">
        <f t="shared" si="3"/>
        <v/>
      </c>
      <c r="AF89" t="str">
        <f t="shared" si="4"/>
        <v>80.01.ZZ.0</v>
      </c>
      <c r="AH89" t="str">
        <f t="shared" si="5"/>
        <v>00 de 01</v>
      </c>
      <c r="AJ89" s="86"/>
      <c r="AK89" s="85"/>
    </row>
    <row r="90" spans="1:37" ht="36.75" customHeight="1" x14ac:dyDescent="0.25">
      <c r="A90" s="139" t="s">
        <v>116</v>
      </c>
      <c r="B90" s="105" t="s">
        <v>122</v>
      </c>
      <c r="C90" s="63">
        <v>78</v>
      </c>
      <c r="D90" s="197"/>
      <c r="E90" s="197"/>
      <c r="F90" s="190" t="s">
        <v>123</v>
      </c>
      <c r="G90" s="197"/>
      <c r="H90" s="197"/>
      <c r="I90" s="207"/>
      <c r="J90" s="197"/>
      <c r="K90" s="197"/>
      <c r="L90" s="197"/>
      <c r="M90" s="196"/>
      <c r="N90" s="214"/>
      <c r="O90" s="214"/>
      <c r="P90" s="212"/>
      <c r="Q90" s="196" t="s">
        <v>38</v>
      </c>
      <c r="R90" s="197">
        <v>1</v>
      </c>
      <c r="S90" s="215" t="s">
        <v>33</v>
      </c>
      <c r="T90" s="199"/>
      <c r="U90" s="200"/>
      <c r="V90" s="200"/>
      <c r="W90" s="200"/>
      <c r="X90" s="200"/>
      <c r="Y90" s="200"/>
      <c r="Z90" s="200"/>
      <c r="AA90" s="200"/>
      <c r="AB90" s="200"/>
      <c r="AC90" s="170"/>
      <c r="AD90" s="11" t="str">
        <f t="shared" si="3"/>
        <v/>
      </c>
      <c r="AF90" t="str">
        <f t="shared" si="4"/>
        <v>80.01.ZZ.0</v>
      </c>
      <c r="AH90" t="str">
        <f t="shared" si="5"/>
        <v>00 de 01</v>
      </c>
      <c r="AJ90" s="86"/>
      <c r="AK90" s="85"/>
    </row>
    <row r="91" spans="1:37" ht="36.75" customHeight="1" x14ac:dyDescent="0.25">
      <c r="A91" s="139" t="s">
        <v>116</v>
      </c>
      <c r="B91" s="105" t="s">
        <v>122</v>
      </c>
      <c r="C91" s="63">
        <v>79</v>
      </c>
      <c r="D91" s="197"/>
      <c r="E91" s="197"/>
      <c r="F91" s="190" t="s">
        <v>123</v>
      </c>
      <c r="G91" s="197"/>
      <c r="H91" s="197"/>
      <c r="I91" s="207"/>
      <c r="J91" s="197"/>
      <c r="K91" s="197"/>
      <c r="L91" s="197"/>
      <c r="M91" s="196"/>
      <c r="N91" s="214"/>
      <c r="O91" s="214"/>
      <c r="P91" s="212"/>
      <c r="Q91" s="196" t="s">
        <v>38</v>
      </c>
      <c r="R91" s="197">
        <v>1</v>
      </c>
      <c r="S91" s="215" t="s">
        <v>33</v>
      </c>
      <c r="T91" s="199"/>
      <c r="U91" s="200"/>
      <c r="V91" s="200"/>
      <c r="W91" s="200"/>
      <c r="X91" s="200"/>
      <c r="Y91" s="200"/>
      <c r="Z91" s="200"/>
      <c r="AA91" s="200"/>
      <c r="AB91" s="200"/>
      <c r="AC91" s="170"/>
      <c r="AD91" s="11" t="str">
        <f t="shared" si="3"/>
        <v/>
      </c>
      <c r="AF91" t="str">
        <f t="shared" si="4"/>
        <v>80.01.ZZ.0</v>
      </c>
      <c r="AH91" t="str">
        <f t="shared" si="5"/>
        <v>00 de 01</v>
      </c>
      <c r="AJ91" s="86"/>
      <c r="AK91" s="85"/>
    </row>
    <row r="92" spans="1:37" ht="36.75" customHeight="1" x14ac:dyDescent="0.25">
      <c r="A92" s="139" t="s">
        <v>116</v>
      </c>
      <c r="B92" s="105" t="s">
        <v>122</v>
      </c>
      <c r="C92" s="63">
        <v>80</v>
      </c>
      <c r="D92" s="197"/>
      <c r="E92" s="197"/>
      <c r="F92" s="190" t="s">
        <v>123</v>
      </c>
      <c r="G92" s="197"/>
      <c r="H92" s="197"/>
      <c r="I92" s="207"/>
      <c r="J92" s="197"/>
      <c r="K92" s="197"/>
      <c r="L92" s="197"/>
      <c r="M92" s="196"/>
      <c r="N92" s="214"/>
      <c r="O92" s="214"/>
      <c r="P92" s="212"/>
      <c r="Q92" s="196" t="s">
        <v>38</v>
      </c>
      <c r="R92" s="197">
        <v>1</v>
      </c>
      <c r="S92" s="215" t="s">
        <v>33</v>
      </c>
      <c r="T92" s="199"/>
      <c r="U92" s="200"/>
      <c r="V92" s="200"/>
      <c r="W92" s="200"/>
      <c r="X92" s="200"/>
      <c r="Y92" s="200"/>
      <c r="Z92" s="200"/>
      <c r="AA92" s="200"/>
      <c r="AB92" s="200"/>
      <c r="AC92" s="170"/>
      <c r="AD92" s="11" t="str">
        <f t="shared" si="3"/>
        <v/>
      </c>
      <c r="AF92" t="str">
        <f t="shared" si="4"/>
        <v>80.01.ZZ.0</v>
      </c>
      <c r="AH92" t="str">
        <f t="shared" si="5"/>
        <v>00 de 01</v>
      </c>
      <c r="AJ92" s="86"/>
      <c r="AK92" s="85"/>
    </row>
    <row r="93" spans="1:37" ht="36.75" customHeight="1" x14ac:dyDescent="0.25">
      <c r="A93" s="139" t="s">
        <v>116</v>
      </c>
      <c r="B93" s="105" t="s">
        <v>122</v>
      </c>
      <c r="C93" s="63">
        <v>81</v>
      </c>
      <c r="D93" s="197"/>
      <c r="E93" s="197"/>
      <c r="F93" s="190" t="s">
        <v>123</v>
      </c>
      <c r="G93" s="197"/>
      <c r="H93" s="197"/>
      <c r="I93" s="207"/>
      <c r="J93" s="197"/>
      <c r="K93" s="197"/>
      <c r="L93" s="197"/>
      <c r="M93" s="196"/>
      <c r="N93" s="214"/>
      <c r="O93" s="214"/>
      <c r="P93" s="212"/>
      <c r="Q93" s="196" t="s">
        <v>38</v>
      </c>
      <c r="R93" s="197">
        <v>1</v>
      </c>
      <c r="S93" s="215" t="s">
        <v>33</v>
      </c>
      <c r="T93" s="199"/>
      <c r="U93" s="200"/>
      <c r="V93" s="200"/>
      <c r="W93" s="200"/>
      <c r="X93" s="200"/>
      <c r="Y93" s="200"/>
      <c r="Z93" s="200"/>
      <c r="AA93" s="200"/>
      <c r="AB93" s="200"/>
      <c r="AC93" s="170"/>
      <c r="AD93" s="11" t="str">
        <f t="shared" si="3"/>
        <v/>
      </c>
      <c r="AF93" t="str">
        <f t="shared" si="4"/>
        <v>80.01.ZZ.0</v>
      </c>
      <c r="AH93" t="str">
        <f t="shared" si="5"/>
        <v>00 de 01</v>
      </c>
      <c r="AJ93" s="86"/>
      <c r="AK93" s="85"/>
    </row>
    <row r="94" spans="1:37" ht="36.75" customHeight="1" x14ac:dyDescent="0.25">
      <c r="A94" s="139" t="s">
        <v>116</v>
      </c>
      <c r="B94" s="105" t="s">
        <v>122</v>
      </c>
      <c r="C94" s="63">
        <v>82</v>
      </c>
      <c r="D94" s="197"/>
      <c r="E94" s="197"/>
      <c r="F94" s="190" t="s">
        <v>123</v>
      </c>
      <c r="G94" s="197"/>
      <c r="H94" s="197"/>
      <c r="I94" s="207"/>
      <c r="J94" s="197"/>
      <c r="K94" s="197"/>
      <c r="L94" s="197"/>
      <c r="M94" s="196"/>
      <c r="N94" s="214"/>
      <c r="O94" s="214"/>
      <c r="P94" s="212"/>
      <c r="Q94" s="196" t="s">
        <v>38</v>
      </c>
      <c r="R94" s="197">
        <v>1</v>
      </c>
      <c r="S94" s="215" t="s">
        <v>33</v>
      </c>
      <c r="T94" s="199"/>
      <c r="U94" s="200"/>
      <c r="V94" s="200"/>
      <c r="W94" s="200"/>
      <c r="X94" s="200"/>
      <c r="Y94" s="200"/>
      <c r="Z94" s="200"/>
      <c r="AA94" s="200"/>
      <c r="AB94" s="200"/>
      <c r="AC94" s="170"/>
      <c r="AD94" s="11" t="str">
        <f t="shared" si="3"/>
        <v/>
      </c>
      <c r="AF94" t="str">
        <f t="shared" si="4"/>
        <v>80.01.ZZ.0</v>
      </c>
      <c r="AH94" t="str">
        <f t="shared" si="5"/>
        <v>00 de 01</v>
      </c>
      <c r="AJ94" s="86"/>
      <c r="AK94" s="85"/>
    </row>
    <row r="95" spans="1:37" ht="36.75" customHeight="1" x14ac:dyDescent="0.25">
      <c r="A95" s="139" t="s">
        <v>116</v>
      </c>
      <c r="B95" s="105" t="s">
        <v>122</v>
      </c>
      <c r="C95" s="63">
        <v>83</v>
      </c>
      <c r="D95" s="197"/>
      <c r="E95" s="197"/>
      <c r="F95" s="190" t="s">
        <v>123</v>
      </c>
      <c r="G95" s="197"/>
      <c r="H95" s="197"/>
      <c r="I95" s="207"/>
      <c r="J95" s="197"/>
      <c r="K95" s="197"/>
      <c r="L95" s="197"/>
      <c r="M95" s="196"/>
      <c r="N95" s="214"/>
      <c r="O95" s="214"/>
      <c r="P95" s="212"/>
      <c r="Q95" s="196" t="s">
        <v>38</v>
      </c>
      <c r="R95" s="197">
        <v>1</v>
      </c>
      <c r="S95" s="215" t="s">
        <v>33</v>
      </c>
      <c r="T95" s="199"/>
      <c r="U95" s="200"/>
      <c r="V95" s="200"/>
      <c r="W95" s="200"/>
      <c r="X95" s="200"/>
      <c r="Y95" s="200"/>
      <c r="Z95" s="200"/>
      <c r="AA95" s="200"/>
      <c r="AB95" s="200"/>
      <c r="AC95" s="170"/>
      <c r="AD95" s="11" t="str">
        <f t="shared" si="3"/>
        <v/>
      </c>
      <c r="AF95" t="str">
        <f t="shared" si="4"/>
        <v>80.01.ZZ.0</v>
      </c>
      <c r="AH95" t="str">
        <f t="shared" si="5"/>
        <v>00 de 01</v>
      </c>
      <c r="AJ95" s="86"/>
      <c r="AK95" s="85"/>
    </row>
    <row r="96" spans="1:37" ht="36.75" customHeight="1" x14ac:dyDescent="0.25">
      <c r="A96" s="139" t="s">
        <v>116</v>
      </c>
      <c r="B96" s="105" t="s">
        <v>122</v>
      </c>
      <c r="C96" s="63">
        <v>84</v>
      </c>
      <c r="D96" s="197"/>
      <c r="E96" s="197"/>
      <c r="F96" s="190" t="s">
        <v>123</v>
      </c>
      <c r="G96" s="197"/>
      <c r="H96" s="197"/>
      <c r="I96" s="207"/>
      <c r="J96" s="197"/>
      <c r="K96" s="197"/>
      <c r="L96" s="197"/>
      <c r="M96" s="196"/>
      <c r="N96" s="214"/>
      <c r="O96" s="214"/>
      <c r="P96" s="212"/>
      <c r="Q96" s="196" t="s">
        <v>38</v>
      </c>
      <c r="R96" s="197">
        <v>1</v>
      </c>
      <c r="S96" s="215" t="s">
        <v>33</v>
      </c>
      <c r="T96" s="199"/>
      <c r="U96" s="200"/>
      <c r="V96" s="200"/>
      <c r="W96" s="200"/>
      <c r="X96" s="200"/>
      <c r="Y96" s="200"/>
      <c r="Z96" s="200"/>
      <c r="AA96" s="200"/>
      <c r="AB96" s="200"/>
      <c r="AC96" s="170"/>
      <c r="AD96" s="11" t="str">
        <f t="shared" si="3"/>
        <v/>
      </c>
      <c r="AF96" t="str">
        <f t="shared" si="4"/>
        <v>80.01.ZZ.0</v>
      </c>
      <c r="AH96" t="str">
        <f t="shared" si="5"/>
        <v>00 de 01</v>
      </c>
      <c r="AJ96" s="86"/>
      <c r="AK96" s="85"/>
    </row>
    <row r="97" spans="1:37" ht="36.75" customHeight="1" x14ac:dyDescent="0.25">
      <c r="A97" s="139" t="s">
        <v>116</v>
      </c>
      <c r="B97" s="105" t="s">
        <v>122</v>
      </c>
      <c r="C97" s="63">
        <v>85</v>
      </c>
      <c r="D97" s="197"/>
      <c r="E97" s="197"/>
      <c r="F97" s="190" t="s">
        <v>123</v>
      </c>
      <c r="G97" s="197"/>
      <c r="H97" s="197"/>
      <c r="I97" s="207"/>
      <c r="J97" s="197"/>
      <c r="K97" s="197"/>
      <c r="L97" s="197"/>
      <c r="M97" s="196"/>
      <c r="N97" s="214"/>
      <c r="O97" s="214"/>
      <c r="P97" s="212"/>
      <c r="Q97" s="196" t="s">
        <v>38</v>
      </c>
      <c r="R97" s="197">
        <v>1</v>
      </c>
      <c r="S97" s="215" t="s">
        <v>33</v>
      </c>
      <c r="T97" s="199"/>
      <c r="U97" s="200"/>
      <c r="V97" s="200"/>
      <c r="W97" s="200"/>
      <c r="X97" s="200"/>
      <c r="Y97" s="200"/>
      <c r="Z97" s="200"/>
      <c r="AA97" s="200"/>
      <c r="AB97" s="200"/>
      <c r="AC97" s="170"/>
      <c r="AD97" s="11" t="str">
        <f t="shared" si="3"/>
        <v/>
      </c>
      <c r="AF97" t="str">
        <f t="shared" si="4"/>
        <v>80.01.ZZ.0</v>
      </c>
      <c r="AH97" t="str">
        <f t="shared" si="5"/>
        <v>00 de 01</v>
      </c>
      <c r="AJ97" s="86"/>
      <c r="AK97" s="85"/>
    </row>
    <row r="98" spans="1:37" ht="36.75" customHeight="1" x14ac:dyDescent="0.25">
      <c r="A98" s="139" t="s">
        <v>116</v>
      </c>
      <c r="B98" s="105" t="s">
        <v>122</v>
      </c>
      <c r="C98" s="63">
        <v>86</v>
      </c>
      <c r="D98" s="197"/>
      <c r="E98" s="197"/>
      <c r="F98" s="190" t="s">
        <v>123</v>
      </c>
      <c r="G98" s="197"/>
      <c r="H98" s="197"/>
      <c r="I98" s="207"/>
      <c r="J98" s="197"/>
      <c r="K98" s="197"/>
      <c r="L98" s="197"/>
      <c r="M98" s="196"/>
      <c r="N98" s="214"/>
      <c r="O98" s="214"/>
      <c r="P98" s="212"/>
      <c r="Q98" s="196" t="s">
        <v>38</v>
      </c>
      <c r="R98" s="197">
        <v>1</v>
      </c>
      <c r="S98" s="215" t="s">
        <v>33</v>
      </c>
      <c r="T98" s="199"/>
      <c r="U98" s="200"/>
      <c r="V98" s="200"/>
      <c r="W98" s="200"/>
      <c r="X98" s="200"/>
      <c r="Y98" s="200"/>
      <c r="Z98" s="200"/>
      <c r="AA98" s="200"/>
      <c r="AB98" s="200"/>
      <c r="AC98" s="170"/>
      <c r="AD98" s="11" t="str">
        <f t="shared" si="3"/>
        <v/>
      </c>
      <c r="AF98" t="str">
        <f t="shared" si="4"/>
        <v>80.01.ZZ.0</v>
      </c>
      <c r="AH98" t="str">
        <f t="shared" si="5"/>
        <v>00 de 01</v>
      </c>
      <c r="AJ98" s="86"/>
      <c r="AK98" s="85"/>
    </row>
    <row r="99" spans="1:37" ht="36.75" customHeight="1" x14ac:dyDescent="0.25">
      <c r="A99" s="139" t="s">
        <v>116</v>
      </c>
      <c r="B99" s="105" t="s">
        <v>122</v>
      </c>
      <c r="C99" s="63">
        <v>87</v>
      </c>
      <c r="D99" s="197"/>
      <c r="E99" s="197"/>
      <c r="F99" s="190" t="s">
        <v>123</v>
      </c>
      <c r="G99" s="197"/>
      <c r="H99" s="197"/>
      <c r="I99" s="207"/>
      <c r="J99" s="197"/>
      <c r="K99" s="197"/>
      <c r="L99" s="197"/>
      <c r="M99" s="196"/>
      <c r="N99" s="214"/>
      <c r="O99" s="214"/>
      <c r="P99" s="212"/>
      <c r="Q99" s="196" t="s">
        <v>38</v>
      </c>
      <c r="R99" s="197">
        <v>1</v>
      </c>
      <c r="S99" s="215" t="s">
        <v>33</v>
      </c>
      <c r="T99" s="199"/>
      <c r="U99" s="200"/>
      <c r="V99" s="200"/>
      <c r="W99" s="200"/>
      <c r="X99" s="200"/>
      <c r="Y99" s="200"/>
      <c r="Z99" s="200"/>
      <c r="AA99" s="200"/>
      <c r="AB99" s="200"/>
      <c r="AC99" s="170"/>
      <c r="AD99" s="11" t="str">
        <f t="shared" si="3"/>
        <v/>
      </c>
      <c r="AF99" t="str">
        <f t="shared" si="4"/>
        <v>80.01.ZZ.0</v>
      </c>
      <c r="AH99" t="str">
        <f t="shared" si="5"/>
        <v>00 de 01</v>
      </c>
      <c r="AJ99" s="86"/>
      <c r="AK99" s="85"/>
    </row>
    <row r="100" spans="1:37" ht="36.75" customHeight="1" x14ac:dyDescent="0.25">
      <c r="A100" s="139" t="s">
        <v>116</v>
      </c>
      <c r="B100" s="105" t="s">
        <v>122</v>
      </c>
      <c r="C100" s="63">
        <v>88</v>
      </c>
      <c r="D100" s="197"/>
      <c r="E100" s="197"/>
      <c r="F100" s="190" t="s">
        <v>123</v>
      </c>
      <c r="G100" s="197"/>
      <c r="H100" s="197"/>
      <c r="I100" s="207"/>
      <c r="J100" s="197"/>
      <c r="K100" s="197"/>
      <c r="L100" s="197"/>
      <c r="M100" s="196"/>
      <c r="N100" s="214"/>
      <c r="O100" s="214"/>
      <c r="P100" s="212"/>
      <c r="Q100" s="196" t="s">
        <v>38</v>
      </c>
      <c r="R100" s="197">
        <v>1</v>
      </c>
      <c r="S100" s="215" t="s">
        <v>33</v>
      </c>
      <c r="T100" s="199"/>
      <c r="U100" s="200"/>
      <c r="V100" s="200"/>
      <c r="W100" s="200"/>
      <c r="X100" s="200"/>
      <c r="Y100" s="200"/>
      <c r="Z100" s="200"/>
      <c r="AA100" s="200"/>
      <c r="AB100" s="200"/>
      <c r="AC100" s="170"/>
      <c r="AD100" s="11" t="str">
        <f t="shared" si="3"/>
        <v/>
      </c>
      <c r="AF100" t="str">
        <f t="shared" si="4"/>
        <v>80.01.ZZ.0</v>
      </c>
      <c r="AH100" t="str">
        <f t="shared" si="5"/>
        <v>00 de 01</v>
      </c>
      <c r="AJ100" s="86"/>
      <c r="AK100" s="85"/>
    </row>
    <row r="101" spans="1:37" ht="36.75" customHeight="1" x14ac:dyDescent="0.25">
      <c r="A101" s="139" t="s">
        <v>116</v>
      </c>
      <c r="B101" s="105" t="s">
        <v>122</v>
      </c>
      <c r="C101" s="63">
        <v>89</v>
      </c>
      <c r="D101" s="197"/>
      <c r="E101" s="197"/>
      <c r="F101" s="190" t="s">
        <v>123</v>
      </c>
      <c r="G101" s="197"/>
      <c r="H101" s="197"/>
      <c r="I101" s="207"/>
      <c r="J101" s="197"/>
      <c r="K101" s="197"/>
      <c r="L101" s="197"/>
      <c r="M101" s="196"/>
      <c r="N101" s="214"/>
      <c r="O101" s="214"/>
      <c r="P101" s="212"/>
      <c r="Q101" s="196" t="s">
        <v>38</v>
      </c>
      <c r="R101" s="197">
        <v>1</v>
      </c>
      <c r="S101" s="215" t="s">
        <v>33</v>
      </c>
      <c r="T101" s="199"/>
      <c r="U101" s="200"/>
      <c r="V101" s="200"/>
      <c r="W101" s="200"/>
      <c r="X101" s="200"/>
      <c r="Y101" s="200"/>
      <c r="Z101" s="200"/>
      <c r="AA101" s="200"/>
      <c r="AB101" s="200"/>
      <c r="AC101" s="170"/>
      <c r="AD101" s="11" t="str">
        <f t="shared" si="3"/>
        <v/>
      </c>
      <c r="AF101" t="str">
        <f t="shared" si="4"/>
        <v>80.01.ZZ.0</v>
      </c>
      <c r="AH101" t="str">
        <f t="shared" si="5"/>
        <v>00 de 01</v>
      </c>
      <c r="AJ101" s="86"/>
      <c r="AK101" s="85"/>
    </row>
    <row r="102" spans="1:37" ht="36.75" customHeight="1" x14ac:dyDescent="0.25">
      <c r="A102" s="139" t="s">
        <v>116</v>
      </c>
      <c r="B102" s="105" t="s">
        <v>122</v>
      </c>
      <c r="C102" s="63">
        <v>90</v>
      </c>
      <c r="D102" s="197"/>
      <c r="E102" s="197"/>
      <c r="F102" s="190" t="s">
        <v>123</v>
      </c>
      <c r="G102" s="197"/>
      <c r="H102" s="197"/>
      <c r="I102" s="207"/>
      <c r="J102" s="197"/>
      <c r="K102" s="197"/>
      <c r="L102" s="197"/>
      <c r="M102" s="196"/>
      <c r="N102" s="214"/>
      <c r="O102" s="214"/>
      <c r="P102" s="212"/>
      <c r="Q102" s="196" t="s">
        <v>38</v>
      </c>
      <c r="R102" s="197">
        <v>1</v>
      </c>
      <c r="S102" s="215" t="s">
        <v>33</v>
      </c>
      <c r="T102" s="199"/>
      <c r="U102" s="200"/>
      <c r="V102" s="200"/>
      <c r="W102" s="200"/>
      <c r="X102" s="200"/>
      <c r="Y102" s="200"/>
      <c r="Z102" s="200"/>
      <c r="AA102" s="200"/>
      <c r="AB102" s="200"/>
      <c r="AC102" s="170"/>
      <c r="AD102" s="11" t="str">
        <f t="shared" si="3"/>
        <v/>
      </c>
      <c r="AF102" t="str">
        <f t="shared" si="4"/>
        <v>80.01.ZZ.0</v>
      </c>
      <c r="AH102" t="str">
        <f t="shared" si="5"/>
        <v>00 de 01</v>
      </c>
      <c r="AJ102" s="86"/>
      <c r="AK102" s="85"/>
    </row>
    <row r="103" spans="1:37" ht="36.75" customHeight="1" x14ac:dyDescent="0.25">
      <c r="A103" s="139" t="s">
        <v>116</v>
      </c>
      <c r="B103" s="105" t="s">
        <v>122</v>
      </c>
      <c r="C103" s="63">
        <v>91</v>
      </c>
      <c r="D103" s="197"/>
      <c r="E103" s="197"/>
      <c r="F103" s="190" t="s">
        <v>123</v>
      </c>
      <c r="G103" s="197"/>
      <c r="H103" s="197"/>
      <c r="I103" s="207"/>
      <c r="J103" s="197"/>
      <c r="K103" s="197"/>
      <c r="L103" s="197"/>
      <c r="M103" s="196"/>
      <c r="N103" s="214"/>
      <c r="O103" s="214"/>
      <c r="P103" s="212"/>
      <c r="Q103" s="196" t="s">
        <v>38</v>
      </c>
      <c r="R103" s="197">
        <v>1</v>
      </c>
      <c r="S103" s="215" t="s">
        <v>33</v>
      </c>
      <c r="T103" s="199"/>
      <c r="U103" s="200"/>
      <c r="V103" s="200"/>
      <c r="W103" s="200"/>
      <c r="X103" s="200"/>
      <c r="Y103" s="200"/>
      <c r="Z103" s="200"/>
      <c r="AA103" s="200"/>
      <c r="AB103" s="200"/>
      <c r="AC103" s="170"/>
      <c r="AD103" s="11" t="str">
        <f t="shared" si="3"/>
        <v/>
      </c>
      <c r="AF103" t="str">
        <f t="shared" si="4"/>
        <v>80.01.ZZ.0</v>
      </c>
      <c r="AH103" t="str">
        <f t="shared" si="5"/>
        <v>00 de 01</v>
      </c>
      <c r="AJ103" s="86"/>
      <c r="AK103" s="85"/>
    </row>
    <row r="104" spans="1:37" ht="36.75" customHeight="1" x14ac:dyDescent="0.25">
      <c r="A104" s="139" t="s">
        <v>116</v>
      </c>
      <c r="B104" s="105" t="s">
        <v>122</v>
      </c>
      <c r="C104" s="63">
        <v>92</v>
      </c>
      <c r="D104" s="197"/>
      <c r="E104" s="197"/>
      <c r="F104" s="190" t="s">
        <v>123</v>
      </c>
      <c r="G104" s="197"/>
      <c r="H104" s="197"/>
      <c r="I104" s="207"/>
      <c r="J104" s="197"/>
      <c r="K104" s="197"/>
      <c r="L104" s="197"/>
      <c r="M104" s="196"/>
      <c r="N104" s="214"/>
      <c r="O104" s="214"/>
      <c r="P104" s="212"/>
      <c r="Q104" s="196" t="s">
        <v>38</v>
      </c>
      <c r="R104" s="197">
        <v>1</v>
      </c>
      <c r="S104" s="215" t="s">
        <v>33</v>
      </c>
      <c r="T104" s="199"/>
      <c r="U104" s="200"/>
      <c r="V104" s="200"/>
      <c r="W104" s="200"/>
      <c r="X104" s="200"/>
      <c r="Y104" s="200"/>
      <c r="Z104" s="200"/>
      <c r="AA104" s="200"/>
      <c r="AB104" s="200"/>
      <c r="AC104" s="170"/>
      <c r="AD104" s="11" t="str">
        <f t="shared" si="3"/>
        <v/>
      </c>
      <c r="AF104" t="str">
        <f t="shared" si="4"/>
        <v>80.01.ZZ.0</v>
      </c>
      <c r="AH104" t="str">
        <f t="shared" si="5"/>
        <v>00 de 01</v>
      </c>
      <c r="AJ104" s="86"/>
      <c r="AK104" s="85"/>
    </row>
    <row r="105" spans="1:37" ht="36.75" customHeight="1" x14ac:dyDescent="0.25">
      <c r="A105" s="139" t="s">
        <v>116</v>
      </c>
      <c r="B105" s="105" t="s">
        <v>122</v>
      </c>
      <c r="C105" s="63">
        <v>93</v>
      </c>
      <c r="D105" s="197"/>
      <c r="E105" s="197"/>
      <c r="F105" s="190" t="s">
        <v>123</v>
      </c>
      <c r="G105" s="197"/>
      <c r="H105" s="197"/>
      <c r="I105" s="207"/>
      <c r="J105" s="197"/>
      <c r="K105" s="197"/>
      <c r="L105" s="197"/>
      <c r="M105" s="196"/>
      <c r="N105" s="214"/>
      <c r="O105" s="214"/>
      <c r="P105" s="212"/>
      <c r="Q105" s="196" t="s">
        <v>38</v>
      </c>
      <c r="R105" s="197">
        <v>1</v>
      </c>
      <c r="S105" s="215" t="s">
        <v>33</v>
      </c>
      <c r="T105" s="199"/>
      <c r="U105" s="200"/>
      <c r="V105" s="200"/>
      <c r="W105" s="200"/>
      <c r="X105" s="200"/>
      <c r="Y105" s="200"/>
      <c r="Z105" s="200"/>
      <c r="AA105" s="200"/>
      <c r="AB105" s="200"/>
      <c r="AC105" s="170"/>
      <c r="AD105" s="11" t="str">
        <f t="shared" si="3"/>
        <v/>
      </c>
      <c r="AF105" t="str">
        <f t="shared" si="4"/>
        <v>80.01.ZZ.0</v>
      </c>
      <c r="AH105" t="str">
        <f t="shared" si="5"/>
        <v>00 de 01</v>
      </c>
      <c r="AJ105" s="86"/>
      <c r="AK105" s="85"/>
    </row>
    <row r="106" spans="1:37" ht="36.75" customHeight="1" x14ac:dyDescent="0.25">
      <c r="A106" s="139" t="s">
        <v>116</v>
      </c>
      <c r="B106" s="105" t="s">
        <v>122</v>
      </c>
      <c r="C106" s="63">
        <v>94</v>
      </c>
      <c r="D106" s="197"/>
      <c r="E106" s="197"/>
      <c r="F106" s="190" t="s">
        <v>123</v>
      </c>
      <c r="G106" s="197"/>
      <c r="H106" s="197"/>
      <c r="I106" s="207"/>
      <c r="J106" s="197"/>
      <c r="K106" s="197"/>
      <c r="L106" s="197"/>
      <c r="M106" s="196"/>
      <c r="N106" s="214"/>
      <c r="O106" s="214"/>
      <c r="P106" s="212"/>
      <c r="Q106" s="196" t="s">
        <v>38</v>
      </c>
      <c r="R106" s="197">
        <v>1</v>
      </c>
      <c r="S106" s="215" t="s">
        <v>33</v>
      </c>
      <c r="T106" s="199"/>
      <c r="U106" s="200"/>
      <c r="V106" s="200"/>
      <c r="W106" s="200"/>
      <c r="X106" s="200"/>
      <c r="Y106" s="200"/>
      <c r="Z106" s="200"/>
      <c r="AA106" s="200"/>
      <c r="AB106" s="200"/>
      <c r="AC106" s="170"/>
      <c r="AD106" s="11" t="str">
        <f t="shared" si="3"/>
        <v/>
      </c>
      <c r="AF106" t="str">
        <f t="shared" si="4"/>
        <v>80.01.ZZ.0</v>
      </c>
      <c r="AH106" t="str">
        <f t="shared" si="5"/>
        <v>00 de 01</v>
      </c>
      <c r="AJ106" s="86"/>
      <c r="AK106" s="85"/>
    </row>
    <row r="107" spans="1:37" ht="36.75" customHeight="1" x14ac:dyDescent="0.25">
      <c r="A107" s="139" t="s">
        <v>116</v>
      </c>
      <c r="B107" s="105" t="s">
        <v>122</v>
      </c>
      <c r="C107" s="63">
        <v>95</v>
      </c>
      <c r="D107" s="197"/>
      <c r="E107" s="197"/>
      <c r="F107" s="190" t="s">
        <v>123</v>
      </c>
      <c r="G107" s="197"/>
      <c r="H107" s="197"/>
      <c r="I107" s="207"/>
      <c r="J107" s="197"/>
      <c r="K107" s="197"/>
      <c r="L107" s="197"/>
      <c r="M107" s="196"/>
      <c r="N107" s="214"/>
      <c r="O107" s="214"/>
      <c r="P107" s="212"/>
      <c r="Q107" s="196" t="s">
        <v>38</v>
      </c>
      <c r="R107" s="197">
        <v>1</v>
      </c>
      <c r="S107" s="215" t="s">
        <v>33</v>
      </c>
      <c r="T107" s="199"/>
      <c r="U107" s="200"/>
      <c r="V107" s="200"/>
      <c r="W107" s="200"/>
      <c r="X107" s="200"/>
      <c r="Y107" s="200"/>
      <c r="Z107" s="200"/>
      <c r="AA107" s="200"/>
      <c r="AB107" s="200"/>
      <c r="AC107" s="170"/>
      <c r="AD107" s="11" t="str">
        <f t="shared" si="3"/>
        <v/>
      </c>
      <c r="AF107" t="str">
        <f t="shared" si="4"/>
        <v>80.01.ZZ.0</v>
      </c>
      <c r="AH107" t="str">
        <f t="shared" si="5"/>
        <v>00 de 01</v>
      </c>
      <c r="AJ107" s="86"/>
      <c r="AK107" s="85"/>
    </row>
    <row r="108" spans="1:37" ht="36.75" customHeight="1" x14ac:dyDescent="0.25">
      <c r="A108" s="139" t="s">
        <v>116</v>
      </c>
      <c r="B108" s="105" t="s">
        <v>122</v>
      </c>
      <c r="C108" s="63">
        <v>96</v>
      </c>
      <c r="D108" s="197"/>
      <c r="E108" s="197"/>
      <c r="F108" s="190" t="s">
        <v>123</v>
      </c>
      <c r="G108" s="197"/>
      <c r="H108" s="197"/>
      <c r="I108" s="207"/>
      <c r="J108" s="197"/>
      <c r="K108" s="197"/>
      <c r="L108" s="197"/>
      <c r="M108" s="196"/>
      <c r="N108" s="214"/>
      <c r="O108" s="214"/>
      <c r="P108" s="212"/>
      <c r="Q108" s="196" t="s">
        <v>38</v>
      </c>
      <c r="R108" s="197">
        <v>1</v>
      </c>
      <c r="S108" s="215" t="s">
        <v>33</v>
      </c>
      <c r="T108" s="199"/>
      <c r="U108" s="200"/>
      <c r="V108" s="200"/>
      <c r="W108" s="200"/>
      <c r="X108" s="200"/>
      <c r="Y108" s="200"/>
      <c r="Z108" s="200"/>
      <c r="AA108" s="200"/>
      <c r="AB108" s="200"/>
      <c r="AC108" s="170"/>
      <c r="AD108" s="11" t="str">
        <f t="shared" si="3"/>
        <v/>
      </c>
      <c r="AF108" t="str">
        <f t="shared" si="4"/>
        <v>80.01.ZZ.0</v>
      </c>
      <c r="AH108" t="str">
        <f t="shared" si="5"/>
        <v>00 de 01</v>
      </c>
      <c r="AJ108" s="86"/>
      <c r="AK108" s="85"/>
    </row>
    <row r="109" spans="1:37" ht="36.75" customHeight="1" x14ac:dyDescent="0.25">
      <c r="A109" s="139" t="s">
        <v>116</v>
      </c>
      <c r="B109" s="105" t="s">
        <v>122</v>
      </c>
      <c r="C109" s="63">
        <v>97</v>
      </c>
      <c r="D109" s="197"/>
      <c r="E109" s="197"/>
      <c r="F109" s="190" t="s">
        <v>123</v>
      </c>
      <c r="G109" s="197"/>
      <c r="H109" s="197"/>
      <c r="I109" s="207"/>
      <c r="J109" s="197"/>
      <c r="K109" s="197"/>
      <c r="L109" s="197"/>
      <c r="M109" s="196"/>
      <c r="N109" s="214"/>
      <c r="O109" s="214"/>
      <c r="P109" s="212"/>
      <c r="Q109" s="196" t="s">
        <v>38</v>
      </c>
      <c r="R109" s="197">
        <v>1</v>
      </c>
      <c r="S109" s="215" t="s">
        <v>33</v>
      </c>
      <c r="T109" s="199"/>
      <c r="U109" s="200"/>
      <c r="V109" s="200"/>
      <c r="W109" s="200"/>
      <c r="X109" s="200"/>
      <c r="Y109" s="200"/>
      <c r="Z109" s="200"/>
      <c r="AA109" s="200"/>
      <c r="AB109" s="200"/>
      <c r="AC109" s="170"/>
      <c r="AD109" s="11" t="str">
        <f t="shared" si="3"/>
        <v/>
      </c>
      <c r="AF109" t="str">
        <f t="shared" si="4"/>
        <v>80.01.ZZ.0</v>
      </c>
      <c r="AH109" t="str">
        <f t="shared" si="5"/>
        <v>00 de 01</v>
      </c>
      <c r="AJ109" s="86"/>
      <c r="AK109" s="85"/>
    </row>
    <row r="110" spans="1:37" ht="36.75" customHeight="1" x14ac:dyDescent="0.25">
      <c r="A110" s="139" t="s">
        <v>116</v>
      </c>
      <c r="B110" s="105" t="s">
        <v>122</v>
      </c>
      <c r="C110" s="63">
        <v>98</v>
      </c>
      <c r="D110" s="197"/>
      <c r="E110" s="197"/>
      <c r="F110" s="190" t="s">
        <v>123</v>
      </c>
      <c r="G110" s="197"/>
      <c r="H110" s="197"/>
      <c r="I110" s="207"/>
      <c r="J110" s="197"/>
      <c r="K110" s="197"/>
      <c r="L110" s="197"/>
      <c r="M110" s="196"/>
      <c r="N110" s="214"/>
      <c r="O110" s="214"/>
      <c r="P110" s="212"/>
      <c r="Q110" s="196" t="s">
        <v>38</v>
      </c>
      <c r="R110" s="197">
        <v>1</v>
      </c>
      <c r="S110" s="215" t="s">
        <v>33</v>
      </c>
      <c r="T110" s="199"/>
      <c r="U110" s="200"/>
      <c r="V110" s="200"/>
      <c r="W110" s="200"/>
      <c r="X110" s="200"/>
      <c r="Y110" s="200"/>
      <c r="Z110" s="200"/>
      <c r="AA110" s="200"/>
      <c r="AB110" s="200"/>
      <c r="AC110" s="170"/>
      <c r="AD110" s="11" t="str">
        <f t="shared" si="3"/>
        <v/>
      </c>
      <c r="AF110" t="str">
        <f t="shared" si="4"/>
        <v>80.01.ZZ.0</v>
      </c>
      <c r="AH110" t="str">
        <f t="shared" si="5"/>
        <v>00 de 01</v>
      </c>
      <c r="AJ110" s="86"/>
      <c r="AK110" s="85"/>
    </row>
    <row r="111" spans="1:37" ht="36.75" customHeight="1" x14ac:dyDescent="0.25">
      <c r="A111" s="139" t="s">
        <v>116</v>
      </c>
      <c r="B111" s="105" t="s">
        <v>122</v>
      </c>
      <c r="C111" s="63">
        <v>99</v>
      </c>
      <c r="D111" s="197"/>
      <c r="E111" s="197"/>
      <c r="F111" s="190" t="s">
        <v>123</v>
      </c>
      <c r="G111" s="197"/>
      <c r="H111" s="197"/>
      <c r="I111" s="207"/>
      <c r="J111" s="197"/>
      <c r="K111" s="197"/>
      <c r="L111" s="197"/>
      <c r="M111" s="196"/>
      <c r="N111" s="214"/>
      <c r="O111" s="214"/>
      <c r="P111" s="212"/>
      <c r="Q111" s="196" t="s">
        <v>38</v>
      </c>
      <c r="R111" s="197">
        <v>1</v>
      </c>
      <c r="S111" s="215" t="s">
        <v>33</v>
      </c>
      <c r="T111" s="199"/>
      <c r="U111" s="200"/>
      <c r="V111" s="200"/>
      <c r="W111" s="200"/>
      <c r="X111" s="200"/>
      <c r="Y111" s="200"/>
      <c r="Z111" s="200"/>
      <c r="AA111" s="200"/>
      <c r="AB111" s="200"/>
      <c r="AC111" s="170"/>
      <c r="AD111" s="11" t="str">
        <f t="shared" si="3"/>
        <v/>
      </c>
      <c r="AF111" t="str">
        <f t="shared" si="4"/>
        <v>80.01.ZZ.0</v>
      </c>
      <c r="AH111" t="str">
        <f t="shared" si="5"/>
        <v>00 de 01</v>
      </c>
      <c r="AJ111" s="86"/>
      <c r="AK111" s="85"/>
    </row>
    <row r="112" spans="1:37" ht="36.75" customHeight="1" x14ac:dyDescent="0.25">
      <c r="A112" s="139" t="s">
        <v>116</v>
      </c>
      <c r="B112" s="105" t="s">
        <v>122</v>
      </c>
      <c r="C112" s="63">
        <v>100</v>
      </c>
      <c r="D112" s="197"/>
      <c r="E112" s="197"/>
      <c r="F112" s="190" t="s">
        <v>123</v>
      </c>
      <c r="G112" s="197"/>
      <c r="H112" s="197"/>
      <c r="I112" s="207"/>
      <c r="J112" s="197"/>
      <c r="K112" s="197"/>
      <c r="L112" s="197"/>
      <c r="M112" s="196"/>
      <c r="N112" s="214"/>
      <c r="O112" s="214"/>
      <c r="P112" s="212"/>
      <c r="Q112" s="196" t="s">
        <v>38</v>
      </c>
      <c r="R112" s="197">
        <v>1</v>
      </c>
      <c r="S112" s="215" t="s">
        <v>33</v>
      </c>
      <c r="T112" s="199"/>
      <c r="U112" s="200"/>
      <c r="V112" s="200"/>
      <c r="W112" s="200"/>
      <c r="X112" s="200"/>
      <c r="Y112" s="200"/>
      <c r="Z112" s="200"/>
      <c r="AA112" s="200"/>
      <c r="AB112" s="200"/>
      <c r="AC112" s="170"/>
      <c r="AD112" s="11" t="str">
        <f t="shared" si="3"/>
        <v/>
      </c>
      <c r="AF112" t="str">
        <f t="shared" si="4"/>
        <v>80.01.ZZ.0</v>
      </c>
      <c r="AH112" t="str">
        <f t="shared" si="5"/>
        <v>00 de 01</v>
      </c>
      <c r="AJ112" s="86"/>
      <c r="AK112" s="85"/>
    </row>
    <row r="113" spans="1:37" ht="36.75" customHeight="1" x14ac:dyDescent="0.25">
      <c r="A113" s="139" t="s">
        <v>116</v>
      </c>
      <c r="B113" s="105" t="s">
        <v>122</v>
      </c>
      <c r="C113" s="63">
        <v>101</v>
      </c>
      <c r="D113" s="197"/>
      <c r="E113" s="197"/>
      <c r="F113" s="190" t="s">
        <v>123</v>
      </c>
      <c r="G113" s="197"/>
      <c r="H113" s="197"/>
      <c r="I113" s="207"/>
      <c r="J113" s="197"/>
      <c r="K113" s="197"/>
      <c r="L113" s="197"/>
      <c r="M113" s="196"/>
      <c r="N113" s="214"/>
      <c r="O113" s="214"/>
      <c r="P113" s="212"/>
      <c r="Q113" s="196" t="s">
        <v>38</v>
      </c>
      <c r="R113" s="197">
        <v>1</v>
      </c>
      <c r="S113" s="215" t="s">
        <v>33</v>
      </c>
      <c r="T113" s="199"/>
      <c r="U113" s="200"/>
      <c r="V113" s="200"/>
      <c r="W113" s="200"/>
      <c r="X113" s="200"/>
      <c r="Y113" s="200"/>
      <c r="Z113" s="200"/>
      <c r="AA113" s="200"/>
      <c r="AB113" s="200"/>
      <c r="AC113" s="170"/>
      <c r="AD113" s="11" t="str">
        <f t="shared" si="3"/>
        <v/>
      </c>
      <c r="AF113" t="str">
        <f t="shared" si="4"/>
        <v>80.01.ZZ.0</v>
      </c>
      <c r="AH113" t="str">
        <f t="shared" si="5"/>
        <v>00 de 01</v>
      </c>
      <c r="AJ113" s="86"/>
      <c r="AK113" s="85"/>
    </row>
    <row r="114" spans="1:37" ht="36.75" customHeight="1" x14ac:dyDescent="0.25">
      <c r="A114" s="139" t="s">
        <v>116</v>
      </c>
      <c r="B114" s="105" t="s">
        <v>122</v>
      </c>
      <c r="C114" s="63">
        <v>102</v>
      </c>
      <c r="D114" s="197"/>
      <c r="E114" s="197"/>
      <c r="F114" s="190" t="s">
        <v>123</v>
      </c>
      <c r="G114" s="197"/>
      <c r="H114" s="197"/>
      <c r="I114" s="207"/>
      <c r="J114" s="197"/>
      <c r="K114" s="197"/>
      <c r="L114" s="197"/>
      <c r="M114" s="196"/>
      <c r="N114" s="214"/>
      <c r="O114" s="214"/>
      <c r="P114" s="212"/>
      <c r="Q114" s="196" t="s">
        <v>38</v>
      </c>
      <c r="R114" s="197">
        <v>1</v>
      </c>
      <c r="S114" s="215" t="s">
        <v>33</v>
      </c>
      <c r="T114" s="199"/>
      <c r="U114" s="200"/>
      <c r="V114" s="200"/>
      <c r="W114" s="200"/>
      <c r="X114" s="200"/>
      <c r="Y114" s="200"/>
      <c r="Z114" s="200"/>
      <c r="AA114" s="200"/>
      <c r="AB114" s="200"/>
      <c r="AC114" s="170"/>
      <c r="AD114" s="11" t="str">
        <f t="shared" si="3"/>
        <v/>
      </c>
      <c r="AF114" t="str">
        <f t="shared" si="4"/>
        <v>80.01.ZZ.0</v>
      </c>
      <c r="AH114" t="str">
        <f t="shared" si="5"/>
        <v>00 de 01</v>
      </c>
      <c r="AJ114" s="86"/>
      <c r="AK114" s="85"/>
    </row>
    <row r="115" spans="1:37" ht="36.75" customHeight="1" x14ac:dyDescent="0.25">
      <c r="A115" s="139" t="s">
        <v>116</v>
      </c>
      <c r="B115" s="105" t="s">
        <v>122</v>
      </c>
      <c r="C115" s="63">
        <v>103</v>
      </c>
      <c r="D115" s="197"/>
      <c r="E115" s="197"/>
      <c r="F115" s="190" t="s">
        <v>123</v>
      </c>
      <c r="G115" s="197"/>
      <c r="H115" s="197"/>
      <c r="I115" s="207"/>
      <c r="J115" s="197"/>
      <c r="K115" s="197"/>
      <c r="L115" s="197"/>
      <c r="M115" s="196"/>
      <c r="N115" s="214"/>
      <c r="O115" s="214"/>
      <c r="P115" s="212"/>
      <c r="Q115" s="196" t="s">
        <v>38</v>
      </c>
      <c r="R115" s="197">
        <v>1</v>
      </c>
      <c r="S115" s="215" t="s">
        <v>33</v>
      </c>
      <c r="T115" s="199"/>
      <c r="U115" s="200"/>
      <c r="V115" s="200"/>
      <c r="W115" s="200"/>
      <c r="X115" s="200"/>
      <c r="Y115" s="200"/>
      <c r="Z115" s="200"/>
      <c r="AA115" s="200"/>
      <c r="AB115" s="200"/>
      <c r="AC115" s="170"/>
      <c r="AD115" s="11" t="str">
        <f t="shared" si="3"/>
        <v/>
      </c>
      <c r="AF115" t="str">
        <f t="shared" si="4"/>
        <v>80.01.ZZ.0</v>
      </c>
      <c r="AH115" t="str">
        <f t="shared" si="5"/>
        <v>00 de 01</v>
      </c>
      <c r="AJ115" s="86"/>
      <c r="AK115" s="85"/>
    </row>
    <row r="116" spans="1:37" ht="36.75" customHeight="1" x14ac:dyDescent="0.25">
      <c r="A116" s="139" t="s">
        <v>116</v>
      </c>
      <c r="B116" s="105" t="s">
        <v>122</v>
      </c>
      <c r="C116" s="63">
        <v>104</v>
      </c>
      <c r="D116" s="197"/>
      <c r="E116" s="197"/>
      <c r="F116" s="190" t="s">
        <v>123</v>
      </c>
      <c r="G116" s="197"/>
      <c r="H116" s="197"/>
      <c r="I116" s="207"/>
      <c r="J116" s="197"/>
      <c r="K116" s="197"/>
      <c r="L116" s="197"/>
      <c r="M116" s="196"/>
      <c r="N116" s="214"/>
      <c r="O116" s="214"/>
      <c r="P116" s="212"/>
      <c r="Q116" s="196" t="s">
        <v>38</v>
      </c>
      <c r="R116" s="197">
        <v>1</v>
      </c>
      <c r="S116" s="215" t="s">
        <v>33</v>
      </c>
      <c r="T116" s="199"/>
      <c r="U116" s="200"/>
      <c r="V116" s="200"/>
      <c r="W116" s="200"/>
      <c r="X116" s="200"/>
      <c r="Y116" s="200"/>
      <c r="Z116" s="200"/>
      <c r="AA116" s="200"/>
      <c r="AB116" s="200"/>
      <c r="AC116" s="170"/>
      <c r="AD116" s="11" t="str">
        <f t="shared" si="3"/>
        <v/>
      </c>
      <c r="AF116" t="str">
        <f t="shared" si="4"/>
        <v>80.01.ZZ.0</v>
      </c>
      <c r="AH116" t="str">
        <f t="shared" si="5"/>
        <v>00 de 01</v>
      </c>
      <c r="AJ116" s="86"/>
      <c r="AK116" s="85"/>
    </row>
    <row r="117" spans="1:37" ht="36.75" customHeight="1" x14ac:dyDescent="0.25">
      <c r="A117" s="139" t="s">
        <v>116</v>
      </c>
      <c r="B117" s="105" t="s">
        <v>122</v>
      </c>
      <c r="C117" s="63">
        <v>105</v>
      </c>
      <c r="D117" s="197"/>
      <c r="E117" s="197"/>
      <c r="F117" s="190" t="s">
        <v>123</v>
      </c>
      <c r="G117" s="197"/>
      <c r="H117" s="197"/>
      <c r="I117" s="207"/>
      <c r="J117" s="197"/>
      <c r="K117" s="197"/>
      <c r="L117" s="197"/>
      <c r="M117" s="196"/>
      <c r="N117" s="214"/>
      <c r="O117" s="214"/>
      <c r="P117" s="212"/>
      <c r="Q117" s="196" t="s">
        <v>38</v>
      </c>
      <c r="R117" s="197">
        <v>1</v>
      </c>
      <c r="S117" s="215" t="s">
        <v>33</v>
      </c>
      <c r="T117" s="199"/>
      <c r="U117" s="200"/>
      <c r="V117" s="200"/>
      <c r="W117" s="200"/>
      <c r="X117" s="200"/>
      <c r="Y117" s="200"/>
      <c r="Z117" s="200"/>
      <c r="AA117" s="200"/>
      <c r="AB117" s="200"/>
      <c r="AC117" s="170"/>
      <c r="AD117" s="11" t="str">
        <f t="shared" si="3"/>
        <v/>
      </c>
      <c r="AF117" t="str">
        <f t="shared" si="4"/>
        <v>80.01.ZZ.0</v>
      </c>
      <c r="AH117" t="str">
        <f t="shared" si="5"/>
        <v>00 de 01</v>
      </c>
      <c r="AJ117" s="86"/>
      <c r="AK117" s="85"/>
    </row>
    <row r="118" spans="1:37" ht="36.75" customHeight="1" x14ac:dyDescent="0.25">
      <c r="A118" s="139" t="s">
        <v>116</v>
      </c>
      <c r="B118" s="105" t="s">
        <v>122</v>
      </c>
      <c r="C118" s="63">
        <v>106</v>
      </c>
      <c r="D118" s="197"/>
      <c r="E118" s="197"/>
      <c r="F118" s="190" t="s">
        <v>123</v>
      </c>
      <c r="G118" s="197"/>
      <c r="H118" s="197"/>
      <c r="I118" s="207"/>
      <c r="J118" s="197"/>
      <c r="K118" s="197"/>
      <c r="L118" s="197"/>
      <c r="M118" s="196"/>
      <c r="N118" s="214"/>
      <c r="O118" s="214"/>
      <c r="P118" s="212"/>
      <c r="Q118" s="196" t="s">
        <v>38</v>
      </c>
      <c r="R118" s="197">
        <v>1</v>
      </c>
      <c r="S118" s="215" t="s">
        <v>33</v>
      </c>
      <c r="T118" s="199"/>
      <c r="U118" s="200"/>
      <c r="V118" s="200"/>
      <c r="W118" s="200"/>
      <c r="X118" s="200"/>
      <c r="Y118" s="200"/>
      <c r="Z118" s="200"/>
      <c r="AA118" s="200"/>
      <c r="AB118" s="200"/>
      <c r="AC118" s="170"/>
      <c r="AD118" s="11" t="str">
        <f t="shared" si="3"/>
        <v/>
      </c>
      <c r="AF118" t="str">
        <f t="shared" si="4"/>
        <v>80.01.ZZ.0</v>
      </c>
      <c r="AH118" t="str">
        <f t="shared" si="5"/>
        <v>00 de 01</v>
      </c>
      <c r="AJ118" s="86"/>
      <c r="AK118" s="85"/>
    </row>
    <row r="119" spans="1:37" ht="36.75" customHeight="1" x14ac:dyDescent="0.25">
      <c r="A119" s="139" t="s">
        <v>116</v>
      </c>
      <c r="B119" s="105" t="s">
        <v>122</v>
      </c>
      <c r="C119" s="63">
        <v>107</v>
      </c>
      <c r="D119" s="197"/>
      <c r="E119" s="197"/>
      <c r="F119" s="190" t="s">
        <v>123</v>
      </c>
      <c r="G119" s="197"/>
      <c r="H119" s="197"/>
      <c r="I119" s="207"/>
      <c r="J119" s="197"/>
      <c r="K119" s="197"/>
      <c r="L119" s="197"/>
      <c r="M119" s="196"/>
      <c r="N119" s="214"/>
      <c r="O119" s="214"/>
      <c r="P119" s="212"/>
      <c r="Q119" s="196" t="s">
        <v>38</v>
      </c>
      <c r="R119" s="197">
        <v>1</v>
      </c>
      <c r="S119" s="215" t="s">
        <v>33</v>
      </c>
      <c r="T119" s="199"/>
      <c r="U119" s="200"/>
      <c r="V119" s="200"/>
      <c r="W119" s="200"/>
      <c r="X119" s="200"/>
      <c r="Y119" s="200"/>
      <c r="Z119" s="200"/>
      <c r="AA119" s="200"/>
      <c r="AB119" s="200"/>
      <c r="AC119" s="170"/>
      <c r="AD119" s="11" t="str">
        <f t="shared" si="3"/>
        <v/>
      </c>
      <c r="AF119" t="str">
        <f t="shared" si="4"/>
        <v>80.01.ZZ.0</v>
      </c>
      <c r="AH119" t="str">
        <f t="shared" si="5"/>
        <v>00 de 01</v>
      </c>
      <c r="AJ119" s="86"/>
      <c r="AK119" s="85"/>
    </row>
    <row r="120" spans="1:37" ht="36.75" customHeight="1" x14ac:dyDescent="0.25">
      <c r="A120" s="139" t="s">
        <v>116</v>
      </c>
      <c r="B120" s="105" t="s">
        <v>122</v>
      </c>
      <c r="C120" s="63">
        <v>108</v>
      </c>
      <c r="D120" s="197"/>
      <c r="E120" s="197"/>
      <c r="F120" s="190" t="s">
        <v>123</v>
      </c>
      <c r="G120" s="197"/>
      <c r="H120" s="197"/>
      <c r="I120" s="207"/>
      <c r="J120" s="197"/>
      <c r="K120" s="197"/>
      <c r="L120" s="197"/>
      <c r="M120" s="196"/>
      <c r="N120" s="214"/>
      <c r="O120" s="214"/>
      <c r="P120" s="212"/>
      <c r="Q120" s="196" t="s">
        <v>38</v>
      </c>
      <c r="R120" s="197">
        <v>1</v>
      </c>
      <c r="S120" s="215" t="s">
        <v>33</v>
      </c>
      <c r="T120" s="199"/>
      <c r="U120" s="200"/>
      <c r="V120" s="200"/>
      <c r="W120" s="200"/>
      <c r="X120" s="200"/>
      <c r="Y120" s="200"/>
      <c r="Z120" s="200"/>
      <c r="AA120" s="200"/>
      <c r="AB120" s="200"/>
      <c r="AC120" s="170"/>
      <c r="AD120" s="11" t="str">
        <f t="shared" si="3"/>
        <v/>
      </c>
      <c r="AF120" t="str">
        <f t="shared" si="4"/>
        <v>80.01.ZZ.0</v>
      </c>
      <c r="AH120" t="str">
        <f t="shared" si="5"/>
        <v>00 de 01</v>
      </c>
      <c r="AJ120" s="86"/>
      <c r="AK120" s="85"/>
    </row>
    <row r="121" spans="1:37" ht="36.75" customHeight="1" x14ac:dyDescent="0.25">
      <c r="A121" s="139" t="s">
        <v>116</v>
      </c>
      <c r="B121" s="105" t="s">
        <v>122</v>
      </c>
      <c r="C121" s="63">
        <v>109</v>
      </c>
      <c r="D121" s="197"/>
      <c r="E121" s="197"/>
      <c r="F121" s="190" t="s">
        <v>123</v>
      </c>
      <c r="G121" s="197"/>
      <c r="H121" s="197"/>
      <c r="I121" s="207"/>
      <c r="J121" s="197"/>
      <c r="K121" s="197"/>
      <c r="L121" s="197"/>
      <c r="M121" s="196"/>
      <c r="N121" s="214"/>
      <c r="O121" s="214"/>
      <c r="P121" s="212"/>
      <c r="Q121" s="196" t="s">
        <v>38</v>
      </c>
      <c r="R121" s="197">
        <v>1</v>
      </c>
      <c r="S121" s="215" t="s">
        <v>33</v>
      </c>
      <c r="T121" s="199"/>
      <c r="U121" s="200"/>
      <c r="V121" s="200"/>
      <c r="W121" s="200"/>
      <c r="X121" s="200"/>
      <c r="Y121" s="200"/>
      <c r="Z121" s="200"/>
      <c r="AA121" s="200"/>
      <c r="AB121" s="200"/>
      <c r="AC121" s="170"/>
      <c r="AD121" s="11" t="str">
        <f t="shared" si="3"/>
        <v/>
      </c>
      <c r="AF121" t="str">
        <f t="shared" si="4"/>
        <v>80.01.ZZ.0</v>
      </c>
      <c r="AH121" t="str">
        <f t="shared" si="5"/>
        <v>00 de 01</v>
      </c>
      <c r="AJ121" s="86"/>
      <c r="AK121" s="85"/>
    </row>
    <row r="122" spans="1:37" ht="36.75" customHeight="1" x14ac:dyDescent="0.25">
      <c r="A122" s="139" t="s">
        <v>116</v>
      </c>
      <c r="B122" s="105" t="s">
        <v>122</v>
      </c>
      <c r="C122" s="63">
        <v>110</v>
      </c>
      <c r="D122" s="197"/>
      <c r="E122" s="197"/>
      <c r="F122" s="190" t="s">
        <v>123</v>
      </c>
      <c r="G122" s="197"/>
      <c r="H122" s="197"/>
      <c r="I122" s="207"/>
      <c r="J122" s="197"/>
      <c r="K122" s="197"/>
      <c r="L122" s="197"/>
      <c r="M122" s="196"/>
      <c r="N122" s="214"/>
      <c r="O122" s="214"/>
      <c r="P122" s="212"/>
      <c r="Q122" s="196" t="s">
        <v>38</v>
      </c>
      <c r="R122" s="197">
        <v>1</v>
      </c>
      <c r="S122" s="215" t="s">
        <v>33</v>
      </c>
      <c r="T122" s="199"/>
      <c r="U122" s="200"/>
      <c r="V122" s="200"/>
      <c r="W122" s="200"/>
      <c r="X122" s="200"/>
      <c r="Y122" s="200"/>
      <c r="Z122" s="200"/>
      <c r="AA122" s="200"/>
      <c r="AB122" s="200"/>
      <c r="AC122" s="170"/>
      <c r="AD122" s="11" t="str">
        <f t="shared" si="3"/>
        <v/>
      </c>
      <c r="AF122" t="str">
        <f t="shared" si="4"/>
        <v>80.01.ZZ.0</v>
      </c>
      <c r="AH122" t="str">
        <f t="shared" si="5"/>
        <v>00 de 01</v>
      </c>
      <c r="AJ122" s="86"/>
      <c r="AK122" s="85"/>
    </row>
    <row r="123" spans="1:37" ht="36.75" customHeight="1" x14ac:dyDescent="0.25">
      <c r="A123" s="139" t="s">
        <v>116</v>
      </c>
      <c r="B123" s="105" t="s">
        <v>122</v>
      </c>
      <c r="C123" s="63">
        <v>111</v>
      </c>
      <c r="D123" s="197"/>
      <c r="E123" s="197"/>
      <c r="F123" s="190" t="s">
        <v>123</v>
      </c>
      <c r="G123" s="197"/>
      <c r="H123" s="197"/>
      <c r="I123" s="207"/>
      <c r="J123" s="197"/>
      <c r="K123" s="197"/>
      <c r="L123" s="197"/>
      <c r="M123" s="196"/>
      <c r="N123" s="214"/>
      <c r="O123" s="214"/>
      <c r="P123" s="212"/>
      <c r="Q123" s="196" t="s">
        <v>38</v>
      </c>
      <c r="R123" s="197">
        <v>1</v>
      </c>
      <c r="S123" s="215" t="s">
        <v>33</v>
      </c>
      <c r="T123" s="199"/>
      <c r="U123" s="200"/>
      <c r="V123" s="200"/>
      <c r="W123" s="200"/>
      <c r="X123" s="200"/>
      <c r="Y123" s="200"/>
      <c r="Z123" s="200"/>
      <c r="AA123" s="200"/>
      <c r="AB123" s="200"/>
      <c r="AC123" s="170"/>
      <c r="AD123" s="11" t="str">
        <f t="shared" si="3"/>
        <v/>
      </c>
      <c r="AF123" t="str">
        <f t="shared" si="4"/>
        <v>80.01.ZZ.0</v>
      </c>
      <c r="AH123" t="str">
        <f t="shared" si="5"/>
        <v>00 de 01</v>
      </c>
      <c r="AJ123" s="86"/>
      <c r="AK123" s="85"/>
    </row>
    <row r="124" spans="1:37" ht="36.75" customHeight="1" x14ac:dyDescent="0.25">
      <c r="A124" s="139" t="s">
        <v>116</v>
      </c>
      <c r="B124" s="105" t="s">
        <v>122</v>
      </c>
      <c r="C124" s="63">
        <v>112</v>
      </c>
      <c r="D124" s="197"/>
      <c r="E124" s="197"/>
      <c r="F124" s="190" t="s">
        <v>123</v>
      </c>
      <c r="G124" s="197"/>
      <c r="H124" s="197"/>
      <c r="I124" s="207"/>
      <c r="J124" s="197"/>
      <c r="K124" s="197"/>
      <c r="L124" s="197"/>
      <c r="M124" s="196"/>
      <c r="N124" s="214"/>
      <c r="O124" s="214"/>
      <c r="P124" s="212"/>
      <c r="Q124" s="196" t="s">
        <v>38</v>
      </c>
      <c r="R124" s="197">
        <v>1</v>
      </c>
      <c r="S124" s="215" t="s">
        <v>33</v>
      </c>
      <c r="T124" s="199"/>
      <c r="U124" s="200"/>
      <c r="V124" s="200"/>
      <c r="W124" s="200"/>
      <c r="X124" s="200"/>
      <c r="Y124" s="200"/>
      <c r="Z124" s="200"/>
      <c r="AA124" s="200"/>
      <c r="AB124" s="200"/>
      <c r="AC124" s="170"/>
      <c r="AD124" s="11" t="str">
        <f t="shared" si="3"/>
        <v/>
      </c>
      <c r="AF124" t="str">
        <f t="shared" si="4"/>
        <v>80.01.ZZ.0</v>
      </c>
      <c r="AH124" t="str">
        <f t="shared" si="5"/>
        <v>00 de 01</v>
      </c>
      <c r="AJ124" s="86"/>
      <c r="AK124" s="85"/>
    </row>
    <row r="125" spans="1:37" ht="36.75" customHeight="1" x14ac:dyDescent="0.25">
      <c r="A125" s="139" t="s">
        <v>116</v>
      </c>
      <c r="B125" s="105" t="s">
        <v>122</v>
      </c>
      <c r="C125" s="63">
        <v>113</v>
      </c>
      <c r="D125" s="197"/>
      <c r="E125" s="197"/>
      <c r="F125" s="190" t="s">
        <v>123</v>
      </c>
      <c r="G125" s="197"/>
      <c r="H125" s="197"/>
      <c r="I125" s="207"/>
      <c r="J125" s="197"/>
      <c r="K125" s="197"/>
      <c r="L125" s="197"/>
      <c r="M125" s="196"/>
      <c r="N125" s="214"/>
      <c r="O125" s="214"/>
      <c r="P125" s="212"/>
      <c r="Q125" s="196" t="s">
        <v>38</v>
      </c>
      <c r="R125" s="197">
        <v>1</v>
      </c>
      <c r="S125" s="215" t="s">
        <v>33</v>
      </c>
      <c r="T125" s="199"/>
      <c r="U125" s="200"/>
      <c r="V125" s="200"/>
      <c r="W125" s="200"/>
      <c r="X125" s="200"/>
      <c r="Y125" s="200"/>
      <c r="Z125" s="200"/>
      <c r="AA125" s="200"/>
      <c r="AB125" s="200"/>
      <c r="AC125" s="170"/>
      <c r="AD125" s="11" t="str">
        <f t="shared" si="3"/>
        <v/>
      </c>
      <c r="AF125" t="str">
        <f t="shared" si="4"/>
        <v>80.01.ZZ.0</v>
      </c>
      <c r="AH125" t="str">
        <f t="shared" si="5"/>
        <v>00 de 01</v>
      </c>
      <c r="AJ125" s="86"/>
      <c r="AK125" s="85"/>
    </row>
    <row r="126" spans="1:37" ht="36.75" customHeight="1" x14ac:dyDescent="0.25">
      <c r="A126" s="139" t="s">
        <v>116</v>
      </c>
      <c r="B126" s="105" t="s">
        <v>122</v>
      </c>
      <c r="C126" s="63">
        <v>114</v>
      </c>
      <c r="D126" s="197"/>
      <c r="E126" s="197"/>
      <c r="F126" s="190" t="s">
        <v>123</v>
      </c>
      <c r="G126" s="197"/>
      <c r="H126" s="197"/>
      <c r="I126" s="207"/>
      <c r="J126" s="197"/>
      <c r="K126" s="197"/>
      <c r="L126" s="197"/>
      <c r="M126" s="196"/>
      <c r="N126" s="214"/>
      <c r="O126" s="214"/>
      <c r="P126" s="212"/>
      <c r="Q126" s="196" t="s">
        <v>38</v>
      </c>
      <c r="R126" s="197">
        <v>1</v>
      </c>
      <c r="S126" s="215" t="s">
        <v>33</v>
      </c>
      <c r="T126" s="199"/>
      <c r="U126" s="200"/>
      <c r="V126" s="200"/>
      <c r="W126" s="200"/>
      <c r="X126" s="200"/>
      <c r="Y126" s="200"/>
      <c r="Z126" s="200"/>
      <c r="AA126" s="200"/>
      <c r="AB126" s="200"/>
      <c r="AC126" s="170"/>
      <c r="AD126" s="11" t="str">
        <f t="shared" si="3"/>
        <v/>
      </c>
      <c r="AF126" t="str">
        <f t="shared" si="4"/>
        <v>80.01.ZZ.0</v>
      </c>
      <c r="AH126" t="str">
        <f t="shared" si="5"/>
        <v>00 de 01</v>
      </c>
      <c r="AJ126" s="86"/>
      <c r="AK126" s="85"/>
    </row>
    <row r="127" spans="1:37" ht="36.75" customHeight="1" x14ac:dyDescent="0.25">
      <c r="A127" s="139" t="s">
        <v>116</v>
      </c>
      <c r="B127" s="105" t="s">
        <v>122</v>
      </c>
      <c r="C127" s="63">
        <v>115</v>
      </c>
      <c r="D127" s="197"/>
      <c r="E127" s="197"/>
      <c r="F127" s="190" t="s">
        <v>123</v>
      </c>
      <c r="G127" s="197"/>
      <c r="H127" s="197"/>
      <c r="I127" s="207"/>
      <c r="J127" s="197"/>
      <c r="K127" s="197"/>
      <c r="L127" s="197"/>
      <c r="M127" s="196"/>
      <c r="N127" s="214"/>
      <c r="O127" s="214"/>
      <c r="P127" s="212"/>
      <c r="Q127" s="196" t="s">
        <v>38</v>
      </c>
      <c r="R127" s="197">
        <v>1</v>
      </c>
      <c r="S127" s="215" t="s">
        <v>33</v>
      </c>
      <c r="T127" s="199"/>
      <c r="U127" s="200"/>
      <c r="V127" s="200"/>
      <c r="W127" s="200"/>
      <c r="X127" s="200"/>
      <c r="Y127" s="200"/>
      <c r="Z127" s="200"/>
      <c r="AA127" s="200"/>
      <c r="AB127" s="200"/>
      <c r="AC127" s="170"/>
      <c r="AD127" s="11" t="str">
        <f t="shared" si="3"/>
        <v/>
      </c>
      <c r="AF127" t="str">
        <f t="shared" si="4"/>
        <v>80.01.ZZ.0</v>
      </c>
      <c r="AH127" t="str">
        <f t="shared" si="5"/>
        <v>00 de 01</v>
      </c>
      <c r="AJ127" s="86"/>
      <c r="AK127" s="85"/>
    </row>
    <row r="128" spans="1:37" ht="36.75" customHeight="1" x14ac:dyDescent="0.25">
      <c r="A128" s="139" t="s">
        <v>116</v>
      </c>
      <c r="B128" s="105" t="s">
        <v>122</v>
      </c>
      <c r="C128" s="63">
        <v>116</v>
      </c>
      <c r="D128" s="197"/>
      <c r="E128" s="197"/>
      <c r="F128" s="190" t="s">
        <v>123</v>
      </c>
      <c r="G128" s="197"/>
      <c r="H128" s="197"/>
      <c r="I128" s="207"/>
      <c r="J128" s="197"/>
      <c r="K128" s="197"/>
      <c r="L128" s="197"/>
      <c r="M128" s="196"/>
      <c r="N128" s="214"/>
      <c r="O128" s="214"/>
      <c r="P128" s="212"/>
      <c r="Q128" s="196" t="s">
        <v>38</v>
      </c>
      <c r="R128" s="197">
        <v>1</v>
      </c>
      <c r="S128" s="215" t="s">
        <v>33</v>
      </c>
      <c r="T128" s="199"/>
      <c r="U128" s="200"/>
      <c r="V128" s="200"/>
      <c r="W128" s="200"/>
      <c r="X128" s="200"/>
      <c r="Y128" s="200"/>
      <c r="Z128" s="200"/>
      <c r="AA128" s="200"/>
      <c r="AB128" s="200"/>
      <c r="AC128" s="170"/>
      <c r="AD128" s="11" t="str">
        <f t="shared" si="3"/>
        <v/>
      </c>
      <c r="AF128" t="str">
        <f t="shared" si="4"/>
        <v>80.01.ZZ.0</v>
      </c>
      <c r="AH128" t="str">
        <f t="shared" si="5"/>
        <v>00 de 01</v>
      </c>
      <c r="AJ128" s="86"/>
      <c r="AK128" s="85"/>
    </row>
    <row r="129" spans="1:37" ht="36.75" customHeight="1" x14ac:dyDescent="0.25">
      <c r="A129" s="139" t="s">
        <v>116</v>
      </c>
      <c r="B129" s="105" t="s">
        <v>122</v>
      </c>
      <c r="C129" s="63">
        <v>117</v>
      </c>
      <c r="D129" s="197"/>
      <c r="E129" s="197"/>
      <c r="F129" s="190" t="s">
        <v>123</v>
      </c>
      <c r="G129" s="197"/>
      <c r="H129" s="197"/>
      <c r="I129" s="207"/>
      <c r="J129" s="197"/>
      <c r="K129" s="197"/>
      <c r="L129" s="197"/>
      <c r="M129" s="196"/>
      <c r="N129" s="214"/>
      <c r="O129" s="214"/>
      <c r="P129" s="212"/>
      <c r="Q129" s="196" t="s">
        <v>38</v>
      </c>
      <c r="R129" s="197">
        <v>1</v>
      </c>
      <c r="S129" s="215" t="s">
        <v>33</v>
      </c>
      <c r="T129" s="199"/>
      <c r="U129" s="200"/>
      <c r="V129" s="200"/>
      <c r="W129" s="200"/>
      <c r="X129" s="200"/>
      <c r="Y129" s="200"/>
      <c r="Z129" s="200"/>
      <c r="AA129" s="200"/>
      <c r="AB129" s="200"/>
      <c r="AC129" s="170"/>
      <c r="AD129" s="11" t="str">
        <f t="shared" si="3"/>
        <v/>
      </c>
      <c r="AF129" t="str">
        <f t="shared" si="4"/>
        <v>80.01.ZZ.0</v>
      </c>
      <c r="AH129" t="str">
        <f t="shared" si="5"/>
        <v>00 de 01</v>
      </c>
      <c r="AJ129" s="86"/>
      <c r="AK129" s="85"/>
    </row>
    <row r="130" spans="1:37" ht="36.75" customHeight="1" x14ac:dyDescent="0.25">
      <c r="A130" s="139" t="s">
        <v>116</v>
      </c>
      <c r="B130" s="105" t="s">
        <v>122</v>
      </c>
      <c r="C130" s="63">
        <v>118</v>
      </c>
      <c r="D130" s="197"/>
      <c r="E130" s="197"/>
      <c r="F130" s="190" t="s">
        <v>123</v>
      </c>
      <c r="G130" s="197"/>
      <c r="H130" s="197"/>
      <c r="I130" s="207"/>
      <c r="J130" s="197"/>
      <c r="K130" s="197"/>
      <c r="L130" s="197"/>
      <c r="M130" s="196"/>
      <c r="N130" s="214"/>
      <c r="O130" s="214"/>
      <c r="P130" s="212"/>
      <c r="Q130" s="196" t="s">
        <v>38</v>
      </c>
      <c r="R130" s="197">
        <v>1</v>
      </c>
      <c r="S130" s="215" t="s">
        <v>33</v>
      </c>
      <c r="T130" s="199"/>
      <c r="U130" s="200"/>
      <c r="V130" s="200"/>
      <c r="W130" s="200"/>
      <c r="X130" s="200"/>
      <c r="Y130" s="200"/>
      <c r="Z130" s="200"/>
      <c r="AA130" s="200"/>
      <c r="AB130" s="200"/>
      <c r="AC130" s="170"/>
      <c r="AD130" s="11" t="str">
        <f t="shared" si="3"/>
        <v/>
      </c>
      <c r="AF130" t="str">
        <f t="shared" si="4"/>
        <v>80.01.ZZ.0</v>
      </c>
      <c r="AH130" t="str">
        <f t="shared" si="5"/>
        <v>00 de 01</v>
      </c>
      <c r="AJ130" s="86"/>
      <c r="AK130" s="85"/>
    </row>
    <row r="131" spans="1:37" ht="36.75" customHeight="1" x14ac:dyDescent="0.25">
      <c r="A131" s="139" t="s">
        <v>116</v>
      </c>
      <c r="B131" s="105" t="s">
        <v>122</v>
      </c>
      <c r="C131" s="63">
        <v>119</v>
      </c>
      <c r="D131" s="197"/>
      <c r="E131" s="197"/>
      <c r="F131" s="190" t="s">
        <v>123</v>
      </c>
      <c r="G131" s="197"/>
      <c r="H131" s="197"/>
      <c r="I131" s="207"/>
      <c r="J131" s="197"/>
      <c r="K131" s="197"/>
      <c r="L131" s="197"/>
      <c r="M131" s="196"/>
      <c r="N131" s="214"/>
      <c r="O131" s="214"/>
      <c r="P131" s="212"/>
      <c r="Q131" s="196" t="s">
        <v>38</v>
      </c>
      <c r="R131" s="197">
        <v>1</v>
      </c>
      <c r="S131" s="215" t="s">
        <v>33</v>
      </c>
      <c r="T131" s="199"/>
      <c r="U131" s="200"/>
      <c r="V131" s="200"/>
      <c r="W131" s="200"/>
      <c r="X131" s="200"/>
      <c r="Y131" s="200"/>
      <c r="Z131" s="200"/>
      <c r="AA131" s="200"/>
      <c r="AB131" s="200"/>
      <c r="AC131" s="170"/>
      <c r="AD131" s="11" t="str">
        <f t="shared" si="3"/>
        <v/>
      </c>
      <c r="AF131" t="str">
        <f t="shared" si="4"/>
        <v>80.01.ZZ.0</v>
      </c>
      <c r="AH131" t="str">
        <f t="shared" si="5"/>
        <v>00 de 01</v>
      </c>
      <c r="AJ131" s="86"/>
      <c r="AK131" s="85"/>
    </row>
    <row r="132" spans="1:37" ht="36.75" customHeight="1" x14ac:dyDescent="0.25">
      <c r="A132" s="139" t="s">
        <v>116</v>
      </c>
      <c r="B132" s="105" t="s">
        <v>122</v>
      </c>
      <c r="C132" s="63">
        <v>120</v>
      </c>
      <c r="D132" s="197"/>
      <c r="E132" s="197"/>
      <c r="F132" s="190" t="s">
        <v>123</v>
      </c>
      <c r="G132" s="197"/>
      <c r="H132" s="197"/>
      <c r="I132" s="207"/>
      <c r="J132" s="197"/>
      <c r="K132" s="197"/>
      <c r="L132" s="197"/>
      <c r="M132" s="196"/>
      <c r="N132" s="214"/>
      <c r="O132" s="214"/>
      <c r="P132" s="212"/>
      <c r="Q132" s="196" t="s">
        <v>38</v>
      </c>
      <c r="R132" s="197">
        <v>1</v>
      </c>
      <c r="S132" s="215" t="s">
        <v>33</v>
      </c>
      <c r="T132" s="199"/>
      <c r="U132" s="200"/>
      <c r="V132" s="200"/>
      <c r="W132" s="200"/>
      <c r="X132" s="200"/>
      <c r="Y132" s="200"/>
      <c r="Z132" s="200"/>
      <c r="AA132" s="200"/>
      <c r="AB132" s="200"/>
      <c r="AC132" s="170"/>
      <c r="AD132" s="11" t="str">
        <f t="shared" si="3"/>
        <v/>
      </c>
      <c r="AF132" t="str">
        <f t="shared" si="4"/>
        <v>80.01.ZZ.0</v>
      </c>
      <c r="AH132" t="str">
        <f t="shared" si="5"/>
        <v>00 de 01</v>
      </c>
      <c r="AJ132" s="86"/>
      <c r="AK132" s="85"/>
    </row>
    <row r="133" spans="1:37" ht="36.75" customHeight="1" x14ac:dyDescent="0.25">
      <c r="A133" s="139" t="s">
        <v>116</v>
      </c>
      <c r="B133" s="105" t="s">
        <v>122</v>
      </c>
      <c r="C133" s="63">
        <v>121</v>
      </c>
      <c r="D133" s="197"/>
      <c r="E133" s="197"/>
      <c r="F133" s="190" t="s">
        <v>123</v>
      </c>
      <c r="G133" s="197"/>
      <c r="H133" s="197"/>
      <c r="I133" s="207"/>
      <c r="J133" s="197"/>
      <c r="K133" s="197"/>
      <c r="L133" s="197"/>
      <c r="M133" s="196"/>
      <c r="N133" s="214"/>
      <c r="O133" s="214"/>
      <c r="P133" s="212"/>
      <c r="Q133" s="196" t="s">
        <v>38</v>
      </c>
      <c r="R133" s="197">
        <v>1</v>
      </c>
      <c r="S133" s="215" t="s">
        <v>33</v>
      </c>
      <c r="T133" s="199"/>
      <c r="U133" s="200"/>
      <c r="V133" s="200"/>
      <c r="W133" s="200"/>
      <c r="X133" s="200"/>
      <c r="Y133" s="200"/>
      <c r="Z133" s="200"/>
      <c r="AA133" s="200"/>
      <c r="AB133" s="200"/>
      <c r="AC133" s="170"/>
      <c r="AD133" s="11" t="str">
        <f t="shared" si="3"/>
        <v/>
      </c>
      <c r="AF133" t="str">
        <f t="shared" si="4"/>
        <v>80.01.ZZ.0</v>
      </c>
      <c r="AH133" t="str">
        <f t="shared" si="5"/>
        <v>00 de 01</v>
      </c>
      <c r="AJ133" s="86"/>
      <c r="AK133" s="85"/>
    </row>
    <row r="134" spans="1:37" ht="36.75" customHeight="1" x14ac:dyDescent="0.25">
      <c r="A134" s="139" t="s">
        <v>116</v>
      </c>
      <c r="B134" s="105" t="s">
        <v>122</v>
      </c>
      <c r="C134" s="63">
        <v>122</v>
      </c>
      <c r="D134" s="197"/>
      <c r="E134" s="197"/>
      <c r="F134" s="190" t="s">
        <v>123</v>
      </c>
      <c r="G134" s="197"/>
      <c r="H134" s="197"/>
      <c r="I134" s="207"/>
      <c r="J134" s="197"/>
      <c r="K134" s="197"/>
      <c r="L134" s="197"/>
      <c r="M134" s="196"/>
      <c r="N134" s="214"/>
      <c r="O134" s="214"/>
      <c r="P134" s="212"/>
      <c r="Q134" s="196" t="s">
        <v>38</v>
      </c>
      <c r="R134" s="197">
        <v>1</v>
      </c>
      <c r="S134" s="215" t="s">
        <v>33</v>
      </c>
      <c r="T134" s="199"/>
      <c r="U134" s="200"/>
      <c r="V134" s="200"/>
      <c r="W134" s="200"/>
      <c r="X134" s="200"/>
      <c r="Y134" s="200"/>
      <c r="Z134" s="200"/>
      <c r="AA134" s="200"/>
      <c r="AB134" s="200"/>
      <c r="AC134" s="170"/>
      <c r="AD134" s="11" t="str">
        <f t="shared" si="3"/>
        <v/>
      </c>
      <c r="AF134" t="str">
        <f t="shared" si="4"/>
        <v>80.01.ZZ.0</v>
      </c>
      <c r="AH134" t="str">
        <f t="shared" si="5"/>
        <v>00 de 01</v>
      </c>
      <c r="AJ134" s="86"/>
      <c r="AK134" s="85"/>
    </row>
    <row r="135" spans="1:37" ht="36.75" customHeight="1" x14ac:dyDescent="0.25">
      <c r="A135" s="139" t="s">
        <v>116</v>
      </c>
      <c r="B135" s="105" t="s">
        <v>122</v>
      </c>
      <c r="C135" s="63">
        <v>123</v>
      </c>
      <c r="D135" s="197"/>
      <c r="E135" s="197"/>
      <c r="F135" s="190" t="s">
        <v>123</v>
      </c>
      <c r="G135" s="197"/>
      <c r="H135" s="197"/>
      <c r="I135" s="207"/>
      <c r="J135" s="197"/>
      <c r="K135" s="197"/>
      <c r="L135" s="197"/>
      <c r="M135" s="196"/>
      <c r="N135" s="214"/>
      <c r="O135" s="214"/>
      <c r="P135" s="212"/>
      <c r="Q135" s="196" t="s">
        <v>38</v>
      </c>
      <c r="R135" s="197">
        <v>1</v>
      </c>
      <c r="S135" s="215" t="s">
        <v>33</v>
      </c>
      <c r="T135" s="199"/>
      <c r="U135" s="200"/>
      <c r="V135" s="200"/>
      <c r="W135" s="200"/>
      <c r="X135" s="200"/>
      <c r="Y135" s="200"/>
      <c r="Z135" s="200"/>
      <c r="AA135" s="200"/>
      <c r="AB135" s="200"/>
      <c r="AC135" s="170"/>
      <c r="AD135" s="11" t="str">
        <f t="shared" si="3"/>
        <v/>
      </c>
      <c r="AF135" t="str">
        <f t="shared" si="4"/>
        <v>80.01.ZZ.0</v>
      </c>
      <c r="AH135" t="str">
        <f t="shared" si="5"/>
        <v>00 de 01</v>
      </c>
      <c r="AJ135" s="86"/>
      <c r="AK135" s="85"/>
    </row>
    <row r="136" spans="1:37" ht="36.75" customHeight="1" x14ac:dyDescent="0.25">
      <c r="A136" s="139" t="s">
        <v>116</v>
      </c>
      <c r="B136" s="105" t="s">
        <v>122</v>
      </c>
      <c r="C136" s="63">
        <v>124</v>
      </c>
      <c r="D136" s="197"/>
      <c r="E136" s="197"/>
      <c r="F136" s="190" t="s">
        <v>123</v>
      </c>
      <c r="G136" s="197"/>
      <c r="H136" s="197"/>
      <c r="I136" s="207"/>
      <c r="J136" s="197"/>
      <c r="K136" s="197"/>
      <c r="L136" s="197"/>
      <c r="M136" s="196"/>
      <c r="N136" s="214"/>
      <c r="O136" s="214"/>
      <c r="P136" s="212"/>
      <c r="Q136" s="196" t="s">
        <v>38</v>
      </c>
      <c r="R136" s="197">
        <v>1</v>
      </c>
      <c r="S136" s="215" t="s">
        <v>33</v>
      </c>
      <c r="T136" s="199"/>
      <c r="U136" s="200"/>
      <c r="V136" s="200"/>
      <c r="W136" s="200"/>
      <c r="X136" s="200"/>
      <c r="Y136" s="200"/>
      <c r="Z136" s="200"/>
      <c r="AA136" s="200"/>
      <c r="AB136" s="200"/>
      <c r="AC136" s="170"/>
      <c r="AD136" s="11" t="str">
        <f t="shared" si="3"/>
        <v/>
      </c>
      <c r="AF136" t="str">
        <f t="shared" si="4"/>
        <v>80.01.ZZ.0</v>
      </c>
      <c r="AH136" t="str">
        <f t="shared" si="5"/>
        <v>00 de 01</v>
      </c>
      <c r="AJ136" s="86"/>
      <c r="AK136" s="85"/>
    </row>
    <row r="137" spans="1:37" ht="36.75" customHeight="1" x14ac:dyDescent="0.25">
      <c r="A137" s="139" t="s">
        <v>116</v>
      </c>
      <c r="B137" s="105" t="s">
        <v>122</v>
      </c>
      <c r="C137" s="63">
        <v>125</v>
      </c>
      <c r="D137" s="197"/>
      <c r="E137" s="197"/>
      <c r="F137" s="190" t="s">
        <v>123</v>
      </c>
      <c r="G137" s="197"/>
      <c r="H137" s="197"/>
      <c r="I137" s="207"/>
      <c r="J137" s="197"/>
      <c r="K137" s="197"/>
      <c r="L137" s="197"/>
      <c r="M137" s="196"/>
      <c r="N137" s="214"/>
      <c r="O137" s="214"/>
      <c r="P137" s="212"/>
      <c r="Q137" s="196" t="s">
        <v>38</v>
      </c>
      <c r="R137" s="197">
        <v>1</v>
      </c>
      <c r="S137" s="215" t="s">
        <v>33</v>
      </c>
      <c r="T137" s="199"/>
      <c r="U137" s="200"/>
      <c r="V137" s="200"/>
      <c r="W137" s="200"/>
      <c r="X137" s="200"/>
      <c r="Y137" s="200"/>
      <c r="Z137" s="200"/>
      <c r="AA137" s="200"/>
      <c r="AB137" s="200"/>
      <c r="AC137" s="170"/>
      <c r="AD137" s="11" t="str">
        <f t="shared" si="3"/>
        <v/>
      </c>
      <c r="AF137" t="str">
        <f t="shared" si="4"/>
        <v>80.01.ZZ.0</v>
      </c>
      <c r="AH137" t="str">
        <f t="shared" si="5"/>
        <v>00 de 01</v>
      </c>
      <c r="AJ137" s="86"/>
      <c r="AK137" s="85"/>
    </row>
    <row r="138" spans="1:37" ht="36.75" customHeight="1" x14ac:dyDescent="0.25">
      <c r="A138" s="139" t="s">
        <v>116</v>
      </c>
      <c r="B138" s="105" t="s">
        <v>122</v>
      </c>
      <c r="C138" s="63">
        <v>126</v>
      </c>
      <c r="D138" s="197"/>
      <c r="E138" s="197"/>
      <c r="F138" s="190" t="s">
        <v>123</v>
      </c>
      <c r="G138" s="197"/>
      <c r="H138" s="197"/>
      <c r="I138" s="207"/>
      <c r="J138" s="197"/>
      <c r="K138" s="197"/>
      <c r="L138" s="197"/>
      <c r="M138" s="196"/>
      <c r="N138" s="214"/>
      <c r="O138" s="214"/>
      <c r="P138" s="212"/>
      <c r="Q138" s="196" t="s">
        <v>38</v>
      </c>
      <c r="R138" s="197">
        <v>1</v>
      </c>
      <c r="S138" s="215" t="s">
        <v>33</v>
      </c>
      <c r="T138" s="199"/>
      <c r="U138" s="200"/>
      <c r="V138" s="200"/>
      <c r="W138" s="200"/>
      <c r="X138" s="200"/>
      <c r="Y138" s="200"/>
      <c r="Z138" s="200"/>
      <c r="AA138" s="200"/>
      <c r="AB138" s="200"/>
      <c r="AC138" s="170"/>
      <c r="AD138" s="11" t="str">
        <f t="shared" si="3"/>
        <v/>
      </c>
      <c r="AF138" t="str">
        <f t="shared" si="4"/>
        <v>80.01.ZZ.0</v>
      </c>
      <c r="AH138" t="str">
        <f t="shared" si="5"/>
        <v>00 de 01</v>
      </c>
      <c r="AJ138" s="86"/>
      <c r="AK138" s="85"/>
    </row>
    <row r="139" spans="1:37" ht="36.75" customHeight="1" x14ac:dyDescent="0.25">
      <c r="A139" s="139" t="s">
        <v>116</v>
      </c>
      <c r="B139" s="105" t="s">
        <v>122</v>
      </c>
      <c r="C139" s="63">
        <v>127</v>
      </c>
      <c r="D139" s="197"/>
      <c r="E139" s="197"/>
      <c r="F139" s="190" t="s">
        <v>123</v>
      </c>
      <c r="G139" s="197"/>
      <c r="H139" s="197"/>
      <c r="I139" s="207"/>
      <c r="J139" s="197"/>
      <c r="K139" s="197"/>
      <c r="L139" s="197"/>
      <c r="M139" s="196"/>
      <c r="N139" s="214"/>
      <c r="O139" s="214"/>
      <c r="P139" s="212"/>
      <c r="Q139" s="196" t="s">
        <v>38</v>
      </c>
      <c r="R139" s="197">
        <v>1</v>
      </c>
      <c r="S139" s="215" t="s">
        <v>33</v>
      </c>
      <c r="T139" s="199"/>
      <c r="U139" s="200"/>
      <c r="V139" s="200"/>
      <c r="W139" s="200"/>
      <c r="X139" s="200"/>
      <c r="Y139" s="200"/>
      <c r="Z139" s="200"/>
      <c r="AA139" s="200"/>
      <c r="AB139" s="200"/>
      <c r="AC139" s="170"/>
      <c r="AD139" s="11" t="str">
        <f t="shared" si="3"/>
        <v/>
      </c>
      <c r="AF139" t="str">
        <f t="shared" si="4"/>
        <v>80.01.ZZ.0</v>
      </c>
      <c r="AH139" t="str">
        <f t="shared" si="5"/>
        <v>00 de 01</v>
      </c>
      <c r="AJ139" s="86"/>
      <c r="AK139" s="85"/>
    </row>
    <row r="140" spans="1:37" ht="36.75" customHeight="1" x14ac:dyDescent="0.25">
      <c r="A140" s="139" t="s">
        <v>116</v>
      </c>
      <c r="B140" s="105" t="s">
        <v>122</v>
      </c>
      <c r="C140" s="63">
        <v>128</v>
      </c>
      <c r="D140" s="197"/>
      <c r="E140" s="197"/>
      <c r="F140" s="190" t="s">
        <v>123</v>
      </c>
      <c r="G140" s="197"/>
      <c r="H140" s="197"/>
      <c r="I140" s="207"/>
      <c r="J140" s="197"/>
      <c r="K140" s="197"/>
      <c r="L140" s="197"/>
      <c r="M140" s="196"/>
      <c r="N140" s="214"/>
      <c r="O140" s="214"/>
      <c r="P140" s="212"/>
      <c r="Q140" s="196" t="s">
        <v>38</v>
      </c>
      <c r="R140" s="197">
        <v>1</v>
      </c>
      <c r="S140" s="215" t="s">
        <v>33</v>
      </c>
      <c r="T140" s="199"/>
      <c r="U140" s="200"/>
      <c r="V140" s="200"/>
      <c r="W140" s="200"/>
      <c r="X140" s="200"/>
      <c r="Y140" s="200"/>
      <c r="Z140" s="200"/>
      <c r="AA140" s="200"/>
      <c r="AB140" s="200"/>
      <c r="AC140" s="170"/>
      <c r="AD140" s="11" t="str">
        <f t="shared" si="3"/>
        <v/>
      </c>
      <c r="AF140" t="str">
        <f t="shared" si="4"/>
        <v>80.01.ZZ.0</v>
      </c>
      <c r="AH140" t="str">
        <f t="shared" si="5"/>
        <v>00 de 01</v>
      </c>
      <c r="AJ140" s="86"/>
      <c r="AK140" s="85"/>
    </row>
    <row r="141" spans="1:37" ht="36.75" customHeight="1" x14ac:dyDescent="0.25">
      <c r="A141" s="139" t="s">
        <v>116</v>
      </c>
      <c r="B141" s="105" t="s">
        <v>122</v>
      </c>
      <c r="C141" s="63">
        <v>129</v>
      </c>
      <c r="D141" s="197"/>
      <c r="E141" s="197"/>
      <c r="F141" s="190" t="s">
        <v>123</v>
      </c>
      <c r="G141" s="197"/>
      <c r="H141" s="197"/>
      <c r="I141" s="207"/>
      <c r="J141" s="197"/>
      <c r="K141" s="197"/>
      <c r="L141" s="197"/>
      <c r="M141" s="196"/>
      <c r="N141" s="214"/>
      <c r="O141" s="214"/>
      <c r="P141" s="212"/>
      <c r="Q141" s="196" t="s">
        <v>38</v>
      </c>
      <c r="R141" s="197">
        <v>1</v>
      </c>
      <c r="S141" s="215" t="s">
        <v>33</v>
      </c>
      <c r="T141" s="199"/>
      <c r="U141" s="200"/>
      <c r="V141" s="200"/>
      <c r="W141" s="200"/>
      <c r="X141" s="200"/>
      <c r="Y141" s="200"/>
      <c r="Z141" s="200"/>
      <c r="AA141" s="200"/>
      <c r="AB141" s="200"/>
      <c r="AC141" s="170"/>
      <c r="AD141" s="11" t="str">
        <f t="shared" si="3"/>
        <v/>
      </c>
      <c r="AF141" t="str">
        <f t="shared" si="4"/>
        <v>80.01.ZZ.0</v>
      </c>
      <c r="AH141" t="str">
        <f t="shared" si="5"/>
        <v>00 de 01</v>
      </c>
      <c r="AJ141" s="86"/>
      <c r="AK141" s="85"/>
    </row>
    <row r="142" spans="1:37" ht="36.75" customHeight="1" x14ac:dyDescent="0.25">
      <c r="A142" s="139" t="s">
        <v>116</v>
      </c>
      <c r="B142" s="105" t="s">
        <v>122</v>
      </c>
      <c r="C142" s="63">
        <v>130</v>
      </c>
      <c r="D142" s="197"/>
      <c r="E142" s="197"/>
      <c r="F142" s="190" t="s">
        <v>123</v>
      </c>
      <c r="G142" s="197"/>
      <c r="H142" s="197"/>
      <c r="I142" s="207"/>
      <c r="J142" s="197"/>
      <c r="K142" s="197"/>
      <c r="L142" s="197"/>
      <c r="M142" s="196"/>
      <c r="N142" s="214"/>
      <c r="O142" s="214"/>
      <c r="P142" s="212"/>
      <c r="Q142" s="196" t="s">
        <v>38</v>
      </c>
      <c r="R142" s="197">
        <v>1</v>
      </c>
      <c r="S142" s="215" t="s">
        <v>33</v>
      </c>
      <c r="T142" s="199"/>
      <c r="U142" s="200"/>
      <c r="V142" s="200"/>
      <c r="W142" s="200"/>
      <c r="X142" s="200"/>
      <c r="Y142" s="200"/>
      <c r="Z142" s="200"/>
      <c r="AA142" s="200"/>
      <c r="AB142" s="200"/>
      <c r="AC142" s="170"/>
      <c r="AD142" s="11" t="str">
        <f t="shared" ref="AD142:AD174" si="6">RIGHT(L142,2)</f>
        <v/>
      </c>
      <c r="AF142" t="str">
        <f t="shared" ref="AF142:AF174" si="7">CONCATENATE("80.01.ZZ.0",L142)</f>
        <v>80.01.ZZ.0</v>
      </c>
      <c r="AH142" t="str">
        <f t="shared" ref="AH142:AH174" si="8">CONCATENATE("00 de 0",R142)</f>
        <v>00 de 01</v>
      </c>
      <c r="AJ142" s="86"/>
      <c r="AK142" s="85"/>
    </row>
    <row r="143" spans="1:37" ht="36.75" customHeight="1" x14ac:dyDescent="0.25">
      <c r="A143" s="139" t="s">
        <v>116</v>
      </c>
      <c r="B143" s="105" t="s">
        <v>122</v>
      </c>
      <c r="C143" s="63">
        <v>131</v>
      </c>
      <c r="D143" s="197"/>
      <c r="E143" s="197"/>
      <c r="F143" s="190" t="s">
        <v>123</v>
      </c>
      <c r="G143" s="197"/>
      <c r="H143" s="197"/>
      <c r="I143" s="207"/>
      <c r="J143" s="197"/>
      <c r="K143" s="197"/>
      <c r="L143" s="197"/>
      <c r="M143" s="196"/>
      <c r="N143" s="214"/>
      <c r="O143" s="214"/>
      <c r="P143" s="212"/>
      <c r="Q143" s="196" t="s">
        <v>38</v>
      </c>
      <c r="R143" s="197">
        <v>1</v>
      </c>
      <c r="S143" s="215" t="s">
        <v>33</v>
      </c>
      <c r="T143" s="199"/>
      <c r="U143" s="200"/>
      <c r="V143" s="200"/>
      <c r="W143" s="200"/>
      <c r="X143" s="200"/>
      <c r="Y143" s="200"/>
      <c r="Z143" s="200"/>
      <c r="AA143" s="200"/>
      <c r="AB143" s="200"/>
      <c r="AC143" s="170"/>
      <c r="AD143" s="11" t="str">
        <f t="shared" si="6"/>
        <v/>
      </c>
      <c r="AF143" t="str">
        <f t="shared" si="7"/>
        <v>80.01.ZZ.0</v>
      </c>
      <c r="AH143" t="str">
        <f t="shared" si="8"/>
        <v>00 de 01</v>
      </c>
      <c r="AJ143" s="86"/>
      <c r="AK143" s="85"/>
    </row>
    <row r="144" spans="1:37" ht="36.75" customHeight="1" x14ac:dyDescent="0.25">
      <c r="A144" s="139" t="s">
        <v>116</v>
      </c>
      <c r="B144" s="105" t="s">
        <v>122</v>
      </c>
      <c r="C144" s="63">
        <v>132</v>
      </c>
      <c r="D144" s="197"/>
      <c r="E144" s="197"/>
      <c r="F144" s="190" t="s">
        <v>123</v>
      </c>
      <c r="G144" s="197"/>
      <c r="H144" s="197"/>
      <c r="I144" s="207"/>
      <c r="J144" s="197"/>
      <c r="K144" s="197"/>
      <c r="L144" s="197"/>
      <c r="M144" s="196"/>
      <c r="N144" s="214"/>
      <c r="O144" s="214"/>
      <c r="P144" s="212"/>
      <c r="Q144" s="196" t="s">
        <v>38</v>
      </c>
      <c r="R144" s="197">
        <v>1</v>
      </c>
      <c r="S144" s="215" t="s">
        <v>33</v>
      </c>
      <c r="T144" s="199"/>
      <c r="U144" s="200"/>
      <c r="V144" s="200"/>
      <c r="W144" s="200"/>
      <c r="X144" s="200"/>
      <c r="Y144" s="200"/>
      <c r="Z144" s="200"/>
      <c r="AA144" s="200"/>
      <c r="AB144" s="200"/>
      <c r="AC144" s="170"/>
      <c r="AD144" s="11" t="str">
        <f t="shared" si="6"/>
        <v/>
      </c>
      <c r="AF144" t="str">
        <f t="shared" si="7"/>
        <v>80.01.ZZ.0</v>
      </c>
      <c r="AH144" t="str">
        <f t="shared" si="8"/>
        <v>00 de 01</v>
      </c>
      <c r="AJ144" s="86"/>
      <c r="AK144" s="85"/>
    </row>
    <row r="145" spans="1:37" ht="36.75" customHeight="1" x14ac:dyDescent="0.25">
      <c r="A145" s="139" t="s">
        <v>116</v>
      </c>
      <c r="B145" s="105" t="s">
        <v>122</v>
      </c>
      <c r="C145" s="63">
        <v>133</v>
      </c>
      <c r="D145" s="197"/>
      <c r="E145" s="197"/>
      <c r="F145" s="190" t="s">
        <v>123</v>
      </c>
      <c r="G145" s="197"/>
      <c r="H145" s="197"/>
      <c r="I145" s="207"/>
      <c r="J145" s="197"/>
      <c r="K145" s="197"/>
      <c r="L145" s="197"/>
      <c r="M145" s="196"/>
      <c r="N145" s="214"/>
      <c r="O145" s="214"/>
      <c r="P145" s="212"/>
      <c r="Q145" s="196" t="s">
        <v>38</v>
      </c>
      <c r="R145" s="197">
        <v>1</v>
      </c>
      <c r="S145" s="215" t="s">
        <v>33</v>
      </c>
      <c r="T145" s="199"/>
      <c r="U145" s="200"/>
      <c r="V145" s="200"/>
      <c r="W145" s="200"/>
      <c r="X145" s="200"/>
      <c r="Y145" s="200"/>
      <c r="Z145" s="200"/>
      <c r="AA145" s="200"/>
      <c r="AB145" s="200"/>
      <c r="AC145" s="170"/>
      <c r="AD145" s="11" t="str">
        <f t="shared" si="6"/>
        <v/>
      </c>
      <c r="AF145" t="str">
        <f t="shared" si="7"/>
        <v>80.01.ZZ.0</v>
      </c>
      <c r="AH145" t="str">
        <f t="shared" si="8"/>
        <v>00 de 01</v>
      </c>
      <c r="AJ145" s="86"/>
      <c r="AK145" s="85"/>
    </row>
    <row r="146" spans="1:37" ht="36.75" customHeight="1" x14ac:dyDescent="0.25">
      <c r="A146" s="139" t="s">
        <v>116</v>
      </c>
      <c r="B146" s="105" t="s">
        <v>122</v>
      </c>
      <c r="C146" s="63">
        <v>134</v>
      </c>
      <c r="D146" s="197"/>
      <c r="E146" s="197"/>
      <c r="F146" s="190" t="s">
        <v>123</v>
      </c>
      <c r="G146" s="197"/>
      <c r="H146" s="197"/>
      <c r="I146" s="207"/>
      <c r="J146" s="197"/>
      <c r="K146" s="197"/>
      <c r="L146" s="197"/>
      <c r="M146" s="196"/>
      <c r="N146" s="214"/>
      <c r="O146" s="214"/>
      <c r="P146" s="212"/>
      <c r="Q146" s="196" t="s">
        <v>38</v>
      </c>
      <c r="R146" s="197">
        <v>1</v>
      </c>
      <c r="S146" s="215" t="s">
        <v>33</v>
      </c>
      <c r="T146" s="199"/>
      <c r="U146" s="200"/>
      <c r="V146" s="200"/>
      <c r="W146" s="200"/>
      <c r="X146" s="200"/>
      <c r="Y146" s="200"/>
      <c r="Z146" s="200"/>
      <c r="AA146" s="200"/>
      <c r="AB146" s="200"/>
      <c r="AC146" s="170"/>
      <c r="AD146" s="11" t="str">
        <f t="shared" si="6"/>
        <v/>
      </c>
      <c r="AF146" t="str">
        <f t="shared" si="7"/>
        <v>80.01.ZZ.0</v>
      </c>
      <c r="AH146" t="str">
        <f t="shared" si="8"/>
        <v>00 de 01</v>
      </c>
      <c r="AJ146" s="86"/>
      <c r="AK146" s="85"/>
    </row>
    <row r="147" spans="1:37" ht="36.75" customHeight="1" x14ac:dyDescent="0.25">
      <c r="A147" s="139" t="s">
        <v>116</v>
      </c>
      <c r="B147" s="105" t="s">
        <v>122</v>
      </c>
      <c r="C147" s="63">
        <v>135</v>
      </c>
      <c r="D147" s="197"/>
      <c r="E147" s="197"/>
      <c r="F147" s="190" t="s">
        <v>123</v>
      </c>
      <c r="G147" s="197"/>
      <c r="H147" s="197"/>
      <c r="I147" s="207"/>
      <c r="J147" s="197"/>
      <c r="K147" s="197"/>
      <c r="L147" s="197"/>
      <c r="M147" s="196"/>
      <c r="N147" s="214"/>
      <c r="O147" s="214"/>
      <c r="P147" s="212"/>
      <c r="Q147" s="196" t="s">
        <v>38</v>
      </c>
      <c r="R147" s="197">
        <v>1</v>
      </c>
      <c r="S147" s="215" t="s">
        <v>33</v>
      </c>
      <c r="T147" s="199"/>
      <c r="U147" s="200"/>
      <c r="V147" s="200"/>
      <c r="W147" s="200"/>
      <c r="X147" s="200"/>
      <c r="Y147" s="200"/>
      <c r="Z147" s="200"/>
      <c r="AA147" s="200"/>
      <c r="AB147" s="200"/>
      <c r="AC147" s="170"/>
      <c r="AD147" s="11" t="str">
        <f t="shared" si="6"/>
        <v/>
      </c>
      <c r="AF147" t="str">
        <f t="shared" si="7"/>
        <v>80.01.ZZ.0</v>
      </c>
      <c r="AH147" t="str">
        <f t="shared" si="8"/>
        <v>00 de 01</v>
      </c>
      <c r="AJ147" s="86"/>
      <c r="AK147" s="85"/>
    </row>
    <row r="148" spans="1:37" ht="36.75" customHeight="1" x14ac:dyDescent="0.25">
      <c r="A148" s="139" t="s">
        <v>116</v>
      </c>
      <c r="B148" s="105" t="s">
        <v>122</v>
      </c>
      <c r="C148" s="63">
        <v>136</v>
      </c>
      <c r="D148" s="197"/>
      <c r="E148" s="197"/>
      <c r="F148" s="190" t="s">
        <v>123</v>
      </c>
      <c r="G148" s="197"/>
      <c r="H148" s="197"/>
      <c r="I148" s="207"/>
      <c r="J148" s="197"/>
      <c r="K148" s="197"/>
      <c r="L148" s="197"/>
      <c r="M148" s="196"/>
      <c r="N148" s="214"/>
      <c r="O148" s="214"/>
      <c r="P148" s="212"/>
      <c r="Q148" s="196" t="s">
        <v>38</v>
      </c>
      <c r="R148" s="197">
        <v>1</v>
      </c>
      <c r="S148" s="215" t="s">
        <v>33</v>
      </c>
      <c r="T148" s="199"/>
      <c r="U148" s="200"/>
      <c r="V148" s="200"/>
      <c r="W148" s="200"/>
      <c r="X148" s="200"/>
      <c r="Y148" s="200"/>
      <c r="Z148" s="200"/>
      <c r="AA148" s="200"/>
      <c r="AB148" s="200"/>
      <c r="AC148" s="170"/>
      <c r="AD148" s="11" t="str">
        <f t="shared" si="6"/>
        <v/>
      </c>
      <c r="AF148" t="str">
        <f t="shared" si="7"/>
        <v>80.01.ZZ.0</v>
      </c>
      <c r="AH148" t="str">
        <f t="shared" si="8"/>
        <v>00 de 01</v>
      </c>
      <c r="AJ148" s="86"/>
      <c r="AK148" s="85"/>
    </row>
    <row r="149" spans="1:37" ht="36.75" customHeight="1" x14ac:dyDescent="0.25">
      <c r="A149" s="139" t="s">
        <v>116</v>
      </c>
      <c r="B149" s="105" t="s">
        <v>122</v>
      </c>
      <c r="C149" s="63">
        <v>137</v>
      </c>
      <c r="D149" s="197"/>
      <c r="E149" s="197"/>
      <c r="F149" s="190" t="s">
        <v>123</v>
      </c>
      <c r="G149" s="197"/>
      <c r="H149" s="197"/>
      <c r="I149" s="207"/>
      <c r="J149" s="197"/>
      <c r="K149" s="197"/>
      <c r="L149" s="197"/>
      <c r="M149" s="196"/>
      <c r="N149" s="214"/>
      <c r="O149" s="214"/>
      <c r="P149" s="212"/>
      <c r="Q149" s="196" t="s">
        <v>38</v>
      </c>
      <c r="R149" s="197">
        <v>1</v>
      </c>
      <c r="S149" s="215" t="s">
        <v>33</v>
      </c>
      <c r="T149" s="199"/>
      <c r="U149" s="200"/>
      <c r="V149" s="200"/>
      <c r="W149" s="200"/>
      <c r="X149" s="200"/>
      <c r="Y149" s="200"/>
      <c r="Z149" s="200"/>
      <c r="AA149" s="200"/>
      <c r="AB149" s="200"/>
      <c r="AC149" s="170"/>
      <c r="AD149" s="11" t="str">
        <f t="shared" si="6"/>
        <v/>
      </c>
      <c r="AF149" t="str">
        <f t="shared" si="7"/>
        <v>80.01.ZZ.0</v>
      </c>
      <c r="AH149" t="str">
        <f t="shared" si="8"/>
        <v>00 de 01</v>
      </c>
      <c r="AJ149" s="86"/>
      <c r="AK149" s="85"/>
    </row>
    <row r="150" spans="1:37" ht="36.75" customHeight="1" x14ac:dyDescent="0.25">
      <c r="A150" s="139" t="s">
        <v>116</v>
      </c>
      <c r="B150" s="105" t="s">
        <v>122</v>
      </c>
      <c r="C150" s="63">
        <v>138</v>
      </c>
      <c r="D150" s="197"/>
      <c r="E150" s="197"/>
      <c r="F150" s="190" t="s">
        <v>123</v>
      </c>
      <c r="G150" s="197"/>
      <c r="H150" s="197"/>
      <c r="I150" s="207"/>
      <c r="J150" s="197"/>
      <c r="K150" s="197"/>
      <c r="L150" s="197"/>
      <c r="M150" s="196"/>
      <c r="N150" s="214"/>
      <c r="O150" s="214"/>
      <c r="P150" s="212"/>
      <c r="Q150" s="196" t="s">
        <v>38</v>
      </c>
      <c r="R150" s="197">
        <v>1</v>
      </c>
      <c r="S150" s="215" t="s">
        <v>33</v>
      </c>
      <c r="T150" s="199"/>
      <c r="U150" s="200"/>
      <c r="V150" s="200"/>
      <c r="W150" s="200"/>
      <c r="X150" s="200"/>
      <c r="Y150" s="200"/>
      <c r="Z150" s="200"/>
      <c r="AA150" s="200"/>
      <c r="AB150" s="200"/>
      <c r="AC150" s="170"/>
      <c r="AD150" s="11" t="str">
        <f t="shared" si="6"/>
        <v/>
      </c>
      <c r="AF150" t="str">
        <f t="shared" si="7"/>
        <v>80.01.ZZ.0</v>
      </c>
      <c r="AH150" t="str">
        <f t="shared" si="8"/>
        <v>00 de 01</v>
      </c>
      <c r="AJ150" s="86"/>
      <c r="AK150" s="85"/>
    </row>
    <row r="151" spans="1:37" ht="36.75" customHeight="1" x14ac:dyDescent="0.25">
      <c r="A151" s="139" t="s">
        <v>116</v>
      </c>
      <c r="B151" s="105" t="s">
        <v>122</v>
      </c>
      <c r="C151" s="63">
        <v>139</v>
      </c>
      <c r="D151" s="197"/>
      <c r="E151" s="197"/>
      <c r="F151" s="190" t="s">
        <v>123</v>
      </c>
      <c r="G151" s="197"/>
      <c r="H151" s="197"/>
      <c r="I151" s="207"/>
      <c r="J151" s="197"/>
      <c r="K151" s="197"/>
      <c r="L151" s="197"/>
      <c r="M151" s="196"/>
      <c r="N151" s="214"/>
      <c r="O151" s="214"/>
      <c r="P151" s="212"/>
      <c r="Q151" s="196" t="s">
        <v>38</v>
      </c>
      <c r="R151" s="197">
        <v>1</v>
      </c>
      <c r="S151" s="215" t="s">
        <v>33</v>
      </c>
      <c r="T151" s="199"/>
      <c r="U151" s="200"/>
      <c r="V151" s="200"/>
      <c r="W151" s="200"/>
      <c r="X151" s="200"/>
      <c r="Y151" s="200"/>
      <c r="Z151" s="200"/>
      <c r="AA151" s="200"/>
      <c r="AB151" s="200"/>
      <c r="AC151" s="170"/>
      <c r="AD151" s="11" t="str">
        <f t="shared" si="6"/>
        <v/>
      </c>
      <c r="AF151" t="str">
        <f t="shared" si="7"/>
        <v>80.01.ZZ.0</v>
      </c>
      <c r="AH151" t="str">
        <f t="shared" si="8"/>
        <v>00 de 01</v>
      </c>
      <c r="AJ151" s="86"/>
      <c r="AK151" s="85"/>
    </row>
    <row r="152" spans="1:37" ht="36.75" customHeight="1" x14ac:dyDescent="0.25">
      <c r="A152" s="139" t="s">
        <v>116</v>
      </c>
      <c r="B152" s="105" t="s">
        <v>122</v>
      </c>
      <c r="C152" s="63">
        <v>140</v>
      </c>
      <c r="D152" s="197"/>
      <c r="E152" s="197"/>
      <c r="F152" s="190" t="s">
        <v>123</v>
      </c>
      <c r="G152" s="197"/>
      <c r="H152" s="197"/>
      <c r="I152" s="207"/>
      <c r="J152" s="197"/>
      <c r="K152" s="197"/>
      <c r="L152" s="197"/>
      <c r="M152" s="196"/>
      <c r="N152" s="214"/>
      <c r="O152" s="214"/>
      <c r="P152" s="212"/>
      <c r="Q152" s="196" t="s">
        <v>38</v>
      </c>
      <c r="R152" s="197">
        <v>1</v>
      </c>
      <c r="S152" s="215" t="s">
        <v>33</v>
      </c>
      <c r="T152" s="199"/>
      <c r="U152" s="200"/>
      <c r="V152" s="200"/>
      <c r="W152" s="200"/>
      <c r="X152" s="200"/>
      <c r="Y152" s="200"/>
      <c r="Z152" s="200"/>
      <c r="AA152" s="200"/>
      <c r="AB152" s="200"/>
      <c r="AC152" s="170"/>
      <c r="AD152" s="11" t="str">
        <f t="shared" si="6"/>
        <v/>
      </c>
      <c r="AF152" t="str">
        <f t="shared" si="7"/>
        <v>80.01.ZZ.0</v>
      </c>
      <c r="AH152" t="str">
        <f t="shared" si="8"/>
        <v>00 de 01</v>
      </c>
      <c r="AJ152" s="86"/>
      <c r="AK152" s="85"/>
    </row>
    <row r="153" spans="1:37" ht="36.75" customHeight="1" x14ac:dyDescent="0.25">
      <c r="A153" s="139" t="s">
        <v>116</v>
      </c>
      <c r="B153" s="105" t="s">
        <v>122</v>
      </c>
      <c r="C153" s="63">
        <v>141</v>
      </c>
      <c r="D153" s="197"/>
      <c r="E153" s="197"/>
      <c r="F153" s="190" t="s">
        <v>123</v>
      </c>
      <c r="G153" s="197"/>
      <c r="H153" s="197"/>
      <c r="I153" s="207"/>
      <c r="J153" s="197"/>
      <c r="K153" s="197"/>
      <c r="L153" s="197"/>
      <c r="M153" s="196"/>
      <c r="N153" s="214"/>
      <c r="O153" s="214"/>
      <c r="P153" s="212"/>
      <c r="Q153" s="196" t="s">
        <v>38</v>
      </c>
      <c r="R153" s="197">
        <v>1</v>
      </c>
      <c r="S153" s="215" t="s">
        <v>33</v>
      </c>
      <c r="T153" s="199"/>
      <c r="U153" s="200"/>
      <c r="V153" s="200"/>
      <c r="W153" s="200"/>
      <c r="X153" s="200"/>
      <c r="Y153" s="200"/>
      <c r="Z153" s="200"/>
      <c r="AA153" s="200"/>
      <c r="AB153" s="200"/>
      <c r="AC153" s="170"/>
      <c r="AD153" s="11" t="str">
        <f t="shared" si="6"/>
        <v/>
      </c>
      <c r="AF153" t="str">
        <f t="shared" si="7"/>
        <v>80.01.ZZ.0</v>
      </c>
      <c r="AH153" t="str">
        <f t="shared" si="8"/>
        <v>00 de 01</v>
      </c>
      <c r="AJ153" s="86"/>
      <c r="AK153" s="85"/>
    </row>
    <row r="154" spans="1:37" ht="36.75" customHeight="1" x14ac:dyDescent="0.25">
      <c r="A154" s="139" t="s">
        <v>116</v>
      </c>
      <c r="B154" s="105" t="s">
        <v>122</v>
      </c>
      <c r="C154" s="63">
        <v>142</v>
      </c>
      <c r="D154" s="197"/>
      <c r="E154" s="197"/>
      <c r="F154" s="190" t="s">
        <v>123</v>
      </c>
      <c r="G154" s="197"/>
      <c r="H154" s="197"/>
      <c r="I154" s="207"/>
      <c r="J154" s="197"/>
      <c r="K154" s="197"/>
      <c r="L154" s="197"/>
      <c r="M154" s="196"/>
      <c r="N154" s="214"/>
      <c r="O154" s="214"/>
      <c r="P154" s="212"/>
      <c r="Q154" s="196" t="s">
        <v>38</v>
      </c>
      <c r="R154" s="197">
        <v>1</v>
      </c>
      <c r="S154" s="215" t="s">
        <v>33</v>
      </c>
      <c r="T154" s="199"/>
      <c r="U154" s="200"/>
      <c r="V154" s="200"/>
      <c r="W154" s="200"/>
      <c r="X154" s="200"/>
      <c r="Y154" s="200"/>
      <c r="Z154" s="200"/>
      <c r="AA154" s="200"/>
      <c r="AB154" s="200"/>
      <c r="AC154" s="170"/>
      <c r="AD154" s="11" t="str">
        <f t="shared" si="6"/>
        <v/>
      </c>
      <c r="AF154" t="str">
        <f t="shared" si="7"/>
        <v>80.01.ZZ.0</v>
      </c>
      <c r="AH154" t="str">
        <f t="shared" si="8"/>
        <v>00 de 01</v>
      </c>
      <c r="AJ154" s="86"/>
      <c r="AK154" s="85"/>
    </row>
    <row r="155" spans="1:37" ht="36.75" customHeight="1" x14ac:dyDescent="0.25">
      <c r="A155" s="139" t="s">
        <v>116</v>
      </c>
      <c r="B155" s="105" t="s">
        <v>122</v>
      </c>
      <c r="C155" s="63">
        <v>143</v>
      </c>
      <c r="D155" s="197"/>
      <c r="E155" s="197"/>
      <c r="F155" s="190" t="s">
        <v>123</v>
      </c>
      <c r="G155" s="197"/>
      <c r="H155" s="197"/>
      <c r="I155" s="207"/>
      <c r="J155" s="197"/>
      <c r="K155" s="197"/>
      <c r="L155" s="197"/>
      <c r="M155" s="196"/>
      <c r="N155" s="214"/>
      <c r="O155" s="214"/>
      <c r="P155" s="212"/>
      <c r="Q155" s="196" t="s">
        <v>38</v>
      </c>
      <c r="R155" s="197">
        <v>1</v>
      </c>
      <c r="S155" s="215" t="s">
        <v>33</v>
      </c>
      <c r="T155" s="199"/>
      <c r="U155" s="200"/>
      <c r="V155" s="200"/>
      <c r="W155" s="200"/>
      <c r="X155" s="200"/>
      <c r="Y155" s="200"/>
      <c r="Z155" s="200"/>
      <c r="AA155" s="200"/>
      <c r="AB155" s="200"/>
      <c r="AC155" s="170"/>
      <c r="AD155" s="11" t="str">
        <f t="shared" si="6"/>
        <v/>
      </c>
      <c r="AF155" t="str">
        <f t="shared" si="7"/>
        <v>80.01.ZZ.0</v>
      </c>
      <c r="AH155" t="str">
        <f t="shared" si="8"/>
        <v>00 de 01</v>
      </c>
      <c r="AJ155" s="86"/>
      <c r="AK155" s="85"/>
    </row>
    <row r="156" spans="1:37" ht="36.75" customHeight="1" x14ac:dyDescent="0.25">
      <c r="A156" s="139" t="s">
        <v>116</v>
      </c>
      <c r="B156" s="105" t="s">
        <v>122</v>
      </c>
      <c r="C156" s="63">
        <v>144</v>
      </c>
      <c r="D156" s="197"/>
      <c r="E156" s="197"/>
      <c r="F156" s="190" t="s">
        <v>123</v>
      </c>
      <c r="G156" s="197"/>
      <c r="H156" s="197"/>
      <c r="I156" s="207"/>
      <c r="J156" s="197"/>
      <c r="K156" s="197"/>
      <c r="L156" s="197"/>
      <c r="M156" s="196"/>
      <c r="N156" s="214"/>
      <c r="O156" s="214"/>
      <c r="P156" s="212"/>
      <c r="Q156" s="196" t="s">
        <v>38</v>
      </c>
      <c r="R156" s="197">
        <v>1</v>
      </c>
      <c r="S156" s="215" t="s">
        <v>33</v>
      </c>
      <c r="T156" s="199"/>
      <c r="U156" s="200"/>
      <c r="V156" s="200"/>
      <c r="W156" s="200"/>
      <c r="X156" s="200"/>
      <c r="Y156" s="200"/>
      <c r="Z156" s="200"/>
      <c r="AA156" s="200"/>
      <c r="AB156" s="200"/>
      <c r="AC156" s="170"/>
      <c r="AD156" s="11" t="str">
        <f t="shared" si="6"/>
        <v/>
      </c>
      <c r="AF156" t="str">
        <f t="shared" si="7"/>
        <v>80.01.ZZ.0</v>
      </c>
      <c r="AH156" t="str">
        <f t="shared" si="8"/>
        <v>00 de 01</v>
      </c>
      <c r="AJ156" s="86"/>
      <c r="AK156" s="85"/>
    </row>
    <row r="157" spans="1:37" ht="36.75" customHeight="1" x14ac:dyDescent="0.25">
      <c r="A157" s="139" t="s">
        <v>116</v>
      </c>
      <c r="B157" s="105" t="s">
        <v>122</v>
      </c>
      <c r="C157" s="63">
        <v>145</v>
      </c>
      <c r="D157" s="197"/>
      <c r="E157" s="197"/>
      <c r="F157" s="190" t="s">
        <v>123</v>
      </c>
      <c r="G157" s="197"/>
      <c r="H157" s="197"/>
      <c r="I157" s="207"/>
      <c r="J157" s="197"/>
      <c r="K157" s="197"/>
      <c r="L157" s="197"/>
      <c r="M157" s="196"/>
      <c r="N157" s="214"/>
      <c r="O157" s="214"/>
      <c r="P157" s="212"/>
      <c r="Q157" s="196" t="s">
        <v>38</v>
      </c>
      <c r="R157" s="197">
        <v>1</v>
      </c>
      <c r="S157" s="215" t="s">
        <v>33</v>
      </c>
      <c r="T157" s="199"/>
      <c r="U157" s="200"/>
      <c r="V157" s="200"/>
      <c r="W157" s="200"/>
      <c r="X157" s="200"/>
      <c r="Y157" s="200"/>
      <c r="Z157" s="200"/>
      <c r="AA157" s="200"/>
      <c r="AB157" s="200"/>
      <c r="AC157" s="170"/>
      <c r="AD157" s="11" t="str">
        <f t="shared" si="6"/>
        <v/>
      </c>
      <c r="AF157" t="str">
        <f t="shared" si="7"/>
        <v>80.01.ZZ.0</v>
      </c>
      <c r="AH157" t="str">
        <f t="shared" si="8"/>
        <v>00 de 01</v>
      </c>
      <c r="AJ157" s="86"/>
      <c r="AK157" s="85"/>
    </row>
    <row r="158" spans="1:37" ht="36.75" customHeight="1" x14ac:dyDescent="0.25">
      <c r="A158" s="139" t="s">
        <v>116</v>
      </c>
      <c r="B158" s="105" t="s">
        <v>122</v>
      </c>
      <c r="C158" s="63">
        <v>146</v>
      </c>
      <c r="D158" s="197"/>
      <c r="E158" s="197"/>
      <c r="F158" s="190" t="s">
        <v>123</v>
      </c>
      <c r="G158" s="197"/>
      <c r="H158" s="197"/>
      <c r="I158" s="207"/>
      <c r="J158" s="197"/>
      <c r="K158" s="197"/>
      <c r="L158" s="197"/>
      <c r="M158" s="196"/>
      <c r="N158" s="214"/>
      <c r="O158" s="214"/>
      <c r="P158" s="212"/>
      <c r="Q158" s="196" t="s">
        <v>38</v>
      </c>
      <c r="R158" s="197">
        <v>1</v>
      </c>
      <c r="S158" s="215" t="s">
        <v>33</v>
      </c>
      <c r="T158" s="199"/>
      <c r="U158" s="200"/>
      <c r="V158" s="200"/>
      <c r="W158" s="200"/>
      <c r="X158" s="200"/>
      <c r="Y158" s="200"/>
      <c r="Z158" s="200"/>
      <c r="AA158" s="200"/>
      <c r="AB158" s="200"/>
      <c r="AC158" s="170"/>
      <c r="AD158" s="11" t="str">
        <f t="shared" si="6"/>
        <v/>
      </c>
      <c r="AF158" t="str">
        <f t="shared" si="7"/>
        <v>80.01.ZZ.0</v>
      </c>
      <c r="AH158" t="str">
        <f t="shared" si="8"/>
        <v>00 de 01</v>
      </c>
      <c r="AJ158" s="86"/>
      <c r="AK158" s="85"/>
    </row>
    <row r="159" spans="1:37" ht="36.75" customHeight="1" x14ac:dyDescent="0.25">
      <c r="A159" s="139" t="s">
        <v>116</v>
      </c>
      <c r="B159" s="105" t="s">
        <v>122</v>
      </c>
      <c r="C159" s="63">
        <v>147</v>
      </c>
      <c r="D159" s="197"/>
      <c r="E159" s="197"/>
      <c r="F159" s="190" t="s">
        <v>123</v>
      </c>
      <c r="G159" s="197"/>
      <c r="H159" s="197"/>
      <c r="I159" s="207"/>
      <c r="J159" s="197"/>
      <c r="K159" s="197"/>
      <c r="L159" s="197"/>
      <c r="M159" s="196"/>
      <c r="N159" s="214"/>
      <c r="O159" s="214"/>
      <c r="P159" s="212"/>
      <c r="Q159" s="196" t="s">
        <v>38</v>
      </c>
      <c r="R159" s="197">
        <v>1</v>
      </c>
      <c r="S159" s="215" t="s">
        <v>33</v>
      </c>
      <c r="T159" s="199"/>
      <c r="U159" s="200"/>
      <c r="V159" s="200"/>
      <c r="W159" s="200"/>
      <c r="X159" s="200"/>
      <c r="Y159" s="200"/>
      <c r="Z159" s="200"/>
      <c r="AA159" s="200"/>
      <c r="AB159" s="200"/>
      <c r="AC159" s="170"/>
      <c r="AD159" s="11" t="str">
        <f t="shared" si="6"/>
        <v/>
      </c>
      <c r="AF159" t="str">
        <f t="shared" si="7"/>
        <v>80.01.ZZ.0</v>
      </c>
      <c r="AH159" t="str">
        <f t="shared" si="8"/>
        <v>00 de 01</v>
      </c>
      <c r="AJ159" s="86"/>
      <c r="AK159" s="85"/>
    </row>
    <row r="160" spans="1:37" ht="36.75" customHeight="1" x14ac:dyDescent="0.25">
      <c r="A160" s="139" t="s">
        <v>116</v>
      </c>
      <c r="B160" s="105" t="s">
        <v>122</v>
      </c>
      <c r="C160" s="63">
        <v>148</v>
      </c>
      <c r="D160" s="197"/>
      <c r="E160" s="197"/>
      <c r="F160" s="190" t="s">
        <v>123</v>
      </c>
      <c r="G160" s="197"/>
      <c r="H160" s="197"/>
      <c r="I160" s="207"/>
      <c r="J160" s="197"/>
      <c r="K160" s="197"/>
      <c r="L160" s="197"/>
      <c r="M160" s="196"/>
      <c r="N160" s="214"/>
      <c r="O160" s="214"/>
      <c r="P160" s="212"/>
      <c r="Q160" s="196" t="s">
        <v>38</v>
      </c>
      <c r="R160" s="197">
        <v>1</v>
      </c>
      <c r="S160" s="215" t="s">
        <v>33</v>
      </c>
      <c r="T160" s="199"/>
      <c r="U160" s="200"/>
      <c r="V160" s="200"/>
      <c r="W160" s="200"/>
      <c r="X160" s="200"/>
      <c r="Y160" s="200"/>
      <c r="Z160" s="200"/>
      <c r="AA160" s="200"/>
      <c r="AB160" s="200"/>
      <c r="AC160" s="170"/>
      <c r="AD160" s="11" t="str">
        <f t="shared" si="6"/>
        <v/>
      </c>
      <c r="AF160" t="str">
        <f t="shared" si="7"/>
        <v>80.01.ZZ.0</v>
      </c>
      <c r="AH160" t="str">
        <f t="shared" si="8"/>
        <v>00 de 01</v>
      </c>
      <c r="AJ160" s="86"/>
      <c r="AK160" s="85"/>
    </row>
    <row r="161" spans="1:37" ht="36.75" customHeight="1" x14ac:dyDescent="0.25">
      <c r="A161" s="139" t="s">
        <v>116</v>
      </c>
      <c r="B161" s="105" t="s">
        <v>122</v>
      </c>
      <c r="C161" s="63">
        <v>149</v>
      </c>
      <c r="D161" s="197"/>
      <c r="E161" s="197"/>
      <c r="F161" s="190" t="s">
        <v>123</v>
      </c>
      <c r="G161" s="197"/>
      <c r="H161" s="197"/>
      <c r="I161" s="207"/>
      <c r="J161" s="197"/>
      <c r="K161" s="197"/>
      <c r="L161" s="197"/>
      <c r="M161" s="196"/>
      <c r="N161" s="214"/>
      <c r="O161" s="214"/>
      <c r="P161" s="212"/>
      <c r="Q161" s="196" t="s">
        <v>38</v>
      </c>
      <c r="R161" s="197">
        <v>1</v>
      </c>
      <c r="S161" s="215" t="s">
        <v>33</v>
      </c>
      <c r="T161" s="199"/>
      <c r="U161" s="200"/>
      <c r="V161" s="200"/>
      <c r="W161" s="200"/>
      <c r="X161" s="200"/>
      <c r="Y161" s="200"/>
      <c r="Z161" s="200"/>
      <c r="AA161" s="200"/>
      <c r="AB161" s="200"/>
      <c r="AC161" s="170"/>
      <c r="AD161" s="11" t="str">
        <f t="shared" si="6"/>
        <v/>
      </c>
      <c r="AF161" t="str">
        <f t="shared" si="7"/>
        <v>80.01.ZZ.0</v>
      </c>
      <c r="AH161" t="str">
        <f t="shared" si="8"/>
        <v>00 de 01</v>
      </c>
      <c r="AJ161" s="86"/>
      <c r="AK161" s="85"/>
    </row>
    <row r="162" spans="1:37" ht="36.75" customHeight="1" x14ac:dyDescent="0.25">
      <c r="A162" s="139" t="s">
        <v>116</v>
      </c>
      <c r="B162" s="105" t="s">
        <v>122</v>
      </c>
      <c r="C162" s="63">
        <v>150</v>
      </c>
      <c r="D162" s="197"/>
      <c r="E162" s="197"/>
      <c r="F162" s="190" t="s">
        <v>123</v>
      </c>
      <c r="G162" s="197"/>
      <c r="H162" s="197"/>
      <c r="I162" s="207"/>
      <c r="J162" s="197"/>
      <c r="K162" s="197"/>
      <c r="L162" s="197"/>
      <c r="M162" s="196"/>
      <c r="N162" s="214"/>
      <c r="O162" s="214"/>
      <c r="P162" s="212"/>
      <c r="Q162" s="196" t="s">
        <v>38</v>
      </c>
      <c r="R162" s="197">
        <v>1</v>
      </c>
      <c r="S162" s="215" t="s">
        <v>33</v>
      </c>
      <c r="T162" s="199"/>
      <c r="U162" s="200"/>
      <c r="V162" s="200"/>
      <c r="W162" s="200"/>
      <c r="X162" s="200"/>
      <c r="Y162" s="200"/>
      <c r="Z162" s="200"/>
      <c r="AA162" s="200"/>
      <c r="AB162" s="200"/>
      <c r="AC162" s="170"/>
      <c r="AD162" s="11" t="str">
        <f t="shared" si="6"/>
        <v/>
      </c>
      <c r="AF162" t="str">
        <f t="shared" si="7"/>
        <v>80.01.ZZ.0</v>
      </c>
      <c r="AH162" t="str">
        <f t="shared" si="8"/>
        <v>00 de 01</v>
      </c>
      <c r="AJ162" s="86"/>
      <c r="AK162" s="85"/>
    </row>
    <row r="163" spans="1:37" ht="36.75" customHeight="1" x14ac:dyDescent="0.25">
      <c r="A163" s="139" t="s">
        <v>116</v>
      </c>
      <c r="B163" s="105" t="s">
        <v>122</v>
      </c>
      <c r="C163" s="63">
        <v>151</v>
      </c>
      <c r="D163" s="197"/>
      <c r="E163" s="197"/>
      <c r="F163" s="190" t="s">
        <v>123</v>
      </c>
      <c r="G163" s="197"/>
      <c r="H163" s="197"/>
      <c r="I163" s="207"/>
      <c r="J163" s="197"/>
      <c r="K163" s="197"/>
      <c r="L163" s="197"/>
      <c r="M163" s="196"/>
      <c r="N163" s="214"/>
      <c r="O163" s="214"/>
      <c r="P163" s="212"/>
      <c r="Q163" s="196" t="s">
        <v>38</v>
      </c>
      <c r="R163" s="197">
        <v>1</v>
      </c>
      <c r="S163" s="215" t="s">
        <v>33</v>
      </c>
      <c r="T163" s="199"/>
      <c r="U163" s="200"/>
      <c r="V163" s="200"/>
      <c r="W163" s="200"/>
      <c r="X163" s="200"/>
      <c r="Y163" s="200"/>
      <c r="Z163" s="200"/>
      <c r="AA163" s="200"/>
      <c r="AB163" s="200"/>
      <c r="AC163" s="170"/>
      <c r="AD163" s="11" t="str">
        <f t="shared" si="6"/>
        <v/>
      </c>
      <c r="AF163" t="str">
        <f t="shared" si="7"/>
        <v>80.01.ZZ.0</v>
      </c>
      <c r="AH163" t="str">
        <f t="shared" si="8"/>
        <v>00 de 01</v>
      </c>
      <c r="AJ163" s="86"/>
      <c r="AK163" s="85"/>
    </row>
    <row r="164" spans="1:37" ht="36.75" customHeight="1" x14ac:dyDescent="0.25">
      <c r="A164" s="139" t="s">
        <v>116</v>
      </c>
      <c r="B164" s="105" t="s">
        <v>122</v>
      </c>
      <c r="C164" s="63">
        <v>152</v>
      </c>
      <c r="D164" s="197"/>
      <c r="E164" s="197"/>
      <c r="F164" s="190" t="s">
        <v>123</v>
      </c>
      <c r="G164" s="197"/>
      <c r="H164" s="197"/>
      <c r="I164" s="207"/>
      <c r="J164" s="197"/>
      <c r="K164" s="197"/>
      <c r="L164" s="197"/>
      <c r="M164" s="196"/>
      <c r="N164" s="214"/>
      <c r="O164" s="214"/>
      <c r="P164" s="212"/>
      <c r="Q164" s="196" t="s">
        <v>38</v>
      </c>
      <c r="R164" s="197">
        <v>1</v>
      </c>
      <c r="S164" s="215" t="s">
        <v>33</v>
      </c>
      <c r="T164" s="199"/>
      <c r="U164" s="200"/>
      <c r="V164" s="200"/>
      <c r="W164" s="200"/>
      <c r="X164" s="200"/>
      <c r="Y164" s="200"/>
      <c r="Z164" s="200"/>
      <c r="AA164" s="200"/>
      <c r="AB164" s="200"/>
      <c r="AC164" s="170"/>
      <c r="AD164" s="11" t="str">
        <f t="shared" si="6"/>
        <v/>
      </c>
      <c r="AF164" t="str">
        <f t="shared" si="7"/>
        <v>80.01.ZZ.0</v>
      </c>
      <c r="AH164" t="str">
        <f t="shared" si="8"/>
        <v>00 de 01</v>
      </c>
      <c r="AJ164" s="86"/>
      <c r="AK164" s="85"/>
    </row>
    <row r="165" spans="1:37" ht="36.75" customHeight="1" x14ac:dyDescent="0.25">
      <c r="A165" s="139" t="s">
        <v>116</v>
      </c>
      <c r="B165" s="105" t="s">
        <v>122</v>
      </c>
      <c r="C165" s="63">
        <v>153</v>
      </c>
      <c r="D165" s="197"/>
      <c r="E165" s="197"/>
      <c r="F165" s="190" t="s">
        <v>123</v>
      </c>
      <c r="G165" s="197"/>
      <c r="H165" s="197"/>
      <c r="I165" s="207"/>
      <c r="J165" s="197"/>
      <c r="K165" s="197"/>
      <c r="L165" s="197"/>
      <c r="M165" s="196"/>
      <c r="N165" s="214"/>
      <c r="O165" s="214"/>
      <c r="P165" s="212"/>
      <c r="Q165" s="196" t="s">
        <v>38</v>
      </c>
      <c r="R165" s="197">
        <v>1</v>
      </c>
      <c r="S165" s="215" t="s">
        <v>33</v>
      </c>
      <c r="T165" s="199"/>
      <c r="U165" s="200"/>
      <c r="V165" s="200"/>
      <c r="W165" s="200"/>
      <c r="X165" s="200"/>
      <c r="Y165" s="200"/>
      <c r="Z165" s="200"/>
      <c r="AA165" s="200"/>
      <c r="AB165" s="200"/>
      <c r="AC165" s="170"/>
      <c r="AD165" s="11" t="str">
        <f t="shared" si="6"/>
        <v/>
      </c>
      <c r="AF165" t="str">
        <f t="shared" si="7"/>
        <v>80.01.ZZ.0</v>
      </c>
      <c r="AH165" t="str">
        <f t="shared" si="8"/>
        <v>00 de 01</v>
      </c>
      <c r="AJ165" s="86"/>
      <c r="AK165" s="85"/>
    </row>
    <row r="166" spans="1:37" ht="36.75" customHeight="1" x14ac:dyDescent="0.25">
      <c r="A166" s="139" t="s">
        <v>116</v>
      </c>
      <c r="B166" s="105" t="s">
        <v>122</v>
      </c>
      <c r="C166" s="63">
        <v>154</v>
      </c>
      <c r="D166" s="197"/>
      <c r="E166" s="197"/>
      <c r="F166" s="190" t="s">
        <v>123</v>
      </c>
      <c r="G166" s="197"/>
      <c r="H166" s="197"/>
      <c r="I166" s="207"/>
      <c r="J166" s="197"/>
      <c r="K166" s="197"/>
      <c r="L166" s="197"/>
      <c r="M166" s="196"/>
      <c r="N166" s="214"/>
      <c r="O166" s="214"/>
      <c r="P166" s="212"/>
      <c r="Q166" s="196" t="s">
        <v>38</v>
      </c>
      <c r="R166" s="197">
        <v>1</v>
      </c>
      <c r="S166" s="215" t="s">
        <v>33</v>
      </c>
      <c r="T166" s="199"/>
      <c r="U166" s="200"/>
      <c r="V166" s="200"/>
      <c r="W166" s="200"/>
      <c r="X166" s="200"/>
      <c r="Y166" s="200"/>
      <c r="Z166" s="200"/>
      <c r="AA166" s="200"/>
      <c r="AB166" s="200"/>
      <c r="AC166" s="170"/>
      <c r="AD166" s="11" t="str">
        <f t="shared" si="6"/>
        <v/>
      </c>
      <c r="AF166" t="str">
        <f t="shared" si="7"/>
        <v>80.01.ZZ.0</v>
      </c>
      <c r="AH166" t="str">
        <f t="shared" si="8"/>
        <v>00 de 01</v>
      </c>
      <c r="AJ166" s="86"/>
      <c r="AK166" s="85"/>
    </row>
    <row r="167" spans="1:37" ht="36.75" customHeight="1" x14ac:dyDescent="0.25">
      <c r="A167" s="139" t="s">
        <v>116</v>
      </c>
      <c r="B167" s="105" t="s">
        <v>122</v>
      </c>
      <c r="C167" s="63">
        <v>155</v>
      </c>
      <c r="D167" s="197"/>
      <c r="E167" s="197"/>
      <c r="F167" s="190" t="s">
        <v>123</v>
      </c>
      <c r="G167" s="197"/>
      <c r="H167" s="197"/>
      <c r="I167" s="207"/>
      <c r="J167" s="197"/>
      <c r="K167" s="197"/>
      <c r="L167" s="197"/>
      <c r="M167" s="196"/>
      <c r="N167" s="214"/>
      <c r="O167" s="214"/>
      <c r="P167" s="212"/>
      <c r="Q167" s="196" t="s">
        <v>38</v>
      </c>
      <c r="R167" s="197">
        <v>1</v>
      </c>
      <c r="S167" s="215" t="s">
        <v>33</v>
      </c>
      <c r="T167" s="199"/>
      <c r="U167" s="200"/>
      <c r="V167" s="200"/>
      <c r="W167" s="200"/>
      <c r="X167" s="200"/>
      <c r="Y167" s="200"/>
      <c r="Z167" s="200"/>
      <c r="AA167" s="200"/>
      <c r="AB167" s="200"/>
      <c r="AC167" s="170"/>
      <c r="AD167" s="11" t="str">
        <f t="shared" si="6"/>
        <v/>
      </c>
      <c r="AF167" t="str">
        <f t="shared" si="7"/>
        <v>80.01.ZZ.0</v>
      </c>
      <c r="AH167" t="str">
        <f t="shared" si="8"/>
        <v>00 de 01</v>
      </c>
      <c r="AJ167" s="86"/>
      <c r="AK167" s="85"/>
    </row>
    <row r="168" spans="1:37" ht="36.75" customHeight="1" x14ac:dyDescent="0.25">
      <c r="A168" s="139" t="s">
        <v>116</v>
      </c>
      <c r="B168" s="105" t="s">
        <v>122</v>
      </c>
      <c r="C168" s="63">
        <v>156</v>
      </c>
      <c r="D168" s="197"/>
      <c r="E168" s="197"/>
      <c r="F168" s="190" t="s">
        <v>123</v>
      </c>
      <c r="G168" s="197"/>
      <c r="H168" s="197"/>
      <c r="I168" s="207"/>
      <c r="J168" s="197"/>
      <c r="K168" s="197"/>
      <c r="L168" s="197"/>
      <c r="M168" s="196"/>
      <c r="N168" s="214"/>
      <c r="O168" s="214"/>
      <c r="P168" s="212"/>
      <c r="Q168" s="196" t="s">
        <v>38</v>
      </c>
      <c r="R168" s="197">
        <v>1</v>
      </c>
      <c r="S168" s="215" t="s">
        <v>33</v>
      </c>
      <c r="T168" s="199"/>
      <c r="U168" s="200"/>
      <c r="V168" s="200"/>
      <c r="W168" s="200"/>
      <c r="X168" s="200"/>
      <c r="Y168" s="200"/>
      <c r="Z168" s="200"/>
      <c r="AA168" s="200"/>
      <c r="AB168" s="200"/>
      <c r="AC168" s="170"/>
      <c r="AD168" s="11" t="str">
        <f t="shared" si="6"/>
        <v/>
      </c>
      <c r="AF168" t="str">
        <f t="shared" si="7"/>
        <v>80.01.ZZ.0</v>
      </c>
      <c r="AH168" t="str">
        <f t="shared" si="8"/>
        <v>00 de 01</v>
      </c>
      <c r="AJ168" s="86"/>
      <c r="AK168" s="85"/>
    </row>
    <row r="169" spans="1:37" ht="36.75" customHeight="1" x14ac:dyDescent="0.25">
      <c r="A169" s="139" t="s">
        <v>116</v>
      </c>
      <c r="B169" s="105" t="s">
        <v>122</v>
      </c>
      <c r="C169" s="63">
        <v>157</v>
      </c>
      <c r="D169" s="197"/>
      <c r="E169" s="197"/>
      <c r="F169" s="190" t="s">
        <v>123</v>
      </c>
      <c r="G169" s="197"/>
      <c r="H169" s="197"/>
      <c r="I169" s="207"/>
      <c r="J169" s="197"/>
      <c r="K169" s="197"/>
      <c r="L169" s="197"/>
      <c r="M169" s="196"/>
      <c r="N169" s="214"/>
      <c r="O169" s="214"/>
      <c r="P169" s="212"/>
      <c r="Q169" s="196" t="s">
        <v>38</v>
      </c>
      <c r="R169" s="197">
        <v>1</v>
      </c>
      <c r="S169" s="215" t="s">
        <v>33</v>
      </c>
      <c r="T169" s="199"/>
      <c r="U169" s="200"/>
      <c r="V169" s="200"/>
      <c r="W169" s="200"/>
      <c r="X169" s="200"/>
      <c r="Y169" s="200"/>
      <c r="Z169" s="200"/>
      <c r="AA169" s="200"/>
      <c r="AB169" s="200"/>
      <c r="AC169" s="170"/>
      <c r="AD169" s="11" t="str">
        <f t="shared" si="6"/>
        <v/>
      </c>
      <c r="AF169" t="str">
        <f t="shared" si="7"/>
        <v>80.01.ZZ.0</v>
      </c>
      <c r="AH169" t="str">
        <f t="shared" si="8"/>
        <v>00 de 01</v>
      </c>
      <c r="AJ169" s="86"/>
      <c r="AK169" s="85"/>
    </row>
    <row r="170" spans="1:37" ht="36.75" customHeight="1" x14ac:dyDescent="0.25">
      <c r="A170" s="139" t="s">
        <v>116</v>
      </c>
      <c r="B170" s="105" t="s">
        <v>122</v>
      </c>
      <c r="C170" s="63">
        <v>158</v>
      </c>
      <c r="D170" s="197"/>
      <c r="E170" s="197"/>
      <c r="F170" s="190" t="s">
        <v>123</v>
      </c>
      <c r="G170" s="197"/>
      <c r="H170" s="197"/>
      <c r="I170" s="207"/>
      <c r="J170" s="197"/>
      <c r="K170" s="197"/>
      <c r="L170" s="197"/>
      <c r="M170" s="196"/>
      <c r="N170" s="214"/>
      <c r="O170" s="214"/>
      <c r="P170" s="212"/>
      <c r="Q170" s="196" t="s">
        <v>38</v>
      </c>
      <c r="R170" s="197">
        <v>1</v>
      </c>
      <c r="S170" s="215" t="s">
        <v>33</v>
      </c>
      <c r="T170" s="199"/>
      <c r="U170" s="200"/>
      <c r="V170" s="200"/>
      <c r="W170" s="200"/>
      <c r="X170" s="200"/>
      <c r="Y170" s="200"/>
      <c r="Z170" s="200"/>
      <c r="AA170" s="200"/>
      <c r="AB170" s="200"/>
      <c r="AC170" s="170"/>
      <c r="AD170" s="11" t="str">
        <f t="shared" si="6"/>
        <v/>
      </c>
      <c r="AF170" t="str">
        <f t="shared" si="7"/>
        <v>80.01.ZZ.0</v>
      </c>
      <c r="AH170" t="str">
        <f t="shared" si="8"/>
        <v>00 de 01</v>
      </c>
      <c r="AJ170" s="86"/>
      <c r="AK170" s="85"/>
    </row>
    <row r="171" spans="1:37" ht="36.75" customHeight="1" x14ac:dyDescent="0.25">
      <c r="A171" s="139" t="s">
        <v>116</v>
      </c>
      <c r="B171" s="105" t="s">
        <v>122</v>
      </c>
      <c r="C171" s="63">
        <v>159</v>
      </c>
      <c r="D171" s="197"/>
      <c r="E171" s="197"/>
      <c r="F171" s="190" t="s">
        <v>123</v>
      </c>
      <c r="G171" s="197"/>
      <c r="H171" s="197"/>
      <c r="I171" s="207"/>
      <c r="J171" s="197"/>
      <c r="K171" s="197"/>
      <c r="L171" s="197"/>
      <c r="M171" s="196"/>
      <c r="N171" s="214"/>
      <c r="O171" s="214"/>
      <c r="P171" s="212"/>
      <c r="Q171" s="196" t="s">
        <v>38</v>
      </c>
      <c r="R171" s="197">
        <v>1</v>
      </c>
      <c r="S171" s="215" t="s">
        <v>33</v>
      </c>
      <c r="T171" s="199"/>
      <c r="U171" s="200"/>
      <c r="V171" s="200"/>
      <c r="W171" s="200"/>
      <c r="X171" s="200"/>
      <c r="Y171" s="200"/>
      <c r="Z171" s="200"/>
      <c r="AA171" s="200"/>
      <c r="AB171" s="200"/>
      <c r="AC171" s="170"/>
      <c r="AD171" s="11" t="str">
        <f t="shared" si="6"/>
        <v/>
      </c>
      <c r="AF171" t="str">
        <f t="shared" si="7"/>
        <v>80.01.ZZ.0</v>
      </c>
      <c r="AH171" t="str">
        <f t="shared" si="8"/>
        <v>00 de 01</v>
      </c>
      <c r="AJ171" s="86"/>
      <c r="AK171" s="85"/>
    </row>
    <row r="172" spans="1:37" ht="36.75" customHeight="1" x14ac:dyDescent="0.25">
      <c r="A172" s="139" t="s">
        <v>116</v>
      </c>
      <c r="B172" s="105" t="s">
        <v>122</v>
      </c>
      <c r="C172" s="63">
        <v>160</v>
      </c>
      <c r="D172" s="197"/>
      <c r="E172" s="197"/>
      <c r="F172" s="190" t="s">
        <v>123</v>
      </c>
      <c r="G172" s="197"/>
      <c r="H172" s="197"/>
      <c r="I172" s="207"/>
      <c r="J172" s="197"/>
      <c r="K172" s="197"/>
      <c r="L172" s="197"/>
      <c r="M172" s="196"/>
      <c r="N172" s="214"/>
      <c r="O172" s="214"/>
      <c r="P172" s="212"/>
      <c r="Q172" s="196" t="s">
        <v>38</v>
      </c>
      <c r="R172" s="197">
        <v>1</v>
      </c>
      <c r="S172" s="215" t="s">
        <v>33</v>
      </c>
      <c r="T172" s="199"/>
      <c r="U172" s="200"/>
      <c r="V172" s="200"/>
      <c r="W172" s="200"/>
      <c r="X172" s="200"/>
      <c r="Y172" s="200"/>
      <c r="Z172" s="200"/>
      <c r="AA172" s="200"/>
      <c r="AB172" s="200"/>
      <c r="AC172" s="170"/>
      <c r="AD172" s="11" t="str">
        <f t="shared" si="6"/>
        <v/>
      </c>
      <c r="AF172" t="str">
        <f t="shared" si="7"/>
        <v>80.01.ZZ.0</v>
      </c>
      <c r="AH172" t="str">
        <f t="shared" si="8"/>
        <v>00 de 01</v>
      </c>
      <c r="AJ172" s="86"/>
      <c r="AK172" s="85"/>
    </row>
    <row r="173" spans="1:37" ht="36.75" customHeight="1" x14ac:dyDescent="0.25">
      <c r="A173" s="139" t="s">
        <v>116</v>
      </c>
      <c r="B173" s="105" t="s">
        <v>122</v>
      </c>
      <c r="C173" s="63">
        <v>161</v>
      </c>
      <c r="D173" s="197"/>
      <c r="E173" s="197"/>
      <c r="F173" s="190" t="s">
        <v>123</v>
      </c>
      <c r="G173" s="197"/>
      <c r="H173" s="197"/>
      <c r="I173" s="207"/>
      <c r="J173" s="197"/>
      <c r="K173" s="197"/>
      <c r="L173" s="197"/>
      <c r="M173" s="196"/>
      <c r="N173" s="214"/>
      <c r="O173" s="214"/>
      <c r="P173" s="212"/>
      <c r="Q173" s="196" t="s">
        <v>38</v>
      </c>
      <c r="R173" s="197">
        <v>1</v>
      </c>
      <c r="S173" s="215" t="s">
        <v>33</v>
      </c>
      <c r="T173" s="199"/>
      <c r="U173" s="200"/>
      <c r="V173" s="200"/>
      <c r="W173" s="200"/>
      <c r="X173" s="200"/>
      <c r="Y173" s="200"/>
      <c r="Z173" s="200"/>
      <c r="AA173" s="200"/>
      <c r="AB173" s="200"/>
      <c r="AC173" s="170"/>
      <c r="AD173" s="11" t="str">
        <f t="shared" si="6"/>
        <v/>
      </c>
      <c r="AF173" t="str">
        <f t="shared" si="7"/>
        <v>80.01.ZZ.0</v>
      </c>
      <c r="AH173" t="str">
        <f t="shared" si="8"/>
        <v>00 de 01</v>
      </c>
      <c r="AJ173" s="86"/>
      <c r="AK173" s="85"/>
    </row>
    <row r="174" spans="1:37" ht="36.75" customHeight="1" thickBot="1" x14ac:dyDescent="0.3">
      <c r="A174" s="139" t="s">
        <v>116</v>
      </c>
      <c r="B174" s="105" t="s">
        <v>122</v>
      </c>
      <c r="C174" s="162">
        <v>162</v>
      </c>
      <c r="D174" s="172"/>
      <c r="E174" s="172"/>
      <c r="F174" s="201" t="s">
        <v>123</v>
      </c>
      <c r="G174" s="172"/>
      <c r="H174" s="172"/>
      <c r="I174" s="202"/>
      <c r="J174" s="172"/>
      <c r="K174" s="172"/>
      <c r="L174" s="172"/>
      <c r="M174" s="174"/>
      <c r="N174" s="203"/>
      <c r="O174" s="203"/>
      <c r="P174" s="173"/>
      <c r="Q174" s="174" t="s">
        <v>38</v>
      </c>
      <c r="R174" s="172">
        <v>1</v>
      </c>
      <c r="S174" s="216" t="s">
        <v>33</v>
      </c>
      <c r="T174" s="204"/>
      <c r="U174" s="176"/>
      <c r="V174" s="176"/>
      <c r="W174" s="176"/>
      <c r="X174" s="176"/>
      <c r="Y174" s="176"/>
      <c r="Z174" s="176"/>
      <c r="AA174" s="176"/>
      <c r="AB174" s="176"/>
      <c r="AC174" s="64"/>
      <c r="AD174" s="11" t="str">
        <f t="shared" si="6"/>
        <v/>
      </c>
      <c r="AF174" t="str">
        <f t="shared" si="7"/>
        <v>80.01.ZZ.0</v>
      </c>
      <c r="AH174" t="str">
        <f t="shared" si="8"/>
        <v>00 de 01</v>
      </c>
      <c r="AJ174" s="86"/>
      <c r="AK174" s="85"/>
    </row>
    <row r="175" spans="1:37" ht="15.75" x14ac:dyDescent="0.25">
      <c r="L175" s="294"/>
      <c r="M175" s="294"/>
      <c r="P175" s="60">
        <f>SUM(P13:P174)</f>
        <v>0</v>
      </c>
      <c r="Q175" s="11"/>
      <c r="R175" s="61">
        <f>SUM($R$13:R174)</f>
        <v>162</v>
      </c>
    </row>
    <row r="176" spans="1:37" ht="16.5" thickBot="1" x14ac:dyDescent="0.3">
      <c r="L176" s="68"/>
      <c r="M176" s="68"/>
      <c r="P176" s="60"/>
      <c r="Q176" s="11"/>
      <c r="R176" s="61"/>
    </row>
    <row r="177" spans="8:28" ht="15.75" thickBot="1" x14ac:dyDescent="0.3">
      <c r="I177" s="50"/>
      <c r="R177" s="107" t="s">
        <v>122</v>
      </c>
      <c r="S177" s="230" t="s">
        <v>86</v>
      </c>
      <c r="T177" s="231" t="s">
        <v>90</v>
      </c>
      <c r="U177" s="122" t="s">
        <v>87</v>
      </c>
      <c r="V177" s="123"/>
      <c r="W177" s="124"/>
      <c r="X177" s="231" t="s">
        <v>88</v>
      </c>
      <c r="Y177" s="231" t="s">
        <v>89</v>
      </c>
      <c r="Z177" s="231" t="s">
        <v>91</v>
      </c>
      <c r="AA177" s="232" t="s">
        <v>92</v>
      </c>
      <c r="AB177" s="131" t="s">
        <v>94</v>
      </c>
    </row>
    <row r="178" spans="8:28" x14ac:dyDescent="0.25">
      <c r="M178" s="163" t="e">
        <f>#REF!</f>
        <v>#REF!</v>
      </c>
      <c r="Q178" s="148" t="e">
        <f>#REF!</f>
        <v>#REF!</v>
      </c>
      <c r="S178" s="233">
        <v>3</v>
      </c>
      <c r="T178" s="234">
        <v>291.70999999999998</v>
      </c>
      <c r="U178" s="235" t="s">
        <v>80</v>
      </c>
      <c r="V178" s="236"/>
      <c r="W178" s="237"/>
      <c r="X178" s="234">
        <f>SUMIFS($R$13:$R$174,$AD$13:$AD$174,S178,$B$13:$B$174,$R$177)</f>
        <v>0</v>
      </c>
      <c r="Y178" s="238">
        <f>SUMIFS($P$13:$P$174,$AD$13:$AD$174,S178,$B$13:$B$174,$R$177)</f>
        <v>0</v>
      </c>
      <c r="Z178" s="239">
        <f>Y178*T178</f>
        <v>0</v>
      </c>
      <c r="AA178" s="240">
        <f>Z178/44</f>
        <v>0</v>
      </c>
      <c r="AB178" s="126">
        <f>X178/5</f>
        <v>0</v>
      </c>
    </row>
    <row r="179" spans="8:28" ht="15.75" x14ac:dyDescent="0.25">
      <c r="M179" s="164" t="e">
        <f>#REF!</f>
        <v>#REF!</v>
      </c>
      <c r="Q179" s="152" t="e">
        <f>#REF!</f>
        <v>#REF!</v>
      </c>
      <c r="S179" s="109">
        <v>4</v>
      </c>
      <c r="T179" s="222">
        <v>300.41000000000003</v>
      </c>
      <c r="U179" s="223" t="s">
        <v>83</v>
      </c>
      <c r="V179" s="224"/>
      <c r="W179" s="225"/>
      <c r="X179" s="222">
        <f t="shared" ref="X179:X192" si="9">SUMIFS($R$13:$R$174,$AD$13:$AD$174,S179,$B$13:$B$174,$R$177)</f>
        <v>0</v>
      </c>
      <c r="Y179" s="241">
        <f t="shared" ref="Y179:Y192" si="10">SUMIFS($P$13:$P$174,$AD$13:$AD$174,S179,$B$13:$B$174,$R$177)</f>
        <v>0</v>
      </c>
      <c r="Z179" s="227">
        <f t="shared" ref="Z179:Z192" si="11">Y179*T179</f>
        <v>0</v>
      </c>
      <c r="AA179" s="181">
        <f t="shared" ref="AA179:AA192" si="12">Z179/44</f>
        <v>0</v>
      </c>
      <c r="AB179" s="126">
        <f t="shared" ref="AB179:AB192" si="13">X179/5</f>
        <v>0</v>
      </c>
    </row>
    <row r="180" spans="8:28" x14ac:dyDescent="0.25">
      <c r="S180" s="111">
        <v>5</v>
      </c>
      <c r="T180" s="222">
        <v>386.76</v>
      </c>
      <c r="U180" s="223" t="s">
        <v>84</v>
      </c>
      <c r="V180" s="224"/>
      <c r="W180" s="225"/>
      <c r="X180" s="222">
        <f t="shared" si="9"/>
        <v>0</v>
      </c>
      <c r="Y180" s="241">
        <f t="shared" si="10"/>
        <v>0</v>
      </c>
      <c r="Z180" s="227">
        <f t="shared" si="11"/>
        <v>0</v>
      </c>
      <c r="AA180" s="181">
        <f t="shared" si="12"/>
        <v>0</v>
      </c>
      <c r="AB180" s="126">
        <f t="shared" si="13"/>
        <v>0</v>
      </c>
    </row>
    <row r="181" spans="8:28" x14ac:dyDescent="0.25">
      <c r="M181" s="163" t="e">
        <f>#REF!</f>
        <v>#REF!</v>
      </c>
      <c r="Q181" s="148" t="e">
        <f>#REF!</f>
        <v>#REF!</v>
      </c>
      <c r="S181" s="111">
        <v>6</v>
      </c>
      <c r="T181" s="222">
        <v>218.76</v>
      </c>
      <c r="U181" s="223" t="s">
        <v>85</v>
      </c>
      <c r="V181" s="224"/>
      <c r="W181" s="225"/>
      <c r="X181" s="222">
        <f t="shared" si="9"/>
        <v>0</v>
      </c>
      <c r="Y181" s="241">
        <f t="shared" si="10"/>
        <v>0</v>
      </c>
      <c r="Z181" s="227">
        <f t="shared" si="11"/>
        <v>0</v>
      </c>
      <c r="AA181" s="181">
        <f t="shared" si="12"/>
        <v>0</v>
      </c>
      <c r="AB181" s="126">
        <f t="shared" si="13"/>
        <v>0</v>
      </c>
    </row>
    <row r="182" spans="8:28" ht="15.75" x14ac:dyDescent="0.25">
      <c r="H182" s="53"/>
      <c r="M182" s="217" t="e">
        <f>#REF!</f>
        <v>#REF!</v>
      </c>
      <c r="Q182" s="218" t="e">
        <f>#REF!</f>
        <v>#REF!</v>
      </c>
      <c r="S182" s="111">
        <v>7</v>
      </c>
      <c r="T182" s="222">
        <v>222.66</v>
      </c>
      <c r="U182" s="228" t="s">
        <v>124</v>
      </c>
      <c r="V182" s="224"/>
      <c r="W182" s="225"/>
      <c r="X182" s="222">
        <f t="shared" si="9"/>
        <v>0</v>
      </c>
      <c r="Y182" s="241">
        <f t="shared" si="10"/>
        <v>0</v>
      </c>
      <c r="Z182" s="227">
        <f t="shared" si="11"/>
        <v>0</v>
      </c>
      <c r="AA182" s="181">
        <f t="shared" si="12"/>
        <v>0</v>
      </c>
      <c r="AB182" s="126">
        <f t="shared" si="13"/>
        <v>0</v>
      </c>
    </row>
    <row r="183" spans="8:28" x14ac:dyDescent="0.25">
      <c r="H183" s="53"/>
      <c r="S183" s="109">
        <v>8</v>
      </c>
      <c r="T183" s="222">
        <v>242.33</v>
      </c>
      <c r="U183" s="228" t="s">
        <v>125</v>
      </c>
      <c r="V183" s="224"/>
      <c r="W183" s="225"/>
      <c r="X183" s="222">
        <f t="shared" si="9"/>
        <v>0</v>
      </c>
      <c r="Y183" s="241">
        <f t="shared" si="10"/>
        <v>0</v>
      </c>
      <c r="Z183" s="227">
        <f t="shared" si="11"/>
        <v>0</v>
      </c>
      <c r="AA183" s="181">
        <f t="shared" si="12"/>
        <v>0</v>
      </c>
      <c r="AB183" s="126">
        <f t="shared" si="13"/>
        <v>0</v>
      </c>
    </row>
    <row r="184" spans="8:28" x14ac:dyDescent="0.25">
      <c r="S184" s="109">
        <v>9</v>
      </c>
      <c r="T184" s="222">
        <v>191.9</v>
      </c>
      <c r="U184" s="228" t="s">
        <v>97</v>
      </c>
      <c r="V184" s="224"/>
      <c r="W184" s="225"/>
      <c r="X184" s="222">
        <f t="shared" si="9"/>
        <v>0</v>
      </c>
      <c r="Y184" s="241">
        <f t="shared" si="10"/>
        <v>0</v>
      </c>
      <c r="Z184" s="227">
        <f t="shared" si="11"/>
        <v>0</v>
      </c>
      <c r="AA184" s="181">
        <f t="shared" si="12"/>
        <v>0</v>
      </c>
      <c r="AB184" s="126">
        <f t="shared" si="13"/>
        <v>0</v>
      </c>
    </row>
    <row r="185" spans="8:28" x14ac:dyDescent="0.25">
      <c r="S185" s="109">
        <v>10</v>
      </c>
      <c r="T185" s="222">
        <v>272.74</v>
      </c>
      <c r="U185" s="228" t="s">
        <v>126</v>
      </c>
      <c r="V185" s="224"/>
      <c r="W185" s="225"/>
      <c r="X185" s="222">
        <f t="shared" si="9"/>
        <v>0</v>
      </c>
      <c r="Y185" s="241">
        <f t="shared" si="10"/>
        <v>0</v>
      </c>
      <c r="Z185" s="227">
        <f t="shared" si="11"/>
        <v>0</v>
      </c>
      <c r="AA185" s="181">
        <f t="shared" si="12"/>
        <v>0</v>
      </c>
      <c r="AB185" s="126">
        <f t="shared" si="13"/>
        <v>0</v>
      </c>
    </row>
    <row r="186" spans="8:28" x14ac:dyDescent="0.25">
      <c r="S186" s="109">
        <v>12</v>
      </c>
      <c r="T186" s="222">
        <v>207.2</v>
      </c>
      <c r="U186" s="228" t="s">
        <v>127</v>
      </c>
      <c r="V186" s="224"/>
      <c r="W186" s="225"/>
      <c r="X186" s="222">
        <f t="shared" si="9"/>
        <v>0</v>
      </c>
      <c r="Y186" s="241">
        <f t="shared" si="10"/>
        <v>0</v>
      </c>
      <c r="Z186" s="227">
        <f t="shared" si="11"/>
        <v>0</v>
      </c>
      <c r="AA186" s="181">
        <f t="shared" si="12"/>
        <v>0</v>
      </c>
      <c r="AB186" s="126">
        <f t="shared" si="13"/>
        <v>0</v>
      </c>
    </row>
    <row r="187" spans="8:28" x14ac:dyDescent="0.25">
      <c r="S187" s="109">
        <v>13</v>
      </c>
      <c r="T187" s="222">
        <v>253.81</v>
      </c>
      <c r="U187" s="228" t="s">
        <v>131</v>
      </c>
      <c r="V187" s="224"/>
      <c r="W187" s="225"/>
      <c r="X187" s="222">
        <f t="shared" si="9"/>
        <v>0</v>
      </c>
      <c r="Y187" s="241">
        <f t="shared" si="10"/>
        <v>0</v>
      </c>
      <c r="Z187" s="227">
        <f t="shared" si="11"/>
        <v>0</v>
      </c>
      <c r="AA187" s="181">
        <f t="shared" si="12"/>
        <v>0</v>
      </c>
      <c r="AB187" s="126">
        <f t="shared" si="13"/>
        <v>0</v>
      </c>
    </row>
    <row r="188" spans="8:28" x14ac:dyDescent="0.25">
      <c r="S188" s="109">
        <v>14</v>
      </c>
      <c r="T188" s="222">
        <v>211.48</v>
      </c>
      <c r="U188" s="228" t="s">
        <v>132</v>
      </c>
      <c r="V188" s="224"/>
      <c r="W188" s="225"/>
      <c r="X188" s="222">
        <f t="shared" si="9"/>
        <v>0</v>
      </c>
      <c r="Y188" s="241">
        <f t="shared" si="10"/>
        <v>0</v>
      </c>
      <c r="Z188" s="227">
        <f t="shared" si="11"/>
        <v>0</v>
      </c>
      <c r="AA188" s="181">
        <f t="shared" si="12"/>
        <v>0</v>
      </c>
      <c r="AB188" s="126">
        <f t="shared" si="13"/>
        <v>0</v>
      </c>
    </row>
    <row r="189" spans="8:28" x14ac:dyDescent="0.25">
      <c r="S189" s="109">
        <v>15</v>
      </c>
      <c r="T189" s="222">
        <v>184.1</v>
      </c>
      <c r="U189" s="228" t="s">
        <v>128</v>
      </c>
      <c r="V189" s="224"/>
      <c r="W189" s="225"/>
      <c r="X189" s="222">
        <f t="shared" si="9"/>
        <v>0</v>
      </c>
      <c r="Y189" s="241">
        <f t="shared" si="10"/>
        <v>0</v>
      </c>
      <c r="Z189" s="242">
        <f t="shared" si="11"/>
        <v>0</v>
      </c>
      <c r="AA189" s="243">
        <f t="shared" si="12"/>
        <v>0</v>
      </c>
      <c r="AB189" s="126">
        <f t="shared" si="13"/>
        <v>0</v>
      </c>
    </row>
    <row r="190" spans="8:28" x14ac:dyDescent="0.25">
      <c r="S190" s="109">
        <v>28</v>
      </c>
      <c r="T190" s="222">
        <v>297.54000000000002</v>
      </c>
      <c r="U190" s="228" t="s">
        <v>100</v>
      </c>
      <c r="V190" s="224"/>
      <c r="W190" s="225"/>
      <c r="X190" s="222">
        <f t="shared" si="9"/>
        <v>0</v>
      </c>
      <c r="Y190" s="241">
        <f t="shared" si="10"/>
        <v>0</v>
      </c>
      <c r="Z190" s="242">
        <f t="shared" si="11"/>
        <v>0</v>
      </c>
      <c r="AA190" s="243">
        <f t="shared" si="12"/>
        <v>0</v>
      </c>
      <c r="AB190" s="126">
        <f t="shared" si="13"/>
        <v>0</v>
      </c>
    </row>
    <row r="191" spans="8:28" x14ac:dyDescent="0.25">
      <c r="S191" s="109">
        <v>29</v>
      </c>
      <c r="T191" s="222">
        <v>323.57</v>
      </c>
      <c r="U191" s="228" t="s">
        <v>129</v>
      </c>
      <c r="V191" s="224"/>
      <c r="W191" s="225"/>
      <c r="X191" s="222">
        <f t="shared" si="9"/>
        <v>0</v>
      </c>
      <c r="Y191" s="241">
        <f t="shared" si="10"/>
        <v>0</v>
      </c>
      <c r="Z191" s="242">
        <f t="shared" si="11"/>
        <v>0</v>
      </c>
      <c r="AA191" s="243">
        <f t="shared" si="12"/>
        <v>0</v>
      </c>
      <c r="AB191" s="126">
        <f t="shared" si="13"/>
        <v>0</v>
      </c>
    </row>
    <row r="192" spans="8:28" ht="15.75" thickBot="1" x14ac:dyDescent="0.3">
      <c r="S192" s="112">
        <v>30</v>
      </c>
      <c r="T192" s="185">
        <v>294.95</v>
      </c>
      <c r="U192" s="186" t="s">
        <v>130</v>
      </c>
      <c r="V192" s="114"/>
      <c r="W192" s="116"/>
      <c r="X192" s="185">
        <f t="shared" si="9"/>
        <v>0</v>
      </c>
      <c r="Y192" s="187">
        <f t="shared" si="10"/>
        <v>0</v>
      </c>
      <c r="Z192" s="188">
        <f t="shared" si="11"/>
        <v>0</v>
      </c>
      <c r="AA192" s="119">
        <f t="shared" si="12"/>
        <v>0</v>
      </c>
      <c r="AB192" s="126">
        <f t="shared" si="13"/>
        <v>0</v>
      </c>
    </row>
    <row r="193" spans="17:28" x14ac:dyDescent="0.25">
      <c r="X193" s="106">
        <f>SUM(X178:X192)</f>
        <v>0</v>
      </c>
      <c r="Y193" s="136">
        <f>SUM(Y178:Y192)</f>
        <v>0</v>
      </c>
      <c r="Z193" s="108">
        <f>SUM(Z178:Z192)</f>
        <v>0</v>
      </c>
      <c r="AA193" s="106">
        <f>SUM(AA178:AA192)</f>
        <v>0</v>
      </c>
    </row>
    <row r="194" spans="17:28" ht="15.75" hidden="1" thickBot="1" x14ac:dyDescent="0.3"/>
    <row r="195" spans="17:28" hidden="1" x14ac:dyDescent="0.25">
      <c r="R195" s="107"/>
      <c r="S195" s="120" t="s">
        <v>86</v>
      </c>
      <c r="T195" s="121" t="s">
        <v>90</v>
      </c>
      <c r="U195" s="122" t="s">
        <v>87</v>
      </c>
      <c r="V195" s="123"/>
      <c r="W195" s="124"/>
      <c r="X195" s="121" t="s">
        <v>88</v>
      </c>
      <c r="Y195" s="121" t="s">
        <v>89</v>
      </c>
      <c r="Z195" s="121" t="s">
        <v>91</v>
      </c>
      <c r="AA195" s="125" t="s">
        <v>92</v>
      </c>
      <c r="AB195" s="131" t="s">
        <v>94</v>
      </c>
    </row>
    <row r="196" spans="17:28" hidden="1" x14ac:dyDescent="0.25">
      <c r="Q196" s="148" t="e">
        <f>#REF!</f>
        <v>#REF!</v>
      </c>
      <c r="S196" s="109">
        <v>3</v>
      </c>
      <c r="T196" s="128">
        <v>206</v>
      </c>
      <c r="U196" s="132" t="s">
        <v>80</v>
      </c>
      <c r="V196" s="133"/>
      <c r="W196" s="134"/>
      <c r="X196" s="128">
        <f>SUMIFS($R$13:$R$174,$AD$13:$AD$174,S196,$B$13:$B$174,$R$195)</f>
        <v>0</v>
      </c>
      <c r="Y196" s="129">
        <f>SUMIFS($P$13:P$174,$AD$13:AD$174,S196,$B$13:B$174,$R$195)</f>
        <v>0</v>
      </c>
      <c r="Z196" s="130">
        <f>Y196*T196</f>
        <v>0</v>
      </c>
      <c r="AA196" s="110">
        <f>Z196/44</f>
        <v>0</v>
      </c>
      <c r="AB196" s="126">
        <f>X196/5</f>
        <v>0</v>
      </c>
    </row>
    <row r="197" spans="17:28" ht="15.75" hidden="1" x14ac:dyDescent="0.25">
      <c r="Q197" s="152" t="e">
        <f>#REF!</f>
        <v>#REF!</v>
      </c>
      <c r="S197" s="109">
        <v>4</v>
      </c>
      <c r="T197" s="128">
        <v>220</v>
      </c>
      <c r="U197" s="132" t="s">
        <v>83</v>
      </c>
      <c r="V197" s="133"/>
      <c r="W197" s="134"/>
      <c r="X197" s="128">
        <f>SUMIFS($R$13:$R$174,$AD$13:$AD$174,S197,$B$13:$B$174,$R$195)</f>
        <v>0</v>
      </c>
      <c r="Y197" s="129">
        <f>SUMIFS($P$13:P$174,$AD$13:AD$174,S197,$B$13:B$174,$R$195)</f>
        <v>0</v>
      </c>
      <c r="Z197" s="130">
        <f t="shared" ref="Z197:Z210" si="14">Y197*T197</f>
        <v>0</v>
      </c>
      <c r="AA197" s="110">
        <f t="shared" ref="AA197:AA210" si="15">Z197/44</f>
        <v>0</v>
      </c>
      <c r="AB197" s="126">
        <f t="shared" ref="AB197:AB211" si="16">X197/5</f>
        <v>0</v>
      </c>
    </row>
    <row r="198" spans="17:28" hidden="1" x14ac:dyDescent="0.25">
      <c r="S198" s="111">
        <v>5</v>
      </c>
      <c r="T198" s="128">
        <v>285</v>
      </c>
      <c r="U198" s="132" t="s">
        <v>84</v>
      </c>
      <c r="V198" s="133"/>
      <c r="W198" s="133"/>
      <c r="X198" s="128">
        <f>SUMIFS($R$13:$R$174,$AD$13:$AD$174,S198,$B$13:$B$174,$R$195)</f>
        <v>0</v>
      </c>
      <c r="Y198" s="129">
        <f>SUMIFS($P$13:P$174,$AD$13:AD$174,S198,$B$13:B$174,$R$195)</f>
        <v>0</v>
      </c>
      <c r="Z198" s="130">
        <f t="shared" si="14"/>
        <v>0</v>
      </c>
      <c r="AA198" s="110">
        <f t="shared" si="15"/>
        <v>0</v>
      </c>
      <c r="AB198" s="126">
        <f t="shared" si="16"/>
        <v>0</v>
      </c>
    </row>
    <row r="199" spans="17:28" hidden="1" x14ac:dyDescent="0.25">
      <c r="Q199" s="148" t="e">
        <f>#REF!</f>
        <v>#REF!</v>
      </c>
      <c r="S199" s="111">
        <v>6</v>
      </c>
      <c r="T199" s="128">
        <v>200</v>
      </c>
      <c r="U199" s="132" t="s">
        <v>85</v>
      </c>
      <c r="V199" s="133"/>
      <c r="W199" s="134"/>
      <c r="X199" s="128">
        <f>SUMIFS($R$13:$R$174,$AD$13:$AD$174,S199,$B$13:$B$174,$R$195)</f>
        <v>0</v>
      </c>
      <c r="Y199" s="129">
        <f>SUMIFS($P$13:P$174,$AD$13:AD$174,S199,$B$13:B$174,$R$195)</f>
        <v>0</v>
      </c>
      <c r="Z199" s="130">
        <f t="shared" si="14"/>
        <v>0</v>
      </c>
      <c r="AA199" s="110">
        <f t="shared" si="15"/>
        <v>0</v>
      </c>
      <c r="AB199" s="126">
        <f t="shared" si="16"/>
        <v>0</v>
      </c>
    </row>
    <row r="200" spans="17:28" ht="15.75" hidden="1" x14ac:dyDescent="0.25">
      <c r="Q200" s="152" t="e">
        <f>#REF!</f>
        <v>#REF!</v>
      </c>
      <c r="S200" s="111">
        <v>7</v>
      </c>
      <c r="T200" s="128">
        <v>199</v>
      </c>
      <c r="U200" s="132" t="s">
        <v>98</v>
      </c>
      <c r="V200" s="133"/>
      <c r="W200" s="134"/>
      <c r="X200" s="128">
        <f>SUMIFS($R$13:$R$174,$AD$13:$AD$174,S200,$B$13:$B$174,$R$195)</f>
        <v>0</v>
      </c>
      <c r="Y200" s="129">
        <f>SUMIFS($P$13:P$174,$AD$13:AD$174,S200,$B$13:B$174,$R$195)</f>
        <v>0</v>
      </c>
      <c r="Z200" s="130">
        <f>Y200*T200</f>
        <v>0</v>
      </c>
      <c r="AA200" s="110">
        <f>Z200/44</f>
        <v>0</v>
      </c>
      <c r="AB200" s="126">
        <f>X200/5</f>
        <v>0</v>
      </c>
    </row>
    <row r="201" spans="17:28" hidden="1" x14ac:dyDescent="0.25">
      <c r="S201" s="109">
        <v>8</v>
      </c>
      <c r="T201" s="128">
        <v>160</v>
      </c>
      <c r="U201" s="132" t="s">
        <v>76</v>
      </c>
      <c r="V201" s="133"/>
      <c r="W201" s="134"/>
      <c r="X201" s="128">
        <f>SUMIFS($R$13:$R$174,$D$13:$D$174,U201,$B$13:$B$174,$R$195)</f>
        <v>0</v>
      </c>
      <c r="Y201" s="129">
        <f>SUMIFS($P$13:P$174,$D$13:D$174,U201,$B$13:B$174,$R$195)</f>
        <v>0</v>
      </c>
      <c r="Z201" s="130">
        <f>Y201*T201</f>
        <v>0</v>
      </c>
      <c r="AA201" s="110">
        <f>Z201/44</f>
        <v>0</v>
      </c>
      <c r="AB201" s="126">
        <f>X201/5</f>
        <v>0</v>
      </c>
    </row>
    <row r="202" spans="17:28" hidden="1" x14ac:dyDescent="0.25">
      <c r="S202" s="109">
        <v>8</v>
      </c>
      <c r="T202" s="128">
        <v>160</v>
      </c>
      <c r="U202" s="132" t="s">
        <v>75</v>
      </c>
      <c r="V202" s="133"/>
      <c r="W202" s="134"/>
      <c r="X202" s="128">
        <f>SUMIFS($R$13:$R$174,$D$13:$D$174,U202,$B$13:$B$174,$R$195)</f>
        <v>0</v>
      </c>
      <c r="Y202" s="129">
        <f>SUMIFS($P$13:P$174,$D$13:D$174,U202,$B$13:B$174,$R$195)</f>
        <v>0</v>
      </c>
      <c r="Z202" s="130">
        <f t="shared" si="14"/>
        <v>0</v>
      </c>
      <c r="AA202" s="110">
        <f t="shared" si="15"/>
        <v>0</v>
      </c>
      <c r="AB202" s="126">
        <f t="shared" si="16"/>
        <v>0</v>
      </c>
    </row>
    <row r="203" spans="17:28" hidden="1" x14ac:dyDescent="0.25">
      <c r="S203" s="109">
        <v>8</v>
      </c>
      <c r="T203" s="128">
        <v>160</v>
      </c>
      <c r="U203" s="132" t="s">
        <v>77</v>
      </c>
      <c r="V203" s="133"/>
      <c r="W203" s="134"/>
      <c r="X203" s="128">
        <f>SUMIFS($R$13:$R$174,$D$13:$D$174,U203,$B$13:$B$174,$R$195)</f>
        <v>0</v>
      </c>
      <c r="Y203" s="129">
        <f>SUMIFS($P$13:P$174,$D$13:D$174,U203,$B$13:B$174,$R$195)</f>
        <v>0</v>
      </c>
      <c r="Z203" s="130">
        <f t="shared" si="14"/>
        <v>0</v>
      </c>
      <c r="AA203" s="110">
        <f t="shared" si="15"/>
        <v>0</v>
      </c>
      <c r="AB203" s="126">
        <f t="shared" si="16"/>
        <v>0</v>
      </c>
    </row>
    <row r="204" spans="17:28" hidden="1" x14ac:dyDescent="0.25">
      <c r="S204" s="109">
        <v>9</v>
      </c>
      <c r="T204" s="128">
        <v>200</v>
      </c>
      <c r="U204" s="132" t="s">
        <v>97</v>
      </c>
      <c r="V204" s="133"/>
      <c r="W204" s="134"/>
      <c r="X204" s="128">
        <f t="shared" ref="X204:X210" si="17">SUMIFS($R$13:$R$174,$AD$13:$AD$174,S204,$B$13:$B$174,$R$195)</f>
        <v>0</v>
      </c>
      <c r="Y204" s="129">
        <f>SUMIFS($P$13:P$174,$AD$13:AD$174,S204,$B$13:B$174,$R$195)</f>
        <v>0</v>
      </c>
      <c r="Z204" s="130">
        <f>Y204*T204</f>
        <v>0</v>
      </c>
      <c r="AA204" s="110">
        <f>Z204/44</f>
        <v>0</v>
      </c>
      <c r="AB204" s="126">
        <f>X204/5</f>
        <v>0</v>
      </c>
    </row>
    <row r="205" spans="17:28" hidden="1" x14ac:dyDescent="0.25">
      <c r="S205" s="109">
        <v>10</v>
      </c>
      <c r="T205" s="128">
        <v>200</v>
      </c>
      <c r="U205" s="132" t="s">
        <v>82</v>
      </c>
      <c r="V205" s="133"/>
      <c r="W205" s="134"/>
      <c r="X205" s="128">
        <f t="shared" si="17"/>
        <v>0</v>
      </c>
      <c r="Y205" s="129">
        <f>SUMIFS($P$13:P$174,$AD$13:AD$174,S205,$B$13:B$174,$R$195)</f>
        <v>0</v>
      </c>
      <c r="Z205" s="130">
        <f t="shared" si="14"/>
        <v>0</v>
      </c>
      <c r="AA205" s="110">
        <f t="shared" si="15"/>
        <v>0</v>
      </c>
      <c r="AB205" s="126">
        <f t="shared" si="16"/>
        <v>0</v>
      </c>
    </row>
    <row r="206" spans="17:28" hidden="1" x14ac:dyDescent="0.25">
      <c r="S206" s="109">
        <v>12</v>
      </c>
      <c r="T206" s="128">
        <v>149</v>
      </c>
      <c r="U206" s="132" t="s">
        <v>78</v>
      </c>
      <c r="V206" s="133"/>
      <c r="W206" s="134"/>
      <c r="X206" s="128">
        <f t="shared" si="17"/>
        <v>0</v>
      </c>
      <c r="Y206" s="129">
        <f>SUMIFS($P$13:P$174,$AD$13:AD$174,S206,$B$13:B$174,$R$195)</f>
        <v>0</v>
      </c>
      <c r="Z206" s="130">
        <f t="shared" si="14"/>
        <v>0</v>
      </c>
      <c r="AA206" s="110">
        <f t="shared" si="15"/>
        <v>0</v>
      </c>
      <c r="AB206" s="126">
        <f t="shared" si="16"/>
        <v>0</v>
      </c>
    </row>
    <row r="207" spans="17:28" hidden="1" x14ac:dyDescent="0.25">
      <c r="S207" s="137">
        <v>14</v>
      </c>
      <c r="T207" s="142">
        <v>172.9</v>
      </c>
      <c r="U207" s="143" t="s">
        <v>81</v>
      </c>
      <c r="V207" s="144"/>
      <c r="W207" s="145"/>
      <c r="X207" s="142">
        <f t="shared" si="17"/>
        <v>0</v>
      </c>
      <c r="Y207" s="151">
        <f>SUMIFS($P$13:P$174,$AD$13:AD$174,S207,$B$13:B$174,$R$195)</f>
        <v>0</v>
      </c>
      <c r="Z207" s="147">
        <f>Y207*T207</f>
        <v>0</v>
      </c>
      <c r="AA207" s="138">
        <f>Z207/44</f>
        <v>0</v>
      </c>
      <c r="AB207" s="126">
        <f>X207/5</f>
        <v>0</v>
      </c>
    </row>
    <row r="208" spans="17:28" hidden="1" x14ac:dyDescent="0.25">
      <c r="S208" s="137">
        <v>28</v>
      </c>
      <c r="T208" s="155">
        <v>200</v>
      </c>
      <c r="U208" s="156" t="s">
        <v>101</v>
      </c>
      <c r="V208" s="157"/>
      <c r="W208" s="158"/>
      <c r="X208" s="155">
        <f t="shared" si="17"/>
        <v>0</v>
      </c>
      <c r="Y208" s="159">
        <f>SUMIFS($P$13:P$174,$AD$13:AD$174,S208,$B$13:B$174,$R$195)</f>
        <v>0</v>
      </c>
      <c r="Z208" s="160">
        <f>Y208*T208</f>
        <v>0</v>
      </c>
      <c r="AA208" s="138">
        <f>Z208/44</f>
        <v>0</v>
      </c>
      <c r="AB208" s="126">
        <f>X208/5</f>
        <v>0</v>
      </c>
    </row>
    <row r="209" spans="19:28" hidden="1" x14ac:dyDescent="0.25">
      <c r="S209" s="137">
        <v>15</v>
      </c>
      <c r="T209" s="155">
        <v>55</v>
      </c>
      <c r="U209" s="156" t="s">
        <v>101</v>
      </c>
      <c r="V209" s="157"/>
      <c r="W209" s="158"/>
      <c r="X209" s="155">
        <f t="shared" si="17"/>
        <v>0</v>
      </c>
      <c r="Y209" s="159">
        <f>SUMIFS($P$13:P$174,$AD$13:AD$174,S209,$B$13:B$174,$R$195)</f>
        <v>0</v>
      </c>
      <c r="Z209" s="160">
        <f>Y209*T209</f>
        <v>0</v>
      </c>
      <c r="AA209" s="138">
        <f>Z209/44</f>
        <v>0</v>
      </c>
      <c r="AB209" s="126">
        <f>X209/5</f>
        <v>0</v>
      </c>
    </row>
    <row r="210" spans="19:28" ht="15.75" hidden="1" thickBot="1" x14ac:dyDescent="0.3">
      <c r="S210" s="112">
        <v>30</v>
      </c>
      <c r="T210" s="113">
        <v>189</v>
      </c>
      <c r="U210" s="114" t="s">
        <v>95</v>
      </c>
      <c r="V210" s="115"/>
      <c r="W210" s="116"/>
      <c r="X210" s="113">
        <f t="shared" si="17"/>
        <v>0</v>
      </c>
      <c r="Y210" s="127">
        <f>SUMIFS($P$13:P$174,$AD$13:AD$174,S210,$B$13:B$174,$R$195)</f>
        <v>0</v>
      </c>
      <c r="Z210" s="118">
        <f t="shared" si="14"/>
        <v>0</v>
      </c>
      <c r="AA210" s="119">
        <f t="shared" si="15"/>
        <v>0</v>
      </c>
      <c r="AB210" s="126">
        <f t="shared" si="16"/>
        <v>0</v>
      </c>
    </row>
    <row r="211" spans="19:28" hidden="1" x14ac:dyDescent="0.25">
      <c r="X211" s="106">
        <f>SUM(X196:X210)</f>
        <v>0</v>
      </c>
      <c r="Y211" s="136">
        <f>SUM(Y196:Y210)</f>
        <v>0</v>
      </c>
      <c r="Z211" s="108">
        <f>SUM(Z196:Z210)</f>
        <v>0</v>
      </c>
      <c r="AA211" s="106">
        <f>SUM(AA196:AA210)</f>
        <v>0</v>
      </c>
      <c r="AB211" s="126">
        <f t="shared" si="16"/>
        <v>0</v>
      </c>
    </row>
  </sheetData>
  <autoFilter ref="A12:AN175" xr:uid="{00000000-0001-0000-0200-000000000000}"/>
  <mergeCells count="31">
    <mergeCell ref="C2:X3"/>
    <mergeCell ref="Y5:AB5"/>
    <mergeCell ref="Y8:AB8"/>
    <mergeCell ref="C11:C12"/>
    <mergeCell ref="D11:D12"/>
    <mergeCell ref="G11:G12"/>
    <mergeCell ref="J11:J12"/>
    <mergeCell ref="M11:M12"/>
    <mergeCell ref="P11:P12"/>
    <mergeCell ref="Q11:S11"/>
    <mergeCell ref="T11:U11"/>
    <mergeCell ref="AA2:AC2"/>
    <mergeCell ref="E5:F5"/>
    <mergeCell ref="AA3:AC3"/>
    <mergeCell ref="O11:O12"/>
    <mergeCell ref="E6:E7"/>
    <mergeCell ref="F6:F7"/>
    <mergeCell ref="L175:M175"/>
    <mergeCell ref="C10:AC10"/>
    <mergeCell ref="H11:H12"/>
    <mergeCell ref="I11:I12"/>
    <mergeCell ref="AB11:AC11"/>
    <mergeCell ref="V11:W11"/>
    <mergeCell ref="X11:Y11"/>
    <mergeCell ref="F11:F12"/>
    <mergeCell ref="L11:L12"/>
    <mergeCell ref="Z11:AA11"/>
    <mergeCell ref="N11:N12"/>
    <mergeCell ref="E11:E12"/>
    <mergeCell ref="G5:X8"/>
    <mergeCell ref="K11:K12"/>
  </mergeCells>
  <phoneticPr fontId="41" type="noConversion"/>
  <pageMargins left="0.23622047244094491" right="0.23622047244094491" top="0.35433070866141736" bottom="0.35433070866141736" header="0.31496062992125984" footer="0.31496062992125984"/>
  <pageSetup paperSize="8" scale="52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E31"/>
  <sheetViews>
    <sheetView showGridLines="0" view="pageBreakPreview" zoomScale="70" zoomScaleNormal="60" zoomScaleSheetLayoutView="70" workbookViewId="0">
      <selection activeCell="B2" sqref="B2:T3"/>
    </sheetView>
  </sheetViews>
  <sheetFormatPr defaultRowHeight="15" x14ac:dyDescent="0.25"/>
  <cols>
    <col min="1" max="1" width="2.42578125" customWidth="1"/>
    <col min="2" max="2" width="5" bestFit="1" customWidth="1"/>
    <col min="3" max="3" width="49.42578125" customWidth="1"/>
    <col min="4" max="4" width="12.5703125" customWidth="1"/>
    <col min="5" max="5" width="14.5703125" customWidth="1"/>
    <col min="6" max="6" width="13.5703125" customWidth="1"/>
    <col min="7" max="7" width="26" bestFit="1" customWidth="1"/>
    <col min="8" max="8" width="6.85546875" customWidth="1"/>
    <col min="9" max="9" width="20.85546875" customWidth="1"/>
    <col min="10" max="10" width="15" customWidth="1"/>
    <col min="11" max="12" width="10.28515625" customWidth="1"/>
    <col min="13" max="13" width="12.28515625" customWidth="1"/>
    <col min="14" max="14" width="11.28515625" customWidth="1"/>
    <col min="15" max="15" width="6.5703125" customWidth="1"/>
    <col min="16" max="16" width="7.42578125" bestFit="1" customWidth="1"/>
    <col min="17" max="17" width="6.28515625" customWidth="1"/>
    <col min="18" max="18" width="8.42578125" customWidth="1"/>
    <col min="19" max="20" width="6.28515625" customWidth="1"/>
    <col min="21" max="21" width="8" customWidth="1"/>
    <col min="22" max="22" width="6.28515625" customWidth="1"/>
    <col min="23" max="23" width="6.85546875" customWidth="1"/>
    <col min="24" max="25" width="6.28515625" customWidth="1"/>
    <col min="26" max="26" width="3.42578125" customWidth="1"/>
  </cols>
  <sheetData>
    <row r="1" spans="1:31" ht="7.5" customHeight="1" thickBot="1" x14ac:dyDescent="0.3"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8"/>
    </row>
    <row r="2" spans="1:31" ht="26.25" customHeight="1" thickBot="1" x14ac:dyDescent="0.45">
      <c r="B2" s="262" t="s">
        <v>20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1"/>
      <c r="U2" s="2" t="s">
        <v>12</v>
      </c>
      <c r="V2" s="8"/>
      <c r="W2" s="317" t="s">
        <v>61</v>
      </c>
      <c r="X2" s="317"/>
      <c r="Y2" s="318"/>
    </row>
    <row r="3" spans="1:31" ht="26.25" customHeight="1" thickBot="1" x14ac:dyDescent="0.3">
      <c r="B3" s="302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4"/>
      <c r="U3" s="7" t="s">
        <v>13</v>
      </c>
      <c r="V3" s="6"/>
      <c r="W3" s="5"/>
      <c r="X3" s="268" t="e">
        <f>#REF!</f>
        <v>#REF!</v>
      </c>
      <c r="Y3" s="269"/>
    </row>
    <row r="4" spans="1:31" ht="6" customHeight="1" thickBot="1" x14ac:dyDescent="0.3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/>
    </row>
    <row r="5" spans="1:31" ht="18" customHeight="1" thickBot="1" x14ac:dyDescent="0.3">
      <c r="B5" s="17" t="s">
        <v>54</v>
      </c>
      <c r="C5" s="18"/>
      <c r="D5" s="20"/>
      <c r="F5" s="273" t="s">
        <v>60</v>
      </c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4" t="s">
        <v>17</v>
      </c>
      <c r="V5" s="274"/>
      <c r="W5" s="274"/>
      <c r="X5" s="274"/>
      <c r="Y5" s="23"/>
    </row>
    <row r="6" spans="1:31" ht="18" customHeight="1" thickBot="1" x14ac:dyDescent="0.3">
      <c r="B6" s="17" t="s">
        <v>53</v>
      </c>
      <c r="C6" s="18"/>
      <c r="D6" s="275" t="s">
        <v>31</v>
      </c>
      <c r="E6" s="321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19"/>
      <c r="W6" s="19"/>
      <c r="X6" s="19"/>
      <c r="Y6" s="4"/>
    </row>
    <row r="7" spans="1:31" ht="18" customHeight="1" thickBot="1" x14ac:dyDescent="0.3">
      <c r="B7" s="20" t="s">
        <v>52</v>
      </c>
      <c r="C7" s="21"/>
      <c r="D7" s="70"/>
      <c r="E7" s="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3"/>
      <c r="U7" s="13"/>
      <c r="W7" s="13"/>
      <c r="X7" s="13"/>
      <c r="Y7" s="4"/>
    </row>
    <row r="8" spans="1:31" ht="18" customHeight="1" thickBot="1" x14ac:dyDescent="0.3">
      <c r="B8" s="17" t="s">
        <v>27</v>
      </c>
      <c r="C8" s="18"/>
      <c r="D8" s="70"/>
      <c r="E8" s="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9" t="s">
        <v>16</v>
      </c>
      <c r="V8" s="279"/>
      <c r="W8" s="279"/>
      <c r="X8" s="279"/>
      <c r="Y8" s="4"/>
    </row>
    <row r="9" spans="1:31" ht="13.5" customHeight="1" thickBot="1" x14ac:dyDescent="0.3">
      <c r="B9" s="20"/>
      <c r="C9" s="22"/>
      <c r="D9" s="22"/>
      <c r="Y9" s="4"/>
    </row>
    <row r="10" spans="1:31" ht="23.25" customHeight="1" x14ac:dyDescent="0.25">
      <c r="B10" s="323" t="s">
        <v>49</v>
      </c>
      <c r="C10" s="324"/>
      <c r="D10" s="324"/>
      <c r="E10" s="324"/>
      <c r="F10" s="324"/>
      <c r="G10" s="324"/>
      <c r="H10" s="324"/>
      <c r="I10" s="324"/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24"/>
      <c r="U10" s="324"/>
      <c r="V10" s="324"/>
      <c r="W10" s="324"/>
      <c r="X10" s="324"/>
      <c r="Y10" s="325"/>
    </row>
    <row r="11" spans="1:31" ht="15" customHeight="1" x14ac:dyDescent="0.25">
      <c r="B11" s="298" t="s">
        <v>5</v>
      </c>
      <c r="C11" s="326" t="s">
        <v>6</v>
      </c>
      <c r="D11" s="327" t="s">
        <v>25</v>
      </c>
      <c r="E11" s="328" t="s">
        <v>15</v>
      </c>
      <c r="F11" s="328" t="s">
        <v>24</v>
      </c>
      <c r="G11" s="327" t="s">
        <v>7</v>
      </c>
      <c r="H11" s="326" t="s">
        <v>8</v>
      </c>
      <c r="I11" s="326" t="s">
        <v>28</v>
      </c>
      <c r="J11" s="326" t="s">
        <v>14</v>
      </c>
      <c r="K11" s="330" t="s">
        <v>18</v>
      </c>
      <c r="L11" s="319" t="s">
        <v>62</v>
      </c>
      <c r="M11" s="329" t="s">
        <v>19</v>
      </c>
      <c r="N11" s="329"/>
      <c r="O11" s="329"/>
      <c r="P11" s="322" t="s">
        <v>4</v>
      </c>
      <c r="Q11" s="322"/>
      <c r="R11" s="322" t="s">
        <v>0</v>
      </c>
      <c r="S11" s="322"/>
      <c r="T11" s="322" t="s">
        <v>1</v>
      </c>
      <c r="U11" s="322"/>
      <c r="V11" s="322" t="s">
        <v>2</v>
      </c>
      <c r="W11" s="322"/>
      <c r="X11" s="322" t="s">
        <v>3</v>
      </c>
      <c r="Y11" s="331"/>
    </row>
    <row r="12" spans="1:31" x14ac:dyDescent="0.25">
      <c r="B12" s="298"/>
      <c r="C12" s="326"/>
      <c r="D12" s="285"/>
      <c r="E12" s="296"/>
      <c r="F12" s="296"/>
      <c r="G12" s="285"/>
      <c r="H12" s="326"/>
      <c r="I12" s="326"/>
      <c r="J12" s="326"/>
      <c r="K12" s="320"/>
      <c r="L12" s="320"/>
      <c r="M12" s="12" t="s">
        <v>29</v>
      </c>
      <c r="N12" s="12" t="s">
        <v>30</v>
      </c>
      <c r="O12" s="12" t="s">
        <v>9</v>
      </c>
      <c r="P12" s="12" t="s">
        <v>10</v>
      </c>
      <c r="Q12" s="12" t="s">
        <v>11</v>
      </c>
      <c r="R12" s="12" t="s">
        <v>10</v>
      </c>
      <c r="S12" s="12" t="s">
        <v>11</v>
      </c>
      <c r="T12" s="12" t="s">
        <v>10</v>
      </c>
      <c r="U12" s="12" t="s">
        <v>11</v>
      </c>
      <c r="V12" s="12" t="s">
        <v>10</v>
      </c>
      <c r="W12" s="12" t="s">
        <v>11</v>
      </c>
      <c r="X12" s="12" t="s">
        <v>10</v>
      </c>
      <c r="Y12" s="9" t="s">
        <v>11</v>
      </c>
    </row>
    <row r="13" spans="1:31" ht="45" customHeight="1" x14ac:dyDescent="0.25">
      <c r="B13" s="10">
        <v>1</v>
      </c>
      <c r="C13" s="35" t="s">
        <v>56</v>
      </c>
      <c r="D13" s="35" t="s">
        <v>40</v>
      </c>
      <c r="E13" s="78" t="s">
        <v>55</v>
      </c>
      <c r="F13" s="79" t="s">
        <v>55</v>
      </c>
      <c r="G13" s="79" t="s">
        <v>55</v>
      </c>
      <c r="H13" s="78" t="s">
        <v>55</v>
      </c>
      <c r="I13" s="80" t="s">
        <v>57</v>
      </c>
      <c r="J13" s="32">
        <v>45336</v>
      </c>
      <c r="K13" s="36" t="s">
        <v>55</v>
      </c>
      <c r="L13" s="90">
        <v>0</v>
      </c>
      <c r="M13" s="81" t="s">
        <v>71</v>
      </c>
      <c r="N13" s="78">
        <v>36</v>
      </c>
      <c r="O13" s="77" t="s">
        <v>33</v>
      </c>
      <c r="P13" s="82"/>
      <c r="Q13" s="83"/>
      <c r="R13" s="82"/>
      <c r="S13" s="83"/>
      <c r="T13" s="82"/>
      <c r="U13" s="83"/>
      <c r="V13" s="82"/>
      <c r="W13" s="83"/>
      <c r="X13" s="82"/>
      <c r="Y13" s="84"/>
      <c r="Z13" s="11"/>
      <c r="AD13" s="86"/>
      <c r="AE13" s="86"/>
    </row>
    <row r="14" spans="1:31" ht="36.75" customHeight="1" x14ac:dyDescent="0.25">
      <c r="B14" s="10">
        <v>2</v>
      </c>
      <c r="C14" s="40" t="s">
        <v>58</v>
      </c>
      <c r="D14" s="40" t="s">
        <v>50</v>
      </c>
      <c r="E14" s="40" t="s">
        <v>55</v>
      </c>
      <c r="F14" s="79" t="s">
        <v>55</v>
      </c>
      <c r="G14" s="40" t="s">
        <v>55</v>
      </c>
      <c r="H14" s="40" t="s">
        <v>55</v>
      </c>
      <c r="I14" s="41" t="s">
        <v>59</v>
      </c>
      <c r="J14" s="32">
        <v>45336</v>
      </c>
      <c r="K14" s="41" t="s">
        <v>55</v>
      </c>
      <c r="L14" s="91">
        <v>0</v>
      </c>
      <c r="M14" s="75" t="s">
        <v>41</v>
      </c>
      <c r="N14" s="33">
        <v>5</v>
      </c>
      <c r="O14" s="34" t="s">
        <v>33</v>
      </c>
      <c r="P14" s="51"/>
      <c r="Q14" s="1"/>
      <c r="R14" s="51"/>
      <c r="S14" s="1"/>
      <c r="T14" s="51"/>
      <c r="U14" s="1"/>
      <c r="V14" s="51"/>
      <c r="W14" s="1"/>
      <c r="X14" s="51"/>
      <c r="Y14" s="43"/>
      <c r="Z14" s="11"/>
    </row>
    <row r="15" spans="1:31" ht="36.75" customHeight="1" thickBot="1" x14ac:dyDescent="0.3">
      <c r="A15" s="31"/>
      <c r="B15" s="10">
        <v>3</v>
      </c>
      <c r="C15" s="40"/>
      <c r="D15" s="40"/>
      <c r="E15" s="40"/>
      <c r="F15" s="40"/>
      <c r="G15" s="40"/>
      <c r="H15" s="40"/>
      <c r="I15" s="41"/>
      <c r="J15" s="40"/>
      <c r="K15" s="41"/>
      <c r="L15" s="88"/>
      <c r="M15" s="40"/>
      <c r="N15" s="33"/>
      <c r="O15" s="34"/>
      <c r="P15" s="42"/>
      <c r="Q15" s="42"/>
      <c r="R15" s="42"/>
      <c r="S15" s="42"/>
      <c r="T15" s="42"/>
      <c r="U15" s="42"/>
      <c r="V15" s="42"/>
      <c r="W15" s="42"/>
      <c r="X15" s="42"/>
      <c r="Y15" s="43"/>
      <c r="Z15" s="11"/>
    </row>
    <row r="16" spans="1:31" ht="23.25" customHeight="1" x14ac:dyDescent="0.25">
      <c r="B16" s="323" t="s">
        <v>48</v>
      </c>
      <c r="C16" s="324"/>
      <c r="D16" s="324"/>
      <c r="E16" s="324"/>
      <c r="F16" s="324"/>
      <c r="G16" s="324"/>
      <c r="H16" s="324"/>
      <c r="I16" s="324"/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5"/>
    </row>
    <row r="17" spans="1:28" ht="15" customHeight="1" x14ac:dyDescent="0.25">
      <c r="B17" s="298" t="s">
        <v>5</v>
      </c>
      <c r="C17" s="326" t="s">
        <v>6</v>
      </c>
      <c r="D17" s="327" t="s">
        <v>25</v>
      </c>
      <c r="E17" s="328" t="s">
        <v>15</v>
      </c>
      <c r="F17" s="328" t="s">
        <v>24</v>
      </c>
      <c r="G17" s="327" t="s">
        <v>7</v>
      </c>
      <c r="H17" s="326" t="s">
        <v>8</v>
      </c>
      <c r="I17" s="326" t="s">
        <v>28</v>
      </c>
      <c r="J17" s="326" t="s">
        <v>14</v>
      </c>
      <c r="K17" s="330" t="s">
        <v>18</v>
      </c>
      <c r="L17" s="87"/>
      <c r="M17" s="329" t="s">
        <v>19</v>
      </c>
      <c r="N17" s="329"/>
      <c r="O17" s="329"/>
      <c r="P17" s="322" t="s">
        <v>4</v>
      </c>
      <c r="Q17" s="322"/>
      <c r="R17" s="322" t="s">
        <v>0</v>
      </c>
      <c r="S17" s="322"/>
      <c r="T17" s="322" t="s">
        <v>1</v>
      </c>
      <c r="U17" s="322"/>
      <c r="V17" s="322" t="s">
        <v>2</v>
      </c>
      <c r="W17" s="322"/>
      <c r="X17" s="322" t="s">
        <v>3</v>
      </c>
      <c r="Y17" s="331"/>
    </row>
    <row r="18" spans="1:28" x14ac:dyDescent="0.25">
      <c r="B18" s="298"/>
      <c r="C18" s="326"/>
      <c r="D18" s="285"/>
      <c r="E18" s="296"/>
      <c r="F18" s="296"/>
      <c r="G18" s="285"/>
      <c r="H18" s="326"/>
      <c r="I18" s="326"/>
      <c r="J18" s="326"/>
      <c r="K18" s="320"/>
      <c r="L18" s="69"/>
      <c r="M18" s="12" t="s">
        <v>29</v>
      </c>
      <c r="N18" s="12" t="s">
        <v>30</v>
      </c>
      <c r="O18" s="12" t="s">
        <v>9</v>
      </c>
      <c r="P18" s="12" t="s">
        <v>10</v>
      </c>
      <c r="Q18" s="12" t="s">
        <v>11</v>
      </c>
      <c r="R18" s="12" t="s">
        <v>10</v>
      </c>
      <c r="S18" s="12" t="s">
        <v>11</v>
      </c>
      <c r="T18" s="12" t="s">
        <v>10</v>
      </c>
      <c r="U18" s="12" t="s">
        <v>11</v>
      </c>
      <c r="V18" s="12" t="s">
        <v>10</v>
      </c>
      <c r="W18" s="12" t="s">
        <v>11</v>
      </c>
      <c r="X18" s="12" t="s">
        <v>10</v>
      </c>
      <c r="Y18" s="9" t="s">
        <v>11</v>
      </c>
    </row>
    <row r="19" spans="1:28" ht="45" customHeight="1" x14ac:dyDescent="0.25">
      <c r="B19" s="10">
        <v>1</v>
      </c>
      <c r="C19" s="35" t="s">
        <v>68</v>
      </c>
      <c r="D19" s="35" t="s">
        <v>43</v>
      </c>
      <c r="E19" s="35" t="s">
        <v>42</v>
      </c>
      <c r="F19" s="28" t="s">
        <v>34</v>
      </c>
      <c r="G19" s="28" t="s">
        <v>46</v>
      </c>
      <c r="H19" s="35">
        <v>0</v>
      </c>
      <c r="I19" s="37" t="s">
        <v>47</v>
      </c>
      <c r="J19" s="32">
        <v>45336</v>
      </c>
      <c r="K19" s="36" t="s">
        <v>34</v>
      </c>
      <c r="L19" s="89">
        <v>0.7</v>
      </c>
      <c r="M19" s="74" t="s">
        <v>67</v>
      </c>
      <c r="N19" s="1">
        <v>3</v>
      </c>
      <c r="O19" s="77" t="s">
        <v>33</v>
      </c>
      <c r="P19" s="51"/>
      <c r="Q19" s="1"/>
      <c r="R19" s="51"/>
      <c r="S19" s="1"/>
      <c r="T19" s="51"/>
      <c r="U19" s="1"/>
      <c r="V19" s="51"/>
      <c r="W19" s="1"/>
      <c r="X19" s="51"/>
      <c r="Y19" s="26"/>
      <c r="Z19" s="11"/>
      <c r="AB19" s="85"/>
    </row>
    <row r="20" spans="1:28" ht="45" customHeight="1" x14ac:dyDescent="0.25">
      <c r="B20" s="10">
        <v>2</v>
      </c>
      <c r="C20" s="35" t="s">
        <v>69</v>
      </c>
      <c r="D20" s="35" t="s">
        <v>43</v>
      </c>
      <c r="E20" s="35" t="s">
        <v>42</v>
      </c>
      <c r="F20" s="28" t="s">
        <v>34</v>
      </c>
      <c r="G20" s="93" t="s">
        <v>63</v>
      </c>
      <c r="H20" s="92">
        <v>0</v>
      </c>
      <c r="I20" s="37" t="s">
        <v>47</v>
      </c>
      <c r="J20" s="94">
        <v>45336</v>
      </c>
      <c r="K20" s="36" t="s">
        <v>34</v>
      </c>
      <c r="L20" s="90">
        <v>0.2</v>
      </c>
      <c r="M20" s="74" t="s">
        <v>64</v>
      </c>
      <c r="N20" s="95">
        <v>20</v>
      </c>
      <c r="O20" s="77" t="s">
        <v>33</v>
      </c>
      <c r="P20" s="96"/>
      <c r="Q20" s="97"/>
      <c r="R20" s="96"/>
      <c r="S20" s="97"/>
      <c r="T20" s="96"/>
      <c r="U20" s="97"/>
      <c r="V20" s="96"/>
      <c r="W20" s="97"/>
      <c r="X20" s="96"/>
      <c r="Y20" s="98"/>
      <c r="Z20" s="11"/>
      <c r="AB20" s="52"/>
    </row>
    <row r="21" spans="1:28" ht="36.75" customHeight="1" x14ac:dyDescent="0.25">
      <c r="B21" s="10">
        <v>3</v>
      </c>
      <c r="C21" s="40" t="s">
        <v>58</v>
      </c>
      <c r="D21" s="40" t="s">
        <v>50</v>
      </c>
      <c r="E21" s="40" t="s">
        <v>55</v>
      </c>
      <c r="F21" s="40" t="s">
        <v>34</v>
      </c>
      <c r="G21" s="40" t="s">
        <v>55</v>
      </c>
      <c r="H21" s="40" t="s">
        <v>55</v>
      </c>
      <c r="I21" s="41" t="s">
        <v>59</v>
      </c>
      <c r="J21" s="32">
        <v>45336</v>
      </c>
      <c r="K21" s="36" t="s">
        <v>34</v>
      </c>
      <c r="L21" s="91">
        <v>0</v>
      </c>
      <c r="M21" s="75" t="s">
        <v>41</v>
      </c>
      <c r="N21" s="33">
        <v>5</v>
      </c>
      <c r="O21" s="34" t="s">
        <v>33</v>
      </c>
      <c r="P21" s="51"/>
      <c r="Q21" s="1"/>
      <c r="R21" s="51"/>
      <c r="S21" s="1"/>
      <c r="T21" s="51"/>
      <c r="U21" s="1"/>
      <c r="V21" s="51"/>
      <c r="W21" s="1"/>
      <c r="X21" s="51"/>
      <c r="Y21" s="43"/>
      <c r="Z21" s="11"/>
    </row>
    <row r="22" spans="1:28" ht="36.75" customHeight="1" thickBot="1" x14ac:dyDescent="0.3">
      <c r="A22" s="31"/>
      <c r="B22" s="10">
        <v>4</v>
      </c>
      <c r="C22" s="40"/>
      <c r="D22" s="40"/>
      <c r="E22" s="40"/>
      <c r="F22" s="40"/>
      <c r="G22" s="40"/>
      <c r="H22" s="40"/>
      <c r="I22" s="41"/>
      <c r="J22" s="40"/>
      <c r="K22" s="41"/>
      <c r="L22" s="88"/>
      <c r="M22" s="40"/>
      <c r="N22" s="33"/>
      <c r="O22" s="34"/>
      <c r="P22" s="42"/>
      <c r="Q22" s="42"/>
      <c r="R22" s="42"/>
      <c r="S22" s="42"/>
      <c r="T22" s="42"/>
      <c r="U22" s="42"/>
      <c r="V22" s="42"/>
      <c r="W22" s="42"/>
      <c r="X22" s="42"/>
      <c r="Y22" s="43"/>
      <c r="Z22" s="11"/>
    </row>
    <row r="23" spans="1:28" ht="23.25" customHeight="1" x14ac:dyDescent="0.25">
      <c r="B23" s="323" t="s">
        <v>51</v>
      </c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5"/>
    </row>
    <row r="24" spans="1:28" ht="15" customHeight="1" x14ac:dyDescent="0.25">
      <c r="B24" s="298" t="s">
        <v>5</v>
      </c>
      <c r="C24" s="326" t="s">
        <v>6</v>
      </c>
      <c r="D24" s="327" t="s">
        <v>25</v>
      </c>
      <c r="E24" s="328" t="s">
        <v>15</v>
      </c>
      <c r="F24" s="328" t="s">
        <v>24</v>
      </c>
      <c r="G24" s="327" t="s">
        <v>7</v>
      </c>
      <c r="H24" s="326" t="s">
        <v>8</v>
      </c>
      <c r="I24" s="326" t="s">
        <v>28</v>
      </c>
      <c r="J24" s="326" t="s">
        <v>14</v>
      </c>
      <c r="K24" s="330" t="s">
        <v>18</v>
      </c>
      <c r="L24" s="87"/>
      <c r="M24" s="329" t="s">
        <v>19</v>
      </c>
      <c r="N24" s="329"/>
      <c r="O24" s="329"/>
      <c r="P24" s="322" t="s">
        <v>4</v>
      </c>
      <c r="Q24" s="322"/>
      <c r="R24" s="322" t="s">
        <v>0</v>
      </c>
      <c r="S24" s="322"/>
      <c r="T24" s="322" t="s">
        <v>1</v>
      </c>
      <c r="U24" s="322"/>
      <c r="V24" s="322" t="s">
        <v>2</v>
      </c>
      <c r="W24" s="322"/>
      <c r="X24" s="322" t="s">
        <v>3</v>
      </c>
      <c r="Y24" s="331"/>
    </row>
    <row r="25" spans="1:28" x14ac:dyDescent="0.25">
      <c r="B25" s="298"/>
      <c r="C25" s="326"/>
      <c r="D25" s="285"/>
      <c r="E25" s="296"/>
      <c r="F25" s="296"/>
      <c r="G25" s="285"/>
      <c r="H25" s="326"/>
      <c r="I25" s="326"/>
      <c r="J25" s="326"/>
      <c r="K25" s="320"/>
      <c r="L25" s="69"/>
      <c r="M25" s="12" t="s">
        <v>29</v>
      </c>
      <c r="N25" s="12" t="s">
        <v>30</v>
      </c>
      <c r="O25" s="12" t="s">
        <v>9</v>
      </c>
      <c r="P25" s="12" t="s">
        <v>10</v>
      </c>
      <c r="Q25" s="12" t="s">
        <v>11</v>
      </c>
      <c r="R25" s="12" t="s">
        <v>10</v>
      </c>
      <c r="S25" s="12" t="s">
        <v>11</v>
      </c>
      <c r="T25" s="12" t="s">
        <v>10</v>
      </c>
      <c r="U25" s="12" t="s">
        <v>11</v>
      </c>
      <c r="V25" s="12" t="s">
        <v>10</v>
      </c>
      <c r="W25" s="12" t="s">
        <v>11</v>
      </c>
      <c r="X25" s="12" t="s">
        <v>10</v>
      </c>
      <c r="Y25" s="9" t="s">
        <v>11</v>
      </c>
    </row>
    <row r="26" spans="1:28" ht="45" customHeight="1" x14ac:dyDescent="0.25">
      <c r="B26" s="10">
        <v>1</v>
      </c>
      <c r="C26" s="35" t="s">
        <v>45</v>
      </c>
      <c r="D26" s="35" t="s">
        <v>43</v>
      </c>
      <c r="E26" s="35" t="s">
        <v>42</v>
      </c>
      <c r="F26" s="28" t="s">
        <v>34</v>
      </c>
      <c r="G26" s="28" t="s">
        <v>46</v>
      </c>
      <c r="H26" s="35">
        <v>0</v>
      </c>
      <c r="I26" s="37" t="s">
        <v>47</v>
      </c>
      <c r="J26" s="32">
        <v>45336</v>
      </c>
      <c r="K26" s="36" t="s">
        <v>34</v>
      </c>
      <c r="L26" s="89">
        <v>0.4</v>
      </c>
      <c r="M26" s="74" t="s">
        <v>65</v>
      </c>
      <c r="N26" s="1">
        <v>5</v>
      </c>
      <c r="O26" s="77" t="s">
        <v>33</v>
      </c>
      <c r="P26" s="51"/>
      <c r="Q26" s="1"/>
      <c r="R26" s="51"/>
      <c r="S26" s="1"/>
      <c r="T26" s="51"/>
      <c r="U26" s="1"/>
      <c r="V26" s="51"/>
      <c r="W26" s="1"/>
      <c r="X26" s="51"/>
      <c r="Y26" s="26"/>
      <c r="Z26" s="11"/>
    </row>
    <row r="27" spans="1:28" ht="45" customHeight="1" x14ac:dyDescent="0.25">
      <c r="B27" s="10">
        <v>2</v>
      </c>
      <c r="C27" s="35" t="s">
        <v>70</v>
      </c>
      <c r="D27" s="35" t="s">
        <v>43</v>
      </c>
      <c r="E27" s="35" t="s">
        <v>42</v>
      </c>
      <c r="F27" s="28" t="s">
        <v>34</v>
      </c>
      <c r="G27" s="93" t="s">
        <v>46</v>
      </c>
      <c r="H27" s="92">
        <v>0</v>
      </c>
      <c r="I27" s="37" t="s">
        <v>47</v>
      </c>
      <c r="J27" s="94">
        <v>45336</v>
      </c>
      <c r="K27" s="36" t="s">
        <v>34</v>
      </c>
      <c r="L27" s="90">
        <v>0.5</v>
      </c>
      <c r="M27" s="74" t="s">
        <v>66</v>
      </c>
      <c r="N27" s="1">
        <v>4</v>
      </c>
      <c r="O27" s="77" t="s">
        <v>33</v>
      </c>
      <c r="P27" s="96"/>
      <c r="Q27" s="97"/>
      <c r="R27" s="96"/>
      <c r="S27" s="97"/>
      <c r="T27" s="96"/>
      <c r="U27" s="97"/>
      <c r="V27" s="96"/>
      <c r="W27" s="97"/>
      <c r="X27" s="96"/>
      <c r="Y27" s="98"/>
      <c r="Z27" s="11"/>
    </row>
    <row r="28" spans="1:28" ht="45" customHeight="1" x14ac:dyDescent="0.25">
      <c r="B28" s="10">
        <v>3</v>
      </c>
      <c r="C28" s="35" t="s">
        <v>45</v>
      </c>
      <c r="D28" s="35" t="s">
        <v>43</v>
      </c>
      <c r="E28" s="35" t="s">
        <v>42</v>
      </c>
      <c r="F28" s="28" t="s">
        <v>34</v>
      </c>
      <c r="G28" s="93" t="s">
        <v>63</v>
      </c>
      <c r="H28" s="92">
        <v>0</v>
      </c>
      <c r="I28" s="37" t="s">
        <v>47</v>
      </c>
      <c r="J28" s="94">
        <v>45336</v>
      </c>
      <c r="K28" s="36" t="s">
        <v>34</v>
      </c>
      <c r="L28" s="90">
        <v>0</v>
      </c>
      <c r="M28" s="74" t="s">
        <v>64</v>
      </c>
      <c r="N28" s="95">
        <v>20</v>
      </c>
      <c r="O28" s="77" t="s">
        <v>33</v>
      </c>
      <c r="P28" s="96"/>
      <c r="Q28" s="97"/>
      <c r="R28" s="96"/>
      <c r="S28" s="97"/>
      <c r="T28" s="96"/>
      <c r="U28" s="97"/>
      <c r="V28" s="96"/>
      <c r="W28" s="97"/>
      <c r="X28" s="96"/>
      <c r="Y28" s="98"/>
      <c r="Z28" s="11"/>
    </row>
    <row r="29" spans="1:28" ht="36.75" customHeight="1" x14ac:dyDescent="0.25">
      <c r="A29" s="31"/>
      <c r="B29" s="10">
        <v>4</v>
      </c>
      <c r="C29" s="40" t="s">
        <v>58</v>
      </c>
      <c r="D29" s="40" t="s">
        <v>50</v>
      </c>
      <c r="E29" s="40" t="s">
        <v>55</v>
      </c>
      <c r="F29" s="40" t="s">
        <v>34</v>
      </c>
      <c r="G29" s="40" t="s">
        <v>55</v>
      </c>
      <c r="H29" s="40" t="s">
        <v>55</v>
      </c>
      <c r="I29" s="41" t="s">
        <v>59</v>
      </c>
      <c r="J29" s="32">
        <v>45322</v>
      </c>
      <c r="K29" s="36" t="s">
        <v>34</v>
      </c>
      <c r="L29" s="90">
        <v>0</v>
      </c>
      <c r="M29" s="75" t="s">
        <v>41</v>
      </c>
      <c r="N29" s="33">
        <v>5</v>
      </c>
      <c r="O29" s="34" t="s">
        <v>33</v>
      </c>
      <c r="P29" s="42"/>
      <c r="Q29" s="42"/>
      <c r="R29" s="42"/>
      <c r="S29" s="42"/>
      <c r="T29" s="42"/>
      <c r="U29" s="42"/>
      <c r="V29" s="42"/>
      <c r="W29" s="42"/>
      <c r="X29" s="42"/>
      <c r="Y29" s="43"/>
      <c r="Z29" s="11"/>
    </row>
    <row r="30" spans="1:28" ht="36.75" customHeight="1" thickBot="1" x14ac:dyDescent="0.3">
      <c r="A30" s="31"/>
      <c r="B30" s="49">
        <v>5</v>
      </c>
      <c r="C30" s="3"/>
      <c r="D30" s="3"/>
      <c r="E30" s="3"/>
      <c r="F30" s="29"/>
      <c r="G30" s="29"/>
      <c r="H30" s="3"/>
      <c r="I30" s="38"/>
      <c r="J30" s="24"/>
      <c r="K30" s="39"/>
      <c r="L30" s="39"/>
      <c r="M30" s="76"/>
      <c r="N30" s="3"/>
      <c r="O30" s="25"/>
      <c r="P30" s="44"/>
      <c r="Q30" s="44"/>
      <c r="R30" s="44"/>
      <c r="S30" s="44"/>
      <c r="T30" s="44"/>
      <c r="U30" s="44"/>
      <c r="V30" s="44"/>
      <c r="W30" s="44"/>
      <c r="X30" s="44"/>
      <c r="Y30" s="45"/>
      <c r="Z30" s="11"/>
    </row>
    <row r="31" spans="1:28" x14ac:dyDescent="0.25">
      <c r="K31" s="27">
        <f>SUM(K19:K30)</f>
        <v>0</v>
      </c>
      <c r="L31" s="27"/>
      <c r="N31" s="27">
        <f>SUM(N13:N30)</f>
        <v>103</v>
      </c>
    </row>
  </sheetData>
  <mergeCells count="59">
    <mergeCell ref="P24:Q24"/>
    <mergeCell ref="R11:S11"/>
    <mergeCell ref="V24:W24"/>
    <mergeCell ref="X24:Y24"/>
    <mergeCell ref="X11:Y11"/>
    <mergeCell ref="B23:Y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M24:O24"/>
    <mergeCell ref="X17:Y17"/>
    <mergeCell ref="R24:S24"/>
    <mergeCell ref="T24:U24"/>
    <mergeCell ref="B10:Y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O11"/>
    <mergeCell ref="B16:Y16"/>
    <mergeCell ref="B17:B18"/>
    <mergeCell ref="C17:C18"/>
    <mergeCell ref="D17:D18"/>
    <mergeCell ref="E17:E18"/>
    <mergeCell ref="V17:W17"/>
    <mergeCell ref="G17:G18"/>
    <mergeCell ref="H17:H18"/>
    <mergeCell ref="I17:I18"/>
    <mergeCell ref="J17:J18"/>
    <mergeCell ref="F17:F18"/>
    <mergeCell ref="M17:O17"/>
    <mergeCell ref="P17:Q17"/>
    <mergeCell ref="R17:S17"/>
    <mergeCell ref="T17:U17"/>
    <mergeCell ref="K17:K18"/>
    <mergeCell ref="W2:Y2"/>
    <mergeCell ref="L11:L12"/>
    <mergeCell ref="B2:T3"/>
    <mergeCell ref="X3:Y3"/>
    <mergeCell ref="F5:T8"/>
    <mergeCell ref="U5:X5"/>
    <mergeCell ref="D6:E6"/>
    <mergeCell ref="U8:X8"/>
    <mergeCell ref="T11:U11"/>
    <mergeCell ref="V11:W11"/>
    <mergeCell ref="P11:Q11"/>
  </mergeCells>
  <phoneticPr fontId="41" type="noConversion"/>
  <printOptions horizontalCentered="1" verticalCentered="1"/>
  <pageMargins left="0.31496062992125984" right="0.31496062992125984" top="0.19685039370078741" bottom="0.19685039370078741" header="0.31496062992125984" footer="0.31496062992125984"/>
  <pageSetup paperSize="8" scale="70" fitToHeight="2" orientation="landscape" r:id="rId1"/>
  <colBreaks count="1" manualBreakCount="1">
    <brk id="1" max="3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16</vt:i4>
      </vt:variant>
    </vt:vector>
  </HeadingPairs>
  <TitlesOfParts>
    <vt:vector size="26" baseType="lpstr">
      <vt:lpstr>Dinâmica</vt:lpstr>
      <vt:lpstr>MONT. RESUMO</vt:lpstr>
      <vt:lpstr> SOLDA RESUMO</vt:lpstr>
      <vt:lpstr>FOLHA TAREFA PROCESSAMENTO</vt:lpstr>
      <vt:lpstr>MONTAGEM DEL. (2)</vt:lpstr>
      <vt:lpstr> SOLDA DEL.</vt:lpstr>
      <vt:lpstr>PROC. RESUMIDO</vt:lpstr>
      <vt:lpstr>MONT. RESUMIDO</vt:lpstr>
      <vt:lpstr> SOLDA-END RESUMIDO</vt:lpstr>
      <vt:lpstr>EXTRA-ESCOPO</vt:lpstr>
      <vt:lpstr>' SOLDA DEL.'!Area_de_impressao</vt:lpstr>
      <vt:lpstr>' SOLDA RESUMO'!Area_de_impressao</vt:lpstr>
      <vt:lpstr>' SOLDA-END RESUMIDO'!Area_de_impressao</vt:lpstr>
      <vt:lpstr>'EXTRA-ESCOPO'!Area_de_impressao</vt:lpstr>
      <vt:lpstr>'MONT. RESUMIDO'!Area_de_impressao</vt:lpstr>
      <vt:lpstr>'MONT. RESUMO'!Area_de_impressao</vt:lpstr>
      <vt:lpstr>'MONTAGEM DEL. (2)'!Area_de_impressao</vt:lpstr>
      <vt:lpstr>'PROC. RESUMIDO'!Area_de_impressao</vt:lpstr>
      <vt:lpstr>' SOLDA DEL.'!Titulos_de_impressao</vt:lpstr>
      <vt:lpstr>' SOLDA RESUMO'!Titulos_de_impressao</vt:lpstr>
      <vt:lpstr>' SOLDA-END RESUMIDO'!Titulos_de_impressao</vt:lpstr>
      <vt:lpstr>'EXTRA-ESCOPO'!Titulos_de_impressao</vt:lpstr>
      <vt:lpstr>'MONT. RESUMIDO'!Titulos_de_impressao</vt:lpstr>
      <vt:lpstr>'MONT. RESUMO'!Titulos_de_impressao</vt:lpstr>
      <vt:lpstr>'MONTAGEM DEL. (2)'!Titulos_de_impressao</vt:lpstr>
      <vt:lpstr>'PROC. RESUMIDO'!Titulos_de_impressao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Moura Pereira Teixeira [KFB]</dc:creator>
  <cp:lastModifiedBy>Pedro Monaco</cp:lastModifiedBy>
  <cp:lastPrinted>2026-04-10T16:53:43Z</cp:lastPrinted>
  <dcterms:created xsi:type="dcterms:W3CDTF">2016-03-01T13:04:57Z</dcterms:created>
  <dcterms:modified xsi:type="dcterms:W3CDTF">2026-04-10T17:51:23Z</dcterms:modified>
</cp:coreProperties>
</file>